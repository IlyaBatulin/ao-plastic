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24780" windowHeight="12150"/>
  </bookViews>
  <sheets>
    <sheet name="ПР3" sheetId="1" r:id="rId1"/>
  </sheets>
  <calcPr calcId="145621"/>
</workbook>
</file>

<file path=xl/calcChain.xml><?xml version="1.0" encoding="utf-8"?>
<calcChain xmlns="http://schemas.openxmlformats.org/spreadsheetml/2006/main">
  <c r="I20" i="1" l="1"/>
  <c r="D20" i="1"/>
  <c r="I18" i="1"/>
  <c r="D18" i="1"/>
  <c r="I17" i="1"/>
  <c r="D17" i="1"/>
  <c r="I16" i="1"/>
  <c r="D16" i="1"/>
  <c r="I15" i="1"/>
  <c r="D15" i="1"/>
  <c r="I14" i="1"/>
  <c r="D14" i="1"/>
</calcChain>
</file>

<file path=xl/sharedStrings.xml><?xml version="1.0" encoding="utf-8"?>
<sst xmlns="http://schemas.openxmlformats.org/spreadsheetml/2006/main" count="97" uniqueCount="48">
  <si>
    <t>ПЕРЕЧЕНЬ</t>
  </si>
  <si>
    <t>МЕРОПРИЯТИЙ, ОСНОВНОЙ ЦЕЛЬЮ КОТОРЫХ ЯВЛЯЕТСЯ</t>
  </si>
  <si>
    <t>ЭНЕРГОСБЕРЕЖЕНИЕ И ПОВЫШЕНИЕ ЭНЕРГЕТИЧЕСКОЙ ЭФФЕКТИВНОСТИ</t>
  </si>
  <si>
    <t>N п/п</t>
  </si>
  <si>
    <t>Наименование мероприятия</t>
  </si>
  <si>
    <t>Объемы выполнения (план) с разбивкой по годам действия программы</t>
  </si>
  <si>
    <t>Плановые численные значения экономии в обозначенной размеренности с разбивкой по годам действия программы</t>
  </si>
  <si>
    <t>Показатели экономической эффективности</t>
  </si>
  <si>
    <t>Срок амортизации, лет</t>
  </si>
  <si>
    <t>Затраты (план), млн. руб. (без НДС), с разбивкой по годам действия программы</t>
  </si>
  <si>
    <t>Статья затрат</t>
  </si>
  <si>
    <t>Источник финансирования</t>
  </si>
  <si>
    <t>ед. измерения</t>
  </si>
  <si>
    <t>всего по годам экономия в указанной размерности</t>
  </si>
  <si>
    <t>2016 г.</t>
  </si>
  <si>
    <t>2017 г.</t>
  </si>
  <si>
    <t>2018 г.</t>
  </si>
  <si>
    <t>численное значение экономии в указанной размерности</t>
  </si>
  <si>
    <t>численное значение экономии, т у. т.</t>
  </si>
  <si>
    <t>численное значение экономии, млн. руб.</t>
  </si>
  <si>
    <t>дисконтированный срок окупаемости, лет</t>
  </si>
  <si>
    <t>ВНД, %</t>
  </si>
  <si>
    <t>ЧДД, млн. руб.</t>
  </si>
  <si>
    <t>всего</t>
  </si>
  <si>
    <t>2016г.</t>
  </si>
  <si>
    <t>2017г.</t>
  </si>
  <si>
    <t>2018г.</t>
  </si>
  <si>
    <t>Электроэнергия</t>
  </si>
  <si>
    <t>1.1.</t>
  </si>
  <si>
    <t>Отключение в режимах малых нагрузок трансформаторов на подстанциях с двумя и более трансформаторами</t>
  </si>
  <si>
    <t>тыс. кВт ч</t>
  </si>
  <si>
    <t>собственные средства</t>
  </si>
  <si>
    <t>1.2.</t>
  </si>
  <si>
    <t>Замена изоляторов 6кВ на ВЛ-Шиворонь</t>
  </si>
  <si>
    <t>1.3.</t>
  </si>
  <si>
    <t>Метрологическая поверка счетчиков электрической энергии, ТТ, ТН</t>
  </si>
  <si>
    <t>1.4.</t>
  </si>
  <si>
    <t>Замена светильников на энергосберегающие</t>
  </si>
  <si>
    <t>1.5.</t>
  </si>
  <si>
    <t>Внедрение автоматизированных систем коммерческого учета электрической энергии и мощности по малым присоединениям</t>
  </si>
  <si>
    <t>Водоснабжение</t>
  </si>
  <si>
    <t>2.1.</t>
  </si>
  <si>
    <t>Замена ветхих участков хозпитьевой воды</t>
  </si>
  <si>
    <t>тыс. куб.м</t>
  </si>
  <si>
    <t>-</t>
  </si>
  <si>
    <t>Организационные мероприятия</t>
  </si>
  <si>
    <t>3.1.</t>
  </si>
  <si>
    <t>Проведение обязательного энергетического обследования и разработка энергетического паспорта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</si>
</sst>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/>
    <xf numFmtId="2" fontId="2" fillId="0" borderId="1" xfId="0" applyNumberFormat="1" applyFont="1" applyBorder="1" applyAlignment="1">
      <alignment wrapText="1"/>
    </xf>
    <xf numFmtId="0" fontId="2" fillId="0" borderId="1" xfId="0" applyFont="1" applyBorder="1" applyAlignment="1"/>
    <xf numFmtId="16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2" fontId="2" fillId="0" borderId="1" xfId="0" applyNumberFormat="1" applyFont="1" applyBorder="1" applyAlignment="1">
      <alignment horizontal="right" vertical="center"/>
    </xf>
    <xf numFmtId="2" fontId="2" fillId="0" borderId="1" xfId="0" applyNumberFormat="1" applyFont="1" applyBorder="1" applyAlignment="1"/>
    <xf numFmtId="164" fontId="2" fillId="0" borderId="1" xfId="0" applyNumberFormat="1" applyFont="1" applyBorder="1" applyAlignme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B22"/>
  <sheetViews>
    <sheetView tabSelected="1" topLeftCell="A7" workbookViewId="0">
      <pane xSplit="2" ySplit="7" topLeftCell="C14" activePane="bottomRight" state="frozen"/>
      <selection activeCell="A7" sqref="A7"/>
      <selection pane="topRight" activeCell="C7" sqref="C7"/>
      <selection pane="bottomLeft" activeCell="A14" sqref="A14"/>
      <selection pane="bottomRight" activeCell="K16" sqref="K16"/>
    </sheetView>
  </sheetViews>
  <sheetFormatPr defaultRowHeight="15" x14ac:dyDescent="0.25"/>
  <cols>
    <col min="1" max="1" width="5.42578125" customWidth="1"/>
    <col min="2" max="2" width="37.140625" customWidth="1"/>
    <col min="3" max="3" width="12.28515625" customWidth="1"/>
    <col min="4" max="4" width="11.28515625" customWidth="1"/>
    <col min="5" max="6" width="11" customWidth="1"/>
    <col min="7" max="7" width="12.42578125" customWidth="1"/>
    <col min="8" max="8" width="11.42578125" customWidth="1"/>
    <col min="9" max="9" width="12.42578125" customWidth="1"/>
    <col min="10" max="10" width="11.85546875" customWidth="1"/>
    <col min="11" max="11" width="10.140625" customWidth="1"/>
    <col min="12" max="12" width="12.140625" customWidth="1"/>
    <col min="13" max="13" width="12.5703125" customWidth="1"/>
    <col min="14" max="14" width="10.42578125" customWidth="1"/>
    <col min="15" max="16" width="13.140625" customWidth="1"/>
    <col min="17" max="17" width="10.28515625" customWidth="1"/>
    <col min="18" max="18" width="13.140625" customWidth="1"/>
    <col min="19" max="19" width="11.42578125" hidden="1" customWidth="1"/>
    <col min="20" max="20" width="10.28515625" hidden="1" customWidth="1"/>
    <col min="21" max="21" width="10.7109375" hidden="1" customWidth="1"/>
    <col min="22" max="22" width="15.85546875" hidden="1" customWidth="1"/>
    <col min="23" max="24" width="11.85546875" customWidth="1"/>
    <col min="25" max="25" width="11.42578125" customWidth="1"/>
    <col min="26" max="26" width="13" hidden="1" customWidth="1"/>
    <col min="27" max="27" width="12.42578125" customWidth="1"/>
  </cols>
  <sheetData>
    <row r="3" spans="1:28" ht="15.75" x14ac:dyDescent="0.25">
      <c r="H3" s="1"/>
    </row>
    <row r="4" spans="1:28" ht="15.75" x14ac:dyDescent="0.25">
      <c r="H4" s="2" t="s">
        <v>0</v>
      </c>
    </row>
    <row r="5" spans="1:28" ht="15.75" x14ac:dyDescent="0.25">
      <c r="H5" s="2" t="s">
        <v>1</v>
      </c>
    </row>
    <row r="6" spans="1:28" ht="15.75" x14ac:dyDescent="0.25">
      <c r="H6" s="2" t="s">
        <v>2</v>
      </c>
    </row>
    <row r="8" spans="1:28" ht="62.25" customHeight="1" x14ac:dyDescent="0.25">
      <c r="A8" s="3" t="s">
        <v>3</v>
      </c>
      <c r="B8" s="3" t="s">
        <v>4</v>
      </c>
      <c r="C8" s="3" t="s">
        <v>5</v>
      </c>
      <c r="D8" s="3"/>
      <c r="E8" s="3"/>
      <c r="F8" s="3"/>
      <c r="G8" s="3"/>
      <c r="H8" s="3" t="s">
        <v>6</v>
      </c>
      <c r="I8" s="3"/>
      <c r="J8" s="3"/>
      <c r="K8" s="3"/>
      <c r="L8" s="3"/>
      <c r="M8" s="3"/>
      <c r="N8" s="3"/>
      <c r="O8" s="3"/>
      <c r="P8" s="3"/>
      <c r="Q8" s="3"/>
      <c r="R8" s="3"/>
      <c r="S8" s="3" t="s">
        <v>7</v>
      </c>
      <c r="T8" s="3"/>
      <c r="U8" s="3"/>
      <c r="V8" s="3" t="s">
        <v>8</v>
      </c>
      <c r="W8" s="3" t="s">
        <v>9</v>
      </c>
      <c r="X8" s="3"/>
      <c r="Y8" s="3"/>
      <c r="Z8" s="3" t="s">
        <v>10</v>
      </c>
      <c r="AA8" s="3" t="s">
        <v>11</v>
      </c>
      <c r="AB8" s="4"/>
    </row>
    <row r="9" spans="1:28" ht="38.25" customHeight="1" x14ac:dyDescent="0.25">
      <c r="A9" s="3"/>
      <c r="B9" s="3"/>
      <c r="C9" s="3"/>
      <c r="D9" s="3"/>
      <c r="E9" s="3"/>
      <c r="F9" s="3"/>
      <c r="G9" s="3"/>
      <c r="H9" s="3" t="s">
        <v>12</v>
      </c>
      <c r="I9" s="3" t="s">
        <v>13</v>
      </c>
      <c r="J9" s="3" t="s">
        <v>14</v>
      </c>
      <c r="K9" s="3"/>
      <c r="L9" s="3"/>
      <c r="M9" s="3" t="s">
        <v>15</v>
      </c>
      <c r="N9" s="3"/>
      <c r="O9" s="3"/>
      <c r="P9" s="3" t="s">
        <v>16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4"/>
    </row>
    <row r="10" spans="1:28" ht="85.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 t="s">
        <v>17</v>
      </c>
      <c r="K10" s="3" t="s">
        <v>18</v>
      </c>
      <c r="L10" s="3" t="s">
        <v>19</v>
      </c>
      <c r="M10" s="3" t="s">
        <v>17</v>
      </c>
      <c r="N10" s="3" t="s">
        <v>18</v>
      </c>
      <c r="O10" s="3" t="s">
        <v>19</v>
      </c>
      <c r="P10" s="3" t="s">
        <v>17</v>
      </c>
      <c r="Q10" s="3" t="s">
        <v>18</v>
      </c>
      <c r="R10" s="3" t="s">
        <v>19</v>
      </c>
      <c r="S10" s="3" t="s">
        <v>20</v>
      </c>
      <c r="T10" s="3" t="s">
        <v>21</v>
      </c>
      <c r="U10" s="3" t="s">
        <v>22</v>
      </c>
      <c r="V10" s="3"/>
      <c r="W10" s="3"/>
      <c r="X10" s="3"/>
      <c r="Y10" s="3"/>
      <c r="Z10" s="3"/>
      <c r="AA10" s="3"/>
      <c r="AB10" s="5"/>
    </row>
    <row r="11" spans="1:28" ht="30" x14ac:dyDescent="0.25">
      <c r="A11" s="3"/>
      <c r="B11" s="3"/>
      <c r="C11" s="6" t="s">
        <v>12</v>
      </c>
      <c r="D11" s="6" t="s">
        <v>23</v>
      </c>
      <c r="E11" s="6" t="s">
        <v>24</v>
      </c>
      <c r="F11" s="6" t="s">
        <v>25</v>
      </c>
      <c r="G11" s="6" t="s">
        <v>26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6" t="s">
        <v>24</v>
      </c>
      <c r="X11" s="6" t="s">
        <v>25</v>
      </c>
      <c r="Y11" s="6" t="s">
        <v>26</v>
      </c>
      <c r="Z11" s="3"/>
      <c r="AA11" s="3"/>
      <c r="AB11" s="4"/>
    </row>
    <row r="12" spans="1:28" ht="15.75" x14ac:dyDescent="0.25">
      <c r="A12" s="6">
        <v>1</v>
      </c>
      <c r="B12" s="6">
        <v>2</v>
      </c>
      <c r="C12" s="6">
        <v>3</v>
      </c>
      <c r="D12" s="6">
        <v>4</v>
      </c>
      <c r="E12" s="6">
        <v>5</v>
      </c>
      <c r="F12" s="6"/>
      <c r="G12" s="6">
        <v>6</v>
      </c>
      <c r="H12" s="6">
        <v>7</v>
      </c>
      <c r="I12" s="6">
        <v>8</v>
      </c>
      <c r="J12" s="6">
        <v>9</v>
      </c>
      <c r="K12" s="6">
        <v>10</v>
      </c>
      <c r="L12" s="6">
        <v>11</v>
      </c>
      <c r="M12" s="6">
        <v>12</v>
      </c>
      <c r="N12" s="6">
        <v>13</v>
      </c>
      <c r="O12" s="6">
        <v>14</v>
      </c>
      <c r="P12" s="6">
        <v>15</v>
      </c>
      <c r="Q12" s="6">
        <v>16</v>
      </c>
      <c r="R12" s="6">
        <v>17</v>
      </c>
      <c r="S12" s="6">
        <v>18</v>
      </c>
      <c r="T12" s="6">
        <v>19</v>
      </c>
      <c r="U12" s="6">
        <v>20</v>
      </c>
      <c r="V12" s="6">
        <v>21</v>
      </c>
      <c r="W12" s="6">
        <v>22</v>
      </c>
      <c r="X12" s="6">
        <v>23</v>
      </c>
      <c r="Y12" s="6">
        <v>24</v>
      </c>
      <c r="Z12" s="6">
        <v>25</v>
      </c>
      <c r="AA12" s="6">
        <v>26</v>
      </c>
      <c r="AB12" s="4"/>
    </row>
    <row r="13" spans="1:28" ht="15.75" x14ac:dyDescent="0.25">
      <c r="A13" s="7">
        <v>1</v>
      </c>
      <c r="B13" s="8" t="s">
        <v>27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4"/>
    </row>
    <row r="14" spans="1:28" ht="50.25" customHeight="1" x14ac:dyDescent="0.25">
      <c r="A14" s="10" t="s">
        <v>28</v>
      </c>
      <c r="B14" s="9" t="s">
        <v>29</v>
      </c>
      <c r="C14" s="11" t="s">
        <v>30</v>
      </c>
      <c r="D14" s="12">
        <f>E14+F14+G14</f>
        <v>47.910000000000004</v>
      </c>
      <c r="E14" s="12">
        <v>15.97</v>
      </c>
      <c r="F14" s="12">
        <v>15.97</v>
      </c>
      <c r="G14" s="12">
        <v>15.97</v>
      </c>
      <c r="H14" s="13" t="s">
        <v>30</v>
      </c>
      <c r="I14" s="14">
        <f>J14+M14+P14</f>
        <v>47.910000000000004</v>
      </c>
      <c r="J14" s="12">
        <v>15.97</v>
      </c>
      <c r="K14" s="12">
        <v>5.5</v>
      </c>
      <c r="L14" s="14">
        <v>4.8399999999999999E-2</v>
      </c>
      <c r="M14" s="12">
        <v>15.97</v>
      </c>
      <c r="N14" s="12">
        <v>5.5</v>
      </c>
      <c r="O14" s="14">
        <v>4.8399999999999999E-2</v>
      </c>
      <c r="P14" s="12">
        <v>15.97</v>
      </c>
      <c r="Q14" s="12">
        <v>5.5</v>
      </c>
      <c r="R14" s="14">
        <v>6.0420000000000001E-2</v>
      </c>
      <c r="S14" s="14"/>
      <c r="T14" s="14"/>
      <c r="U14" s="14"/>
      <c r="V14" s="15"/>
      <c r="W14" s="15"/>
      <c r="X14" s="15"/>
      <c r="Y14" s="15"/>
      <c r="Z14" s="15"/>
      <c r="AA14" s="15" t="s">
        <v>31</v>
      </c>
      <c r="AB14" s="4"/>
    </row>
    <row r="15" spans="1:28" ht="30" x14ac:dyDescent="0.25">
      <c r="A15" s="16" t="s">
        <v>32</v>
      </c>
      <c r="B15" s="15" t="s">
        <v>33</v>
      </c>
      <c r="C15" s="11" t="s">
        <v>30</v>
      </c>
      <c r="D15" s="12">
        <f t="shared" ref="D15:D20" si="0">E15+F15+G15</f>
        <v>2.6970000000000001</v>
      </c>
      <c r="E15" s="17"/>
      <c r="F15" s="17">
        <v>2.6970000000000001</v>
      </c>
      <c r="G15" s="17"/>
      <c r="H15" s="13" t="s">
        <v>30</v>
      </c>
      <c r="I15" s="14">
        <f>J15+M15+P15</f>
        <v>2.6970000000000001</v>
      </c>
      <c r="J15" s="17"/>
      <c r="K15" s="17"/>
      <c r="L15" s="18"/>
      <c r="M15" s="17">
        <v>2.6970000000000001</v>
      </c>
      <c r="N15" s="17">
        <v>0.307</v>
      </c>
      <c r="O15" s="18">
        <v>2.7000000000000001E-3</v>
      </c>
      <c r="P15" s="17"/>
      <c r="Q15" s="18"/>
      <c r="R15" s="18"/>
      <c r="S15" s="18"/>
      <c r="T15" s="18"/>
      <c r="U15" s="18"/>
      <c r="V15" s="13"/>
      <c r="W15" s="13"/>
      <c r="X15" s="18">
        <v>0.1</v>
      </c>
      <c r="Y15" s="13"/>
      <c r="Z15" s="13"/>
      <c r="AA15" s="15" t="s">
        <v>31</v>
      </c>
    </row>
    <row r="16" spans="1:28" ht="30" x14ac:dyDescent="0.25">
      <c r="A16" s="16" t="s">
        <v>34</v>
      </c>
      <c r="B16" s="15" t="s">
        <v>35</v>
      </c>
      <c r="C16" s="11" t="s">
        <v>30</v>
      </c>
      <c r="D16" s="12">
        <f t="shared" si="0"/>
        <v>75</v>
      </c>
      <c r="E16" s="17">
        <v>25</v>
      </c>
      <c r="F16" s="17">
        <v>25</v>
      </c>
      <c r="G16" s="17">
        <v>25</v>
      </c>
      <c r="H16" s="13" t="s">
        <v>30</v>
      </c>
      <c r="I16" s="14">
        <f>J16+M16+P16</f>
        <v>75</v>
      </c>
      <c r="J16" s="17">
        <v>25</v>
      </c>
      <c r="K16" s="17">
        <v>8.620000000000001</v>
      </c>
      <c r="L16" s="18">
        <v>7.6999999999999999E-2</v>
      </c>
      <c r="M16" s="17">
        <v>25</v>
      </c>
      <c r="N16" s="17">
        <v>8.61</v>
      </c>
      <c r="O16" s="18">
        <v>7.4999999999999997E-2</v>
      </c>
      <c r="P16" s="17">
        <v>25</v>
      </c>
      <c r="Q16" s="17">
        <v>8.61</v>
      </c>
      <c r="R16" s="18">
        <v>9.5000000000000001E-2</v>
      </c>
      <c r="S16" s="18"/>
      <c r="T16" s="18"/>
      <c r="U16" s="18"/>
      <c r="V16" s="13"/>
      <c r="W16" s="18">
        <v>0.11000000000000001</v>
      </c>
      <c r="X16" s="18">
        <v>0.15</v>
      </c>
      <c r="Y16" s="18">
        <v>0.13</v>
      </c>
      <c r="Z16" s="13"/>
      <c r="AA16" s="15" t="s">
        <v>31</v>
      </c>
    </row>
    <row r="17" spans="1:27" ht="30" x14ac:dyDescent="0.25">
      <c r="A17" s="16" t="s">
        <v>36</v>
      </c>
      <c r="B17" s="15" t="s">
        <v>37</v>
      </c>
      <c r="C17" s="11" t="s">
        <v>30</v>
      </c>
      <c r="D17" s="12">
        <f t="shared" si="0"/>
        <v>100.3</v>
      </c>
      <c r="E17" s="17">
        <v>6</v>
      </c>
      <c r="F17" s="17">
        <v>6.1</v>
      </c>
      <c r="G17" s="17">
        <v>88.2</v>
      </c>
      <c r="H17" s="13" t="s">
        <v>30</v>
      </c>
      <c r="I17" s="14">
        <f>J17+M17+P17</f>
        <v>100.3</v>
      </c>
      <c r="J17" s="17">
        <v>6</v>
      </c>
      <c r="K17" s="17">
        <v>2.0699999999999998</v>
      </c>
      <c r="L17" s="18">
        <v>0.19000000000000003</v>
      </c>
      <c r="M17" s="17">
        <v>6.1</v>
      </c>
      <c r="N17" s="17">
        <v>2.1</v>
      </c>
      <c r="O17" s="18">
        <v>0.21</v>
      </c>
      <c r="P17" s="17">
        <v>88.2</v>
      </c>
      <c r="Q17" s="18">
        <v>30.38</v>
      </c>
      <c r="R17" s="18">
        <v>0.33516000000000001</v>
      </c>
      <c r="S17" s="18"/>
      <c r="T17" s="18"/>
      <c r="U17" s="18"/>
      <c r="V17" s="13"/>
      <c r="W17" s="18">
        <v>2.5000000000000022E-2</v>
      </c>
      <c r="X17" s="18">
        <v>0.5</v>
      </c>
      <c r="Y17" s="18">
        <v>1</v>
      </c>
      <c r="Z17" s="13"/>
      <c r="AA17" s="15" t="s">
        <v>31</v>
      </c>
    </row>
    <row r="18" spans="1:27" ht="60" x14ac:dyDescent="0.25">
      <c r="A18" s="16" t="s">
        <v>38</v>
      </c>
      <c r="B18" s="15" t="s">
        <v>39</v>
      </c>
      <c r="C18" s="11" t="s">
        <v>30</v>
      </c>
      <c r="D18" s="12">
        <f t="shared" si="0"/>
        <v>14.4</v>
      </c>
      <c r="E18" s="17"/>
      <c r="F18" s="17">
        <v>14.4</v>
      </c>
      <c r="G18" s="17"/>
      <c r="H18" s="13" t="s">
        <v>30</v>
      </c>
      <c r="I18" s="14">
        <f>J18+M18+P18</f>
        <v>14.4</v>
      </c>
      <c r="J18" s="17"/>
      <c r="K18" s="17"/>
      <c r="L18" s="18"/>
      <c r="M18" s="17">
        <v>14.4</v>
      </c>
      <c r="N18" s="17">
        <v>4.36E-2</v>
      </c>
      <c r="O18" s="18">
        <v>4.36E-2</v>
      </c>
      <c r="P18" s="17"/>
      <c r="Q18" s="18"/>
      <c r="R18" s="18"/>
      <c r="S18" s="18"/>
      <c r="T18" s="18"/>
      <c r="U18" s="18"/>
      <c r="V18" s="13"/>
      <c r="W18" s="18"/>
      <c r="X18" s="18">
        <v>7.0000000000000007E-2</v>
      </c>
      <c r="Y18" s="18"/>
      <c r="Z18" s="13"/>
      <c r="AA18" s="15" t="s">
        <v>31</v>
      </c>
    </row>
    <row r="19" spans="1:27" x14ac:dyDescent="0.25">
      <c r="A19" s="19">
        <v>2</v>
      </c>
      <c r="B19" s="15" t="s">
        <v>40</v>
      </c>
      <c r="C19" s="11"/>
      <c r="D19" s="12"/>
      <c r="E19" s="17"/>
      <c r="F19" s="17"/>
      <c r="G19" s="17"/>
      <c r="H19" s="13"/>
      <c r="I19" s="14"/>
      <c r="J19" s="17"/>
      <c r="K19" s="17"/>
      <c r="L19" s="18"/>
      <c r="M19" s="17"/>
      <c r="N19" s="17"/>
      <c r="O19" s="18"/>
      <c r="P19" s="17"/>
      <c r="Q19" s="18"/>
      <c r="R19" s="18"/>
      <c r="S19" s="18"/>
      <c r="T19" s="18"/>
      <c r="U19" s="18"/>
      <c r="V19" s="13"/>
      <c r="W19" s="18"/>
      <c r="X19" s="18"/>
      <c r="Y19" s="18"/>
      <c r="Z19" s="13"/>
      <c r="AA19" s="13"/>
    </row>
    <row r="20" spans="1:27" ht="30" x14ac:dyDescent="0.25">
      <c r="A20" s="20" t="s">
        <v>41</v>
      </c>
      <c r="B20" s="15" t="s">
        <v>42</v>
      </c>
      <c r="C20" s="11" t="s">
        <v>43</v>
      </c>
      <c r="D20" s="12">
        <f t="shared" si="0"/>
        <v>68.83</v>
      </c>
      <c r="E20" s="17">
        <v>19.97</v>
      </c>
      <c r="F20" s="17">
        <v>24.43</v>
      </c>
      <c r="G20" s="17">
        <v>24.43</v>
      </c>
      <c r="H20" s="13" t="s">
        <v>43</v>
      </c>
      <c r="I20" s="14">
        <f>J20+M20+P20</f>
        <v>73.259999999999991</v>
      </c>
      <c r="J20" s="17">
        <v>24.4</v>
      </c>
      <c r="K20" s="13" t="s">
        <v>44</v>
      </c>
      <c r="L20" s="18">
        <v>0.69100000000000006</v>
      </c>
      <c r="M20" s="17">
        <v>24.43</v>
      </c>
      <c r="N20" s="17" t="s">
        <v>44</v>
      </c>
      <c r="O20" s="18">
        <v>0.86299999999999999</v>
      </c>
      <c r="P20" s="17">
        <v>24.43</v>
      </c>
      <c r="Q20" s="18"/>
      <c r="R20" s="18">
        <v>0.89166000000000001</v>
      </c>
      <c r="S20" s="18"/>
      <c r="T20" s="18"/>
      <c r="U20" s="18"/>
      <c r="V20" s="13"/>
      <c r="W20" s="18">
        <v>0.70199999999999996</v>
      </c>
      <c r="X20" s="18">
        <v>1</v>
      </c>
      <c r="Y20" s="18">
        <v>2.2999999999999998</v>
      </c>
      <c r="Z20" s="13"/>
      <c r="AA20" s="15" t="s">
        <v>31</v>
      </c>
    </row>
    <row r="21" spans="1:27" x14ac:dyDescent="0.25">
      <c r="A21" s="19">
        <v>3</v>
      </c>
      <c r="B21" s="13" t="s">
        <v>45</v>
      </c>
      <c r="C21" s="11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7"/>
      <c r="Q21" s="13"/>
      <c r="R21" s="13"/>
      <c r="S21" s="13"/>
      <c r="T21" s="13"/>
      <c r="U21" s="13"/>
      <c r="V21" s="13"/>
      <c r="W21" s="13"/>
      <c r="X21" s="18"/>
      <c r="Y21" s="13"/>
      <c r="Z21" s="13"/>
      <c r="AA21" s="13"/>
    </row>
    <row r="22" spans="1:27" ht="45" x14ac:dyDescent="0.25">
      <c r="A22" s="20" t="s">
        <v>46</v>
      </c>
      <c r="B22" s="15" t="s">
        <v>47</v>
      </c>
      <c r="C22" s="11" t="s">
        <v>44</v>
      </c>
      <c r="D22" s="13" t="s">
        <v>44</v>
      </c>
      <c r="E22" s="13" t="s">
        <v>44</v>
      </c>
      <c r="F22" s="13" t="s">
        <v>44</v>
      </c>
      <c r="G22" s="13" t="s">
        <v>44</v>
      </c>
      <c r="H22" s="13" t="s">
        <v>44</v>
      </c>
      <c r="I22" s="13" t="s">
        <v>44</v>
      </c>
      <c r="J22" s="13" t="s">
        <v>44</v>
      </c>
      <c r="K22" s="13" t="s">
        <v>44</v>
      </c>
      <c r="L22" s="13" t="s">
        <v>44</v>
      </c>
      <c r="M22" s="13" t="s">
        <v>44</v>
      </c>
      <c r="N22" s="13" t="s">
        <v>44</v>
      </c>
      <c r="O22" s="13" t="s">
        <v>44</v>
      </c>
      <c r="P22" s="17" t="s">
        <v>44</v>
      </c>
      <c r="Q22" s="13" t="s">
        <v>44</v>
      </c>
      <c r="R22" s="13" t="s">
        <v>44</v>
      </c>
      <c r="S22" s="13" t="s">
        <v>44</v>
      </c>
      <c r="T22" s="13" t="s">
        <v>44</v>
      </c>
      <c r="U22" s="13" t="s">
        <v>44</v>
      </c>
      <c r="V22" s="13" t="s">
        <v>44</v>
      </c>
      <c r="W22" s="13" t="s">
        <v>44</v>
      </c>
      <c r="X22" s="18">
        <v>2</v>
      </c>
      <c r="Y22" s="13" t="s">
        <v>44</v>
      </c>
      <c r="Z22" s="13"/>
      <c r="AA22" s="15" t="s">
        <v>31</v>
      </c>
    </row>
  </sheetData>
  <mergeCells count="26">
    <mergeCell ref="P10:P11"/>
    <mergeCell ref="Q10:Q11"/>
    <mergeCell ref="R10:R11"/>
    <mergeCell ref="S10:S11"/>
    <mergeCell ref="T10:T11"/>
    <mergeCell ref="U10:U11"/>
    <mergeCell ref="W8:Y10"/>
    <mergeCell ref="Z8:Z11"/>
    <mergeCell ref="AA8:AA11"/>
    <mergeCell ref="H9:H11"/>
    <mergeCell ref="I9:I11"/>
    <mergeCell ref="J9:L9"/>
    <mergeCell ref="M9:O9"/>
    <mergeCell ref="P9:R9"/>
    <mergeCell ref="J10:J11"/>
    <mergeCell ref="K10:K11"/>
    <mergeCell ref="A8:A11"/>
    <mergeCell ref="B8:B11"/>
    <mergeCell ref="C8:G10"/>
    <mergeCell ref="H8:R8"/>
    <mergeCell ref="S8:U9"/>
    <mergeCell ref="V8:V11"/>
    <mergeCell ref="L10:L11"/>
    <mergeCell ref="M10:M11"/>
    <mergeCell ref="N10:N11"/>
    <mergeCell ref="O10:O1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Каргина Т.В.ОГЭ</dc:creator>
  <cp:lastModifiedBy>Каргина Т.В.ОГЭ</cp:lastModifiedBy>
  <dcterms:created xsi:type="dcterms:W3CDTF">2018-03-14T08:45:52Z</dcterms:created>
  <dcterms:modified xsi:type="dcterms:W3CDTF">2018-03-14T08:47:25Z</dcterms:modified>
</cp:coreProperties>
</file>