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190" yWindow="-15" windowWidth="8025" windowHeight="10710"/>
  </bookViews>
  <sheets>
    <sheet name="2017г" sheetId="1" r:id="rId1"/>
  </sheets>
  <externalReferences>
    <externalReference r:id="rId2"/>
  </externalReferences>
  <definedNames>
    <definedName name="org">[1]Титульный!$F$17</definedName>
  </definedNames>
  <calcPr calcId="145621"/>
</workbook>
</file>

<file path=xl/calcChain.xml><?xml version="1.0" encoding="utf-8"?>
<calcChain xmlns="http://schemas.openxmlformats.org/spreadsheetml/2006/main">
  <c r="E35" i="1" l="1"/>
  <c r="E13" i="1" l="1"/>
  <c r="E43" i="1" l="1"/>
  <c r="E7" i="1"/>
  <c r="E31" i="1" l="1"/>
  <c r="E9" i="1" s="1"/>
  <c r="E33" i="1" s="1"/>
  <c r="E38" i="1" s="1"/>
</calcChain>
</file>

<file path=xl/sharedStrings.xml><?xml version="1.0" encoding="utf-8"?>
<sst xmlns="http://schemas.openxmlformats.org/spreadsheetml/2006/main" count="149" uniqueCount="104">
  <si>
    <r>
      <t xml:space="preserve">Информация об основных показателях финансово-хозяйственной деятельности регулируемых организаций, включая структуру основных производственных затрат
</t>
    </r>
    <r>
      <rPr>
        <sz val="11"/>
        <color theme="1"/>
        <rFont val="Calibri"/>
        <family val="2"/>
        <scheme val="minor"/>
      </rPr>
      <t xml:space="preserve">(в части регулируемой деятельности) </t>
    </r>
    <r>
      <rPr>
        <sz val="10"/>
        <rFont val="Tahoma"/>
        <family val="2"/>
        <charset val="204"/>
      </rPr>
      <t>*</t>
    </r>
  </si>
  <si>
    <t>№ п/п</t>
  </si>
  <si>
    <t>Информация, подлежащая раскрытию</t>
  </si>
  <si>
    <t>Единица измерения</t>
  </si>
  <si>
    <t>Значение</t>
  </si>
  <si>
    <t>1</t>
  </si>
  <si>
    <t>2</t>
  </si>
  <si>
    <t>3</t>
  </si>
  <si>
    <t>4</t>
  </si>
  <si>
    <t>Выручка от регулируемой деятельности, в том числе по видам деятельности:</t>
  </si>
  <si>
    <t>тыс руб</t>
  </si>
  <si>
    <t>1.1</t>
  </si>
  <si>
    <t>холодное водоснабжение</t>
  </si>
  <si>
    <t xml:space="preserve">Себестоимость производимых товаров (оказываемых услуг) по регулируемому виду деятельности, включая: </t>
  </si>
  <si>
    <t>2.1</t>
  </si>
  <si>
    <t>Расходы на оплату холодной воды, приобретаемой у других организаций для последующей подачи потребителям</t>
  </si>
  <si>
    <t>2.2</t>
  </si>
  <si>
    <t>Расходы на покупаемую электрическую энергию (мощность), используемую в технологическом процессе</t>
  </si>
  <si>
    <t>2.2.1</t>
  </si>
  <si>
    <t>Средневзвешенная стоимость 1 кВт.ч (с учетом мощности)</t>
  </si>
  <si>
    <t>руб</t>
  </si>
  <si>
    <t>2.2.2</t>
  </si>
  <si>
    <t>Объем приобретения электрической энергии</t>
  </si>
  <si>
    <t>тыс кВт.ч</t>
  </si>
  <si>
    <t>2.3</t>
  </si>
  <si>
    <t>Расходы на хим.реагенты, используемые в технологическом процессе</t>
  </si>
  <si>
    <t>2.4</t>
  </si>
  <si>
    <t>Расходы на оплату труда основного производственного персонала</t>
  </si>
  <si>
    <t>2.5</t>
  </si>
  <si>
    <t>Отчисления на социальные нужды основного производственного персонала</t>
  </si>
  <si>
    <t>2.6</t>
  </si>
  <si>
    <t>Расходы на оплату труда административно-управленческого персонала</t>
  </si>
  <si>
    <t>2.7</t>
  </si>
  <si>
    <t>Отчисления на социальные нужды административно-управленческого персонала</t>
  </si>
  <si>
    <t>2.8</t>
  </si>
  <si>
    <t>Расходы на амортизацию основных производственных средств</t>
  </si>
  <si>
    <t>2.9</t>
  </si>
  <si>
    <t>Расходы на аренду имущества, используемого для осуществления регулируемого вида деятельности</t>
  </si>
  <si>
    <t>2.10</t>
  </si>
  <si>
    <t>Общепроизводственные расходы, в том числе отнесенные к ним:</t>
  </si>
  <si>
    <t>2.10.1</t>
  </si>
  <si>
    <t>Расходы на текущий ремонт</t>
  </si>
  <si>
    <t>2.10.2</t>
  </si>
  <si>
    <t>Расходы на капитальный ремонт</t>
  </si>
  <si>
    <t>2.11</t>
  </si>
  <si>
    <t>Общехозяйственные расходы, в том числе отнесенные к ним:</t>
  </si>
  <si>
    <t>2.11.1</t>
  </si>
  <si>
    <t>2.11.2</t>
  </si>
  <si>
    <t>2.12</t>
  </si>
  <si>
    <t>Расходы на капитальный и текущий ремонт основных производственных средств, в том числе:</t>
  </si>
  <si>
    <t>2.12.1</t>
  </si>
  <si>
    <t>Информация об объемах товаров и услуг, их стоимости и способах приобретения у тех организаций, сумма оплаты услуг которых превышает 20 процентов суммы расходов по указанной статье расходов</t>
  </si>
  <si>
    <t>x</t>
  </si>
  <si>
    <t>отсутствует</t>
  </si>
  <si>
    <t>2.13</t>
  </si>
  <si>
    <t>Расходы на услуги производственного характера, оказываемые по договорам с организациями на проведение регламентных работ в рамках технологического процесса</t>
  </si>
  <si>
    <t>2.13.1</t>
  </si>
  <si>
    <t>2.14</t>
  </si>
  <si>
    <t>Прочие расходы, которые подлежат отнесению к регулируемым видам деятельности в соответствии с основами ценообразования в сфере водоснабжения и водоотведения, утвержденными постановлением Правительства Российской Федерации от 13.05.2013 N 406 (Официальный интернет-портал правовой информации http://www.pravo.gov.ru, 15.05.2013)</t>
  </si>
  <si>
    <t>2.14.1</t>
  </si>
  <si>
    <t>расходы по сомнительным долгам, расходы на капитальные вложения и социальные нужды (материальная помощь)</t>
  </si>
  <si>
    <t>Чистая прибыль, полученная от регулируемого вида деятельности, в том числе:</t>
  </si>
  <si>
    <t>3.1</t>
  </si>
  <si>
    <t>Размер расходования чистой прибыли на финансирование мероприятий, предусмотренных инвестиционной программой регулируемой организации</t>
  </si>
  <si>
    <t>Сведения об изменении стоимости основных фондов (в том числе за счет их ввода в эксплуатацию (вывода из эксплуатации)), их переоценки</t>
  </si>
  <si>
    <t>4.1</t>
  </si>
  <si>
    <t>За счет ввода в эксплуатацию (вывода из эксплуатации)</t>
  </si>
  <si>
    <t>4.2</t>
  </si>
  <si>
    <t>Стоимость переоценки основных фондов</t>
  </si>
  <si>
    <t>5</t>
  </si>
  <si>
    <t>Валовая прибыль (убытки) от продажи товаров и услуг по регулируемому виду деятельности</t>
  </si>
  <si>
    <t>6</t>
  </si>
  <si>
    <t>Годовая бухгалтерская отчетность, включая бухгалтерский баланс и приложения к нему**</t>
  </si>
  <si>
    <t>http://oaoplastic.ru/about/accounting</t>
  </si>
  <si>
    <t>7</t>
  </si>
  <si>
    <t>Объем поднятой воды</t>
  </si>
  <si>
    <t>тыс м3</t>
  </si>
  <si>
    <t>8</t>
  </si>
  <si>
    <t>Объем покупной воды</t>
  </si>
  <si>
    <t>9</t>
  </si>
  <si>
    <t>Объем воды, пропущенной через очистные сооружения</t>
  </si>
  <si>
    <t>10</t>
  </si>
  <si>
    <t>Объем отпущенной потребителям воды, в том числе:</t>
  </si>
  <si>
    <t>10.1</t>
  </si>
  <si>
    <t>По приборам учета</t>
  </si>
  <si>
    <t>10.2</t>
  </si>
  <si>
    <t>Расчетным путем (по нормативам потребления)</t>
  </si>
  <si>
    <t>11</t>
  </si>
  <si>
    <t>Потери воды в сетях</t>
  </si>
  <si>
    <t>%</t>
  </si>
  <si>
    <t>12</t>
  </si>
  <si>
    <t>Среднесписочная численность основного производственного персонала</t>
  </si>
  <si>
    <t xml:space="preserve"> чел</t>
  </si>
  <si>
    <t>13</t>
  </si>
  <si>
    <t>Удельный расход электроэнергии на подачу воды в сеть</t>
  </si>
  <si>
    <t>тыс кВт.ч/тыс м3</t>
  </si>
  <si>
    <t>14</t>
  </si>
  <si>
    <t>Расход воды на собственные нужды (процент объема отпуска воды потребителям), в том числе:</t>
  </si>
  <si>
    <t>14.1</t>
  </si>
  <si>
    <t>Хозяйственно-бытовые</t>
  </si>
  <si>
    <t>15</t>
  </si>
  <si>
    <t>Показатели использования производственных объектов (по объему перекачки) по отношению к пиковому дню отчетного года</t>
  </si>
  <si>
    <t>за 2017 год</t>
  </si>
  <si>
    <t>ОАО "Пластик"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</si>
</sst>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"/>
    <numFmt numFmtId="165" formatCode="#,##0.000"/>
  </numFmts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0"/>
      <name val="Tahoma"/>
      <family val="2"/>
      <charset val="204"/>
    </font>
    <font>
      <b/>
      <sz val="14"/>
      <name val="Franklin Gothic Medium"/>
      <family val="2"/>
      <charset val="204"/>
    </font>
    <font>
      <sz val="9"/>
      <name val="Tahoma"/>
      <family val="2"/>
      <charset val="204"/>
    </font>
    <font>
      <sz val="10"/>
      <name val="Arial Cyr"/>
      <charset val="204"/>
    </font>
    <font>
      <b/>
      <sz val="9"/>
      <name val="Tahoma"/>
      <family val="2"/>
      <charset val="204"/>
    </font>
    <font>
      <sz val="9"/>
      <color indexed="55"/>
      <name val="Tahoma"/>
      <family val="2"/>
      <charset val="204"/>
    </font>
    <font>
      <sz val="10"/>
      <color rgb="FF000000"/>
      <name val="Arial"/>
      <family val="2"/>
      <charset val="204"/>
    </font>
    <font>
      <b/>
      <u/>
      <sz val="9"/>
      <color indexed="12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55"/>
      </top>
      <bottom/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1" fillId="0" borderId="0"/>
    <xf numFmtId="0" fontId="3" fillId="0" borderId="0" applyBorder="0">
      <alignment horizontal="center" vertical="center" wrapText="1"/>
    </xf>
    <xf numFmtId="0" fontId="5" fillId="0" borderId="0"/>
    <xf numFmtId="0" fontId="6" fillId="0" borderId="5" applyBorder="0">
      <alignment horizontal="center" vertical="center" wrapText="1"/>
    </xf>
    <xf numFmtId="0" fontId="5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4" fillId="2" borderId="4" xfId="3" applyFont="1" applyFill="1" applyBorder="1" applyAlignment="1" applyProtection="1">
      <alignment horizontal="center" vertical="center" wrapText="1"/>
    </xf>
    <xf numFmtId="0" fontId="4" fillId="0" borderId="4" xfId="4" applyFont="1" applyFill="1" applyBorder="1" applyAlignment="1" applyProtection="1">
      <alignment horizontal="center" vertical="center" wrapText="1"/>
    </xf>
    <xf numFmtId="49" fontId="7" fillId="2" borderId="4" xfId="4" applyNumberFormat="1" applyFont="1" applyFill="1" applyBorder="1" applyAlignment="1" applyProtection="1">
      <alignment horizontal="center" vertical="center" wrapText="1"/>
    </xf>
    <xf numFmtId="49" fontId="4" fillId="2" borderId="4" xfId="3" applyNumberFormat="1" applyFont="1" applyFill="1" applyBorder="1" applyAlignment="1" applyProtection="1">
      <alignment horizontal="center" vertical="center" wrapText="1"/>
    </xf>
    <xf numFmtId="0" fontId="4" fillId="0" borderId="4" xfId="3" applyFont="1" applyFill="1" applyBorder="1" applyAlignment="1" applyProtection="1">
      <alignment horizontal="left" vertical="center" wrapText="1"/>
    </xf>
    <xf numFmtId="0" fontId="4" fillId="0" borderId="4" xfId="3" applyFont="1" applyFill="1" applyBorder="1" applyAlignment="1" applyProtection="1">
      <alignment horizontal="center" vertical="center" wrapText="1"/>
    </xf>
    <xf numFmtId="4" fontId="4" fillId="3" borderId="4" xfId="3" applyNumberFormat="1" applyFont="1" applyFill="1" applyBorder="1" applyAlignment="1" applyProtection="1">
      <alignment horizontal="right" vertical="center" wrapText="1"/>
    </xf>
    <xf numFmtId="49" fontId="0" fillId="2" borderId="4" xfId="3" applyNumberFormat="1" applyFont="1" applyFill="1" applyBorder="1" applyAlignment="1" applyProtection="1">
      <alignment horizontal="center" vertical="center" wrapText="1"/>
    </xf>
    <xf numFmtId="49" fontId="0" fillId="4" borderId="4" xfId="3" applyNumberFormat="1" applyFont="1" applyFill="1" applyBorder="1" applyAlignment="1" applyProtection="1">
      <alignment horizontal="left" vertical="center" wrapText="1" indent="1"/>
      <protection locked="0"/>
    </xf>
    <xf numFmtId="0" fontId="0" fillId="0" borderId="4" xfId="3" applyFont="1" applyFill="1" applyBorder="1" applyAlignment="1" applyProtection="1">
      <alignment horizontal="center" vertical="center" wrapText="1"/>
    </xf>
    <xf numFmtId="4" fontId="4" fillId="4" borderId="4" xfId="3" applyNumberFormat="1" applyFont="1" applyFill="1" applyBorder="1" applyAlignment="1" applyProtection="1">
      <alignment horizontal="right" vertical="center" wrapText="1"/>
      <protection locked="0"/>
    </xf>
    <xf numFmtId="0" fontId="4" fillId="0" borderId="4" xfId="3" applyFont="1" applyFill="1" applyBorder="1" applyAlignment="1" applyProtection="1">
      <alignment horizontal="left" vertical="center" wrapText="1" indent="1"/>
    </xf>
    <xf numFmtId="0" fontId="4" fillId="0" borderId="4" xfId="3" applyFont="1" applyFill="1" applyBorder="1" applyAlignment="1" applyProtection="1">
      <alignment horizontal="left" vertical="center" wrapText="1" indent="2"/>
    </xf>
    <xf numFmtId="164" fontId="4" fillId="4" borderId="4" xfId="3" applyNumberFormat="1" applyFont="1" applyFill="1" applyBorder="1" applyAlignment="1" applyProtection="1">
      <alignment horizontal="right" vertical="center" wrapText="1"/>
      <protection locked="0"/>
    </xf>
    <xf numFmtId="49" fontId="4" fillId="5" borderId="4" xfId="5" applyNumberFormat="1" applyFont="1" applyFill="1" applyBorder="1" applyAlignment="1" applyProtection="1">
      <alignment horizontal="center" vertical="center" wrapText="1"/>
    </xf>
    <xf numFmtId="0" fontId="8" fillId="0" borderId="4" xfId="0" applyFont="1" applyBorder="1" applyAlignment="1">
      <alignment vertical="top" wrapText="1"/>
    </xf>
    <xf numFmtId="49" fontId="9" fillId="4" borderId="4" xfId="6" applyNumberFormat="1" applyFont="1" applyFill="1" applyBorder="1" applyAlignment="1" applyProtection="1">
      <alignment horizontal="left" vertical="center" wrapText="1"/>
      <protection locked="0"/>
    </xf>
    <xf numFmtId="165" fontId="4" fillId="4" borderId="4" xfId="3" applyNumberFormat="1" applyFont="1" applyFill="1" applyBorder="1" applyAlignment="1" applyProtection="1">
      <alignment horizontal="right" vertical="center" wrapText="1"/>
      <protection locked="0"/>
    </xf>
    <xf numFmtId="164" fontId="4" fillId="3" borderId="4" xfId="3" applyNumberFormat="1" applyFont="1" applyFill="1" applyBorder="1" applyAlignment="1" applyProtection="1">
      <alignment horizontal="right" vertical="center" wrapText="1"/>
    </xf>
    <xf numFmtId="4" fontId="0" fillId="0" borderId="0" xfId="0" applyNumberFormat="1"/>
    <xf numFmtId="4" fontId="4" fillId="6" borderId="4" xfId="3" applyNumberFormat="1" applyFont="1" applyFill="1" applyBorder="1" applyAlignment="1" applyProtection="1">
      <alignment horizontal="right" vertical="center" wrapText="1"/>
      <protection locked="0"/>
    </xf>
    <xf numFmtId="0" fontId="2" fillId="0" borderId="1" xfId="1" applyFont="1" applyBorder="1" applyAlignment="1">
      <alignment horizontal="center" vertical="center" wrapText="1"/>
    </xf>
    <xf numFmtId="0" fontId="4" fillId="0" borderId="2" xfId="2" applyFont="1" applyFill="1" applyBorder="1" applyAlignment="1" applyProtection="1">
      <alignment horizontal="center" vertical="center" wrapText="1"/>
    </xf>
    <xf numFmtId="0" fontId="4" fillId="2" borderId="3" xfId="3" applyFont="1" applyFill="1" applyBorder="1" applyAlignment="1" applyProtection="1">
      <alignment horizontal="center" vertical="center" wrapText="1"/>
    </xf>
  </cellXfs>
  <cellStyles count="7">
    <cellStyle name="Гиперссылка" xfId="6" builtinId="8"/>
    <cellStyle name="Заголовок" xfId="2"/>
    <cellStyle name="ЗаголовокСтолбца" xfId="4"/>
    <cellStyle name="Обычный" xfId="0" builtinId="0"/>
    <cellStyle name="Обычный_ЖКУ_проект3" xfId="5"/>
    <cellStyle name="Обычный_Мониторинг инвестиций" xfId="3"/>
    <cellStyle name="Обычный_Шаблон по источникам для Модуля Реестр (2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-SERVER\&#1054;&#1043;&#1069;\&#1056;&#1072;&#1079;&#1085;&#1086;&#1077;\&#1054;&#1043;&#1069;\&#1058;&#1072;&#1090;&#1100;&#1103;&#1085;&#1072;\&#1058;&#1072;&#1088;&#1080;&#1092;&#1099;%20&#1085;&#1072;%20&#1091;&#1089;&#1083;&#1091;&#1075;&#1080;%20&#1056;&#1069;&#1050;\&#1056;&#1040;&#1057;&#1050;&#1056;&#1067;&#1058;&#1048;&#1045;%20&#1080;&#1085;&#1092;&#1086;&#1088;&#1084;&#1072;&#1094;&#1080;&#1080;\&#1056;&#1072;&#1089;&#1082;&#1088;&#1099;&#1090;&#1080;&#1077;%20&#1080;&#1085;&#1092;&#1086;&#1088;&#1084;&#1072;&#1094;&#1080;&#1080;%20&#1061;&#1042;\&#1079;&#1072;%202016%20&#1075;&#1086;&#1076;\JKH.OPEN.INFO.BALANCE.HV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List01"/>
      <sheetName val="Инструкция"/>
      <sheetName val="Лог обновления"/>
      <sheetName val="Титульный"/>
      <sheetName val="Список МО"/>
      <sheetName val="Показатели (факт)"/>
      <sheetName val="Показатели (2)"/>
      <sheetName val="Потр. характеристики"/>
      <sheetName val="Инвестиции"/>
      <sheetName val="Инвестиции исправления"/>
      <sheetName val="Ссылки на публикации"/>
      <sheetName val="Приказ №129"/>
      <sheetName val="Комментарии"/>
      <sheetName val="Проверка"/>
      <sheetName val="AllSheetsInThisWorkbook"/>
      <sheetName val="printForm_129"/>
      <sheetName val="TEHSHEET"/>
      <sheetName val="et_union_hor"/>
      <sheetName val="et_union_vert"/>
      <sheetName val="modInfo"/>
      <sheetName val="modRegion"/>
      <sheetName val="modReestr"/>
      <sheetName val="modfrmSelectData"/>
      <sheetName val="modfrmReestr"/>
      <sheetName val="modUpdTemplMain"/>
      <sheetName val="REESTR_ORG"/>
      <sheetName val="modClassifierValidate"/>
      <sheetName val="modProv"/>
      <sheetName val="modHyp"/>
      <sheetName val="modList00"/>
      <sheetName val="modList02"/>
      <sheetName val="modList03"/>
      <sheetName val="modList04"/>
      <sheetName val="modList05"/>
      <sheetName val="modList06"/>
      <sheetName val="modList07"/>
      <sheetName val="modfrmDateChoose"/>
      <sheetName val="modComm"/>
      <sheetName val="modThisWorkbook"/>
      <sheetName val="REESTR_MO"/>
      <sheetName val="modfrmReestrMR"/>
      <sheetName val="modfrmCheckUpdates"/>
      <sheetName val="CopyList"/>
      <sheetName val="JKH.OPEN.INFO.BALANCE.HVS"/>
    </sheetNames>
    <sheetDataSet>
      <sheetData sheetId="0"/>
      <sheetData sheetId="1">
        <row r="3">
          <cell r="B3" t="str">
            <v>Версия 6.1.2</v>
          </cell>
        </row>
      </sheetData>
      <sheetData sheetId="2"/>
      <sheetData sheetId="3">
        <row r="17">
          <cell r="F17" t="str">
            <v>ОАО "Пластик"</v>
          </cell>
        </row>
      </sheetData>
      <sheetData sheetId="4"/>
      <sheetData sheetId="5"/>
      <sheetData sheetId="6"/>
      <sheetData sheetId="7"/>
      <sheetData sheetId="8">
        <row r="19">
          <cell r="J19" t="str">
            <v>y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D2">
            <v>2013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1"/>
  <sheetViews>
    <sheetView tabSelected="1" topLeftCell="B2" zoomScale="85" zoomScaleNormal="85" workbookViewId="0">
      <pane xSplit="3" ySplit="5" topLeftCell="E7" activePane="bottomRight" state="frozen"/>
      <selection activeCell="B2" sqref="B2"/>
      <selection pane="topRight" activeCell="E2" sqref="E2"/>
      <selection pane="bottomLeft" activeCell="B7" sqref="B7"/>
      <selection pane="bottomRight" activeCell="H9" sqref="H9"/>
    </sheetView>
  </sheetViews>
  <sheetFormatPr defaultRowHeight="15" x14ac:dyDescent="0.25"/>
  <cols>
    <col min="3" max="3" width="42.5703125" customWidth="1"/>
    <col min="4" max="4" width="16.7109375" customWidth="1"/>
    <col min="5" max="5" width="19" customWidth="1"/>
  </cols>
  <sheetData>
    <row r="2" spans="2:7" ht="53.25" customHeight="1" x14ac:dyDescent="0.25">
      <c r="B2" s="22" t="s">
        <v>0</v>
      </c>
      <c r="C2" s="22"/>
      <c r="D2" s="22"/>
      <c r="E2" s="22"/>
    </row>
    <row r="3" spans="2:7" x14ac:dyDescent="0.25">
      <c r="B3" s="23" t="s">
        <v>103</v>
      </c>
      <c r="C3" s="23"/>
      <c r="D3" s="23"/>
      <c r="E3" s="23"/>
    </row>
    <row r="4" spans="2:7" x14ac:dyDescent="0.25">
      <c r="B4" s="24" t="s">
        <v>102</v>
      </c>
      <c r="C4" s="24"/>
      <c r="D4" s="24"/>
      <c r="E4" s="24"/>
    </row>
    <row r="5" spans="2:7" ht="22.5" x14ac:dyDescent="0.25">
      <c r="B5" s="1" t="s">
        <v>1</v>
      </c>
      <c r="C5" s="2" t="s">
        <v>2</v>
      </c>
      <c r="D5" s="2" t="s">
        <v>3</v>
      </c>
      <c r="E5" s="2" t="s">
        <v>4</v>
      </c>
    </row>
    <row r="6" spans="2:7" x14ac:dyDescent="0.25">
      <c r="B6" s="3" t="s">
        <v>5</v>
      </c>
      <c r="C6" s="3" t="s">
        <v>6</v>
      </c>
      <c r="D6" s="3" t="s">
        <v>7</v>
      </c>
      <c r="E6" s="3" t="s">
        <v>8</v>
      </c>
    </row>
    <row r="7" spans="2:7" ht="27.75" customHeight="1" x14ac:dyDescent="0.25">
      <c r="B7" s="4" t="s">
        <v>5</v>
      </c>
      <c r="C7" s="5" t="s">
        <v>9</v>
      </c>
      <c r="D7" s="6" t="s">
        <v>10</v>
      </c>
      <c r="E7" s="7">
        <f>SUM(E8:E8)</f>
        <v>1186.7092299999997</v>
      </c>
    </row>
    <row r="8" spans="2:7" ht="21" customHeight="1" x14ac:dyDescent="0.25">
      <c r="B8" s="8" t="s">
        <v>11</v>
      </c>
      <c r="C8" s="9" t="s">
        <v>12</v>
      </c>
      <c r="D8" s="10" t="s">
        <v>10</v>
      </c>
      <c r="E8" s="11">
        <v>1186.7092299999997</v>
      </c>
    </row>
    <row r="9" spans="2:7" ht="33.75" x14ac:dyDescent="0.25">
      <c r="B9" s="4" t="s">
        <v>6</v>
      </c>
      <c r="C9" s="5" t="s">
        <v>13</v>
      </c>
      <c r="D9" s="6" t="s">
        <v>10</v>
      </c>
      <c r="E9" s="7">
        <f>SUM(E10:E11)+SUM(E14:E21)+E24+E27+E29+E31</f>
        <v>3827.0243180138896</v>
      </c>
      <c r="G9" s="20"/>
    </row>
    <row r="10" spans="2:7" ht="44.25" customHeight="1" x14ac:dyDescent="0.25">
      <c r="B10" s="4" t="s">
        <v>14</v>
      </c>
      <c r="C10" s="12" t="s">
        <v>15</v>
      </c>
      <c r="D10" s="6" t="s">
        <v>10</v>
      </c>
      <c r="E10" s="11">
        <v>0</v>
      </c>
    </row>
    <row r="11" spans="2:7" ht="39" customHeight="1" x14ac:dyDescent="0.25">
      <c r="B11" s="4" t="s">
        <v>16</v>
      </c>
      <c r="C11" s="12" t="s">
        <v>17</v>
      </c>
      <c r="D11" s="6" t="s">
        <v>10</v>
      </c>
      <c r="E11" s="11">
        <v>421.77587950119806</v>
      </c>
    </row>
    <row r="12" spans="2:7" ht="31.5" customHeight="1" x14ac:dyDescent="0.25">
      <c r="B12" s="4" t="s">
        <v>18</v>
      </c>
      <c r="C12" s="13" t="s">
        <v>19</v>
      </c>
      <c r="D12" s="6" t="s">
        <v>20</v>
      </c>
      <c r="E12" s="11">
        <v>3.737043505176981</v>
      </c>
    </row>
    <row r="13" spans="2:7" ht="29.25" customHeight="1" x14ac:dyDescent="0.25">
      <c r="B13" s="4" t="s">
        <v>21</v>
      </c>
      <c r="C13" s="13" t="s">
        <v>22</v>
      </c>
      <c r="D13" s="6" t="s">
        <v>23</v>
      </c>
      <c r="E13" s="11">
        <f>E11/E12</f>
        <v>112.86351869249201</v>
      </c>
    </row>
    <row r="14" spans="2:7" ht="30.75" customHeight="1" x14ac:dyDescent="0.25">
      <c r="B14" s="4" t="s">
        <v>24</v>
      </c>
      <c r="C14" s="12" t="s">
        <v>25</v>
      </c>
      <c r="D14" s="6" t="s">
        <v>10</v>
      </c>
      <c r="E14" s="11">
        <v>8.1013987268473038</v>
      </c>
    </row>
    <row r="15" spans="2:7" ht="33" customHeight="1" x14ac:dyDescent="0.25">
      <c r="B15" s="4" t="s">
        <v>26</v>
      </c>
      <c r="C15" s="12" t="s">
        <v>27</v>
      </c>
      <c r="D15" s="6" t="s">
        <v>10</v>
      </c>
      <c r="E15" s="11">
        <v>207.02675435225299</v>
      </c>
    </row>
    <row r="16" spans="2:7" ht="30" customHeight="1" x14ac:dyDescent="0.25">
      <c r="B16" s="4" t="s">
        <v>28</v>
      </c>
      <c r="C16" s="12" t="s">
        <v>29</v>
      </c>
      <c r="D16" s="6" t="s">
        <v>10</v>
      </c>
      <c r="E16" s="11">
        <v>64.211672480599589</v>
      </c>
    </row>
    <row r="17" spans="2:5" ht="33.75" customHeight="1" x14ac:dyDescent="0.25">
      <c r="B17" s="4" t="s">
        <v>30</v>
      </c>
      <c r="C17" s="12" t="s">
        <v>31</v>
      </c>
      <c r="D17" s="6" t="s">
        <v>10</v>
      </c>
      <c r="E17" s="11">
        <v>289.66771230732138</v>
      </c>
    </row>
    <row r="18" spans="2:5" ht="36" customHeight="1" x14ac:dyDescent="0.25">
      <c r="B18" s="4" t="s">
        <v>32</v>
      </c>
      <c r="C18" s="12" t="s">
        <v>33</v>
      </c>
      <c r="D18" s="6" t="s">
        <v>10</v>
      </c>
      <c r="E18" s="11">
        <v>67.473238575284086</v>
      </c>
    </row>
    <row r="19" spans="2:5" ht="31.5" customHeight="1" x14ac:dyDescent="0.25">
      <c r="B19" s="4" t="s">
        <v>34</v>
      </c>
      <c r="C19" s="12" t="s">
        <v>35</v>
      </c>
      <c r="D19" s="6" t="s">
        <v>10</v>
      </c>
      <c r="E19" s="11">
        <v>277.86032293894698</v>
      </c>
    </row>
    <row r="20" spans="2:5" ht="36" customHeight="1" x14ac:dyDescent="0.25">
      <c r="B20" s="4" t="s">
        <v>36</v>
      </c>
      <c r="C20" s="12" t="s">
        <v>37</v>
      </c>
      <c r="D20" s="6" t="s">
        <v>10</v>
      </c>
      <c r="E20" s="11">
        <v>0</v>
      </c>
    </row>
    <row r="21" spans="2:5" ht="33.75" customHeight="1" x14ac:dyDescent="0.25">
      <c r="B21" s="4" t="s">
        <v>38</v>
      </c>
      <c r="C21" s="12" t="s">
        <v>39</v>
      </c>
      <c r="D21" s="6" t="s">
        <v>10</v>
      </c>
      <c r="E21" s="11">
        <v>1848.1564949544099</v>
      </c>
    </row>
    <row r="22" spans="2:5" ht="22.5" customHeight="1" x14ac:dyDescent="0.25">
      <c r="B22" s="4" t="s">
        <v>40</v>
      </c>
      <c r="C22" s="13" t="s">
        <v>41</v>
      </c>
      <c r="D22" s="6" t="s">
        <v>10</v>
      </c>
      <c r="E22" s="11">
        <v>11.062366308288242</v>
      </c>
    </row>
    <row r="23" spans="2:5" ht="24.75" customHeight="1" x14ac:dyDescent="0.25">
      <c r="B23" s="4" t="s">
        <v>42</v>
      </c>
      <c r="C23" s="13" t="s">
        <v>43</v>
      </c>
      <c r="D23" s="6" t="s">
        <v>10</v>
      </c>
      <c r="E23" s="11">
        <v>0</v>
      </c>
    </row>
    <row r="24" spans="2:5" ht="32.25" customHeight="1" x14ac:dyDescent="0.25">
      <c r="B24" s="4" t="s">
        <v>44</v>
      </c>
      <c r="C24" s="12" t="s">
        <v>45</v>
      </c>
      <c r="D24" s="6" t="s">
        <v>10</v>
      </c>
      <c r="E24" s="11">
        <v>109.14513957507765</v>
      </c>
    </row>
    <row r="25" spans="2:5" ht="27.75" customHeight="1" x14ac:dyDescent="0.25">
      <c r="B25" s="4" t="s">
        <v>46</v>
      </c>
      <c r="C25" s="13" t="s">
        <v>41</v>
      </c>
      <c r="D25" s="6" t="s">
        <v>10</v>
      </c>
      <c r="E25" s="11">
        <v>1.2583368218295392</v>
      </c>
    </row>
    <row r="26" spans="2:5" ht="26.25" customHeight="1" x14ac:dyDescent="0.25">
      <c r="B26" s="4" t="s">
        <v>47</v>
      </c>
      <c r="C26" s="13" t="s">
        <v>43</v>
      </c>
      <c r="D26" s="6" t="s">
        <v>10</v>
      </c>
      <c r="E26" s="11">
        <v>0.75119260150833267</v>
      </c>
    </row>
    <row r="27" spans="2:5" ht="36.75" customHeight="1" x14ac:dyDescent="0.25">
      <c r="B27" s="4" t="s">
        <v>48</v>
      </c>
      <c r="C27" s="12" t="s">
        <v>49</v>
      </c>
      <c r="D27" s="6" t="s">
        <v>10</v>
      </c>
      <c r="E27" s="11">
        <v>241.36730775617201</v>
      </c>
    </row>
    <row r="28" spans="2:5" ht="62.25" customHeight="1" x14ac:dyDescent="0.25">
      <c r="B28" s="4" t="s">
        <v>50</v>
      </c>
      <c r="C28" s="13" t="s">
        <v>51</v>
      </c>
      <c r="D28" s="6" t="s">
        <v>52</v>
      </c>
      <c r="E28" s="15" t="s">
        <v>53</v>
      </c>
    </row>
    <row r="29" spans="2:5" ht="53.25" customHeight="1" x14ac:dyDescent="0.25">
      <c r="B29" s="4" t="s">
        <v>54</v>
      </c>
      <c r="C29" s="12" t="s">
        <v>55</v>
      </c>
      <c r="D29" s="6" t="s">
        <v>10</v>
      </c>
      <c r="E29" s="11">
        <v>0</v>
      </c>
    </row>
    <row r="30" spans="2:5" ht="60.75" customHeight="1" x14ac:dyDescent="0.25">
      <c r="B30" s="4" t="s">
        <v>56</v>
      </c>
      <c r="C30" s="13" t="s">
        <v>51</v>
      </c>
      <c r="D30" s="6" t="s">
        <v>52</v>
      </c>
      <c r="E30" s="15" t="s">
        <v>53</v>
      </c>
    </row>
    <row r="31" spans="2:5" ht="108.75" customHeight="1" x14ac:dyDescent="0.25">
      <c r="B31" s="4" t="s">
        <v>57</v>
      </c>
      <c r="C31" s="12" t="s">
        <v>58</v>
      </c>
      <c r="D31" s="6" t="s">
        <v>10</v>
      </c>
      <c r="E31" s="7">
        <f>SUM(E32:E32)</f>
        <v>292.2383968457795</v>
      </c>
    </row>
    <row r="32" spans="2:5" ht="38.25" x14ac:dyDescent="0.25">
      <c r="B32" s="8" t="s">
        <v>59</v>
      </c>
      <c r="C32" s="16" t="s">
        <v>60</v>
      </c>
      <c r="D32" s="10" t="s">
        <v>10</v>
      </c>
      <c r="E32" s="21">
        <v>292.2383968457795</v>
      </c>
    </row>
    <row r="33" spans="2:5" ht="27" customHeight="1" x14ac:dyDescent="0.25">
      <c r="B33" s="4" t="s">
        <v>7</v>
      </c>
      <c r="C33" s="5" t="s">
        <v>61</v>
      </c>
      <c r="D33" s="6" t="s">
        <v>10</v>
      </c>
      <c r="E33" s="11">
        <f>E7-E9</f>
        <v>-2640.3150880138901</v>
      </c>
    </row>
    <row r="34" spans="2:5" ht="45.75" customHeight="1" x14ac:dyDescent="0.25">
      <c r="B34" s="4" t="s">
        <v>62</v>
      </c>
      <c r="C34" s="12" t="s">
        <v>63</v>
      </c>
      <c r="D34" s="6" t="s">
        <v>10</v>
      </c>
      <c r="E34" s="11">
        <v>0</v>
      </c>
    </row>
    <row r="35" spans="2:5" ht="47.25" customHeight="1" x14ac:dyDescent="0.25">
      <c r="B35" s="4" t="s">
        <v>8</v>
      </c>
      <c r="C35" s="5" t="s">
        <v>64</v>
      </c>
      <c r="D35" s="6" t="s">
        <v>10</v>
      </c>
      <c r="E35" s="11">
        <f>E36</f>
        <v>45.844240000002088</v>
      </c>
    </row>
    <row r="36" spans="2:5" ht="30.75" customHeight="1" x14ac:dyDescent="0.25">
      <c r="B36" s="4" t="s">
        <v>65</v>
      </c>
      <c r="C36" s="12" t="s">
        <v>66</v>
      </c>
      <c r="D36" s="6" t="s">
        <v>10</v>
      </c>
      <c r="E36" s="11">
        <v>45.844240000002088</v>
      </c>
    </row>
    <row r="37" spans="2:5" ht="24.75" customHeight="1" x14ac:dyDescent="0.25">
      <c r="B37" s="4" t="s">
        <v>67</v>
      </c>
      <c r="C37" s="12" t="s">
        <v>68</v>
      </c>
      <c r="D37" s="6" t="s">
        <v>10</v>
      </c>
      <c r="E37" s="11">
        <v>0</v>
      </c>
    </row>
    <row r="38" spans="2:5" ht="27" customHeight="1" x14ac:dyDescent="0.25">
      <c r="B38" s="4" t="s">
        <v>69</v>
      </c>
      <c r="C38" s="5" t="s">
        <v>70</v>
      </c>
      <c r="D38" s="6" t="s">
        <v>10</v>
      </c>
      <c r="E38" s="11">
        <f>E33</f>
        <v>-2640.3150880138901</v>
      </c>
    </row>
    <row r="39" spans="2:5" ht="39" customHeight="1" x14ac:dyDescent="0.25">
      <c r="B39" s="4" t="s">
        <v>71</v>
      </c>
      <c r="C39" s="5" t="s">
        <v>72</v>
      </c>
      <c r="D39" s="6" t="s">
        <v>52</v>
      </c>
      <c r="E39" s="17" t="s">
        <v>73</v>
      </c>
    </row>
    <row r="40" spans="2:5" ht="29.25" customHeight="1" x14ac:dyDescent="0.25">
      <c r="B40" s="4" t="s">
        <v>74</v>
      </c>
      <c r="C40" s="5" t="s">
        <v>75</v>
      </c>
      <c r="D40" s="6" t="s">
        <v>76</v>
      </c>
      <c r="E40" s="18">
        <v>753.59199999999998</v>
      </c>
    </row>
    <row r="41" spans="2:5" ht="20.25" customHeight="1" x14ac:dyDescent="0.25">
      <c r="B41" s="4" t="s">
        <v>77</v>
      </c>
      <c r="C41" s="5" t="s">
        <v>78</v>
      </c>
      <c r="D41" s="6" t="s">
        <v>76</v>
      </c>
      <c r="E41" s="14">
        <v>0</v>
      </c>
    </row>
    <row r="42" spans="2:5" ht="43.5" customHeight="1" x14ac:dyDescent="0.25">
      <c r="B42" s="4" t="s">
        <v>79</v>
      </c>
      <c r="C42" s="5" t="s">
        <v>80</v>
      </c>
      <c r="D42" s="6" t="s">
        <v>76</v>
      </c>
      <c r="E42" s="18">
        <v>753.59199999999998</v>
      </c>
    </row>
    <row r="43" spans="2:5" ht="30" customHeight="1" x14ac:dyDescent="0.25">
      <c r="B43" s="4" t="s">
        <v>81</v>
      </c>
      <c r="C43" s="5" t="s">
        <v>82</v>
      </c>
      <c r="D43" s="6" t="s">
        <v>76</v>
      </c>
      <c r="E43" s="19">
        <f>SUM(E44:E45)</f>
        <v>75.608440000000002</v>
      </c>
    </row>
    <row r="44" spans="2:5" ht="25.5" customHeight="1" x14ac:dyDescent="0.25">
      <c r="B44" s="4" t="s">
        <v>83</v>
      </c>
      <c r="C44" s="12" t="s">
        <v>84</v>
      </c>
      <c r="D44" s="6" t="s">
        <v>76</v>
      </c>
      <c r="E44" s="14">
        <v>61.472560000000001</v>
      </c>
    </row>
    <row r="45" spans="2:5" ht="27.75" customHeight="1" x14ac:dyDescent="0.25">
      <c r="B45" s="4" t="s">
        <v>85</v>
      </c>
      <c r="C45" s="12" t="s">
        <v>86</v>
      </c>
      <c r="D45" s="6" t="s">
        <v>76</v>
      </c>
      <c r="E45" s="14">
        <v>14.13588</v>
      </c>
    </row>
    <row r="46" spans="2:5" ht="27" customHeight="1" x14ac:dyDescent="0.25">
      <c r="B46" s="4" t="s">
        <v>87</v>
      </c>
      <c r="C46" s="5" t="s">
        <v>88</v>
      </c>
      <c r="D46" s="6" t="s">
        <v>89</v>
      </c>
      <c r="E46" s="11">
        <v>0</v>
      </c>
    </row>
    <row r="47" spans="2:5" ht="31.5" customHeight="1" x14ac:dyDescent="0.25">
      <c r="B47" s="4" t="s">
        <v>90</v>
      </c>
      <c r="C47" s="5" t="s">
        <v>91</v>
      </c>
      <c r="D47" s="6" t="s">
        <v>92</v>
      </c>
      <c r="E47" s="11">
        <v>0.86284434895805695</v>
      </c>
    </row>
    <row r="48" spans="2:5" ht="33" customHeight="1" x14ac:dyDescent="0.25">
      <c r="B48" s="4" t="s">
        <v>93</v>
      </c>
      <c r="C48" s="5" t="s">
        <v>94</v>
      </c>
      <c r="D48" s="6" t="s">
        <v>95</v>
      </c>
      <c r="E48" s="11">
        <v>1649.038206350386</v>
      </c>
    </row>
    <row r="49" spans="2:5" ht="42.75" customHeight="1" x14ac:dyDescent="0.25">
      <c r="B49" s="4" t="s">
        <v>96</v>
      </c>
      <c r="C49" s="5" t="s">
        <v>97</v>
      </c>
      <c r="D49" s="6" t="s">
        <v>89</v>
      </c>
      <c r="E49" s="11">
        <v>0</v>
      </c>
    </row>
    <row r="50" spans="2:5" ht="22.5" customHeight="1" x14ac:dyDescent="0.25">
      <c r="B50" s="4" t="s">
        <v>98</v>
      </c>
      <c r="C50" s="12" t="s">
        <v>99</v>
      </c>
      <c r="D50" s="6" t="s">
        <v>89</v>
      </c>
      <c r="E50" s="11">
        <v>0</v>
      </c>
    </row>
    <row r="51" spans="2:5" ht="45" customHeight="1" x14ac:dyDescent="0.25">
      <c r="B51" s="4" t="s">
        <v>100</v>
      </c>
      <c r="C51" s="5" t="s">
        <v>101</v>
      </c>
      <c r="D51" s="6" t="s">
        <v>89</v>
      </c>
      <c r="E51" s="11">
        <v>100</v>
      </c>
    </row>
  </sheetData>
  <mergeCells count="3">
    <mergeCell ref="B2:E2"/>
    <mergeCell ref="B3:E3"/>
    <mergeCell ref="B4:E4"/>
  </mergeCells>
  <dataValidations count="6">
    <dataValidation type="decimal" allowBlank="1" showErrorMessage="1" errorTitle="Ошибка" error="Допускается ввод только действительных чисел!" sqref="E33">
      <formula1>-9.99999999999999E+23</formula1>
      <formula2>9.99999999999999E+23</formula2>
    </dataValidation>
    <dataValidation type="decimal" allowBlank="1" showErrorMessage="1" errorTitle="Ошибка" error="Допускается ввод только действительных чисел!" sqref="E35:E36 E38">
      <formula1>-9.99999999999999E+37</formula1>
      <formula2>9.99999999999999E+37</formula2>
    </dataValidation>
    <dataValidation type="decimal" allowBlank="1" showErrorMessage="1" errorTitle="Ошибка" error="Допускается ввод от 0 до 100%!" sqref="E46 E49:E51">
      <formula1>0</formula1>
      <formula2>100</formula2>
    </dataValidation>
    <dataValidation type="textLength" operator="lessThanOrEqual" allowBlank="1" showInputMessage="1" showErrorMessage="1" errorTitle="Ошибка" error="Допускается ввод не более 900 символов!" prompt="Введите гиперссылку в ячейку" sqref="E39">
      <formula1>900</formula1>
    </dataValidation>
    <dataValidation type="decimal" allowBlank="1" showErrorMessage="1" errorTitle="Ошибка" error="Допускается ввод только неотрицательных чисел!" sqref="E10:E27 E40:E42 E44:E45 E47:E48 E29 E8 E37 E34 E32">
      <formula1>0</formula1>
      <formula2>9.99999999999999E+23</formula2>
    </dataValidation>
    <dataValidation type="textLength" operator="lessThanOrEqual" allowBlank="1" showInputMessage="1" showErrorMessage="1" errorTitle="Ошибка" error="Допускается ввод не более 900 символов!" sqref="C8">
      <formula1>900</formula1>
    </dataValidation>
  </dataValidations>
  <hyperlinks>
    <hyperlink ref="E39" location="'Показатели (факт)'!$G$46" tooltip="Кликните по гиперссылке, чтобы перейти на сайт организации или отредактировать её" display="http://oaoplastic.ru/about/accounting"/>
  </hyperlink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2017г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Каргина Т.В.ОГЭ</dc:creator>
  <cp:lastModifiedBy>Хромова Е.С.</cp:lastModifiedBy>
  <dcterms:created xsi:type="dcterms:W3CDTF">2017-03-24T11:43:16Z</dcterms:created>
  <dcterms:modified xsi:type="dcterms:W3CDTF">2018-03-29T14:16:54Z</dcterms:modified>
</cp:coreProperties>
</file>