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1835" yWindow="15" windowWidth="12660" windowHeight="12450" tabRatio="933" firstSheet="1" activeTab="24"/>
  </bookViews>
  <sheets>
    <sheet name="ObserverReportInfo_&amp;!()$bbQ" sheetId="41" state="hidden" r:id="rId1"/>
    <sheet name="Ячейка 24" sheetId="5" r:id="rId2"/>
    <sheet name="Ячейка 2" sheetId="13" r:id="rId3"/>
    <sheet name="Ячейка 30" sheetId="18" r:id="rId4"/>
    <sheet name="Ячейка 27" sheetId="22" r:id="rId5"/>
    <sheet name="Ячейка 3Гео" sheetId="36" r:id="rId6"/>
    <sheet name="Ячейка 26Гео " sheetId="37" r:id="rId7"/>
    <sheet name="Ячейка 1 РП18" sheetId="38" r:id="rId8"/>
    <sheet name="Ячейка 13 РП18 " sheetId="39" r:id="rId9"/>
    <sheet name="Ячейка 3" sheetId="14" r:id="rId10"/>
    <sheet name="Ячейка 4" sheetId="15" r:id="rId11"/>
    <sheet name="Ячейка 36" sheetId="16" r:id="rId12"/>
    <sheet name="Ячейка 37" sheetId="17" r:id="rId13"/>
    <sheet name="Ячейка 10" sheetId="19" r:id="rId14"/>
    <sheet name="Ячейка 16" sheetId="21" r:id="rId15"/>
    <sheet name="Ячейка 14 " sheetId="30" r:id="rId16"/>
    <sheet name="Ячейка 13Л" sheetId="29" r:id="rId17"/>
    <sheet name="Ячейка 32Л" sheetId="23" r:id="rId18"/>
    <sheet name="ячейка 25Л" sheetId="31" r:id="rId19"/>
    <sheet name="ПС 167" sheetId="1" r:id="rId20"/>
    <sheet name="ПС 214 Т1" sheetId="6" r:id="rId21"/>
    <sheet name="ПС 214 Т2" sheetId="7" r:id="rId22"/>
    <sheet name="ПС 214" sheetId="24" r:id="rId23"/>
    <sheet name="Всего с субабонентами" sheetId="25" r:id="rId24"/>
    <sheet name="Субабоненты" sheetId="26" r:id="rId25"/>
    <sheet name="УРЭС" sheetId="33" r:id="rId26"/>
    <sheet name="МЖД" sheetId="34" r:id="rId27"/>
    <sheet name="ДВК" sheetId="35" r:id="rId28"/>
    <sheet name="Пластик Геосинтетика" sheetId="40" r:id="rId29"/>
    <sheet name="Всего без субабонентов" sheetId="27" r:id="rId30"/>
    <sheet name="график " sheetId="32" r:id="rId31"/>
  </sheets>
  <definedNames>
    <definedName name="ReportObject1_0">'Ячейка 24'!$E$10</definedName>
    <definedName name="ReportObject1_1">'Ячейка 24'!$H$10</definedName>
    <definedName name="ReportObject1_2">'Ячейка 24'!$B$18</definedName>
    <definedName name="ReportObject1_3">'Ячейка 24'!$F$18</definedName>
    <definedName name="ReportObject10_0">'Ячейка 4'!$E$10</definedName>
    <definedName name="ReportObject10_1">'Ячейка 4'!$H$10</definedName>
    <definedName name="ReportObject10_2">'Ячейка 4'!$B$18</definedName>
    <definedName name="ReportObject10_3">'Ячейка 4'!$F$18</definedName>
    <definedName name="ReportObject11_0">'Ячейка 36'!$E$10</definedName>
    <definedName name="ReportObject11_1">'Ячейка 36'!$H$10</definedName>
    <definedName name="ReportObject11_2">'Ячейка 36'!$B$18</definedName>
    <definedName name="ReportObject11_3">'Ячейка 36'!$F$18</definedName>
    <definedName name="ReportObject12_0">'Ячейка 37'!$E$10</definedName>
    <definedName name="ReportObject12_1">'Ячейка 37'!$H$10</definedName>
    <definedName name="ReportObject12_2">'Ячейка 37'!$B$18</definedName>
    <definedName name="ReportObject12_3">'Ячейка 37'!$F$18</definedName>
    <definedName name="ReportObject13_0">'Ячейка 10'!$E$10</definedName>
    <definedName name="ReportObject13_1">'Ячейка 10'!$H$10</definedName>
    <definedName name="ReportObject13_2">'Ячейка 10'!$B$18</definedName>
    <definedName name="ReportObject13_3">'Ячейка 10'!$F$18</definedName>
    <definedName name="ReportObject14_0">'Ячейка 16'!$E$10</definedName>
    <definedName name="ReportObject14_1">'Ячейка 16'!$H$10</definedName>
    <definedName name="ReportObject14_2">'Ячейка 16'!$B$18</definedName>
    <definedName name="ReportObject14_3">'Ячейка 16'!$F$18</definedName>
    <definedName name="ReportObject15_0">'Ячейка 14 '!$E$10</definedName>
    <definedName name="ReportObject15_1">'Ячейка 14 '!$H$10</definedName>
    <definedName name="ReportObject15_2">'Ячейка 14 '!$B$18</definedName>
    <definedName name="ReportObject15_3">'Ячейка 14 '!$F$18</definedName>
    <definedName name="ReportObject16_0">'Ячейка 13Л'!$E$10</definedName>
    <definedName name="ReportObject16_1">'Ячейка 13Л'!$H$10</definedName>
    <definedName name="ReportObject16_2">'Ячейка 13Л'!$B$18</definedName>
    <definedName name="ReportObject16_3">'Ячейка 13Л'!$F$18</definedName>
    <definedName name="ReportObject17_0">'Ячейка 32Л'!$E$10</definedName>
    <definedName name="ReportObject17_1">'Ячейка 32Л'!$H$10</definedName>
    <definedName name="ReportObject17_2">'Ячейка 32Л'!$B$18</definedName>
    <definedName name="ReportObject17_3">'Ячейка 32Л'!$F$18</definedName>
    <definedName name="ReportObject18_0">'ячейка 25Л'!$E$10</definedName>
    <definedName name="ReportObject18_1">'ячейка 25Л'!$H$10</definedName>
    <definedName name="ReportObject18_2">'ячейка 25Л'!$B$18</definedName>
    <definedName name="ReportObject18_3">'ячейка 25Л'!$F$18</definedName>
    <definedName name="ReportObject2_0">'Ячейка 2'!$E$10</definedName>
    <definedName name="ReportObject2_1">'Ячейка 2'!$H$10</definedName>
    <definedName name="ReportObject2_2">'Ячейка 2'!$B$18</definedName>
    <definedName name="ReportObject2_3">'Ячейка 2'!$F$18</definedName>
    <definedName name="ReportObject3_0">'Ячейка 30'!$E$10</definedName>
    <definedName name="ReportObject3_1">'Ячейка 30'!$H$10</definedName>
    <definedName name="ReportObject3_2">'Ячейка 30'!$B$18</definedName>
    <definedName name="ReportObject3_3">'Ячейка 30'!$F$18</definedName>
    <definedName name="ReportObject4_0">'Ячейка 27'!$E$10</definedName>
    <definedName name="ReportObject4_1">'Ячейка 27'!$H$10</definedName>
    <definedName name="ReportObject4_2">'Ячейка 27'!$B$18</definedName>
    <definedName name="ReportObject4_3">'Ячейка 27'!$F$18</definedName>
    <definedName name="ReportObject5_0">'Ячейка 3Гео'!$E$10</definedName>
    <definedName name="ReportObject5_1">'Ячейка 3Гео'!$H$10</definedName>
    <definedName name="ReportObject5_2">'Ячейка 3Гео'!$B$18</definedName>
    <definedName name="ReportObject5_3">'Ячейка 3Гео'!$F$18</definedName>
    <definedName name="ReportObject6_0">'Ячейка 26Гео '!$E$10</definedName>
    <definedName name="ReportObject6_1">'Ячейка 26Гео '!$H$10</definedName>
    <definedName name="ReportObject6_2">'Ячейка 26Гео '!$B$18</definedName>
    <definedName name="ReportObject6_3">'Ячейка 26Гео '!$F$18</definedName>
    <definedName name="ReportObject7_0">'Ячейка 1 РП18'!$E$10</definedName>
    <definedName name="ReportObject7_1">'Ячейка 1 РП18'!$H$10</definedName>
    <definedName name="ReportObject7_2">'Ячейка 1 РП18'!$B$18</definedName>
    <definedName name="ReportObject7_3">'Ячейка 1 РП18'!$F$18</definedName>
    <definedName name="ReportObject8_0">'Ячейка 13 РП18 '!$E$10</definedName>
    <definedName name="ReportObject8_1">'Ячейка 13 РП18 '!$H$10</definedName>
    <definedName name="ReportObject8_2">'Ячейка 13 РП18 '!$B$18</definedName>
    <definedName name="ReportObject8_3">'Ячейка 13 РП18 '!$F$18</definedName>
    <definedName name="ReportObject9_0">'Ячейка 3'!$E$10</definedName>
    <definedName name="ReportObject9_1">'Ячейка 3'!$H$10</definedName>
    <definedName name="ReportObject9_2">'Ячейка 3'!$B$18</definedName>
    <definedName name="ReportObject9_3">'Ячейка 3'!$F$18</definedName>
    <definedName name="_xlnm.Print_Area" localSheetId="29">'Всего без субабонентов'!$A$1:$W$50</definedName>
    <definedName name="_xlnm.Print_Area" localSheetId="23">'Всего с субабонентами'!$A$1:$W$50</definedName>
    <definedName name="_xlnm.Print_Area" localSheetId="27">ДВК!$A$1:$W$50</definedName>
    <definedName name="_xlnm.Print_Area" localSheetId="26">МЖД!$A$1:$W$50</definedName>
    <definedName name="_xlnm.Print_Area" localSheetId="28">'Пластик Геосинтетика'!$A$1:$W$50</definedName>
    <definedName name="_xlnm.Print_Area" localSheetId="19">'ПС 167'!$A$1:$W$50</definedName>
    <definedName name="_xlnm.Print_Area" localSheetId="22">'ПС 214'!$A$1:$W$50</definedName>
    <definedName name="_xlnm.Print_Area" localSheetId="20">'ПС 214 Т1'!$A$1:$W$50</definedName>
    <definedName name="_xlnm.Print_Area" localSheetId="21">'ПС 214 Т2'!$A$1:$W$50</definedName>
    <definedName name="_xlnm.Print_Area" localSheetId="24">Субабоненты!$A$1:$W$50</definedName>
    <definedName name="_xlnm.Print_Area" localSheetId="25">УРЭС!$A$1:$W$50</definedName>
    <definedName name="_xlnm.Print_Area" localSheetId="16">'Ячейка 13Л'!$A$1:$Z$52</definedName>
    <definedName name="_xlnm.Print_Area" localSheetId="15">'Ячейка 14 '!$A$1:$Z$52</definedName>
    <definedName name="_xlnm.Print_Area" localSheetId="18">'ячейка 25Л'!$A$1:$Z$52</definedName>
    <definedName name="_xlnm.Print_Area" localSheetId="17">'Ячейка 32Л'!$A$1:$Z$52</definedName>
  </definedNames>
  <calcPr calcId="125725"/>
</workbook>
</file>

<file path=xl/calcChain.xml><?xml version="1.0" encoding="utf-8"?>
<calcChain xmlns="http://schemas.openxmlformats.org/spreadsheetml/2006/main">
  <c r="D17" i="40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16"/>
  <c r="C29" i="22"/>
  <c r="C30"/>
  <c r="C31"/>
  <c r="C32"/>
  <c r="C33"/>
  <c r="C41"/>
  <c r="C28"/>
  <c r="G20" i="18"/>
  <c r="H20" s="1"/>
  <c r="G20" i="22"/>
  <c r="H20" s="1"/>
  <c r="I20" s="1"/>
  <c r="G20" i="36"/>
  <c r="H20" s="1"/>
  <c r="G20" i="37"/>
  <c r="H20" s="1"/>
  <c r="I20" s="1"/>
  <c r="G20" i="38"/>
  <c r="H20" s="1"/>
  <c r="I20" s="1"/>
  <c r="G20" i="39"/>
  <c r="H20" s="1"/>
  <c r="I20" s="1"/>
  <c r="G21" i="18"/>
  <c r="H21" s="1"/>
  <c r="G21" i="22"/>
  <c r="H21"/>
  <c r="G21" i="36"/>
  <c r="H21"/>
  <c r="G21" i="37"/>
  <c r="H21"/>
  <c r="G21" i="38"/>
  <c r="H21"/>
  <c r="G21" i="39"/>
  <c r="H21"/>
  <c r="G22" i="18"/>
  <c r="H22" s="1"/>
  <c r="G22" i="22"/>
  <c r="H22" s="1"/>
  <c r="I22" s="1"/>
  <c r="G22" i="36"/>
  <c r="H22" s="1"/>
  <c r="I22" s="1"/>
  <c r="G22" i="37"/>
  <c r="H22" s="1"/>
  <c r="I22" s="1"/>
  <c r="G22" i="38"/>
  <c r="H22"/>
  <c r="G22" i="39"/>
  <c r="H22" s="1"/>
  <c r="I22" s="1"/>
  <c r="G23" i="18"/>
  <c r="H23" s="1"/>
  <c r="G23" i="22"/>
  <c r="H23"/>
  <c r="G23" i="36"/>
  <c r="H23" s="1"/>
  <c r="I23" s="1"/>
  <c r="G23" i="37"/>
  <c r="H23" s="1"/>
  <c r="I23" s="1"/>
  <c r="G23" i="38"/>
  <c r="H23" s="1"/>
  <c r="I23" s="1"/>
  <c r="G23" i="39"/>
  <c r="H23" s="1"/>
  <c r="I23" s="1"/>
  <c r="G24" i="18"/>
  <c r="H24"/>
  <c r="G24" i="22"/>
  <c r="H24" s="1"/>
  <c r="G24" i="36"/>
  <c r="H24" s="1"/>
  <c r="I24" s="1"/>
  <c r="G24" i="37"/>
  <c r="H24" s="1"/>
  <c r="I24" s="1"/>
  <c r="G24" i="38"/>
  <c r="H24"/>
  <c r="G24" i="39"/>
  <c r="H24" s="1"/>
  <c r="I24" s="1"/>
  <c r="G25" i="18"/>
  <c r="H25"/>
  <c r="G25" i="22"/>
  <c r="H25" s="1"/>
  <c r="G25" i="36"/>
  <c r="H25" s="1"/>
  <c r="I25" s="1"/>
  <c r="G25" i="37"/>
  <c r="H25"/>
  <c r="G25" i="38"/>
  <c r="H25" s="1"/>
  <c r="I25" s="1"/>
  <c r="G25" i="39"/>
  <c r="H25" s="1"/>
  <c r="I25" s="1"/>
  <c r="G26" i="18"/>
  <c r="H26" s="1"/>
  <c r="G26" i="22"/>
  <c r="H26" s="1"/>
  <c r="I26" s="1"/>
  <c r="G26" i="36"/>
  <c r="H26"/>
  <c r="I26" s="1"/>
  <c r="G26" i="37"/>
  <c r="H26" s="1"/>
  <c r="I26" s="1"/>
  <c r="G26" i="38"/>
  <c r="H26" s="1"/>
  <c r="I26" s="1"/>
  <c r="G26" i="39"/>
  <c r="H26" s="1"/>
  <c r="I26" s="1"/>
  <c r="G27" i="18"/>
  <c r="H27" s="1"/>
  <c r="G27" i="22"/>
  <c r="H27"/>
  <c r="G27" i="36"/>
  <c r="H27"/>
  <c r="I27" s="1"/>
  <c r="G27" i="37"/>
  <c r="H27"/>
  <c r="G27" i="38"/>
  <c r="H27" s="1"/>
  <c r="I27" s="1"/>
  <c r="G27" i="39"/>
  <c r="H27"/>
  <c r="G28" i="18"/>
  <c r="H28"/>
  <c r="G28" i="22"/>
  <c r="H28" s="1"/>
  <c r="G28" i="36"/>
  <c r="H28" s="1"/>
  <c r="I28" s="1"/>
  <c r="G28" i="37"/>
  <c r="H28"/>
  <c r="I28" s="1"/>
  <c r="G28" i="38"/>
  <c r="H28" s="1"/>
  <c r="I28" s="1"/>
  <c r="G28" i="39"/>
  <c r="H28" s="1"/>
  <c r="I28" s="1"/>
  <c r="G29" i="18"/>
  <c r="H29" s="1"/>
  <c r="G29" i="22"/>
  <c r="H29" s="1"/>
  <c r="I29" s="1"/>
  <c r="G29" i="36"/>
  <c r="H29" s="1"/>
  <c r="I29" s="1"/>
  <c r="G29" i="37"/>
  <c r="H29" s="1"/>
  <c r="I29" s="1"/>
  <c r="G29" i="38"/>
  <c r="H29" s="1"/>
  <c r="I29" s="1"/>
  <c r="G29" i="39"/>
  <c r="H29"/>
  <c r="G30" i="18"/>
  <c r="H30"/>
  <c r="G30" i="22"/>
  <c r="H30"/>
  <c r="I30" s="1"/>
  <c r="G30" i="36"/>
  <c r="H30" s="1"/>
  <c r="G30" i="37"/>
  <c r="H30" s="1"/>
  <c r="I30" s="1"/>
  <c r="G30" i="38"/>
  <c r="H30"/>
  <c r="G30" i="39"/>
  <c r="H30"/>
  <c r="I30" s="1"/>
  <c r="G31" i="18"/>
  <c r="H31" s="1"/>
  <c r="G31" i="22"/>
  <c r="H31"/>
  <c r="I31" s="1"/>
  <c r="G31" i="36"/>
  <c r="H31"/>
  <c r="G31" i="37"/>
  <c r="H31" s="1"/>
  <c r="I31" s="1"/>
  <c r="G31" i="38"/>
  <c r="H31" s="1"/>
  <c r="I31" s="1"/>
  <c r="G31" i="39"/>
  <c r="H31" s="1"/>
  <c r="I31" s="1"/>
  <c r="G32" i="18"/>
  <c r="H32"/>
  <c r="G32" i="22"/>
  <c r="H32" s="1"/>
  <c r="G32" i="36"/>
  <c r="H32" s="1"/>
  <c r="I32" s="1"/>
  <c r="G32" i="37"/>
  <c r="H32" s="1"/>
  <c r="I32" s="1"/>
  <c r="G32" i="38"/>
  <c r="H32"/>
  <c r="G32" i="39"/>
  <c r="H32" s="1"/>
  <c r="I32" s="1"/>
  <c r="G33" i="18"/>
  <c r="H33"/>
  <c r="G33" i="22"/>
  <c r="H33" s="1"/>
  <c r="G33" i="36"/>
  <c r="H33" s="1"/>
  <c r="I33" s="1"/>
  <c r="G33" i="37"/>
  <c r="H33" s="1"/>
  <c r="I33" s="1"/>
  <c r="G33" i="38"/>
  <c r="H33"/>
  <c r="G33" i="39"/>
  <c r="H33" s="1"/>
  <c r="I33" s="1"/>
  <c r="G34" i="18"/>
  <c r="H34" s="1"/>
  <c r="G34" i="22"/>
  <c r="H34" s="1"/>
  <c r="I34" s="1"/>
  <c r="G34" i="36"/>
  <c r="H34" s="1"/>
  <c r="I34" s="1"/>
  <c r="G34" i="37"/>
  <c r="H34" s="1"/>
  <c r="I34" s="1"/>
  <c r="G34" i="38"/>
  <c r="H34"/>
  <c r="G34" i="39"/>
  <c r="H34" s="1"/>
  <c r="I34" s="1"/>
  <c r="G35" i="18"/>
  <c r="H35"/>
  <c r="G35" i="22"/>
  <c r="H35"/>
  <c r="I35" s="1"/>
  <c r="G35" i="36"/>
  <c r="H35"/>
  <c r="I35" s="1"/>
  <c r="G35" i="37"/>
  <c r="H35" s="1"/>
  <c r="G35" i="38"/>
  <c r="H35" s="1"/>
  <c r="I35" s="1"/>
  <c r="G35" i="39"/>
  <c r="H35" s="1"/>
  <c r="I35" s="1"/>
  <c r="G36" i="18"/>
  <c r="H36" s="1"/>
  <c r="G36" i="22"/>
  <c r="H36"/>
  <c r="I36" s="1"/>
  <c r="G36" i="36"/>
  <c r="H36" s="1"/>
  <c r="I36" s="1"/>
  <c r="G36" i="37"/>
  <c r="H36" s="1"/>
  <c r="I36" s="1"/>
  <c r="G36" i="38"/>
  <c r="H36" s="1"/>
  <c r="I36" s="1"/>
  <c r="G36" i="39"/>
  <c r="H36" s="1"/>
  <c r="I36" s="1"/>
  <c r="G37" i="18"/>
  <c r="H37" s="1"/>
  <c r="G37" i="22"/>
  <c r="H37" s="1"/>
  <c r="I37" s="1"/>
  <c r="G37" i="36"/>
  <c r="H37"/>
  <c r="I37" s="1"/>
  <c r="G37" i="37"/>
  <c r="H37" s="1"/>
  <c r="I37" s="1"/>
  <c r="G37" i="38"/>
  <c r="H37"/>
  <c r="I37" s="1"/>
  <c r="G37" i="39"/>
  <c r="H37"/>
  <c r="I37" s="1"/>
  <c r="G38" i="18"/>
  <c r="H38" s="1"/>
  <c r="G38" i="22"/>
  <c r="H38"/>
  <c r="I38" s="1"/>
  <c r="G38" i="36"/>
  <c r="H38"/>
  <c r="I38" s="1"/>
  <c r="G38" i="37"/>
  <c r="H38"/>
  <c r="G38" i="38"/>
  <c r="H38" s="1"/>
  <c r="I38" s="1"/>
  <c r="G38" i="39"/>
  <c r="H38" s="1"/>
  <c r="I38" s="1"/>
  <c r="G39" i="18"/>
  <c r="H39" s="1"/>
  <c r="G39" i="22"/>
  <c r="H39" s="1"/>
  <c r="I39" s="1"/>
  <c r="G39" i="36"/>
  <c r="H39" s="1"/>
  <c r="I39" s="1"/>
  <c r="G39" i="37"/>
  <c r="H39" s="1"/>
  <c r="I39" s="1"/>
  <c r="G39" i="38"/>
  <c r="H39" s="1"/>
  <c r="I39" s="1"/>
  <c r="G39" i="39"/>
  <c r="H39"/>
  <c r="G40" i="18"/>
  <c r="H40"/>
  <c r="G40" i="22"/>
  <c r="H40"/>
  <c r="I40" s="1"/>
  <c r="G40" i="36"/>
  <c r="H40" s="1"/>
  <c r="G40" i="37"/>
  <c r="H40" s="1"/>
  <c r="I40" s="1"/>
  <c r="G40" i="38"/>
  <c r="H40"/>
  <c r="G40" i="39"/>
  <c r="H40"/>
  <c r="G41" i="18"/>
  <c r="H41"/>
  <c r="G41" i="22"/>
  <c r="H41"/>
  <c r="I41" s="1"/>
  <c r="G41" i="36"/>
  <c r="H41"/>
  <c r="G41" i="37"/>
  <c r="H41" s="1"/>
  <c r="G41" i="38"/>
  <c r="H41" s="1"/>
  <c r="I41" s="1"/>
  <c r="G41" i="39"/>
  <c r="H41"/>
  <c r="I41" s="1"/>
  <c r="G42" i="18"/>
  <c r="H42" s="1"/>
  <c r="G42" i="22"/>
  <c r="H42"/>
  <c r="I42" s="1"/>
  <c r="G42" i="36"/>
  <c r="H42" s="1"/>
  <c r="I42" s="1"/>
  <c r="G42" i="37"/>
  <c r="H42" s="1"/>
  <c r="I42" s="1"/>
  <c r="G42" i="38"/>
  <c r="H42"/>
  <c r="G42" i="39"/>
  <c r="H42" s="1"/>
  <c r="I42" s="1"/>
  <c r="G19" i="18"/>
  <c r="H19"/>
  <c r="G19" i="22"/>
  <c r="H19" s="1"/>
  <c r="G19" i="36"/>
  <c r="H19"/>
  <c r="G19" i="37"/>
  <c r="H19" s="1"/>
  <c r="G19" i="38"/>
  <c r="H19" s="1"/>
  <c r="G19" i="39"/>
  <c r="H19" s="1"/>
  <c r="C20" i="18"/>
  <c r="D20" s="1"/>
  <c r="C20" i="22"/>
  <c r="D20" s="1"/>
  <c r="C20" i="36"/>
  <c r="D20" s="1"/>
  <c r="C20" i="37"/>
  <c r="D20" s="1"/>
  <c r="C20" i="38"/>
  <c r="D20" s="1"/>
  <c r="C20" i="39"/>
  <c r="D20" s="1"/>
  <c r="C21" i="18"/>
  <c r="D21" s="1"/>
  <c r="C21" i="22"/>
  <c r="D21"/>
  <c r="I21"/>
  <c r="C21" i="36"/>
  <c r="D21" s="1"/>
  <c r="I21"/>
  <c r="C21" i="37"/>
  <c r="D21" s="1"/>
  <c r="C21" i="38"/>
  <c r="D21"/>
  <c r="I21"/>
  <c r="C21" i="39"/>
  <c r="D21" s="1"/>
  <c r="C22" i="18"/>
  <c r="D22"/>
  <c r="C22" i="22"/>
  <c r="D22" s="1"/>
  <c r="C22" i="36"/>
  <c r="D22"/>
  <c r="C22" i="37"/>
  <c r="D22" s="1"/>
  <c r="C22" i="38"/>
  <c r="D22" s="1"/>
  <c r="C22" i="39"/>
  <c r="D22"/>
  <c r="C23" i="18"/>
  <c r="D23" s="1"/>
  <c r="C23" i="22"/>
  <c r="D23" s="1"/>
  <c r="I23"/>
  <c r="C23" i="36"/>
  <c r="D23"/>
  <c r="C23" i="37"/>
  <c r="D23"/>
  <c r="C23" i="38"/>
  <c r="D23" s="1"/>
  <c r="C23" i="39"/>
  <c r="D23" s="1"/>
  <c r="C24" i="18"/>
  <c r="D24" s="1"/>
  <c r="C24" i="22"/>
  <c r="D24"/>
  <c r="C24" i="36"/>
  <c r="D24"/>
  <c r="C24" i="37"/>
  <c r="D24"/>
  <c r="C24" i="38"/>
  <c r="D24"/>
  <c r="C24" i="39"/>
  <c r="D24" s="1"/>
  <c r="C25" i="18"/>
  <c r="D25" s="1"/>
  <c r="C25" i="22"/>
  <c r="D25" s="1"/>
  <c r="C25" i="36"/>
  <c r="D25" s="1"/>
  <c r="C25" i="37"/>
  <c r="D25" s="1"/>
  <c r="I25"/>
  <c r="C25" i="38"/>
  <c r="D25" s="1"/>
  <c r="C25" i="39"/>
  <c r="D25" s="1"/>
  <c r="C26" i="18"/>
  <c r="D26"/>
  <c r="C26" i="22"/>
  <c r="D26"/>
  <c r="C26" i="36"/>
  <c r="D26" s="1"/>
  <c r="C26" i="37"/>
  <c r="D26"/>
  <c r="C26" i="38"/>
  <c r="D26"/>
  <c r="C26" i="39"/>
  <c r="D26"/>
  <c r="C27" i="18"/>
  <c r="D27"/>
  <c r="C27" i="22"/>
  <c r="D27"/>
  <c r="C27" i="36"/>
  <c r="D27" s="1"/>
  <c r="C27" i="37"/>
  <c r="D27" s="1"/>
  <c r="I27"/>
  <c r="C27" i="38"/>
  <c r="D27" s="1"/>
  <c r="C27" i="39"/>
  <c r="D27"/>
  <c r="I27"/>
  <c r="C28" i="18"/>
  <c r="D28" s="1"/>
  <c r="D28" i="22"/>
  <c r="C28" i="36"/>
  <c r="D28"/>
  <c r="C28" i="37"/>
  <c r="D28" s="1"/>
  <c r="C28" i="38"/>
  <c r="D28"/>
  <c r="C28" i="39"/>
  <c r="D28"/>
  <c r="C29" i="18"/>
  <c r="D29"/>
  <c r="D29" i="22"/>
  <c r="C29" i="36"/>
  <c r="D29" s="1"/>
  <c r="C29" i="37"/>
  <c r="D29" s="1"/>
  <c r="C29" i="38"/>
  <c r="D29" s="1"/>
  <c r="C29" i="39"/>
  <c r="D29"/>
  <c r="C30" i="18"/>
  <c r="D30" s="1"/>
  <c r="D30" i="22"/>
  <c r="C30" i="36"/>
  <c r="D30" s="1"/>
  <c r="C30" i="37"/>
  <c r="D30" s="1"/>
  <c r="C30" i="38"/>
  <c r="D30" s="1"/>
  <c r="C30" i="39"/>
  <c r="D30" s="1"/>
  <c r="C31" i="18"/>
  <c r="D31"/>
  <c r="D31" i="22"/>
  <c r="C31" i="36"/>
  <c r="D31"/>
  <c r="C31" i="37"/>
  <c r="D31"/>
  <c r="C31" i="38"/>
  <c r="D31"/>
  <c r="C31" i="39"/>
  <c r="D31"/>
  <c r="C32" i="18"/>
  <c r="D32"/>
  <c r="D32" i="22"/>
  <c r="C32" i="36"/>
  <c r="D32"/>
  <c r="C32" i="37"/>
  <c r="D32" s="1"/>
  <c r="C32" i="38"/>
  <c r="D32"/>
  <c r="C32" i="39"/>
  <c r="D32" s="1"/>
  <c r="C33" i="18"/>
  <c r="D33" s="1"/>
  <c r="D33" i="22"/>
  <c r="C33" i="36"/>
  <c r="D33"/>
  <c r="C33" i="37"/>
  <c r="D33" s="1"/>
  <c r="C33" i="38"/>
  <c r="D33" s="1"/>
  <c r="C33" i="39"/>
  <c r="D33" s="1"/>
  <c r="C34" i="18"/>
  <c r="D34" s="1"/>
  <c r="C34" i="22"/>
  <c r="D34" s="1"/>
  <c r="C34" i="36"/>
  <c r="D34" s="1"/>
  <c r="C34" i="37"/>
  <c r="D34" s="1"/>
  <c r="C34" i="38"/>
  <c r="D34" s="1"/>
  <c r="C34" i="39"/>
  <c r="D34"/>
  <c r="C35" i="18"/>
  <c r="D35" s="1"/>
  <c r="C35" i="22"/>
  <c r="D35"/>
  <c r="C35" i="36"/>
  <c r="D35"/>
  <c r="C35" i="37"/>
  <c r="D35"/>
  <c r="C35" i="38"/>
  <c r="D35"/>
  <c r="C35" i="39"/>
  <c r="D35" s="1"/>
  <c r="C36" i="18"/>
  <c r="D36" s="1"/>
  <c r="C36" i="22"/>
  <c r="D36" s="1"/>
  <c r="C36" i="36"/>
  <c r="D36"/>
  <c r="C36" i="37"/>
  <c r="D36"/>
  <c r="C36" i="38"/>
  <c r="D36"/>
  <c r="C36" i="39"/>
  <c r="D36" s="1"/>
  <c r="C37" i="18"/>
  <c r="D37"/>
  <c r="C37" i="22"/>
  <c r="D37"/>
  <c r="C37" i="36"/>
  <c r="D37" s="1"/>
  <c r="C37" i="37"/>
  <c r="D37"/>
  <c r="C37" i="38"/>
  <c r="D37"/>
  <c r="C37" i="39"/>
  <c r="D37" s="1"/>
  <c r="C38" i="18"/>
  <c r="D38"/>
  <c r="C38" i="22"/>
  <c r="D38"/>
  <c r="C38" i="36"/>
  <c r="D38" s="1"/>
  <c r="C38" i="37"/>
  <c r="D38" s="1"/>
  <c r="C38" i="38"/>
  <c r="D38"/>
  <c r="C38" i="39"/>
  <c r="D38" s="1"/>
  <c r="C39" i="18"/>
  <c r="D39"/>
  <c r="C39" i="22"/>
  <c r="D39" s="1"/>
  <c r="C39" i="36"/>
  <c r="D39"/>
  <c r="C39" i="37"/>
  <c r="D39"/>
  <c r="C39" i="38"/>
  <c r="D39" s="1"/>
  <c r="C39" i="39"/>
  <c r="D39" s="1"/>
  <c r="C40" i="18"/>
  <c r="D40"/>
  <c r="C40" i="22"/>
  <c r="D40" s="1"/>
  <c r="C40" i="36"/>
  <c r="D40" s="1"/>
  <c r="C40" i="37"/>
  <c r="D40" s="1"/>
  <c r="C40" i="38"/>
  <c r="D40"/>
  <c r="C40" i="39"/>
  <c r="D40"/>
  <c r="C41" i="18"/>
  <c r="D41"/>
  <c r="D41" i="22"/>
  <c r="C41" i="36"/>
  <c r="D41"/>
  <c r="C41" i="37"/>
  <c r="D41" s="1"/>
  <c r="C41" i="38"/>
  <c r="D41"/>
  <c r="C41" i="39"/>
  <c r="D41"/>
  <c r="C42" i="18"/>
  <c r="D42" s="1"/>
  <c r="C42" i="22"/>
  <c r="D42" s="1"/>
  <c r="C42" i="36"/>
  <c r="D42"/>
  <c r="C42" i="37"/>
  <c r="D42" s="1"/>
  <c r="C42" i="38"/>
  <c r="D42" s="1"/>
  <c r="C42" i="39"/>
  <c r="D42"/>
  <c r="C19" i="18"/>
  <c r="D19" s="1"/>
  <c r="C19" i="22"/>
  <c r="D19"/>
  <c r="C19" i="36"/>
  <c r="D19" s="1"/>
  <c r="D43" s="1"/>
  <c r="C19" i="37"/>
  <c r="D19" s="1"/>
  <c r="D43" s="1"/>
  <c r="C19" i="38"/>
  <c r="D19"/>
  <c r="C19" i="39"/>
  <c r="D19" s="1"/>
  <c r="D43" s="1"/>
  <c r="F14" i="40"/>
  <c r="F15"/>
  <c r="G20" i="29"/>
  <c r="H20" s="1"/>
  <c r="G20" i="23"/>
  <c r="H20" s="1"/>
  <c r="I20" s="1"/>
  <c r="G20" i="31"/>
  <c r="H20" s="1"/>
  <c r="I20" s="1"/>
  <c r="G21" i="29"/>
  <c r="H21" s="1"/>
  <c r="G21" i="23"/>
  <c r="H21"/>
  <c r="G21" i="31"/>
  <c r="H21"/>
  <c r="G22" i="29"/>
  <c r="H22" s="1"/>
  <c r="G22" i="23"/>
  <c r="H22" s="1"/>
  <c r="I22" s="1"/>
  <c r="G22" i="31"/>
  <c r="H22" s="1"/>
  <c r="I22" s="1"/>
  <c r="G23" i="29"/>
  <c r="H23" s="1"/>
  <c r="G23" i="23"/>
  <c r="H23"/>
  <c r="G23" i="31"/>
  <c r="H23" s="1"/>
  <c r="I23" s="1"/>
  <c r="G24" i="29"/>
  <c r="H24" s="1"/>
  <c r="G24" i="23"/>
  <c r="H24" s="1"/>
  <c r="I24" s="1"/>
  <c r="G24" i="31"/>
  <c r="H24" s="1"/>
  <c r="I24" s="1"/>
  <c r="G25" i="29"/>
  <c r="H25" s="1"/>
  <c r="G25" i="23"/>
  <c r="H25"/>
  <c r="G25" i="31"/>
  <c r="H25"/>
  <c r="G26" i="29"/>
  <c r="H26" s="1"/>
  <c r="G26" i="23"/>
  <c r="H26" s="1"/>
  <c r="I26" s="1"/>
  <c r="G26" i="31"/>
  <c r="H26" s="1"/>
  <c r="I26" s="1"/>
  <c r="G27" i="29"/>
  <c r="H27" s="1"/>
  <c r="G27" i="23"/>
  <c r="H27"/>
  <c r="G27" i="31"/>
  <c r="H27" s="1"/>
  <c r="I27" s="1"/>
  <c r="G28" i="29"/>
  <c r="H28" s="1"/>
  <c r="G28" i="23"/>
  <c r="H28" s="1"/>
  <c r="I28" s="1"/>
  <c r="G28" i="31"/>
  <c r="H28" s="1"/>
  <c r="I28" s="1"/>
  <c r="G29" i="29"/>
  <c r="H29" s="1"/>
  <c r="G29" i="23"/>
  <c r="H29"/>
  <c r="G29" i="31"/>
  <c r="H29"/>
  <c r="G30" i="29"/>
  <c r="H30" s="1"/>
  <c r="G30" i="23"/>
  <c r="H30" s="1"/>
  <c r="I30" s="1"/>
  <c r="G30" i="31"/>
  <c r="H30" s="1"/>
  <c r="I30" s="1"/>
  <c r="G31" i="29"/>
  <c r="H31"/>
  <c r="G31" i="23"/>
  <c r="H31"/>
  <c r="G31" i="31"/>
  <c r="H31" s="1"/>
  <c r="G32" i="29"/>
  <c r="H32"/>
  <c r="G32" i="23"/>
  <c r="H32"/>
  <c r="I32" s="1"/>
  <c r="G32" i="31"/>
  <c r="H32" s="1"/>
  <c r="G33" i="29"/>
  <c r="H33" s="1"/>
  <c r="G33" i="23"/>
  <c r="H33"/>
  <c r="G33" i="31"/>
  <c r="H33"/>
  <c r="G34" i="29"/>
  <c r="H34" s="1"/>
  <c r="G34" i="23"/>
  <c r="H34" s="1"/>
  <c r="I34" s="1"/>
  <c r="G34" i="31"/>
  <c r="H34"/>
  <c r="G35" i="29"/>
  <c r="H35"/>
  <c r="G35" i="23"/>
  <c r="H35"/>
  <c r="G35" i="31"/>
  <c r="H35" s="1"/>
  <c r="G36" i="29"/>
  <c r="H36"/>
  <c r="G36" i="23"/>
  <c r="H36" s="1"/>
  <c r="G36" i="31"/>
  <c r="H36" s="1"/>
  <c r="I36" s="1"/>
  <c r="G37" i="29"/>
  <c r="H37"/>
  <c r="G37" i="23"/>
  <c r="H37" s="1"/>
  <c r="G37" i="31"/>
  <c r="H37" s="1"/>
  <c r="I37" s="1"/>
  <c r="G38" i="29"/>
  <c r="H38"/>
  <c r="G38" i="23"/>
  <c r="H38" s="1"/>
  <c r="G38" i="31"/>
  <c r="H38" s="1"/>
  <c r="I38" s="1"/>
  <c r="G39" i="29"/>
  <c r="H39"/>
  <c r="G39" i="23"/>
  <c r="H39" s="1"/>
  <c r="G39" i="31"/>
  <c r="H39" s="1"/>
  <c r="I39" s="1"/>
  <c r="G40" i="29"/>
  <c r="H40"/>
  <c r="G40" i="23"/>
  <c r="H40" s="1"/>
  <c r="G40" i="31"/>
  <c r="H40" s="1"/>
  <c r="I40" s="1"/>
  <c r="G41" i="29"/>
  <c r="H41"/>
  <c r="G41" i="23"/>
  <c r="H41" s="1"/>
  <c r="G41" i="31"/>
  <c r="H41"/>
  <c r="G42" i="29"/>
  <c r="H42"/>
  <c r="G42" i="23"/>
  <c r="H42" s="1"/>
  <c r="G42" i="31"/>
  <c r="H42" s="1"/>
  <c r="I42" s="1"/>
  <c r="G19" i="29"/>
  <c r="H19" s="1"/>
  <c r="G19" i="23"/>
  <c r="H19" s="1"/>
  <c r="G19" i="31"/>
  <c r="H19" s="1"/>
  <c r="C20" i="29"/>
  <c r="D20" s="1"/>
  <c r="C20" i="23"/>
  <c r="D20" s="1"/>
  <c r="C20" i="31"/>
  <c r="D20" s="1"/>
  <c r="C21" i="29"/>
  <c r="D21" s="1"/>
  <c r="C21" i="23"/>
  <c r="D21"/>
  <c r="C21" i="31"/>
  <c r="D21"/>
  <c r="C22" i="29"/>
  <c r="D22" s="1"/>
  <c r="C22" i="23"/>
  <c r="D22" s="1"/>
  <c r="C22" i="31"/>
  <c r="D22" s="1"/>
  <c r="C23" i="29"/>
  <c r="D23" s="1"/>
  <c r="C23" i="23"/>
  <c r="D23"/>
  <c r="C23" i="31"/>
  <c r="D23" s="1"/>
  <c r="C24" i="29"/>
  <c r="D24" s="1"/>
  <c r="C24" i="23"/>
  <c r="D24" s="1"/>
  <c r="C24" i="31"/>
  <c r="D24" s="1"/>
  <c r="C25" i="29"/>
  <c r="D25" s="1"/>
  <c r="C25" i="23"/>
  <c r="D25"/>
  <c r="C25" i="31"/>
  <c r="D25"/>
  <c r="C26" i="29"/>
  <c r="D26" s="1"/>
  <c r="C26" i="23"/>
  <c r="D26" s="1"/>
  <c r="C26" i="31"/>
  <c r="D26"/>
  <c r="C27" i="29"/>
  <c r="D27" s="1"/>
  <c r="C27" i="23"/>
  <c r="D27"/>
  <c r="C27" i="31"/>
  <c r="D27" s="1"/>
  <c r="C28" i="29"/>
  <c r="D28" s="1"/>
  <c r="C28" i="23"/>
  <c r="D28" s="1"/>
  <c r="C28" i="31"/>
  <c r="D28" s="1"/>
  <c r="C29" i="29"/>
  <c r="D29" s="1"/>
  <c r="C29" i="23"/>
  <c r="D29"/>
  <c r="C29" i="31"/>
  <c r="D29"/>
  <c r="C30" i="29"/>
  <c r="D30" s="1"/>
  <c r="C30" i="23"/>
  <c r="D30" s="1"/>
  <c r="C30" i="31"/>
  <c r="D30"/>
  <c r="C31" i="29"/>
  <c r="D31" s="1"/>
  <c r="C31" i="23"/>
  <c r="D31"/>
  <c r="C31" i="31"/>
  <c r="D31" s="1"/>
  <c r="C32" i="29"/>
  <c r="D32" s="1"/>
  <c r="C32" i="23"/>
  <c r="D32" s="1"/>
  <c r="C32" i="31"/>
  <c r="D32" s="1"/>
  <c r="C33" i="29"/>
  <c r="D33" s="1"/>
  <c r="C33" i="23"/>
  <c r="D33"/>
  <c r="C33" i="31"/>
  <c r="D33"/>
  <c r="C34" i="29"/>
  <c r="D34" s="1"/>
  <c r="C34" i="23"/>
  <c r="D34" s="1"/>
  <c r="C34" i="31"/>
  <c r="D34"/>
  <c r="I34"/>
  <c r="C35" i="29"/>
  <c r="D35"/>
  <c r="C35" i="23"/>
  <c r="D35"/>
  <c r="C35" i="31"/>
  <c r="D35" s="1"/>
  <c r="C36" i="29"/>
  <c r="D36"/>
  <c r="C36" i="23"/>
  <c r="D36"/>
  <c r="C36" i="31"/>
  <c r="D36" s="1"/>
  <c r="C37" i="29"/>
  <c r="D37"/>
  <c r="C37" i="23"/>
  <c r="D37"/>
  <c r="C37" i="31"/>
  <c r="D37" s="1"/>
  <c r="C38" i="29"/>
  <c r="D38"/>
  <c r="C38" i="23"/>
  <c r="D38" s="1"/>
  <c r="C38" i="31"/>
  <c r="D38"/>
  <c r="C39" i="29"/>
  <c r="D39"/>
  <c r="C39" i="23"/>
  <c r="D39" s="1"/>
  <c r="C39" i="31"/>
  <c r="D39" s="1"/>
  <c r="C40" i="29"/>
  <c r="D40"/>
  <c r="C40" i="23"/>
  <c r="D40" s="1"/>
  <c r="C40" i="31"/>
  <c r="D40"/>
  <c r="C41" i="29"/>
  <c r="D41"/>
  <c r="C41" i="23"/>
  <c r="D41" s="1"/>
  <c r="C41" i="31"/>
  <c r="D41" s="1"/>
  <c r="I41"/>
  <c r="C42" i="29"/>
  <c r="D42" s="1"/>
  <c r="C42" i="23"/>
  <c r="D42" s="1"/>
  <c r="C42" i="31"/>
  <c r="D42"/>
  <c r="C19" i="29"/>
  <c r="D19" s="1"/>
  <c r="C19" i="23"/>
  <c r="D19"/>
  <c r="C19" i="31"/>
  <c r="D19" s="1"/>
  <c r="F14" i="35"/>
  <c r="F15"/>
  <c r="G20" i="21"/>
  <c r="H20" s="1"/>
  <c r="G21"/>
  <c r="H21" s="1"/>
  <c r="G22"/>
  <c r="H22" s="1"/>
  <c r="G23"/>
  <c r="H23" s="1"/>
  <c r="G24"/>
  <c r="H24" s="1"/>
  <c r="G25"/>
  <c r="H25" s="1"/>
  <c r="G26"/>
  <c r="H26" s="1"/>
  <c r="G27"/>
  <c r="H27" s="1"/>
  <c r="G28"/>
  <c r="H28" s="1"/>
  <c r="G29"/>
  <c r="H29" s="1"/>
  <c r="G30"/>
  <c r="H30" s="1"/>
  <c r="G31"/>
  <c r="H31" s="1"/>
  <c r="G32"/>
  <c r="H32" s="1"/>
  <c r="G33"/>
  <c r="H33" s="1"/>
  <c r="G34"/>
  <c r="H34" s="1"/>
  <c r="G35"/>
  <c r="H35" s="1"/>
  <c r="G36"/>
  <c r="H36" s="1"/>
  <c r="G37"/>
  <c r="H37" s="1"/>
  <c r="G38"/>
  <c r="H38" s="1"/>
  <c r="G39"/>
  <c r="H39" s="1"/>
  <c r="G40"/>
  <c r="H40" s="1"/>
  <c r="G41"/>
  <c r="H41" s="1"/>
  <c r="G42"/>
  <c r="H42" s="1"/>
  <c r="G19"/>
  <c r="H19" s="1"/>
  <c r="C40"/>
  <c r="D40" s="1"/>
  <c r="C41"/>
  <c r="D41" s="1"/>
  <c r="C42"/>
  <c r="D42" s="1"/>
  <c r="C20"/>
  <c r="D20" s="1"/>
  <c r="C21"/>
  <c r="D21" s="1"/>
  <c r="C22"/>
  <c r="D22" s="1"/>
  <c r="C23"/>
  <c r="D23" s="1"/>
  <c r="C24"/>
  <c r="D24" s="1"/>
  <c r="C25"/>
  <c r="D25" s="1"/>
  <c r="C26"/>
  <c r="D26" s="1"/>
  <c r="C27"/>
  <c r="D27" s="1"/>
  <c r="C28"/>
  <c r="D28" s="1"/>
  <c r="C29"/>
  <c r="D29" s="1"/>
  <c r="C30"/>
  <c r="D30" s="1"/>
  <c r="C31"/>
  <c r="D31" s="1"/>
  <c r="C32"/>
  <c r="D32" s="1"/>
  <c r="C33"/>
  <c r="D33" s="1"/>
  <c r="C34"/>
  <c r="D34" s="1"/>
  <c r="C35"/>
  <c r="D35" s="1"/>
  <c r="C36"/>
  <c r="D36" s="1"/>
  <c r="C37"/>
  <c r="D37" s="1"/>
  <c r="C38"/>
  <c r="D38" s="1"/>
  <c r="C39"/>
  <c r="D39" s="1"/>
  <c r="C19"/>
  <c r="D19" s="1"/>
  <c r="F14" i="34"/>
  <c r="F15"/>
  <c r="G20" i="19"/>
  <c r="H20" s="1"/>
  <c r="G21"/>
  <c r="H21" s="1"/>
  <c r="I21" s="1"/>
  <c r="G22"/>
  <c r="H22" s="1"/>
  <c r="I22" s="1"/>
  <c r="G23"/>
  <c r="H23" s="1"/>
  <c r="I23" s="1"/>
  <c r="G24"/>
  <c r="H24" s="1"/>
  <c r="I24" s="1"/>
  <c r="G25"/>
  <c r="H25" s="1"/>
  <c r="I25" s="1"/>
  <c r="G26"/>
  <c r="H26" s="1"/>
  <c r="I26" s="1"/>
  <c r="G27"/>
  <c r="H27" s="1"/>
  <c r="I27" s="1"/>
  <c r="G28"/>
  <c r="H28" s="1"/>
  <c r="I28" s="1"/>
  <c r="G29"/>
  <c r="H29" s="1"/>
  <c r="I29" s="1"/>
  <c r="G30"/>
  <c r="H30" s="1"/>
  <c r="G31"/>
  <c r="H31" s="1"/>
  <c r="I31" s="1"/>
  <c r="G32"/>
  <c r="H32" s="1"/>
  <c r="I32" s="1"/>
  <c r="G33"/>
  <c r="H33"/>
  <c r="I33" s="1"/>
  <c r="G34"/>
  <c r="H34"/>
  <c r="I34" s="1"/>
  <c r="G35"/>
  <c r="H35"/>
  <c r="I35" s="1"/>
  <c r="G36"/>
  <c r="H36"/>
  <c r="I36" s="1"/>
  <c r="G37"/>
  <c r="H37"/>
  <c r="G38"/>
  <c r="H38"/>
  <c r="G39"/>
  <c r="H39"/>
  <c r="I39" s="1"/>
  <c r="G40"/>
  <c r="H40"/>
  <c r="I40" s="1"/>
  <c r="G41"/>
  <c r="H41"/>
  <c r="D38" i="33" s="1"/>
  <c r="G42" i="19"/>
  <c r="H42"/>
  <c r="G19"/>
  <c r="H19"/>
  <c r="I19" s="1"/>
  <c r="C20"/>
  <c r="D20" s="1"/>
  <c r="C21"/>
  <c r="D21" s="1"/>
  <c r="C22"/>
  <c r="D22" s="1"/>
  <c r="C23"/>
  <c r="D23" s="1"/>
  <c r="C24"/>
  <c r="D24" s="1"/>
  <c r="C25"/>
  <c r="D25" s="1"/>
  <c r="C26"/>
  <c r="D26" s="1"/>
  <c r="B23" i="33" s="1"/>
  <c r="C27" i="19"/>
  <c r="D27" s="1"/>
  <c r="B24" i="33" s="1"/>
  <c r="C28" i="19"/>
  <c r="D28" s="1"/>
  <c r="C29"/>
  <c r="D29" s="1"/>
  <c r="B26" i="33" s="1"/>
  <c r="C30" i="19"/>
  <c r="D30" s="1"/>
  <c r="C31"/>
  <c r="D31" s="1"/>
  <c r="C32"/>
  <c r="D32" s="1"/>
  <c r="B29" i="33" s="1"/>
  <c r="C33" i="19"/>
  <c r="D33" s="1"/>
  <c r="C34"/>
  <c r="D34" s="1"/>
  <c r="C35"/>
  <c r="D35" s="1"/>
  <c r="C36"/>
  <c r="D36" s="1"/>
  <c r="C37"/>
  <c r="D37" s="1"/>
  <c r="B34" i="33" s="1"/>
  <c r="C38" i="19"/>
  <c r="D38" s="1"/>
  <c r="B35" i="33" s="1"/>
  <c r="C39" i="19"/>
  <c r="D39" s="1"/>
  <c r="C40"/>
  <c r="D40" s="1"/>
  <c r="C41"/>
  <c r="D41" s="1"/>
  <c r="B38" i="33" s="1"/>
  <c r="C42" i="19"/>
  <c r="D42" s="1"/>
  <c r="C19"/>
  <c r="D19" s="1"/>
  <c r="D43" s="1"/>
  <c r="F14" i="33"/>
  <c r="F15"/>
  <c r="C19" i="30"/>
  <c r="D19" s="1"/>
  <c r="G19"/>
  <c r="H19" s="1"/>
  <c r="C20"/>
  <c r="D20" s="1"/>
  <c r="G20"/>
  <c r="H20"/>
  <c r="C21"/>
  <c r="D21" s="1"/>
  <c r="G21"/>
  <c r="H21" s="1"/>
  <c r="I21" s="1"/>
  <c r="C22"/>
  <c r="D22" s="1"/>
  <c r="G22"/>
  <c r="H22"/>
  <c r="C23"/>
  <c r="D23" s="1"/>
  <c r="G23"/>
  <c r="H23" s="1"/>
  <c r="I23" s="1"/>
  <c r="C24"/>
  <c r="D24" s="1"/>
  <c r="G24"/>
  <c r="H24"/>
  <c r="C25"/>
  <c r="D25" s="1"/>
  <c r="G25"/>
  <c r="H25" s="1"/>
  <c r="I25" s="1"/>
  <c r="C26"/>
  <c r="D26" s="1"/>
  <c r="G26"/>
  <c r="H26"/>
  <c r="C27"/>
  <c r="D27" s="1"/>
  <c r="G27"/>
  <c r="H27" s="1"/>
  <c r="I27" s="1"/>
  <c r="C28"/>
  <c r="D28" s="1"/>
  <c r="G28"/>
  <c r="H28"/>
  <c r="C29"/>
  <c r="D29" s="1"/>
  <c r="G29"/>
  <c r="H29" s="1"/>
  <c r="I29" s="1"/>
  <c r="C30"/>
  <c r="D30" s="1"/>
  <c r="G30"/>
  <c r="H30"/>
  <c r="C31"/>
  <c r="D31" s="1"/>
  <c r="G31"/>
  <c r="H31" s="1"/>
  <c r="I31" s="1"/>
  <c r="C32"/>
  <c r="D32" s="1"/>
  <c r="G32"/>
  <c r="H32"/>
  <c r="C33"/>
  <c r="D33" s="1"/>
  <c r="G33"/>
  <c r="H33" s="1"/>
  <c r="I33" s="1"/>
  <c r="C34"/>
  <c r="D34" s="1"/>
  <c r="G34"/>
  <c r="H34"/>
  <c r="C35"/>
  <c r="D35" s="1"/>
  <c r="G35"/>
  <c r="H35" s="1"/>
  <c r="I35" s="1"/>
  <c r="C36"/>
  <c r="D36" s="1"/>
  <c r="G36"/>
  <c r="H36"/>
  <c r="C37"/>
  <c r="D37" s="1"/>
  <c r="G37"/>
  <c r="H37" s="1"/>
  <c r="I37" s="1"/>
  <c r="C38"/>
  <c r="D38" s="1"/>
  <c r="G38"/>
  <c r="H38"/>
  <c r="C39"/>
  <c r="D39" s="1"/>
  <c r="G39"/>
  <c r="H39" s="1"/>
  <c r="I39" s="1"/>
  <c r="C40"/>
  <c r="D40" s="1"/>
  <c r="G40"/>
  <c r="H40"/>
  <c r="C41"/>
  <c r="D41" s="1"/>
  <c r="G41"/>
  <c r="H41" s="1"/>
  <c r="I41" s="1"/>
  <c r="C42"/>
  <c r="D42" s="1"/>
  <c r="G42"/>
  <c r="H42"/>
  <c r="G19" i="14"/>
  <c r="H19" s="1"/>
  <c r="G20"/>
  <c r="H20" s="1"/>
  <c r="G21"/>
  <c r="H21" s="1"/>
  <c r="G22"/>
  <c r="H22" s="1"/>
  <c r="G23"/>
  <c r="H23" s="1"/>
  <c r="G24"/>
  <c r="H24" s="1"/>
  <c r="G25"/>
  <c r="H25" s="1"/>
  <c r="G26"/>
  <c r="H26" s="1"/>
  <c r="G27"/>
  <c r="H27" s="1"/>
  <c r="G28"/>
  <c r="H28" s="1"/>
  <c r="G29"/>
  <c r="H29" s="1"/>
  <c r="G30"/>
  <c r="H30" s="1"/>
  <c r="G31"/>
  <c r="H31" s="1"/>
  <c r="G32"/>
  <c r="H32" s="1"/>
  <c r="G33"/>
  <c r="H33" s="1"/>
  <c r="G34"/>
  <c r="H34" s="1"/>
  <c r="G35"/>
  <c r="H35" s="1"/>
  <c r="G36"/>
  <c r="H36" s="1"/>
  <c r="G37"/>
  <c r="H37" s="1"/>
  <c r="G38"/>
  <c r="H38" s="1"/>
  <c r="G39"/>
  <c r="H39" s="1"/>
  <c r="G40"/>
  <c r="H40" s="1"/>
  <c r="G41"/>
  <c r="H41" s="1"/>
  <c r="G42"/>
  <c r="H42" s="1"/>
  <c r="C42"/>
  <c r="D42" s="1"/>
  <c r="F15" i="27"/>
  <c r="F14"/>
  <c r="C35" i="5"/>
  <c r="D35" s="1"/>
  <c r="C35" i="13"/>
  <c r="D35" s="1"/>
  <c r="C35" i="14"/>
  <c r="D35" s="1"/>
  <c r="C35" i="15"/>
  <c r="D35" s="1"/>
  <c r="C35" i="16"/>
  <c r="D35" s="1"/>
  <c r="C35" i="17"/>
  <c r="D35" s="1"/>
  <c r="C36" i="5"/>
  <c r="D36" s="1"/>
  <c r="C36" i="13"/>
  <c r="D36"/>
  <c r="C36" i="14"/>
  <c r="D36"/>
  <c r="C36" i="15"/>
  <c r="D36"/>
  <c r="C36" i="16"/>
  <c r="D36"/>
  <c r="C36" i="17"/>
  <c r="D36"/>
  <c r="C37" i="5"/>
  <c r="D37" s="1"/>
  <c r="C37" i="13"/>
  <c r="D37" s="1"/>
  <c r="C37" i="14"/>
  <c r="D37"/>
  <c r="C37" i="15"/>
  <c r="D37" s="1"/>
  <c r="C37" i="16"/>
  <c r="D37" s="1"/>
  <c r="C37" i="17"/>
  <c r="D37" s="1"/>
  <c r="C38" i="5"/>
  <c r="D38" s="1"/>
  <c r="C38" i="13"/>
  <c r="D38"/>
  <c r="C38" i="14"/>
  <c r="D38" s="1"/>
  <c r="C38" i="15"/>
  <c r="D38" s="1"/>
  <c r="C38" i="16"/>
  <c r="D38"/>
  <c r="C38" i="17"/>
  <c r="D38" s="1"/>
  <c r="B35" i="7" s="1"/>
  <c r="C32" i="5"/>
  <c r="D32" s="1"/>
  <c r="C32" i="13"/>
  <c r="D32" s="1"/>
  <c r="C32" i="14"/>
  <c r="D32" s="1"/>
  <c r="C32" i="15"/>
  <c r="D32" s="1"/>
  <c r="C32" i="16"/>
  <c r="D32" s="1"/>
  <c r="C32" i="17"/>
  <c r="D32"/>
  <c r="C31" i="5"/>
  <c r="D31" s="1"/>
  <c r="C31" i="13"/>
  <c r="D31"/>
  <c r="C31" i="14"/>
  <c r="D31"/>
  <c r="C31" i="15"/>
  <c r="D31" s="1"/>
  <c r="C31" i="16"/>
  <c r="D31" s="1"/>
  <c r="C31" i="17"/>
  <c r="D31" s="1"/>
  <c r="C29" i="5"/>
  <c r="D29" s="1"/>
  <c r="C29" i="13"/>
  <c r="D29" s="1"/>
  <c r="C29" i="14"/>
  <c r="D29"/>
  <c r="C29" i="15"/>
  <c r="D29" s="1"/>
  <c r="C29" i="16"/>
  <c r="D29" s="1"/>
  <c r="C29" i="17"/>
  <c r="D29" s="1"/>
  <c r="C30" i="5"/>
  <c r="D30" s="1"/>
  <c r="C30" i="13"/>
  <c r="D30"/>
  <c r="C30" i="14"/>
  <c r="D30" s="1"/>
  <c r="C30" i="15"/>
  <c r="D30" s="1"/>
  <c r="C30" i="16"/>
  <c r="D30" s="1"/>
  <c r="C30" i="17"/>
  <c r="D30" s="1"/>
  <c r="C28" i="5"/>
  <c r="D28" s="1"/>
  <c r="C28" i="13"/>
  <c r="D28" s="1"/>
  <c r="C28" i="14"/>
  <c r="D28" s="1"/>
  <c r="C28" i="15"/>
  <c r="D28"/>
  <c r="C28" i="16"/>
  <c r="D28" s="1"/>
  <c r="C28" i="17"/>
  <c r="D28" s="1"/>
  <c r="C22" i="5"/>
  <c r="D22" s="1"/>
  <c r="C22" i="13"/>
  <c r="D22"/>
  <c r="C22" i="14"/>
  <c r="D22"/>
  <c r="C22" i="15"/>
  <c r="D22" s="1"/>
  <c r="C22" i="16"/>
  <c r="D22"/>
  <c r="C22" i="17"/>
  <c r="D22" s="1"/>
  <c r="B19" i="7" s="1"/>
  <c r="C21" i="5"/>
  <c r="D21" s="1"/>
  <c r="C21" i="13"/>
  <c r="D21" s="1"/>
  <c r="C21" i="14"/>
  <c r="D21"/>
  <c r="C21" i="15"/>
  <c r="D21" s="1"/>
  <c r="C21" i="16"/>
  <c r="D21" s="1"/>
  <c r="C21" i="17"/>
  <c r="D21" s="1"/>
  <c r="C20" i="5"/>
  <c r="D20" s="1"/>
  <c r="C20" i="13"/>
  <c r="D20"/>
  <c r="C20" i="14"/>
  <c r="D20" s="1"/>
  <c r="C20" i="15"/>
  <c r="D20" s="1"/>
  <c r="C20" i="16"/>
  <c r="D20"/>
  <c r="C20" i="17"/>
  <c r="D20"/>
  <c r="C27" i="5"/>
  <c r="D27" s="1"/>
  <c r="C27" i="13"/>
  <c r="D27" s="1"/>
  <c r="C27" i="14"/>
  <c r="D27" s="1"/>
  <c r="C27" i="15"/>
  <c r="D27"/>
  <c r="C27" i="16"/>
  <c r="D27" s="1"/>
  <c r="C27" i="17"/>
  <c r="D27"/>
  <c r="C26" i="5"/>
  <c r="D26" s="1"/>
  <c r="C26" i="13"/>
  <c r="D26"/>
  <c r="C26" i="14"/>
  <c r="D26"/>
  <c r="C26" i="15"/>
  <c r="D26" s="1"/>
  <c r="C26" i="16"/>
  <c r="D26" s="1"/>
  <c r="C26" i="17"/>
  <c r="D26" s="1"/>
  <c r="C25" i="5"/>
  <c r="D25" s="1"/>
  <c r="C25" i="13"/>
  <c r="D25" s="1"/>
  <c r="C25" i="14"/>
  <c r="D25"/>
  <c r="C25" i="15"/>
  <c r="D25" s="1"/>
  <c r="C25" i="16"/>
  <c r="D25"/>
  <c r="C25" i="17"/>
  <c r="D25"/>
  <c r="C19" i="5"/>
  <c r="D19" s="1"/>
  <c r="C19" i="13"/>
  <c r="D19"/>
  <c r="C19" i="14"/>
  <c r="D19" s="1"/>
  <c r="C19" i="15"/>
  <c r="D19" s="1"/>
  <c r="C19" i="16"/>
  <c r="D19" s="1"/>
  <c r="C19" i="17"/>
  <c r="D19"/>
  <c r="C24" i="5"/>
  <c r="D24" s="1"/>
  <c r="C24" i="13"/>
  <c r="D24" s="1"/>
  <c r="C24" i="14"/>
  <c r="D24" s="1"/>
  <c r="C24" i="15"/>
  <c r="D24"/>
  <c r="C24" i="16"/>
  <c r="D24"/>
  <c r="C24" i="17"/>
  <c r="D24" s="1"/>
  <c r="B21" i="7" s="1"/>
  <c r="C23" i="5"/>
  <c r="D23" s="1"/>
  <c r="C23" i="13"/>
  <c r="D23"/>
  <c r="C23" i="14"/>
  <c r="D23"/>
  <c r="C23" i="15"/>
  <c r="D23" s="1"/>
  <c r="C23" i="16"/>
  <c r="D23"/>
  <c r="C23" i="17"/>
  <c r="D23" s="1"/>
  <c r="B20" i="7" s="1"/>
  <c r="C34" i="5"/>
  <c r="D34" s="1"/>
  <c r="C34" i="13"/>
  <c r="D34" s="1"/>
  <c r="C34" i="14"/>
  <c r="D34"/>
  <c r="C34" i="15"/>
  <c r="D34" s="1"/>
  <c r="C34" i="16"/>
  <c r="D34" s="1"/>
  <c r="C34" i="17"/>
  <c r="D34" s="1"/>
  <c r="C33" i="5"/>
  <c r="D33" s="1"/>
  <c r="C33" i="13"/>
  <c r="D33"/>
  <c r="C33" i="14"/>
  <c r="D33" s="1"/>
  <c r="C33" i="15"/>
  <c r="D33" s="1"/>
  <c r="C33" i="16"/>
  <c r="D33"/>
  <c r="C33" i="17"/>
  <c r="D33"/>
  <c r="C42" i="5"/>
  <c r="D42" s="1"/>
  <c r="C42" i="13"/>
  <c r="D42" s="1"/>
  <c r="C42" i="15"/>
  <c r="D42" s="1"/>
  <c r="C42" i="16"/>
  <c r="D42" s="1"/>
  <c r="C42" i="17"/>
  <c r="D42"/>
  <c r="C40" i="5"/>
  <c r="D40" s="1"/>
  <c r="C40" i="13"/>
  <c r="D40"/>
  <c r="C40" i="14"/>
  <c r="D40"/>
  <c r="C40" i="15"/>
  <c r="D40"/>
  <c r="C40" i="16"/>
  <c r="D40"/>
  <c r="C40" i="17"/>
  <c r="D40" s="1"/>
  <c r="C39" i="5"/>
  <c r="D39" s="1"/>
  <c r="C39" i="13"/>
  <c r="D39" s="1"/>
  <c r="C39" i="14"/>
  <c r="D39"/>
  <c r="C39" i="15"/>
  <c r="D39"/>
  <c r="C39" i="16"/>
  <c r="D39"/>
  <c r="C39" i="17"/>
  <c r="D39" s="1"/>
  <c r="C41" i="5"/>
  <c r="D41" s="1"/>
  <c r="C41" i="13"/>
  <c r="D41"/>
  <c r="C41" i="14"/>
  <c r="D41" s="1"/>
  <c r="C41" i="15"/>
  <c r="D41"/>
  <c r="C41" i="16"/>
  <c r="D41" s="1"/>
  <c r="C41" i="17"/>
  <c r="D41"/>
  <c r="G35" i="5"/>
  <c r="H35" s="1"/>
  <c r="G35" i="13"/>
  <c r="H35" s="1"/>
  <c r="I35" s="1"/>
  <c r="G35" i="15"/>
  <c r="H35" s="1"/>
  <c r="I35" s="1"/>
  <c r="G35" i="16"/>
  <c r="H35" s="1"/>
  <c r="G35" i="17"/>
  <c r="H35" s="1"/>
  <c r="I35" s="1"/>
  <c r="G36" i="5"/>
  <c r="H36" s="1"/>
  <c r="G36" i="13"/>
  <c r="H36"/>
  <c r="G36" i="15"/>
  <c r="H36"/>
  <c r="G36" i="16"/>
  <c r="H36"/>
  <c r="G36" i="17"/>
  <c r="H36"/>
  <c r="G37" i="5"/>
  <c r="H37" s="1"/>
  <c r="G37" i="13"/>
  <c r="H37" s="1"/>
  <c r="I37" s="1"/>
  <c r="G37" i="15"/>
  <c r="H37" s="1"/>
  <c r="I37" s="1"/>
  <c r="G37" i="16"/>
  <c r="H37" s="1"/>
  <c r="G37" i="17"/>
  <c r="H37" s="1"/>
  <c r="I37" s="1"/>
  <c r="G38" i="5"/>
  <c r="H38" s="1"/>
  <c r="G38" i="13"/>
  <c r="H38"/>
  <c r="G38" i="15"/>
  <c r="H38" s="1"/>
  <c r="I38" s="1"/>
  <c r="G38" i="16"/>
  <c r="H38"/>
  <c r="G38" i="17"/>
  <c r="H38" s="1"/>
  <c r="G32" i="5"/>
  <c r="H32" s="1"/>
  <c r="G32" i="13"/>
  <c r="H32" s="1"/>
  <c r="I32" s="1"/>
  <c r="G32" i="15"/>
  <c r="H32" s="1"/>
  <c r="I32" s="1"/>
  <c r="G32" i="16"/>
  <c r="H32" s="1"/>
  <c r="G32" i="17"/>
  <c r="H32" s="1"/>
  <c r="I32" s="1"/>
  <c r="G31" i="5"/>
  <c r="H31"/>
  <c r="G31" i="13"/>
  <c r="H31"/>
  <c r="G31" i="15"/>
  <c r="H31"/>
  <c r="G31" i="16"/>
  <c r="H31" s="1"/>
  <c r="G31" i="17"/>
  <c r="H31"/>
  <c r="G29" i="5"/>
  <c r="H29"/>
  <c r="G29" i="13"/>
  <c r="H29"/>
  <c r="G29" i="15"/>
  <c r="H29"/>
  <c r="G29" i="16"/>
  <c r="H29" s="1"/>
  <c r="G29" i="17"/>
  <c r="H29" s="1"/>
  <c r="I29" s="1"/>
  <c r="G30" i="5"/>
  <c r="H30"/>
  <c r="G30" i="13"/>
  <c r="H30" s="1"/>
  <c r="G30" i="15"/>
  <c r="H30" s="1"/>
  <c r="I30" s="1"/>
  <c r="G30" i="16"/>
  <c r="H30" s="1"/>
  <c r="G30" i="17"/>
  <c r="H30"/>
  <c r="G28" i="5"/>
  <c r="H28"/>
  <c r="G28" i="13"/>
  <c r="H28" s="1"/>
  <c r="G28" i="15"/>
  <c r="H28"/>
  <c r="G28" i="16"/>
  <c r="H28"/>
  <c r="G28" i="17"/>
  <c r="H28" s="1"/>
  <c r="G22" i="5"/>
  <c r="H22"/>
  <c r="G22" i="13"/>
  <c r="H22" s="1"/>
  <c r="G22" i="15"/>
  <c r="H22" s="1"/>
  <c r="I22" s="1"/>
  <c r="G22" i="16"/>
  <c r="H22"/>
  <c r="G22" i="17"/>
  <c r="H22" s="1"/>
  <c r="G21" i="5"/>
  <c r="H21" s="1"/>
  <c r="G21" i="13"/>
  <c r="H21" s="1"/>
  <c r="I21" s="1"/>
  <c r="G21" i="15"/>
  <c r="H21" s="1"/>
  <c r="G21" i="16"/>
  <c r="H21" s="1"/>
  <c r="G21" i="17"/>
  <c r="H21" s="1"/>
  <c r="I21" s="1"/>
  <c r="G20" i="5"/>
  <c r="H20"/>
  <c r="G20" i="13"/>
  <c r="H20" s="1"/>
  <c r="G20" i="15"/>
  <c r="H20"/>
  <c r="I20" s="1"/>
  <c r="G20" i="16"/>
  <c r="H20" s="1"/>
  <c r="G20" i="17"/>
  <c r="H20" s="1"/>
  <c r="I20" s="1"/>
  <c r="G27" i="5"/>
  <c r="H27"/>
  <c r="G27" i="13"/>
  <c r="H27" s="1"/>
  <c r="G27" i="15"/>
  <c r="H27" s="1"/>
  <c r="I27" s="1"/>
  <c r="G27" i="16"/>
  <c r="H27"/>
  <c r="G27" i="17"/>
  <c r="H27" s="1"/>
  <c r="G26" i="5"/>
  <c r="H26" s="1"/>
  <c r="G26" i="13"/>
  <c r="H26"/>
  <c r="I26" s="1"/>
  <c r="G26" i="15"/>
  <c r="H26"/>
  <c r="G26" i="16"/>
  <c r="H26" s="1"/>
  <c r="G26" i="17"/>
  <c r="H26" s="1"/>
  <c r="I26" s="1"/>
  <c r="G25" i="5"/>
  <c r="H25" s="1"/>
  <c r="G25" i="13"/>
  <c r="H25" s="1"/>
  <c r="I25" s="1"/>
  <c r="G25" i="15"/>
  <c r="H25" s="1"/>
  <c r="I25" s="1"/>
  <c r="G25" i="16"/>
  <c r="H25" s="1"/>
  <c r="G25" i="17"/>
  <c r="H25"/>
  <c r="G19" i="5"/>
  <c r="H19" s="1"/>
  <c r="G19" i="13"/>
  <c r="H19"/>
  <c r="G19" i="15"/>
  <c r="H19"/>
  <c r="G19" i="16"/>
  <c r="H19"/>
  <c r="G19" i="17"/>
  <c r="H19" s="1"/>
  <c r="G24" i="5"/>
  <c r="H24" s="1"/>
  <c r="G24" i="13"/>
  <c r="H24" s="1"/>
  <c r="I24" s="1"/>
  <c r="G24" i="15"/>
  <c r="H24"/>
  <c r="G24" i="16"/>
  <c r="H24"/>
  <c r="G24" i="17"/>
  <c r="H24" s="1"/>
  <c r="G23" i="5"/>
  <c r="H23" s="1"/>
  <c r="G23" i="13"/>
  <c r="H23"/>
  <c r="G23" i="15"/>
  <c r="H23" s="1"/>
  <c r="I23" s="1"/>
  <c r="G23" i="16"/>
  <c r="H23"/>
  <c r="G23" i="17"/>
  <c r="H23" s="1"/>
  <c r="G34" i="5"/>
  <c r="H34"/>
  <c r="G34" i="13"/>
  <c r="H34" s="1"/>
  <c r="G34" i="15"/>
  <c r="H34" s="1"/>
  <c r="I34" s="1"/>
  <c r="G34" i="16"/>
  <c r="H34" s="1"/>
  <c r="G34" i="17"/>
  <c r="H34" s="1"/>
  <c r="I34" s="1"/>
  <c r="G33" i="5"/>
  <c r="H33"/>
  <c r="G33" i="13"/>
  <c r="H33" s="1"/>
  <c r="G33" i="15"/>
  <c r="H33"/>
  <c r="G33" i="16"/>
  <c r="H33"/>
  <c r="G33" i="17"/>
  <c r="H33"/>
  <c r="G42" i="5"/>
  <c r="H42"/>
  <c r="G42" i="13"/>
  <c r="H42" s="1"/>
  <c r="G42" i="15"/>
  <c r="H42" s="1"/>
  <c r="I42" s="1"/>
  <c r="G42" i="16"/>
  <c r="H42"/>
  <c r="G42" i="17"/>
  <c r="H42"/>
  <c r="I42" s="1"/>
  <c r="G40" i="5"/>
  <c r="H40"/>
  <c r="G40" i="13"/>
  <c r="H40" s="1"/>
  <c r="G40" i="15"/>
  <c r="H40"/>
  <c r="G40" i="16"/>
  <c r="H40" s="1"/>
  <c r="G40" i="17"/>
  <c r="H40"/>
  <c r="G39" i="5"/>
  <c r="H39"/>
  <c r="G39" i="13"/>
  <c r="H39" s="1"/>
  <c r="G39" i="15"/>
  <c r="H39" s="1"/>
  <c r="I39" s="1"/>
  <c r="G39" i="16"/>
  <c r="H39" s="1"/>
  <c r="G39" i="17"/>
  <c r="H39" s="1"/>
  <c r="I39" s="1"/>
  <c r="G41" i="5"/>
  <c r="H41"/>
  <c r="G41" i="13"/>
  <c r="H41" s="1"/>
  <c r="G41" i="15"/>
  <c r="H41"/>
  <c r="G41" i="16"/>
  <c r="H41"/>
  <c r="G41" i="17"/>
  <c r="H41"/>
  <c r="F15" i="25"/>
  <c r="F14"/>
  <c r="F15" i="26"/>
  <c r="F14"/>
  <c r="F15" i="1"/>
  <c r="F14"/>
  <c r="F15" i="6"/>
  <c r="F14"/>
  <c r="F15" i="24"/>
  <c r="F14"/>
  <c r="F15" i="7"/>
  <c r="F14"/>
  <c r="B33"/>
  <c r="I21" i="37"/>
  <c r="I35" i="23"/>
  <c r="I29"/>
  <c r="I27"/>
  <c r="I36" i="17"/>
  <c r="I23" i="16"/>
  <c r="I29" i="39"/>
  <c r="I21"/>
  <c r="I24" i="38"/>
  <c r="I22"/>
  <c r="I19" i="16"/>
  <c r="I33" i="23"/>
  <c r="I31"/>
  <c r="I21"/>
  <c r="I22" i="5"/>
  <c r="I31"/>
  <c r="I29"/>
  <c r="I28"/>
  <c r="I41"/>
  <c r="I42"/>
  <c r="I33"/>
  <c r="I39"/>
  <c r="I40"/>
  <c r="I34"/>
  <c r="I27"/>
  <c r="I20"/>
  <c r="I30"/>
  <c r="I25" i="23"/>
  <c r="I23"/>
  <c r="I32" i="29"/>
  <c r="I41"/>
  <c r="I31"/>
  <c r="I42"/>
  <c r="I39"/>
  <c r="I37"/>
  <c r="I35"/>
  <c r="I40"/>
  <c r="I38"/>
  <c r="I36"/>
  <c r="I42" i="30"/>
  <c r="I40"/>
  <c r="I38"/>
  <c r="I34"/>
  <c r="I32"/>
  <c r="I30"/>
  <c r="I28"/>
  <c r="I26"/>
  <c r="I24"/>
  <c r="I22"/>
  <c r="I20"/>
  <c r="I36"/>
  <c r="I42" i="19"/>
  <c r="I38"/>
  <c r="I41"/>
  <c r="I37"/>
  <c r="I30" i="17"/>
  <c r="D39" i="7"/>
  <c r="D30"/>
  <c r="I41" i="17"/>
  <c r="I33"/>
  <c r="I25"/>
  <c r="I31"/>
  <c r="I40"/>
  <c r="I41" i="16"/>
  <c r="D38" i="7"/>
  <c r="I36" i="16"/>
  <c r="D33" i="7"/>
  <c r="B30"/>
  <c r="F30" s="1"/>
  <c r="I33" i="16"/>
  <c r="I27"/>
  <c r="I22"/>
  <c r="I38"/>
  <c r="I42"/>
  <c r="I24"/>
  <c r="B22" i="7"/>
  <c r="B17"/>
  <c r="I28" i="16"/>
  <c r="I36" i="15"/>
  <c r="I33"/>
  <c r="I28"/>
  <c r="I29"/>
  <c r="I31"/>
  <c r="I40"/>
  <c r="B37" i="6"/>
  <c r="I19" i="15"/>
  <c r="I26"/>
  <c r="I41"/>
  <c r="I24"/>
  <c r="B36" i="6"/>
  <c r="B33"/>
  <c r="B33" i="24"/>
  <c r="I39" i="39"/>
  <c r="I40"/>
  <c r="I42" i="38"/>
  <c r="I34"/>
  <c r="I32"/>
  <c r="I30"/>
  <c r="I40"/>
  <c r="I33"/>
  <c r="I38" i="37"/>
  <c r="I19" i="36"/>
  <c r="I41"/>
  <c r="I31"/>
  <c r="I27" i="22"/>
  <c r="I19" i="18"/>
  <c r="I41"/>
  <c r="I35"/>
  <c r="I33"/>
  <c r="I40"/>
  <c r="D37" i="33"/>
  <c r="I32" i="18"/>
  <c r="I30"/>
  <c r="I28"/>
  <c r="I24"/>
  <c r="I25"/>
  <c r="D28" i="1"/>
  <c r="D26"/>
  <c r="I19" i="13"/>
  <c r="I38"/>
  <c r="I36"/>
  <c r="I23"/>
  <c r="I29"/>
  <c r="I31"/>
  <c r="F33" i="7"/>
  <c r="I33" i="31"/>
  <c r="I29"/>
  <c r="I25"/>
  <c r="I21"/>
  <c r="D28" i="35" l="1"/>
  <c r="I31" i="31"/>
  <c r="H43"/>
  <c r="I19"/>
  <c r="I35"/>
  <c r="D32" i="35"/>
  <c r="I32" i="31"/>
  <c r="D29" i="35"/>
  <c r="B34"/>
  <c r="F32" i="40"/>
  <c r="B32" i="35"/>
  <c r="F32" s="1"/>
  <c r="B33"/>
  <c r="D43" i="31"/>
  <c r="I43" s="1"/>
  <c r="I41" i="23"/>
  <c r="D38" i="35"/>
  <c r="D36"/>
  <c r="I39" i="23"/>
  <c r="D34" i="35"/>
  <c r="F34" s="1"/>
  <c r="I37" i="23"/>
  <c r="F34" i="40"/>
  <c r="H43" i="23"/>
  <c r="I19"/>
  <c r="I42"/>
  <c r="D39" i="35"/>
  <c r="D37"/>
  <c r="I40" i="23"/>
  <c r="I38"/>
  <c r="D35" i="35"/>
  <c r="I36" i="23"/>
  <c r="D33" i="35"/>
  <c r="B38"/>
  <c r="F38" s="1"/>
  <c r="F36" i="40"/>
  <c r="B36" i="35"/>
  <c r="F36" s="1"/>
  <c r="D43" i="23"/>
  <c r="I43" s="1"/>
  <c r="F37" i="40"/>
  <c r="B37" i="35"/>
  <c r="F37" s="1"/>
  <c r="B35"/>
  <c r="F35" s="1"/>
  <c r="F35" i="40"/>
  <c r="H43" i="29"/>
  <c r="I19"/>
  <c r="D16" i="35"/>
  <c r="I33" i="29"/>
  <c r="D30" i="35"/>
  <c r="I29" i="29"/>
  <c r="D26" i="35"/>
  <c r="I27" i="29"/>
  <c r="D24" i="35"/>
  <c r="I25" i="29"/>
  <c r="D22" i="35"/>
  <c r="I23" i="29"/>
  <c r="D20" i="35"/>
  <c r="D18"/>
  <c r="I21" i="29"/>
  <c r="I34"/>
  <c r="D31" i="35"/>
  <c r="I30" i="29"/>
  <c r="D27" i="35"/>
  <c r="I28" i="29"/>
  <c r="D25" i="35"/>
  <c r="I26" i="29"/>
  <c r="D23" i="35"/>
  <c r="I24" i="29"/>
  <c r="D21" i="35"/>
  <c r="D19"/>
  <c r="I22" i="29"/>
  <c r="I20"/>
  <c r="D17" i="35"/>
  <c r="F38" i="40"/>
  <c r="B39" i="35"/>
  <c r="F39" s="1"/>
  <c r="F39" i="40"/>
  <c r="F30"/>
  <c r="B30" i="35"/>
  <c r="F30" s="1"/>
  <c r="B28"/>
  <c r="F28" s="1"/>
  <c r="F28" i="40"/>
  <c r="F26"/>
  <c r="B26" i="35"/>
  <c r="F26" s="1"/>
  <c r="B24"/>
  <c r="B22"/>
  <c r="F22" s="1"/>
  <c r="F22" i="40"/>
  <c r="B20" i="35"/>
  <c r="F20" s="1"/>
  <c r="F20" i="40"/>
  <c r="F18"/>
  <c r="B18" i="35"/>
  <c r="F18" s="1"/>
  <c r="B16"/>
  <c r="D43" i="29"/>
  <c r="I43" s="1"/>
  <c r="B31" i="35"/>
  <c r="F31" s="1"/>
  <c r="F31" i="40"/>
  <c r="B29" i="35"/>
  <c r="F29" s="1"/>
  <c r="F29" i="40"/>
  <c r="F27"/>
  <c r="B27" i="35"/>
  <c r="F27" s="1"/>
  <c r="F25" i="40"/>
  <c r="B25" i="35"/>
  <c r="F25" s="1"/>
  <c r="B23"/>
  <c r="F23" s="1"/>
  <c r="F23" i="40"/>
  <c r="F21"/>
  <c r="B21" i="35"/>
  <c r="F21" s="1"/>
  <c r="F19" i="40"/>
  <c r="B19" i="35"/>
  <c r="F19" s="1"/>
  <c r="F17" i="40"/>
  <c r="B17" i="35"/>
  <c r="F17" s="1"/>
  <c r="I19" i="30"/>
  <c r="H43"/>
  <c r="D43"/>
  <c r="I43" s="1"/>
  <c r="B35" i="34"/>
  <c r="B33"/>
  <c r="B31"/>
  <c r="B29"/>
  <c r="B27"/>
  <c r="B25"/>
  <c r="B23"/>
  <c r="B21"/>
  <c r="B19"/>
  <c r="B17"/>
  <c r="B38"/>
  <c r="B36"/>
  <c r="B34"/>
  <c r="B32"/>
  <c r="B30"/>
  <c r="B28"/>
  <c r="B26"/>
  <c r="B24"/>
  <c r="B22"/>
  <c r="B20"/>
  <c r="B18"/>
  <c r="B39"/>
  <c r="B37"/>
  <c r="D16"/>
  <c r="H43" i="21"/>
  <c r="I19"/>
  <c r="I41"/>
  <c r="D38" i="34"/>
  <c r="D36"/>
  <c r="I39" i="21"/>
  <c r="D34" i="34"/>
  <c r="I37" i="21"/>
  <c r="I35"/>
  <c r="D32" i="34"/>
  <c r="D30"/>
  <c r="I33" i="21"/>
  <c r="D28" i="34"/>
  <c r="I31" i="21"/>
  <c r="D26" i="34"/>
  <c r="I29" i="21"/>
  <c r="I27"/>
  <c r="D24" i="34"/>
  <c r="D22"/>
  <c r="I25" i="21"/>
  <c r="D20" i="34"/>
  <c r="I23" i="21"/>
  <c r="D18" i="34"/>
  <c r="I21" i="21"/>
  <c r="I42"/>
  <c r="D39" i="34"/>
  <c r="D37"/>
  <c r="I40" i="21"/>
  <c r="D35" i="34"/>
  <c r="I38" i="21"/>
  <c r="D33" i="34"/>
  <c r="D45" s="1"/>
  <c r="H45" s="1"/>
  <c r="I36" i="21"/>
  <c r="I34"/>
  <c r="D31" i="34"/>
  <c r="I32" i="21"/>
  <c r="D29" i="34"/>
  <c r="D27"/>
  <c r="I30" i="21"/>
  <c r="D25" i="34"/>
  <c r="I28" i="21"/>
  <c r="I26"/>
  <c r="D23" i="34"/>
  <c r="I24" i="21"/>
  <c r="D21" i="34"/>
  <c r="F21" s="1"/>
  <c r="D19"/>
  <c r="I22" i="21"/>
  <c r="D17" i="34"/>
  <c r="I20" i="21"/>
  <c r="F35" i="34"/>
  <c r="F31"/>
  <c r="F29"/>
  <c r="F27"/>
  <c r="F25"/>
  <c r="F23"/>
  <c r="F19"/>
  <c r="F17"/>
  <c r="F38"/>
  <c r="F36"/>
  <c r="F34"/>
  <c r="F32"/>
  <c r="F30"/>
  <c r="F28"/>
  <c r="F26"/>
  <c r="F22"/>
  <c r="F20"/>
  <c r="F18"/>
  <c r="F39"/>
  <c r="F37"/>
  <c r="D43" i="21"/>
  <c r="I43" s="1"/>
  <c r="B16" i="34"/>
  <c r="F33"/>
  <c r="B45"/>
  <c r="E45" s="1"/>
  <c r="J45" s="1"/>
  <c r="F24"/>
  <c r="B44"/>
  <c r="E44" s="1"/>
  <c r="D27" i="33"/>
  <c r="I30" i="19"/>
  <c r="I20"/>
  <c r="H43"/>
  <c r="I43" s="1"/>
  <c r="D32" i="33"/>
  <c r="B28"/>
  <c r="B28" i="26"/>
  <c r="F38" i="33"/>
  <c r="I23" i="17"/>
  <c r="D20" i="7"/>
  <c r="I19" i="17"/>
  <c r="D16" i="7"/>
  <c r="H43" i="17"/>
  <c r="I22"/>
  <c r="D19" i="7"/>
  <c r="D35"/>
  <c r="I38" i="17"/>
  <c r="D21" i="7"/>
  <c r="I24" i="17"/>
  <c r="D24" i="7"/>
  <c r="I27" i="17"/>
  <c r="D25" i="7"/>
  <c r="I28" i="17"/>
  <c r="F20" i="7"/>
  <c r="F19"/>
  <c r="F21"/>
  <c r="F35"/>
  <c r="B37"/>
  <c r="B37" i="24"/>
  <c r="B36" i="7"/>
  <c r="B36" i="24"/>
  <c r="D43" i="17"/>
  <c r="I43" s="1"/>
  <c r="B31" i="7"/>
  <c r="B23"/>
  <c r="B18"/>
  <c r="B25"/>
  <c r="B27"/>
  <c r="B26"/>
  <c r="B28"/>
  <c r="B32"/>
  <c r="B38"/>
  <c r="B39"/>
  <c r="B24"/>
  <c r="B29"/>
  <c r="B34"/>
  <c r="B45" s="1"/>
  <c r="E45" s="1"/>
  <c r="I40" i="16"/>
  <c r="D37" i="7"/>
  <c r="F37" s="1"/>
  <c r="I25" i="16"/>
  <c r="D22" i="7"/>
  <c r="I30" i="16"/>
  <c r="D27" i="7"/>
  <c r="D28"/>
  <c r="I31" i="16"/>
  <c r="D34" i="7"/>
  <c r="I37" i="16"/>
  <c r="D36" i="7"/>
  <c r="I39" i="16"/>
  <c r="I34"/>
  <c r="D31" i="7"/>
  <c r="F31" s="1"/>
  <c r="D23"/>
  <c r="I26" i="16"/>
  <c r="D17" i="7"/>
  <c r="H43" i="16"/>
  <c r="I20"/>
  <c r="D18" i="7"/>
  <c r="F18" s="1"/>
  <c r="I21" i="16"/>
  <c r="D26" i="7"/>
  <c r="I29" i="16"/>
  <c r="I32"/>
  <c r="D29" i="7"/>
  <c r="D32"/>
  <c r="I35" i="16"/>
  <c r="F22" i="7"/>
  <c r="F23"/>
  <c r="F25"/>
  <c r="F27"/>
  <c r="F26"/>
  <c r="F28"/>
  <c r="F32"/>
  <c r="F17"/>
  <c r="F36"/>
  <c r="F38"/>
  <c r="F39"/>
  <c r="F29"/>
  <c r="F34"/>
  <c r="B16"/>
  <c r="D43" i="16"/>
  <c r="I43" s="1"/>
  <c r="B44" i="7"/>
  <c r="E44" s="1"/>
  <c r="F24"/>
  <c r="B19" i="24"/>
  <c r="I21" i="15"/>
  <c r="H43"/>
  <c r="B31" i="24"/>
  <c r="B31" i="6"/>
  <c r="B23" i="24"/>
  <c r="B23" i="6"/>
  <c r="B18" i="24"/>
  <c r="B18" i="6"/>
  <c r="B28"/>
  <c r="B28" i="24"/>
  <c r="D43" i="15"/>
  <c r="I43" s="1"/>
  <c r="B20" i="6"/>
  <c r="B20" i="24"/>
  <c r="B22"/>
  <c r="B22" i="6"/>
  <c r="B26" i="24"/>
  <c r="B26" i="6"/>
  <c r="B34"/>
  <c r="B34" i="24"/>
  <c r="B19" i="6"/>
  <c r="D39" i="24"/>
  <c r="D39" i="6"/>
  <c r="I42" i="14"/>
  <c r="D37" i="24"/>
  <c r="F37" s="1"/>
  <c r="D37" i="6"/>
  <c r="F37" s="1"/>
  <c r="I40" i="14"/>
  <c r="D35" i="24"/>
  <c r="I38" i="14"/>
  <c r="D35" i="6"/>
  <c r="D33" i="24"/>
  <c r="D33" i="6"/>
  <c r="I36" i="14"/>
  <c r="D31" i="24"/>
  <c r="F31" s="1"/>
  <c r="D31" i="6"/>
  <c r="F31" s="1"/>
  <c r="I34" i="14"/>
  <c r="D29" i="6"/>
  <c r="D29" i="24"/>
  <c r="I32" i="14"/>
  <c r="D27" i="6"/>
  <c r="I30" i="14"/>
  <c r="D27" i="24"/>
  <c r="D25"/>
  <c r="D25" i="6"/>
  <c r="I28" i="14"/>
  <c r="I26"/>
  <c r="D23" i="6"/>
  <c r="F23" s="1"/>
  <c r="D23" i="24"/>
  <c r="F23" s="1"/>
  <c r="D21"/>
  <c r="I24" i="14"/>
  <c r="D21" i="6"/>
  <c r="D19" i="24"/>
  <c r="F19" s="1"/>
  <c r="I22" i="14"/>
  <c r="D19" i="6"/>
  <c r="D17"/>
  <c r="I20" i="14"/>
  <c r="D17" i="24"/>
  <c r="D38" i="6"/>
  <c r="D38" i="24"/>
  <c r="I41" i="14"/>
  <c r="D36" i="6"/>
  <c r="F36" s="1"/>
  <c r="I39" i="14"/>
  <c r="D36" i="24"/>
  <c r="F36" s="1"/>
  <c r="D34" i="6"/>
  <c r="F34" s="1"/>
  <c r="I37" i="14"/>
  <c r="D34" i="24"/>
  <c r="F34" s="1"/>
  <c r="I35" i="14"/>
  <c r="D32" i="6"/>
  <c r="D32" i="24"/>
  <c r="D30" i="6"/>
  <c r="I33" i="14"/>
  <c r="D30" i="24"/>
  <c r="D28" i="6"/>
  <c r="F28" s="1"/>
  <c r="D28" i="24"/>
  <c r="F28" s="1"/>
  <c r="I31" i="14"/>
  <c r="D28" i="25"/>
  <c r="D26" i="24"/>
  <c r="F26" s="1"/>
  <c r="I29" i="14"/>
  <c r="D26" i="6"/>
  <c r="F26" s="1"/>
  <c r="D26" i="25"/>
  <c r="D24" i="6"/>
  <c r="D44" s="1"/>
  <c r="H44" s="1"/>
  <c r="I27" i="14"/>
  <c r="D24" i="24"/>
  <c r="D44" s="1"/>
  <c r="H44" s="1"/>
  <c r="D22"/>
  <c r="F22" s="1"/>
  <c r="I25" i="14"/>
  <c r="D22" i="6"/>
  <c r="F22" s="1"/>
  <c r="D20" i="24"/>
  <c r="F20" s="1"/>
  <c r="D20" i="6"/>
  <c r="F20" s="1"/>
  <c r="I23" i="14"/>
  <c r="D18" i="6"/>
  <c r="F18" s="1"/>
  <c r="I21" i="14"/>
  <c r="D18" i="24"/>
  <c r="F18" s="1"/>
  <c r="D16"/>
  <c r="H43" i="14"/>
  <c r="I19"/>
  <c r="D16" i="6"/>
  <c r="B38" i="24"/>
  <c r="F38" s="1"/>
  <c r="B38" i="6"/>
  <c r="B21" i="24"/>
  <c r="F21" s="1"/>
  <c r="B21" i="6"/>
  <c r="F21" s="1"/>
  <c r="B24" i="24"/>
  <c r="B24" i="6"/>
  <c r="B25"/>
  <c r="F25" s="1"/>
  <c r="B25" i="24"/>
  <c r="F25" s="1"/>
  <c r="B29"/>
  <c r="F29" s="1"/>
  <c r="B29" i="6"/>
  <c r="F29" s="1"/>
  <c r="B32"/>
  <c r="F32" s="1"/>
  <c r="B32" i="24"/>
  <c r="F32" s="1"/>
  <c r="B30"/>
  <c r="F30" s="1"/>
  <c r="B30" i="6"/>
  <c r="B16"/>
  <c r="B16" i="24"/>
  <c r="D43" i="14"/>
  <c r="I43" s="1"/>
  <c r="B17" i="6"/>
  <c r="F17" s="1"/>
  <c r="B17" i="24"/>
  <c r="F17" s="1"/>
  <c r="B27"/>
  <c r="B27" i="6"/>
  <c r="F27" s="1"/>
  <c r="B35" i="24"/>
  <c r="B35" i="6"/>
  <c r="F35" s="1"/>
  <c r="B39" i="24"/>
  <c r="B39" i="6"/>
  <c r="F39" s="1"/>
  <c r="H43" i="39"/>
  <c r="I19"/>
  <c r="I43"/>
  <c r="H43" i="38"/>
  <c r="I19"/>
  <c r="D43"/>
  <c r="I43" s="1"/>
  <c r="B38" i="26"/>
  <c r="B29"/>
  <c r="H43" i="37"/>
  <c r="I19"/>
  <c r="D38" i="26"/>
  <c r="I41" i="37"/>
  <c r="I35"/>
  <c r="D32" i="26"/>
  <c r="I43" i="37"/>
  <c r="B34" i="26"/>
  <c r="B24"/>
  <c r="B35"/>
  <c r="B26"/>
  <c r="B23"/>
  <c r="D27"/>
  <c r="I30" i="36"/>
  <c r="I40"/>
  <c r="D37" i="26"/>
  <c r="H43" i="36"/>
  <c r="I20"/>
  <c r="I43"/>
  <c r="H43" i="22"/>
  <c r="I19"/>
  <c r="D16" i="33"/>
  <c r="D16" i="26"/>
  <c r="D22" i="33"/>
  <c r="I25" i="22"/>
  <c r="D22" i="26"/>
  <c r="D21" i="33"/>
  <c r="D21" i="26"/>
  <c r="I24" i="22"/>
  <c r="D30" i="33"/>
  <c r="I33" i="22"/>
  <c r="D30" i="26"/>
  <c r="D29" i="33"/>
  <c r="F29" s="1"/>
  <c r="I32" i="22"/>
  <c r="D29" i="26"/>
  <c r="F29" s="1"/>
  <c r="I28" i="22"/>
  <c r="D25" i="33"/>
  <c r="D25" i="26"/>
  <c r="B36" i="33"/>
  <c r="B36" i="26"/>
  <c r="B19" i="33"/>
  <c r="B19" i="26"/>
  <c r="B37" i="33"/>
  <c r="B37" i="26"/>
  <c r="F37" s="1"/>
  <c r="D43" i="22"/>
  <c r="I43" s="1"/>
  <c r="F37" i="33"/>
  <c r="I42" i="18"/>
  <c r="D39" i="26"/>
  <c r="D39" i="33"/>
  <c r="I38" i="18"/>
  <c r="D35" i="26"/>
  <c r="F35" s="1"/>
  <c r="D35" i="33"/>
  <c r="F35" s="1"/>
  <c r="D33"/>
  <c r="D33" i="26"/>
  <c r="I36" i="18"/>
  <c r="D28" i="26"/>
  <c r="F28" s="1"/>
  <c r="I31" i="18"/>
  <c r="D28" i="33"/>
  <c r="F28" s="1"/>
  <c r="D24"/>
  <c r="I27" i="18"/>
  <c r="D24" i="26"/>
  <c r="I23" i="18"/>
  <c r="D20" i="26"/>
  <c r="D20" i="33"/>
  <c r="D18"/>
  <c r="D18" i="26"/>
  <c r="I21" i="18"/>
  <c r="I39"/>
  <c r="D36" i="26"/>
  <c r="D36" i="33"/>
  <c r="F36" s="1"/>
  <c r="I37" i="18"/>
  <c r="D34" i="33"/>
  <c r="F34" s="1"/>
  <c r="D34" i="26"/>
  <c r="F34" s="1"/>
  <c r="D31" i="33"/>
  <c r="I34" i="18"/>
  <c r="D31" i="26"/>
  <c r="D26" i="33"/>
  <c r="F26" s="1"/>
  <c r="D26" i="26"/>
  <c r="I29" i="18"/>
  <c r="D23" i="33"/>
  <c r="F23" s="1"/>
  <c r="I26" i="18"/>
  <c r="D23" i="26"/>
  <c r="F23" s="1"/>
  <c r="D19" i="33"/>
  <c r="F19" s="1"/>
  <c r="I22" i="18"/>
  <c r="D19" i="26"/>
  <c r="H43" i="18"/>
  <c r="D17" i="33"/>
  <c r="D17" i="26"/>
  <c r="I20" i="18"/>
  <c r="D28" i="27"/>
  <c r="F38" i="26"/>
  <c r="D43" i="18"/>
  <c r="I43" s="1"/>
  <c r="B16" i="33"/>
  <c r="B16" i="26"/>
  <c r="B33" i="33"/>
  <c r="B33" i="26"/>
  <c r="B31" i="33"/>
  <c r="F31" s="1"/>
  <c r="B31" i="26"/>
  <c r="F31" s="1"/>
  <c r="B27" i="33"/>
  <c r="F27" s="1"/>
  <c r="B27" i="26"/>
  <c r="F27" s="1"/>
  <c r="B22" i="33"/>
  <c r="F22" s="1"/>
  <c r="B22" i="26"/>
  <c r="F22" s="1"/>
  <c r="B20" i="33"/>
  <c r="F20" s="1"/>
  <c r="B20" i="26"/>
  <c r="F20" s="1"/>
  <c r="B17" i="33"/>
  <c r="F17" s="1"/>
  <c r="B17" i="26"/>
  <c r="F17" s="1"/>
  <c r="B39"/>
  <c r="F39" s="1"/>
  <c r="B39" i="33"/>
  <c r="F39" s="1"/>
  <c r="B32"/>
  <c r="F32" s="1"/>
  <c r="B32" i="26"/>
  <c r="F32" s="1"/>
  <c r="B30" i="33"/>
  <c r="F30" s="1"/>
  <c r="B30" i="26"/>
  <c r="F30" s="1"/>
  <c r="B25" i="33"/>
  <c r="F25" s="1"/>
  <c r="B25" i="26"/>
  <c r="F25" s="1"/>
  <c r="B21" i="33"/>
  <c r="F21" s="1"/>
  <c r="B21" i="26"/>
  <c r="F21" s="1"/>
  <c r="B18" i="33"/>
  <c r="F18" s="1"/>
  <c r="B18" i="26"/>
  <c r="F18" s="1"/>
  <c r="D36" i="25"/>
  <c r="D36" i="27" s="1"/>
  <c r="D36" i="1"/>
  <c r="I39" i="13"/>
  <c r="D39" i="1"/>
  <c r="I42" i="13"/>
  <c r="D39" i="25"/>
  <c r="D39" i="27" s="1"/>
  <c r="D31" i="25"/>
  <c r="D31" i="27" s="1"/>
  <c r="I34" i="13"/>
  <c r="D31" i="1"/>
  <c r="D24"/>
  <c r="D24" i="25"/>
  <c r="I27" i="13"/>
  <c r="I22"/>
  <c r="D19" i="1"/>
  <c r="D19" i="25"/>
  <c r="D19" i="27" s="1"/>
  <c r="I30" i="13"/>
  <c r="D27" i="25"/>
  <c r="D27" i="27" s="1"/>
  <c r="D27" i="1"/>
  <c r="D38" i="25"/>
  <c r="D38" i="27" s="1"/>
  <c r="I41" i="13"/>
  <c r="D37" i="1"/>
  <c r="D37" i="25"/>
  <c r="D37" i="27" s="1"/>
  <c r="I40" i="13"/>
  <c r="D30" i="1"/>
  <c r="D30" i="25"/>
  <c r="D30" i="27" s="1"/>
  <c r="I33" i="13"/>
  <c r="D17" i="25"/>
  <c r="D17" i="27" s="1"/>
  <c r="H43" i="13"/>
  <c r="I20"/>
  <c r="D17" i="1"/>
  <c r="D25"/>
  <c r="D25" i="25"/>
  <c r="D25" i="27" s="1"/>
  <c r="I28" i="13"/>
  <c r="D38" i="1"/>
  <c r="D43" i="13"/>
  <c r="I43" s="1"/>
  <c r="D21" i="25"/>
  <c r="D21" i="27" s="1"/>
  <c r="D21" i="1"/>
  <c r="I24" i="5"/>
  <c r="I25"/>
  <c r="D22" i="1"/>
  <c r="D22" i="25"/>
  <c r="D22" i="27" s="1"/>
  <c r="D18" i="1"/>
  <c r="D18" i="25"/>
  <c r="D18" i="27" s="1"/>
  <c r="I21" i="5"/>
  <c r="D35" i="25"/>
  <c r="D35" i="27" s="1"/>
  <c r="D35" i="1"/>
  <c r="I38" i="5"/>
  <c r="D33" i="1"/>
  <c r="I36" i="5"/>
  <c r="D33" i="25"/>
  <c r="I23" i="5"/>
  <c r="D20" i="25"/>
  <c r="D20" i="27" s="1"/>
  <c r="D20" i="1"/>
  <c r="D16"/>
  <c r="I19" i="5"/>
  <c r="H43"/>
  <c r="D16" i="25"/>
  <c r="D23" i="1"/>
  <c r="I26" i="5"/>
  <c r="D23" i="25"/>
  <c r="D23" i="27" s="1"/>
  <c r="D29" i="25"/>
  <c r="D29" i="27" s="1"/>
  <c r="D29" i="1"/>
  <c r="I32" i="5"/>
  <c r="I37"/>
  <c r="D34" i="25"/>
  <c r="D34" i="27" s="1"/>
  <c r="D34" i="1"/>
  <c r="I35" i="5"/>
  <c r="D32" i="25"/>
  <c r="D32" i="27" s="1"/>
  <c r="D32" i="1"/>
  <c r="B38" i="25"/>
  <c r="B38" i="1"/>
  <c r="B37"/>
  <c r="F37" s="1"/>
  <c r="B37" i="25"/>
  <c r="B30" i="1"/>
  <c r="F30" s="1"/>
  <c r="B30" i="25"/>
  <c r="B20"/>
  <c r="B20" i="1"/>
  <c r="F20" s="1"/>
  <c r="B16"/>
  <c r="B16" i="25"/>
  <c r="D43" i="5"/>
  <c r="I43" s="1"/>
  <c r="B23" i="1"/>
  <c r="B23" i="25"/>
  <c r="B17" i="1"/>
  <c r="F17" s="1"/>
  <c r="B17" i="25"/>
  <c r="B19" i="1"/>
  <c r="F19" s="1"/>
  <c r="B19" i="25"/>
  <c r="B27"/>
  <c r="B27" i="1"/>
  <c r="F27" s="1"/>
  <c r="B28"/>
  <c r="F28" s="1"/>
  <c r="B28" i="25"/>
  <c r="B35"/>
  <c r="B35" i="1"/>
  <c r="F35" s="1"/>
  <c r="B33" i="25"/>
  <c r="B33" i="1"/>
  <c r="B36" i="25"/>
  <c r="B36" i="1"/>
  <c r="F36" s="1"/>
  <c r="B39"/>
  <c r="F39" s="1"/>
  <c r="B39" i="25"/>
  <c r="B31" i="1"/>
  <c r="F31" s="1"/>
  <c r="B31" i="25"/>
  <c r="B21"/>
  <c r="B21" i="1"/>
  <c r="F21" s="1"/>
  <c r="B22" i="25"/>
  <c r="B22" i="1"/>
  <c r="F22" s="1"/>
  <c r="B24" i="25"/>
  <c r="B24" i="1"/>
  <c r="B18"/>
  <c r="F18" s="1"/>
  <c r="B18" i="25"/>
  <c r="B25" i="1"/>
  <c r="F25" s="1"/>
  <c r="B25" i="25"/>
  <c r="B26"/>
  <c r="B26" i="1"/>
  <c r="F26" s="1"/>
  <c r="B29"/>
  <c r="F29" s="1"/>
  <c r="B29" i="25"/>
  <c r="B34" i="1"/>
  <c r="F34" s="1"/>
  <c r="B34" i="25"/>
  <c r="B32" i="1"/>
  <c r="F32" s="1"/>
  <c r="B32" i="25"/>
  <c r="F23" i="1" l="1"/>
  <c r="F38"/>
  <c r="D45" i="7"/>
  <c r="H45" s="1"/>
  <c r="D44" i="35"/>
  <c r="H44" s="1"/>
  <c r="D45" i="26"/>
  <c r="H45" s="1"/>
  <c r="D44" i="40"/>
  <c r="H44" s="1"/>
  <c r="B45" i="35"/>
  <c r="E45" s="1"/>
  <c r="B44" i="26"/>
  <c r="E44" s="1"/>
  <c r="B45" i="40"/>
  <c r="E45" s="1"/>
  <c r="D45"/>
  <c r="H45" s="1"/>
  <c r="F33"/>
  <c r="D45" i="35"/>
  <c r="H45" s="1"/>
  <c r="J45" s="1"/>
  <c r="F33"/>
  <c r="D46" i="40"/>
  <c r="H46" s="1"/>
  <c r="D40"/>
  <c r="D46" i="35"/>
  <c r="H46" s="1"/>
  <c r="D40"/>
  <c r="B46"/>
  <c r="E46" s="1"/>
  <c r="J46" s="1"/>
  <c r="F16"/>
  <c r="B40"/>
  <c r="B44"/>
  <c r="E44" s="1"/>
  <c r="J44" s="1"/>
  <c r="F24"/>
  <c r="F16" i="40"/>
  <c r="B40"/>
  <c r="F40" s="1"/>
  <c r="B46"/>
  <c r="E46" s="1"/>
  <c r="F24"/>
  <c r="B44"/>
  <c r="E44" s="1"/>
  <c r="J44" s="1"/>
  <c r="D44" i="34"/>
  <c r="H44" s="1"/>
  <c r="J44" s="1"/>
  <c r="D40"/>
  <c r="D46"/>
  <c r="H46" s="1"/>
  <c r="F16"/>
  <c r="B46"/>
  <c r="E46" s="1"/>
  <c r="J46" s="1"/>
  <c r="B40"/>
  <c r="F40" s="1"/>
  <c r="D45" i="33"/>
  <c r="H45" s="1"/>
  <c r="B44"/>
  <c r="E44" s="1"/>
  <c r="D44" i="7"/>
  <c r="H44" s="1"/>
  <c r="J44" s="1"/>
  <c r="D40"/>
  <c r="D46"/>
  <c r="H46" s="1"/>
  <c r="J45"/>
  <c r="B45" i="24"/>
  <c r="E45" s="1"/>
  <c r="B40" i="7"/>
  <c r="F40" s="1"/>
  <c r="F16"/>
  <c r="B46"/>
  <c r="E46" s="1"/>
  <c r="J46" s="1"/>
  <c r="F19" i="6"/>
  <c r="B45"/>
  <c r="E45" s="1"/>
  <c r="D46"/>
  <c r="H46" s="1"/>
  <c r="D40"/>
  <c r="F33"/>
  <c r="D45"/>
  <c r="H45" s="1"/>
  <c r="J45" s="1"/>
  <c r="D46" i="24"/>
  <c r="H46" s="1"/>
  <c r="D40"/>
  <c r="D45"/>
  <c r="H45" s="1"/>
  <c r="J45" s="1"/>
  <c r="F33"/>
  <c r="F39"/>
  <c r="F35"/>
  <c r="F27"/>
  <c r="F30" i="6"/>
  <c r="F38"/>
  <c r="F16"/>
  <c r="B46"/>
  <c r="E46" s="1"/>
  <c r="J46" s="1"/>
  <c r="B40"/>
  <c r="F40" s="1"/>
  <c r="B44" i="24"/>
  <c r="E44" s="1"/>
  <c r="J44" s="1"/>
  <c r="F24"/>
  <c r="B46"/>
  <c r="E46" s="1"/>
  <c r="J46" s="1"/>
  <c r="B40"/>
  <c r="F40" s="1"/>
  <c r="F16"/>
  <c r="B44" i="6"/>
  <c r="E44" s="1"/>
  <c r="J44" s="1"/>
  <c r="F24"/>
  <c r="F19" i="26"/>
  <c r="F36"/>
  <c r="D46" i="33"/>
  <c r="H46" s="1"/>
  <c r="D40"/>
  <c r="D46" i="26"/>
  <c r="H46" s="1"/>
  <c r="D40"/>
  <c r="D44"/>
  <c r="H44" s="1"/>
  <c r="J44" s="1"/>
  <c r="F24"/>
  <c r="D44" i="33"/>
  <c r="H44" s="1"/>
  <c r="J44" s="1"/>
  <c r="F24"/>
  <c r="F26" i="26"/>
  <c r="D26" i="27"/>
  <c r="B45" i="26"/>
  <c r="E45" s="1"/>
  <c r="J45" s="1"/>
  <c r="F33"/>
  <c r="B46"/>
  <c r="E46" s="1"/>
  <c r="J46" s="1"/>
  <c r="B40"/>
  <c r="F40" s="1"/>
  <c r="F16"/>
  <c r="B45" i="33"/>
  <c r="E45" s="1"/>
  <c r="J45" s="1"/>
  <c r="F33"/>
  <c r="F16"/>
  <c r="B46"/>
  <c r="E46" s="1"/>
  <c r="J46" s="1"/>
  <c r="B40"/>
  <c r="F40" s="1"/>
  <c r="D44" i="25"/>
  <c r="H44" s="1"/>
  <c r="D24" i="27"/>
  <c r="D44" s="1"/>
  <c r="H44" s="1"/>
  <c r="D45" i="1"/>
  <c r="H45" s="1"/>
  <c r="D44"/>
  <c r="H44" s="1"/>
  <c r="D46"/>
  <c r="H46" s="1"/>
  <c r="D40"/>
  <c r="D45" i="25"/>
  <c r="H45" s="1"/>
  <c r="D33" i="27"/>
  <c r="D45" s="1"/>
  <c r="H45" s="1"/>
  <c r="D46" i="25"/>
  <c r="H46" s="1"/>
  <c r="D40"/>
  <c r="D16" i="27"/>
  <c r="F32" i="25"/>
  <c r="B32" i="27"/>
  <c r="F32" s="1"/>
  <c r="F34" i="25"/>
  <c r="B34" i="27"/>
  <c r="F34" s="1"/>
  <c r="F29" i="25"/>
  <c r="B29" i="27"/>
  <c r="F29" s="1"/>
  <c r="F25" i="25"/>
  <c r="B25" i="27"/>
  <c r="F25" s="1"/>
  <c r="F18" i="25"/>
  <c r="B18" i="27"/>
  <c r="F18" s="1"/>
  <c r="F24" i="1"/>
  <c r="B44"/>
  <c r="E44" s="1"/>
  <c r="J44" s="1"/>
  <c r="B31" i="27"/>
  <c r="F31" s="1"/>
  <c r="F31" i="25"/>
  <c r="F39"/>
  <c r="B39" i="27"/>
  <c r="F39" s="1"/>
  <c r="F33" i="1"/>
  <c r="B45"/>
  <c r="E45" s="1"/>
  <c r="J45" s="1"/>
  <c r="B28" i="27"/>
  <c r="F28" s="1"/>
  <c r="F28" i="25"/>
  <c r="F19"/>
  <c r="B19" i="27"/>
  <c r="F19" s="1"/>
  <c r="F17" i="25"/>
  <c r="B17" i="27"/>
  <c r="F17" s="1"/>
  <c r="B23"/>
  <c r="F23" s="1"/>
  <c r="F23" i="25"/>
  <c r="F16" i="1"/>
  <c r="B40"/>
  <c r="F40" s="1"/>
  <c r="B46"/>
  <c r="E46" s="1"/>
  <c r="B20" i="27"/>
  <c r="F20" s="1"/>
  <c r="F20" i="25"/>
  <c r="B38" i="27"/>
  <c r="F38" s="1"/>
  <c r="F38" i="25"/>
  <c r="B26" i="27"/>
  <c r="F26" i="25"/>
  <c r="F24"/>
  <c r="B24" i="27"/>
  <c r="B44" i="25"/>
  <c r="E44" s="1"/>
  <c r="J44" s="1"/>
  <c r="F22"/>
  <c r="B22" i="27"/>
  <c r="F22" s="1"/>
  <c r="F21" i="25"/>
  <c r="B21" i="27"/>
  <c r="F21" s="1"/>
  <c r="B36"/>
  <c r="F36" s="1"/>
  <c r="F36" i="25"/>
  <c r="F33"/>
  <c r="B45"/>
  <c r="E45" s="1"/>
  <c r="J45" s="1"/>
  <c r="B33" i="27"/>
  <c r="B35"/>
  <c r="F35" s="1"/>
  <c r="F35" i="25"/>
  <c r="F27"/>
  <c r="B27" i="27"/>
  <c r="F27" s="1"/>
  <c r="B46" i="25"/>
  <c r="E46" s="1"/>
  <c r="J46" s="1"/>
  <c r="F16"/>
  <c r="B40"/>
  <c r="B16" i="27"/>
  <c r="B30"/>
  <c r="F30" s="1"/>
  <c r="F30" i="25"/>
  <c r="F37"/>
  <c r="B37" i="27"/>
  <c r="F37" s="1"/>
  <c r="J46" i="40" l="1"/>
  <c r="F40" i="35"/>
  <c r="J45" i="40"/>
  <c r="F40" i="25"/>
  <c r="F26" i="27"/>
  <c r="D46"/>
  <c r="H46" s="1"/>
  <c r="D40"/>
  <c r="J46" i="1"/>
  <c r="B40" i="27"/>
  <c r="F40" s="1"/>
  <c r="B46"/>
  <c r="E46" s="1"/>
  <c r="J46" s="1"/>
  <c r="F16"/>
  <c r="F33"/>
  <c r="B45"/>
  <c r="E45" s="1"/>
  <c r="J45" s="1"/>
  <c r="B44"/>
  <c r="E44" s="1"/>
  <c r="J44" s="1"/>
  <c r="F24"/>
</calcChain>
</file>

<file path=xl/sharedStrings.xml><?xml version="1.0" encoding="utf-8"?>
<sst xmlns="http://schemas.openxmlformats.org/spreadsheetml/2006/main" count="5358" uniqueCount="392">
  <si>
    <t>ПРОТОКОЛ (суммарный)</t>
  </si>
  <si>
    <t>(предприятию или отдельно питающему центру)</t>
  </si>
  <si>
    <t>Часы</t>
  </si>
  <si>
    <t>активной кВт</t>
  </si>
  <si>
    <t>реактивной кВар</t>
  </si>
  <si>
    <t>Тангенс "фи"</t>
  </si>
  <si>
    <t>Кол. пр.</t>
  </si>
  <si>
    <t>0-00</t>
  </si>
  <si>
    <t>1-00</t>
  </si>
  <si>
    <t>2-00</t>
  </si>
  <si>
    <t>3-00</t>
  </si>
  <si>
    <t>4-00</t>
  </si>
  <si>
    <t>5-00</t>
  </si>
  <si>
    <t>6-00</t>
  </si>
  <si>
    <t>7-00</t>
  </si>
  <si>
    <t>8-00</t>
  </si>
  <si>
    <t>9-00</t>
  </si>
  <si>
    <t>10-00</t>
  </si>
  <si>
    <t>11-00</t>
  </si>
  <si>
    <t>12-00</t>
  </si>
  <si>
    <t>13-00</t>
  </si>
  <si>
    <t>14-00</t>
  </si>
  <si>
    <t>15-00</t>
  </si>
  <si>
    <t>16-00</t>
  </si>
  <si>
    <t>17-00</t>
  </si>
  <si>
    <t>18-00</t>
  </si>
  <si>
    <t>19-00</t>
  </si>
  <si>
    <t>20-00</t>
  </si>
  <si>
    <t>21-00</t>
  </si>
  <si>
    <t>22-00</t>
  </si>
  <si>
    <t>23-00</t>
  </si>
  <si>
    <t>24-00</t>
  </si>
  <si>
    <t>А сутки</t>
  </si>
  <si>
    <t>КС</t>
  </si>
  <si>
    <t>Включенные компенсирующие</t>
  </si>
  <si>
    <t>устройства кВар</t>
  </si>
  <si>
    <t>Суммарный расход эл. энергии</t>
  </si>
  <si>
    <t>Потребление эл. энергии</t>
  </si>
  <si>
    <t>активной кВт ч</t>
  </si>
  <si>
    <t>реактивной кВар ч</t>
  </si>
  <si>
    <t>Средняя нагрузка</t>
  </si>
  <si>
    <t>активная кВт</t>
  </si>
  <si>
    <t>реактивная кВар</t>
  </si>
  <si>
    <t>с 17 до 21</t>
  </si>
  <si>
    <t>с 0 до 24</t>
  </si>
  <si>
    <t xml:space="preserve">                     (наименование предприятия)</t>
  </si>
  <si>
    <t xml:space="preserve">                                   (адрес)</t>
  </si>
  <si>
    <t xml:space="preserve">                     (министерство, ведомство)</t>
  </si>
  <si>
    <t>ПРОТОКОЛ (первичный)</t>
  </si>
  <si>
    <t>записей показания электросчетчиков и вольтметров, а также определение</t>
  </si>
  <si>
    <t>Время записи часы</t>
  </si>
  <si>
    <t>показ.</t>
  </si>
  <si>
    <t>сч-ка</t>
  </si>
  <si>
    <t>разность</t>
  </si>
  <si>
    <t>расход за</t>
  </si>
  <si>
    <t>час (кВт)</t>
  </si>
  <si>
    <t>Активн. сч-к тип</t>
  </si>
  <si>
    <t>____________л__</t>
  </si>
  <si>
    <t>Расчетн. коэф</t>
  </si>
  <si>
    <t>Реактивн. сч-к тип</t>
  </si>
  <si>
    <t>Показание</t>
  </si>
  <si>
    <t>вольтметр.</t>
  </si>
  <si>
    <t>на стороне</t>
  </si>
  <si>
    <t>в\н</t>
  </si>
  <si>
    <t>н\н</t>
  </si>
  <si>
    <t>Мощность</t>
  </si>
  <si>
    <t>включен.</t>
  </si>
  <si>
    <t>компенсир.</t>
  </si>
  <si>
    <t>устройств</t>
  </si>
  <si>
    <t>кВар</t>
  </si>
  <si>
    <t>Суточн. расход эл. энергии</t>
  </si>
  <si>
    <t>Контрольная сумма</t>
  </si>
  <si>
    <t>Запись показаний счетчиков производили:</t>
  </si>
  <si>
    <t>Расчеты произвел:</t>
  </si>
  <si>
    <t>___________________</t>
  </si>
  <si>
    <t>фамилия</t>
  </si>
  <si>
    <t>(подпись)</t>
  </si>
  <si>
    <t>_______________</t>
  </si>
  <si>
    <t>1. Трансформаторы</t>
  </si>
  <si>
    <t>№№</t>
  </si>
  <si>
    <t>п/п</t>
  </si>
  <si>
    <t>Место установки</t>
  </si>
  <si>
    <t>Номинальн.</t>
  </si>
  <si>
    <t>напряжение</t>
  </si>
  <si>
    <t>________ кВ</t>
  </si>
  <si>
    <t>Включен.</t>
  </si>
  <si>
    <t>на ответвление</t>
  </si>
  <si>
    <t>Назначение</t>
  </si>
  <si>
    <t>тр-ра</t>
  </si>
  <si>
    <t>силов. освет.</t>
  </si>
  <si>
    <t>печной</t>
  </si>
  <si>
    <t>Примечание</t>
  </si>
  <si>
    <t>2. Высоковольтные электродвигатели</t>
  </si>
  <si>
    <t>Номинальная</t>
  </si>
  <si>
    <t xml:space="preserve"> мощность кВт</t>
  </si>
  <si>
    <t>Указать отдельно рабочие и запломбированные трансформаторы и высоковольтные электродвигатели</t>
  </si>
  <si>
    <t>I.  Сведения о присоединенных трансформаторах и высоковольтных электродвигателях</t>
  </si>
  <si>
    <t>II. Статконденсаторы всех напряжений</t>
  </si>
  <si>
    <t>Место</t>
  </si>
  <si>
    <t>установки</t>
  </si>
  <si>
    <t>Номинальное</t>
  </si>
  <si>
    <t>кВ</t>
  </si>
  <si>
    <t>мощность</t>
  </si>
  <si>
    <t>В т.ч. с</t>
  </si>
  <si>
    <t>авторегулир.</t>
  </si>
  <si>
    <t>и отключения</t>
  </si>
  <si>
    <t>установки за сутки</t>
  </si>
  <si>
    <t>Тип</t>
  </si>
  <si>
    <t>(синхронный,</t>
  </si>
  <si>
    <t>III. Синхронные электродвигатели напряжением до 1000 В</t>
  </si>
  <si>
    <t>мощность кВт</t>
  </si>
  <si>
    <t>№ п-п</t>
  </si>
  <si>
    <t>нагрузок и тангенса "фи" за</t>
  </si>
  <si>
    <t>напряжения</t>
  </si>
  <si>
    <t>вольт</t>
  </si>
  <si>
    <t>№№ п/п</t>
  </si>
  <si>
    <t>Наименование</t>
  </si>
  <si>
    <t>Работающие</t>
  </si>
  <si>
    <t>Резервные</t>
  </si>
  <si>
    <t>шт.</t>
  </si>
  <si>
    <t>суммарная</t>
  </si>
  <si>
    <t>мощность кВа, кВт</t>
  </si>
  <si>
    <t>Трансформаторы</t>
  </si>
  <si>
    <t>а) головные 110-3510-6 кВ</t>
  </si>
  <si>
    <t>б) рабочие 10-610, 4-23 кВ</t>
  </si>
  <si>
    <t>Высоковольтные эл. двигатели</t>
  </si>
  <si>
    <t>а) асинхронные</t>
  </si>
  <si>
    <t>б) синхронные</t>
  </si>
  <si>
    <t>Синхронные эл. двигатели</t>
  </si>
  <si>
    <t>напряжением до 1000 В</t>
  </si>
  <si>
    <t>кол-во батарей</t>
  </si>
  <si>
    <t>в т.ч. с автом. регулир. кВар</t>
  </si>
  <si>
    <t>Статистические конденсаторы</t>
  </si>
  <si>
    <t>а) высоковольтные</t>
  </si>
  <si>
    <t>б) низковольтные</t>
  </si>
  <si>
    <t>ПРИМЕЧАНИЕ: Суммарный протокол составляется:</t>
  </si>
  <si>
    <t>а)</t>
  </si>
  <si>
    <t>по предприятию в целом с субабонентами;</t>
  </si>
  <si>
    <t>б)</t>
  </si>
  <si>
    <t>в)</t>
  </si>
  <si>
    <t>по каждому центру энергосистемы (эл. станция: районной подстанции;</t>
  </si>
  <si>
    <t>перепродавцу, от подстанции промышленного предприятия, если</t>
  </si>
  <si>
    <t xml:space="preserve"> предприятие питается от этого центра по 2-м и более фидерам;</t>
  </si>
  <si>
    <t>г)</t>
  </si>
  <si>
    <t>по каждой абонентской подстанции 110-35 кВ при наличии 2-х и более</t>
  </si>
  <si>
    <t>расчетных фидеров;</t>
  </si>
  <si>
    <t>д)</t>
  </si>
  <si>
    <t>по каждому субабоненту, если он питается по 2-м и более фидерам;</t>
  </si>
  <si>
    <t>е)</t>
  </si>
  <si>
    <t>по всем субабонентам, если их 2 и более.</t>
  </si>
  <si>
    <t>Главный энергетик</t>
  </si>
  <si>
    <t>по</t>
  </si>
  <si>
    <t xml:space="preserve">вычисления нагрузок и тангенса "фи" за </t>
  </si>
  <si>
    <t>с 8 до 11</t>
  </si>
  <si>
    <t>Шифр</t>
  </si>
  <si>
    <t>Питающий центр</t>
  </si>
  <si>
    <t>№ фидера</t>
  </si>
  <si>
    <t xml:space="preserve">                 ОАО "Пластик"                         </t>
  </si>
  <si>
    <t xml:space="preserve">        г. Узловая, Тульская, 1                      </t>
  </si>
  <si>
    <t xml:space="preserve">                                                                    </t>
  </si>
  <si>
    <t xml:space="preserve">                                                    </t>
  </si>
  <si>
    <t xml:space="preserve">                ОАО "Пластик"                        </t>
  </si>
  <si>
    <t xml:space="preserve">        г. Узловая, Тульская, 1                    </t>
  </si>
  <si>
    <t xml:space="preserve">                                  </t>
  </si>
  <si>
    <t>предприятию без субабонентов</t>
  </si>
  <si>
    <t>ТП-13, РП-19</t>
  </si>
  <si>
    <t>РТП-1</t>
  </si>
  <si>
    <t>КТП-22,23,24,25</t>
  </si>
  <si>
    <t>РП-1</t>
  </si>
  <si>
    <t>ТП-13, РТП-1</t>
  </si>
  <si>
    <t>КТП-4, 29,30</t>
  </si>
  <si>
    <t>РП-воздуход</t>
  </si>
  <si>
    <t>КТП-4, 30</t>
  </si>
  <si>
    <t>РП-воздуход.</t>
  </si>
  <si>
    <t>КТП-27,28,</t>
  </si>
  <si>
    <t>8,9,10</t>
  </si>
  <si>
    <t>РП-5</t>
  </si>
  <si>
    <t>СДКН</t>
  </si>
  <si>
    <t>3х630</t>
  </si>
  <si>
    <t>РП-Хитрово</t>
  </si>
  <si>
    <t>СДН</t>
  </si>
  <si>
    <t xml:space="preserve">        г. Узловая, Тульская, 1                  </t>
  </si>
  <si>
    <t xml:space="preserve">                                                                                                       </t>
  </si>
  <si>
    <t xml:space="preserve">                                                                                                        </t>
  </si>
  <si>
    <t xml:space="preserve">                                                                                                         </t>
  </si>
  <si>
    <t xml:space="preserve">                                                                        </t>
  </si>
  <si>
    <t xml:space="preserve">                                                                       </t>
  </si>
  <si>
    <t>Время включения</t>
  </si>
  <si>
    <t>по предприятию в целом без субабонентов;</t>
  </si>
  <si>
    <t>асинхронный)</t>
  </si>
  <si>
    <t>ква</t>
  </si>
  <si>
    <t>Каргина Т.В.</t>
  </si>
  <si>
    <t>предприятию с субабонентами</t>
  </si>
  <si>
    <t>субабонентам</t>
  </si>
  <si>
    <t>Расчеты производил ___________________ Т.В. Каргина</t>
  </si>
  <si>
    <t xml:space="preserve"> </t>
  </si>
  <si>
    <t xml:space="preserve">  </t>
  </si>
  <si>
    <t xml:space="preserve">    </t>
  </si>
  <si>
    <t>СЭТ-4ТМ.03</t>
  </si>
  <si>
    <t>СЭТ-4ТМ.3</t>
  </si>
  <si>
    <t>№0103062007</t>
  </si>
  <si>
    <t>№0103062039</t>
  </si>
  <si>
    <t>№0102061040</t>
  </si>
  <si>
    <t>№0103061231</t>
  </si>
  <si>
    <t xml:space="preserve">П/ст №167  (ГПП-1)                                </t>
  </si>
  <si>
    <t xml:space="preserve">яч 24 тр-р №1                    </t>
  </si>
  <si>
    <t xml:space="preserve">П/ст №167 (ГПП-1)                                   </t>
  </si>
  <si>
    <t xml:space="preserve">яч 2 тр-р №2                      </t>
  </si>
  <si>
    <t xml:space="preserve">П/ст №214  (ГПП-2)                                  </t>
  </si>
  <si>
    <t xml:space="preserve">яч 3 тр-р №1                      </t>
  </si>
  <si>
    <t xml:space="preserve">яч 30  Воейково-2               </t>
  </si>
  <si>
    <t xml:space="preserve">П/ст №167  (ГПП-1)                                  </t>
  </si>
  <si>
    <t xml:space="preserve">яч 27  Воейково-1               </t>
  </si>
  <si>
    <t xml:space="preserve">П/ст №214 (ГПП-2)                                   </t>
  </si>
  <si>
    <t xml:space="preserve">яч 4  тр-р №1                      </t>
  </si>
  <si>
    <t xml:space="preserve">яч 36  тр-р №2                    </t>
  </si>
  <si>
    <t xml:space="preserve">П/ст №214   (ГПП-2)                                 </t>
  </si>
  <si>
    <t xml:space="preserve">яч 37  тр-р №2                    </t>
  </si>
  <si>
    <t xml:space="preserve">яч 10  Воейково-3               </t>
  </si>
  <si>
    <t>№ 0103061226</t>
  </si>
  <si>
    <t xml:space="preserve">П/ст №214   (ГПП-2)                                </t>
  </si>
  <si>
    <t xml:space="preserve">яч 16  Узловая-2                    </t>
  </si>
  <si>
    <t xml:space="preserve">яч 14 Дедилово                   </t>
  </si>
  <si>
    <t>№0103061217</t>
  </si>
  <si>
    <t>№0103061203</t>
  </si>
  <si>
    <t>№0808090590</t>
  </si>
  <si>
    <t>№ 0808090624</t>
  </si>
  <si>
    <t xml:space="preserve">_____6000______________ </t>
  </si>
  <si>
    <t xml:space="preserve">_________6000__________ </t>
  </si>
  <si>
    <t xml:space="preserve">__________6000__________ </t>
  </si>
  <si>
    <t xml:space="preserve">______6000______________ </t>
  </si>
  <si>
    <t xml:space="preserve">________6000_____________ </t>
  </si>
  <si>
    <t xml:space="preserve">________6000___________ </t>
  </si>
  <si>
    <t xml:space="preserve">п/ст 167 (ГПП-1)                              </t>
  </si>
  <si>
    <t xml:space="preserve">п/ст 214(ГПП-2)                                  </t>
  </si>
  <si>
    <t>п/ст 214(ГПП-2)</t>
  </si>
  <si>
    <t>п/ст 167, 214 (ГПП-1,ГПП-2)</t>
  </si>
  <si>
    <t>п/ст 167,214 (ГПП-1,ГПП-2)</t>
  </si>
  <si>
    <t xml:space="preserve">______6000_____________ </t>
  </si>
  <si>
    <t xml:space="preserve">_______6000_____________ </t>
  </si>
  <si>
    <t xml:space="preserve">_________6000___________ </t>
  </si>
  <si>
    <t xml:space="preserve">_________6000____________ </t>
  </si>
  <si>
    <t>№ 812091210</t>
  </si>
  <si>
    <t>№812091210</t>
  </si>
  <si>
    <t>№812091240</t>
  </si>
  <si>
    <t>№ 812091240</t>
  </si>
  <si>
    <t xml:space="preserve">яч 25 вв.1 РП-Хитрово            </t>
  </si>
  <si>
    <t xml:space="preserve">яч 13 вв.1 РП-Воздуходувная      </t>
  </si>
  <si>
    <t>яч 32 вв.2 РП-Воздуходувная</t>
  </si>
  <si>
    <t>№110080732</t>
  </si>
  <si>
    <t>субабонентам - ОАО"УРЭС"</t>
  </si>
  <si>
    <t>яч. 27+30+10</t>
  </si>
  <si>
    <t>яч. 16+14</t>
  </si>
  <si>
    <t>п/ст 214 (ГПП-2)</t>
  </si>
  <si>
    <t>субабонентам - Энергосбыт М.ж.д.</t>
  </si>
  <si>
    <t>яч.13+32+25</t>
  </si>
  <si>
    <t>ПС 214</t>
  </si>
  <si>
    <t>яч.3+4+36+37</t>
  </si>
  <si>
    <t>ПС 214 тр-№2</t>
  </si>
  <si>
    <t>яч.36+37</t>
  </si>
  <si>
    <t>ПС 214 тр-р№1</t>
  </si>
  <si>
    <t>яч.3+4</t>
  </si>
  <si>
    <t>ПС 167</t>
  </si>
  <si>
    <t>яч.24+2</t>
  </si>
  <si>
    <t>п/ст167+п/ст214</t>
  </si>
  <si>
    <t>СЭТ-4ТМ А-0,5</t>
  </si>
  <si>
    <t xml:space="preserve">яч 26 вв.2  Геосинтетика               </t>
  </si>
  <si>
    <t xml:space="preserve">РП-18                           </t>
  </si>
  <si>
    <t xml:space="preserve">яч 1 вв.1  Георешетка               </t>
  </si>
  <si>
    <t xml:space="preserve">яч 13 вв.2  Георешетка               </t>
  </si>
  <si>
    <t>п/ст 167 (ГПП-1)</t>
  </si>
  <si>
    <t>субабонентам - ООО "Пластик-Геосинтетика"</t>
  </si>
  <si>
    <t xml:space="preserve">яч 3Г вв.1  Геосинтетика               </t>
  </si>
  <si>
    <t>яч.3Г+26+1+13</t>
  </si>
  <si>
    <t xml:space="preserve">яч.27+30+10+16+14+13+32+25+3Г+26+1+13  </t>
  </si>
  <si>
    <t>№0806100082</t>
  </si>
  <si>
    <t>№ 0806100082</t>
  </si>
  <si>
    <t>№087090870</t>
  </si>
  <si>
    <t>№ 087090870</t>
  </si>
  <si>
    <t>№0104082820</t>
  </si>
  <si>
    <t>№ 0104082820</t>
  </si>
  <si>
    <t>№0110080758</t>
  </si>
  <si>
    <t>№0110080904</t>
  </si>
  <si>
    <t>Режимный день</t>
  </si>
  <si>
    <t>TYPE2</t>
  </si>
  <si>
    <t>1</t>
  </si>
  <si>
    <t>H</t>
  </si>
  <si>
    <t>MAIN</t>
  </si>
  <si>
    <t>EXCEL</t>
  </si>
  <si>
    <t>-1</t>
  </si>
  <si>
    <t>MAINSHEET</t>
  </si>
  <si>
    <t>2</t>
  </si>
  <si>
    <t>DATE</t>
  </si>
  <si>
    <t>10</t>
  </si>
  <si>
    <t>5</t>
  </si>
  <si>
    <t>BEGIN</t>
  </si>
  <si>
    <t>NOSHIFT</t>
  </si>
  <si>
    <t>8</t>
  </si>
  <si>
    <t>yyyy года</t>
  </si>
  <si>
    <t>dd mmmm</t>
  </si>
  <si>
    <t>18</t>
  </si>
  <si>
    <t>COLUMN</t>
  </si>
  <si>
    <t>RESNONE</t>
  </si>
  <si>
    <t>NONE</t>
  </si>
  <si>
    <t>CHN</t>
  </si>
  <si>
    <t>0</t>
  </si>
  <si>
    <t>4</t>
  </si>
  <si>
    <t>ZONENAMES</t>
  </si>
  <si>
    <t>RESULT_CAPTIONS</t>
  </si>
  <si>
    <t>61</t>
  </si>
  <si>
    <t>NOCHANGE</t>
  </si>
  <si>
    <t>CUTDATEBEGIN</t>
  </si>
  <si>
    <t>6</t>
  </si>
  <si>
    <t>ENLIKEPOW</t>
  </si>
  <si>
    <t>692</t>
  </si>
  <si>
    <t>480</t>
  </si>
  <si>
    <t>BEGINVALUE</t>
  </si>
  <si>
    <t>694</t>
  </si>
  <si>
    <t>95</t>
  </si>
  <si>
    <t>3</t>
  </si>
  <si>
    <t>687</t>
  </si>
  <si>
    <t>483</t>
  </si>
  <si>
    <t>689</t>
  </si>
  <si>
    <t>702</t>
  </si>
  <si>
    <t>484</t>
  </si>
  <si>
    <t>704</t>
  </si>
  <si>
    <t>697</t>
  </si>
  <si>
    <t>481</t>
  </si>
  <si>
    <t>699</t>
  </si>
  <si>
    <t>7</t>
  </si>
  <si>
    <t>9</t>
  </si>
  <si>
    <t>11</t>
  </si>
  <si>
    <t>12</t>
  </si>
  <si>
    <t>13</t>
  </si>
  <si>
    <t>14</t>
  </si>
  <si>
    <t>15</t>
  </si>
  <si>
    <t>16</t>
  </si>
  <si>
    <t>17</t>
  </si>
  <si>
    <t>19</t>
  </si>
  <si>
    <t>1786</t>
  </si>
  <si>
    <t>790</t>
  </si>
  <si>
    <t>1788</t>
  </si>
  <si>
    <t>1769</t>
  </si>
  <si>
    <t>784</t>
  </si>
  <si>
    <t>1771</t>
  </si>
  <si>
    <t>122</t>
  </si>
  <si>
    <t>198</t>
  </si>
  <si>
    <t>117</t>
  </si>
  <si>
    <t>201</t>
  </si>
  <si>
    <t>119</t>
  </si>
  <si>
    <t>732</t>
  </si>
  <si>
    <t>486</t>
  </si>
  <si>
    <t>734</t>
  </si>
  <si>
    <t>747</t>
  </si>
  <si>
    <t>489</t>
  </si>
  <si>
    <t>749</t>
  </si>
  <si>
    <t>737</t>
  </si>
  <si>
    <t>493</t>
  </si>
  <si>
    <t>739</t>
  </si>
  <si>
    <t>742</t>
  </si>
  <si>
    <t>488</t>
  </si>
  <si>
    <t>744</t>
  </si>
  <si>
    <t>717</t>
  </si>
  <si>
    <t>490</t>
  </si>
  <si>
    <t>719</t>
  </si>
  <si>
    <t>727</t>
  </si>
  <si>
    <t>492</t>
  </si>
  <si>
    <t>729</t>
  </si>
  <si>
    <t>722</t>
  </si>
  <si>
    <t>491</t>
  </si>
  <si>
    <t>724</t>
  </si>
  <si>
    <t>347</t>
  </si>
  <si>
    <t>138</t>
  </si>
  <si>
    <t>349</t>
  </si>
  <si>
    <t>352</t>
  </si>
  <si>
    <t>140</t>
  </si>
  <si>
    <t>354</t>
  </si>
  <si>
    <t>332</t>
  </si>
  <si>
    <t>132</t>
  </si>
  <si>
    <t>334</t>
  </si>
  <si>
    <t>HOUR</t>
  </si>
  <si>
    <t>25</t>
  </si>
  <si>
    <t>124</t>
  </si>
  <si>
    <t>18 Декабрь</t>
  </si>
  <si>
    <t>2013 года</t>
  </si>
  <si>
    <t>18  декабря</t>
  </si>
  <si>
    <t>18 декабря</t>
  </si>
  <si>
    <t>субабонентам - ООО "ДВК"</t>
  </si>
  <si>
    <t>1. Бабенко О.Н.</t>
  </si>
  <si>
    <t>2. Барышева В.В.</t>
  </si>
  <si>
    <t>3.Иванова О.А.</t>
  </si>
  <si>
    <t xml:space="preserve"> _________________________ С.А. Фомин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</si>
</sst>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15">
    <font>
      <sz val="10"/>
      <name val="Arial Cyr"/>
      <charset val="204"/>
    </font>
    <font>
      <sz val="1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sz val="11"/>
      <name val="Times New Roman"/>
      <family val="1"/>
    </font>
    <font>
      <u/>
      <sz val="14"/>
      <name val="Times New Roman"/>
      <family val="1"/>
    </font>
    <font>
      <u/>
      <sz val="16"/>
      <name val="Times New Roman"/>
      <family val="1"/>
    </font>
    <font>
      <u/>
      <sz val="18"/>
      <name val="Times New Roman"/>
      <family val="1"/>
    </font>
    <font>
      <u/>
      <sz val="20"/>
      <name val="Times New Roman"/>
      <family val="1"/>
    </font>
    <font>
      <sz val="20"/>
      <name val="Times New Roman"/>
      <family val="1"/>
    </font>
    <font>
      <sz val="14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4" fillId="0" borderId="0"/>
  </cellStyleXfs>
  <cellXfs count="147">
    <xf numFmtId="0" fontId="0" fillId="0" borderId="0" xfId="0"/>
    <xf numFmtId="0" fontId="2" fillId="0" borderId="0" xfId="0" applyFont="1" applyBorder="1" applyAlignment="1" applyProtection="1">
      <alignment horizontal="left" vertical="center" wrapText="1"/>
      <protection hidden="1"/>
    </xf>
    <xf numFmtId="0" fontId="2" fillId="0" borderId="0" xfId="0" applyFont="1" applyBorder="1" applyAlignment="1" applyProtection="1">
      <alignment horizontal="center" vertical="center" wrapText="1"/>
      <protection hidden="1"/>
    </xf>
    <xf numFmtId="0" fontId="3" fillId="0" borderId="0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0" fontId="5" fillId="0" borderId="8" xfId="0" applyFont="1" applyBorder="1" applyAlignment="1" applyProtection="1">
      <alignment horizontal="center" vertical="center" wrapText="1"/>
      <protection hidden="1"/>
    </xf>
    <xf numFmtId="0" fontId="2" fillId="0" borderId="0" xfId="0" applyNumberFormat="1" applyFont="1" applyBorder="1" applyAlignment="1" applyProtection="1">
      <alignment horizontal="center" vertical="center" wrapText="1"/>
      <protection hidden="1"/>
    </xf>
    <xf numFmtId="4" fontId="2" fillId="0" borderId="0" xfId="0" applyNumberFormat="1" applyFont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center" vertical="center" wrapText="1"/>
      <protection locked="0"/>
    </xf>
    <xf numFmtId="0" fontId="5" fillId="0" borderId="10" xfId="0" applyFont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left" vertical="center" wrapText="1" indent="4"/>
      <protection hidden="1"/>
    </xf>
    <xf numFmtId="0" fontId="2" fillId="0" borderId="11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5" fillId="0" borderId="12" xfId="0" applyFont="1" applyBorder="1" applyAlignment="1" applyProtection="1">
      <alignment horizontal="center" vertical="center" wrapText="1"/>
      <protection hidden="1"/>
    </xf>
    <xf numFmtId="0" fontId="5" fillId="0" borderId="13" xfId="0" applyFont="1" applyBorder="1" applyAlignment="1" applyProtection="1">
      <alignment horizontal="center" vertical="center" wrapText="1"/>
      <protection hidden="1"/>
    </xf>
    <xf numFmtId="0" fontId="5" fillId="0" borderId="14" xfId="0" applyFont="1" applyBorder="1" applyAlignment="1" applyProtection="1">
      <alignment horizontal="center" vertical="center" wrapText="1"/>
      <protection hidden="1"/>
    </xf>
    <xf numFmtId="1" fontId="2" fillId="0" borderId="2" xfId="0" applyNumberFormat="1" applyFont="1" applyBorder="1" applyAlignment="1" applyProtection="1">
      <alignment horizontal="center" vertical="center" wrapText="1"/>
      <protection hidden="1"/>
    </xf>
    <xf numFmtId="165" fontId="12" fillId="0" borderId="1" xfId="0" applyNumberFormat="1" applyFont="1" applyBorder="1" applyAlignment="1" applyProtection="1">
      <alignment horizontal="center" vertical="center" wrapText="1"/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1" fontId="12" fillId="0" borderId="2" xfId="0" applyNumberFormat="1" applyFont="1" applyBorder="1" applyAlignment="1" applyProtection="1">
      <alignment horizontal="center" vertical="center" wrapText="1"/>
      <protection hidden="1"/>
    </xf>
    <xf numFmtId="165" fontId="12" fillId="0" borderId="2" xfId="0" applyNumberFormat="1" applyFont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2" fontId="12" fillId="0" borderId="2" xfId="0" applyNumberFormat="1" applyFont="1" applyBorder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12" fillId="0" borderId="3" xfId="0" applyFont="1" applyBorder="1" applyAlignment="1" applyProtection="1">
      <alignment horizontal="center" vertical="center" wrapText="1"/>
      <protection hidden="1"/>
    </xf>
    <xf numFmtId="0" fontId="12" fillId="0" borderId="2" xfId="0" applyNumberFormat="1" applyFont="1" applyBorder="1" applyAlignment="1" applyProtection="1">
      <alignment horizontal="center" vertical="center" wrapText="1"/>
      <protection hidden="1"/>
    </xf>
    <xf numFmtId="0" fontId="12" fillId="0" borderId="8" xfId="0" applyFont="1" applyBorder="1" applyAlignment="1" applyProtection="1">
      <alignment horizontal="center" vertical="center" wrapText="1"/>
      <protection hidden="1"/>
    </xf>
    <xf numFmtId="0" fontId="12" fillId="0" borderId="8" xfId="0" applyNumberFormat="1" applyFont="1" applyBorder="1" applyAlignment="1" applyProtection="1">
      <alignment horizontal="center" vertical="center" wrapText="1"/>
      <protection hidden="1"/>
    </xf>
    <xf numFmtId="0" fontId="12" fillId="0" borderId="0" xfId="0" applyFont="1" applyBorder="1" applyAlignment="1" applyProtection="1">
      <alignment horizontal="center" vertical="center" wrapText="1"/>
      <protection hidden="1"/>
    </xf>
    <xf numFmtId="0" fontId="12" fillId="0" borderId="0" xfId="0" applyNumberFormat="1" applyFont="1" applyBorder="1" applyAlignment="1" applyProtection="1">
      <alignment horizontal="center" vertical="center" wrapText="1"/>
      <protection hidden="1"/>
    </xf>
    <xf numFmtId="4" fontId="12" fillId="0" borderId="0" xfId="0" applyNumberFormat="1" applyFont="1" applyBorder="1" applyAlignment="1" applyProtection="1">
      <alignment horizontal="center" vertical="center" wrapText="1"/>
      <protection hidden="1"/>
    </xf>
    <xf numFmtId="0" fontId="12" fillId="0" borderId="0" xfId="0" applyFont="1" applyBorder="1" applyAlignment="1" applyProtection="1">
      <alignment horizontal="left" vertical="center" wrapText="1"/>
      <protection hidden="1"/>
    </xf>
    <xf numFmtId="0" fontId="12" fillId="0" borderId="1" xfId="0" applyFont="1" applyBorder="1" applyAlignment="1" applyProtection="1">
      <alignment horizontal="center" vertical="center" wrapText="1"/>
      <protection hidden="1"/>
    </xf>
    <xf numFmtId="0" fontId="13" fillId="0" borderId="0" xfId="0" applyFont="1" applyBorder="1" applyAlignment="1" applyProtection="1">
      <alignment horizontal="center" vertical="center" wrapText="1"/>
      <protection hidden="1"/>
    </xf>
    <xf numFmtId="0" fontId="12" fillId="0" borderId="15" xfId="0" applyFont="1" applyBorder="1" applyAlignment="1" applyProtection="1">
      <alignment horizontal="center" vertical="center" wrapText="1"/>
      <protection hidden="1"/>
    </xf>
    <xf numFmtId="49" fontId="12" fillId="0" borderId="2" xfId="0" applyNumberFormat="1" applyFont="1" applyBorder="1" applyAlignment="1" applyProtection="1">
      <alignment horizontal="center" vertical="center" wrapText="1"/>
      <protection hidden="1"/>
    </xf>
    <xf numFmtId="0" fontId="6" fillId="0" borderId="0" xfId="0" applyFont="1" applyBorder="1" applyAlignment="1" applyProtection="1">
      <alignment horizontal="center" vertical="center" wrapText="1"/>
      <protection hidden="1"/>
    </xf>
    <xf numFmtId="0" fontId="12" fillId="0" borderId="6" xfId="0" applyFont="1" applyBorder="1" applyAlignment="1" applyProtection="1">
      <alignment horizontal="center" vertical="center" wrapText="1"/>
      <protection hidden="1"/>
    </xf>
    <xf numFmtId="165" fontId="12" fillId="0" borderId="2" xfId="1" applyNumberFormat="1" applyFont="1" applyBorder="1" applyAlignment="1">
      <alignment horizontal="center" vertical="center"/>
    </xf>
    <xf numFmtId="0" fontId="12" fillId="0" borderId="2" xfId="0" applyFont="1" applyBorder="1" applyAlignment="1" applyProtection="1">
      <alignment horizontal="center" vertical="center" wrapText="1"/>
      <protection hidden="1"/>
    </xf>
    <xf numFmtId="1" fontId="2" fillId="0" borderId="2" xfId="0" applyNumberFormat="1" applyFont="1" applyBorder="1" applyAlignment="1" applyProtection="1">
      <alignment horizontal="center" vertical="center" wrapText="1"/>
      <protection hidden="1"/>
    </xf>
    <xf numFmtId="0" fontId="12" fillId="0" borderId="0" xfId="0" applyFont="1" applyBorder="1" applyAlignment="1" applyProtection="1">
      <alignment horizontal="left" vertical="center" wrapText="1"/>
      <protection hidden="1"/>
    </xf>
    <xf numFmtId="0" fontId="6" fillId="0" borderId="0" xfId="0" applyFont="1" applyBorder="1" applyAlignment="1" applyProtection="1">
      <alignment horizontal="center" vertical="top" wrapText="1"/>
      <protection hidden="1"/>
    </xf>
    <xf numFmtId="0" fontId="12" fillId="0" borderId="0" xfId="0" applyFont="1" applyBorder="1" applyAlignment="1" applyProtection="1">
      <alignment horizontal="center" vertical="center" wrapText="1"/>
      <protection hidden="1"/>
    </xf>
    <xf numFmtId="0" fontId="13" fillId="0" borderId="0" xfId="0" applyFont="1" applyBorder="1" applyAlignment="1" applyProtection="1">
      <alignment horizontal="center" vertical="top" wrapText="1"/>
      <protection hidden="1"/>
    </xf>
    <xf numFmtId="0" fontId="2" fillId="0" borderId="0" xfId="0" applyFont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right" vertical="center" wrapText="1"/>
      <protection hidden="1"/>
    </xf>
    <xf numFmtId="0" fontId="12" fillId="0" borderId="0" xfId="0" applyFont="1" applyBorder="1" applyAlignment="1" applyProtection="1">
      <alignment horizontal="center" vertical="top" wrapText="1"/>
      <protection hidden="1"/>
    </xf>
    <xf numFmtId="0" fontId="10" fillId="0" borderId="0" xfId="0" applyFont="1" applyBorder="1" applyAlignment="1" applyProtection="1">
      <alignment horizontal="left" vertical="center" wrapText="1"/>
      <protection locked="0"/>
    </xf>
    <xf numFmtId="0" fontId="11" fillId="0" borderId="0" xfId="0" applyFont="1" applyBorder="1" applyAlignment="1" applyProtection="1">
      <alignment horizontal="left" vertical="center" wrapText="1"/>
      <protection locked="0"/>
    </xf>
    <xf numFmtId="0" fontId="1" fillId="0" borderId="0" xfId="0" applyFont="1" applyBorder="1" applyAlignment="1" applyProtection="1">
      <alignment horizontal="left" vertical="top" wrapText="1"/>
      <protection hidden="1"/>
    </xf>
    <xf numFmtId="0" fontId="3" fillId="0" borderId="0" xfId="0" applyFont="1" applyBorder="1" applyAlignment="1" applyProtection="1">
      <alignment horizontal="left" vertical="center" wrapText="1"/>
      <protection hidden="1"/>
    </xf>
    <xf numFmtId="0" fontId="11" fillId="0" borderId="0" xfId="0" applyFont="1" applyBorder="1" applyAlignment="1" applyProtection="1">
      <alignment horizontal="center" vertical="center" wrapText="1"/>
      <protection hidden="1"/>
    </xf>
    <xf numFmtId="0" fontId="5" fillId="0" borderId="13" xfId="0" applyFont="1" applyBorder="1" applyAlignment="1" applyProtection="1">
      <alignment horizontal="center" vertical="center" wrapText="1"/>
      <protection hidden="1"/>
    </xf>
    <xf numFmtId="0" fontId="5" fillId="0" borderId="15" xfId="0" applyFont="1" applyBorder="1" applyAlignment="1" applyProtection="1">
      <alignment horizontal="center" vertical="center" wrapText="1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0" fontId="5" fillId="0" borderId="14" xfId="0" applyFont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0" xfId="0" applyFont="1" applyBorder="1" applyAlignment="1" applyProtection="1">
      <alignment horizontal="center" vertical="center" wrapText="1"/>
      <protection hidden="1"/>
    </xf>
    <xf numFmtId="0" fontId="5" fillId="0" borderId="10" xfId="0" applyFont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locked="0"/>
    </xf>
    <xf numFmtId="0" fontId="5" fillId="0" borderId="13" xfId="0" applyFont="1" applyBorder="1" applyAlignment="1" applyProtection="1">
      <alignment horizontal="center" vertical="center" wrapText="1"/>
      <protection locked="0"/>
    </xf>
    <xf numFmtId="0" fontId="12" fillId="0" borderId="10" xfId="0" applyFont="1" applyBorder="1" applyAlignment="1" applyProtection="1">
      <alignment horizontal="center" vertical="center" wrapText="1"/>
      <protection hidden="1"/>
    </xf>
    <xf numFmtId="0" fontId="12" fillId="0" borderId="0" xfId="0" applyNumberFormat="1" applyFont="1" applyBorder="1" applyAlignment="1" applyProtection="1">
      <alignment horizontal="center" vertical="center" wrapText="1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right" vertical="center" wrapText="1"/>
      <protection hidden="1"/>
    </xf>
    <xf numFmtId="0" fontId="3" fillId="0" borderId="0" xfId="0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center" vertical="center" wrapText="1"/>
      <protection hidden="1"/>
    </xf>
    <xf numFmtId="0" fontId="5" fillId="0" borderId="0" xfId="0" applyFont="1" applyBorder="1" applyAlignment="1" applyProtection="1">
      <alignment horizontal="center" vertical="center" wrapText="1"/>
      <protection hidden="1"/>
    </xf>
    <xf numFmtId="0" fontId="5" fillId="0" borderId="7" xfId="0" applyFont="1" applyBorder="1" applyAlignment="1" applyProtection="1">
      <alignment horizontal="center" vertical="center" textRotation="90" wrapText="1"/>
      <protection hidden="1"/>
    </xf>
    <xf numFmtId="0" fontId="5" fillId="0" borderId="14" xfId="0" applyFont="1" applyBorder="1" applyAlignment="1" applyProtection="1">
      <alignment horizontal="center" vertical="center" textRotation="90" wrapText="1"/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top" wrapText="1"/>
      <protection hidden="1"/>
    </xf>
    <xf numFmtId="0" fontId="3" fillId="0" borderId="0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11" xfId="0" applyFont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center" vertical="center" wrapText="1"/>
      <protection hidden="1"/>
    </xf>
    <xf numFmtId="0" fontId="5" fillId="0" borderId="0" xfId="0" applyFont="1" applyBorder="1" applyAlignment="1" applyProtection="1">
      <alignment horizontal="center" vertical="center" wrapText="1"/>
      <protection locked="0"/>
    </xf>
    <xf numFmtId="0" fontId="5" fillId="0" borderId="15" xfId="0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 applyProtection="1">
      <alignment horizontal="center" vertical="center" wrapText="1"/>
      <protection hidden="1"/>
    </xf>
    <xf numFmtId="0" fontId="2" fillId="0" borderId="15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2" fillId="0" borderId="0" xfId="0" applyFont="1" applyBorder="1" applyAlignment="1" applyProtection="1">
      <alignment horizontal="left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14" xfId="0" applyFont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11" xfId="0" applyFont="1" applyBorder="1" applyAlignment="1" applyProtection="1">
      <alignment horizontal="center" vertical="center" wrapText="1"/>
      <protection hidden="1"/>
    </xf>
    <xf numFmtId="0" fontId="2" fillId="0" borderId="12" xfId="0" applyFont="1" applyBorder="1" applyAlignment="1" applyProtection="1">
      <alignment horizontal="center" vertical="center" wrapText="1"/>
      <protection locked="0"/>
    </xf>
    <xf numFmtId="0" fontId="2" fillId="0" borderId="15" xfId="0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 wrapText="1"/>
      <protection hidden="1"/>
    </xf>
    <xf numFmtId="164" fontId="2" fillId="0" borderId="2" xfId="0" applyNumberFormat="1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2" fillId="0" borderId="13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8" fillId="0" borderId="0" xfId="0" applyFont="1" applyBorder="1" applyAlignment="1" applyProtection="1">
      <alignment horizontal="left" vertical="center" wrapText="1"/>
      <protection locked="0"/>
    </xf>
    <xf numFmtId="0" fontId="5" fillId="0" borderId="8" xfId="0" applyFont="1" applyBorder="1" applyAlignment="1" applyProtection="1">
      <alignment horizontal="center" vertical="center" textRotation="90" wrapText="1"/>
      <protection hidden="1"/>
    </xf>
    <xf numFmtId="0" fontId="5" fillId="0" borderId="8" xfId="0" applyFont="1" applyBorder="1" applyAlignment="1" applyProtection="1">
      <alignment horizontal="center" vertical="center" wrapText="1"/>
      <protection hidden="1"/>
    </xf>
    <xf numFmtId="0" fontId="12" fillId="0" borderId="9" xfId="0" applyFont="1" applyBorder="1" applyAlignment="1" applyProtection="1">
      <alignment horizontal="center" vertical="center" wrapText="1"/>
      <protection hidden="1"/>
    </xf>
    <xf numFmtId="0" fontId="2" fillId="0" borderId="0" xfId="0" applyNumberFormat="1" applyFont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1" fillId="0" borderId="0" xfId="0" applyFont="1" applyBorder="1" applyAlignment="1" applyProtection="1">
      <alignment horizontal="center" vertical="top" wrapText="1"/>
      <protection hidden="1"/>
    </xf>
    <xf numFmtId="4" fontId="2" fillId="0" borderId="3" xfId="0" applyNumberFormat="1" applyFont="1" applyBorder="1" applyAlignment="1" applyProtection="1">
      <alignment horizontal="center" vertical="center" wrapText="1"/>
      <protection hidden="1"/>
    </xf>
    <xf numFmtId="4" fontId="2" fillId="0" borderId="11" xfId="0" applyNumberFormat="1" applyFont="1" applyBorder="1" applyAlignment="1" applyProtection="1">
      <alignment horizontal="center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locked="0"/>
    </xf>
    <xf numFmtId="1" fontId="2" fillId="0" borderId="3" xfId="0" applyNumberFormat="1" applyFont="1" applyBorder="1" applyAlignment="1" applyProtection="1">
      <alignment horizontal="center" vertical="center" wrapText="1"/>
      <protection hidden="1"/>
    </xf>
    <xf numFmtId="1" fontId="2" fillId="0" borderId="1" xfId="0" applyNumberFormat="1" applyFont="1" applyBorder="1" applyAlignment="1" applyProtection="1">
      <alignment horizontal="center" vertical="center" wrapText="1"/>
      <protection hidden="1"/>
    </xf>
    <xf numFmtId="1" fontId="2" fillId="0" borderId="11" xfId="0" applyNumberFormat="1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4" fontId="2" fillId="0" borderId="2" xfId="0" applyNumberFormat="1" applyFont="1" applyBorder="1" applyAlignment="1" applyProtection="1">
      <alignment horizontal="center" vertical="center" wrapText="1"/>
      <protection hidden="1"/>
    </xf>
    <xf numFmtId="1" fontId="2" fillId="0" borderId="2" xfId="0" applyNumberFormat="1" applyFont="1" applyBorder="1" applyAlignment="1" applyProtection="1">
      <alignment horizontal="center" vertical="center" wrapText="1"/>
      <protection hidden="1"/>
    </xf>
    <xf numFmtId="0" fontId="3" fillId="0" borderId="0" xfId="0" applyFont="1" applyBorder="1" applyAlignment="1" applyProtection="1">
      <alignment horizontal="left" vertical="center"/>
      <protection hidden="1"/>
    </xf>
    <xf numFmtId="0" fontId="3" fillId="0" borderId="0" xfId="0" applyFont="1" applyBorder="1" applyAlignment="1" applyProtection="1">
      <alignment horizontal="right" vertical="center"/>
      <protection hidden="1"/>
    </xf>
    <xf numFmtId="0" fontId="2" fillId="0" borderId="7" xfId="0" applyFont="1" applyBorder="1" applyAlignment="1" applyProtection="1">
      <alignment horizontal="left" vertical="center" wrapText="1"/>
      <protection hidden="1"/>
    </xf>
    <xf numFmtId="0" fontId="2" fillId="0" borderId="14" xfId="0" applyFont="1" applyBorder="1" applyAlignment="1" applyProtection="1">
      <alignment horizontal="left" vertical="center" wrapText="1" indent="2"/>
      <protection hidden="1"/>
    </xf>
    <xf numFmtId="0" fontId="2" fillId="0" borderId="8" xfId="0" applyFont="1" applyBorder="1" applyAlignment="1" applyProtection="1">
      <alignment horizontal="left" vertical="center" wrapText="1" indent="2"/>
      <protection hidden="1"/>
    </xf>
    <xf numFmtId="0" fontId="2" fillId="0" borderId="14" xfId="0" applyFont="1" applyBorder="1" applyAlignment="1" applyProtection="1">
      <alignment horizontal="left" vertical="center" wrapText="1"/>
      <protection hidden="1"/>
    </xf>
    <xf numFmtId="0" fontId="2" fillId="0" borderId="8" xfId="0" applyFont="1" applyBorder="1" applyAlignment="1" applyProtection="1">
      <alignment horizontal="left" vertical="center" wrapText="1"/>
      <protection hidden="1"/>
    </xf>
    <xf numFmtId="0" fontId="2" fillId="0" borderId="2" xfId="0" applyFont="1" applyBorder="1" applyAlignment="1" applyProtection="1">
      <alignment horizontal="center" vertical="center" textRotation="90" wrapText="1"/>
      <protection hidden="1"/>
    </xf>
    <xf numFmtId="4" fontId="2" fillId="0" borderId="1" xfId="0" applyNumberFormat="1" applyFont="1" applyBorder="1" applyAlignment="1" applyProtection="1">
      <alignment horizontal="center" vertical="center" wrapText="1"/>
      <protection hidden="1"/>
    </xf>
    <xf numFmtId="0" fontId="9" fillId="0" borderId="0" xfId="0" applyFont="1" applyBorder="1" applyAlignment="1" applyProtection="1">
      <alignment horizontal="left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4" fontId="2" fillId="0" borderId="6" xfId="0" applyNumberFormat="1" applyFont="1" applyBorder="1" applyAlignment="1" applyProtection="1">
      <alignment horizontal="center" vertical="center" wrapText="1"/>
      <protection hidden="1"/>
    </xf>
    <xf numFmtId="4" fontId="2" fillId="0" borderId="4" xfId="0" applyNumberFormat="1" applyFont="1" applyBorder="1" applyAlignment="1" applyProtection="1">
      <alignment horizontal="center" vertical="center" wrapText="1"/>
      <protection hidden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hartsheet" Target="chartsheets/sheet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>
        <c:manualLayout>
          <c:layoutTarget val="inner"/>
          <c:xMode val="edge"/>
          <c:yMode val="edge"/>
          <c:x val="5.8659217877094966E-2"/>
          <c:y val="4.208754208754209E-2"/>
          <c:w val="0.94134078212290506"/>
          <c:h val="0.82154882154882203"/>
        </c:manualLayout>
      </c:layout>
      <c:lineChart>
        <c:grouping val="standard"/>
        <c:ser>
          <c:idx val="0"/>
          <c:order val="0"/>
          <c:spPr>
            <a:ln w="25400">
              <a:solidFill>
                <a:srgbClr val="000000"/>
              </a:solidFill>
              <a:prstDash val="solid"/>
            </a:ln>
          </c:spPr>
          <c:marker>
            <c:symbol val="diamond"/>
            <c:size val="9"/>
            <c:spPr>
              <a:solidFill>
                <a:srgbClr val="00008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'Всего без субабонентов'!$A$16:$A$39</c:f>
              <c:strCache>
                <c:ptCount val="24"/>
                <c:pt idx="0">
                  <c:v>1-00</c:v>
                </c:pt>
                <c:pt idx="1">
                  <c:v>2-00</c:v>
                </c:pt>
                <c:pt idx="2">
                  <c:v>3-00</c:v>
                </c:pt>
                <c:pt idx="3">
                  <c:v>4-00</c:v>
                </c:pt>
                <c:pt idx="4">
                  <c:v>5-00</c:v>
                </c:pt>
                <c:pt idx="5">
                  <c:v>6-00</c:v>
                </c:pt>
                <c:pt idx="6">
                  <c:v>7-00</c:v>
                </c:pt>
                <c:pt idx="7">
                  <c:v>8-00</c:v>
                </c:pt>
                <c:pt idx="8">
                  <c:v>9-00</c:v>
                </c:pt>
                <c:pt idx="9">
                  <c:v>10-00</c:v>
                </c:pt>
                <c:pt idx="10">
                  <c:v>11-00</c:v>
                </c:pt>
                <c:pt idx="11">
                  <c:v>12-00</c:v>
                </c:pt>
                <c:pt idx="12">
                  <c:v>13-00</c:v>
                </c:pt>
                <c:pt idx="13">
                  <c:v>14-00</c:v>
                </c:pt>
                <c:pt idx="14">
                  <c:v>15-00</c:v>
                </c:pt>
                <c:pt idx="15">
                  <c:v>16-00</c:v>
                </c:pt>
                <c:pt idx="16">
                  <c:v>17-00</c:v>
                </c:pt>
                <c:pt idx="17">
                  <c:v>18-00</c:v>
                </c:pt>
                <c:pt idx="18">
                  <c:v>19-00</c:v>
                </c:pt>
                <c:pt idx="19">
                  <c:v>20-00</c:v>
                </c:pt>
                <c:pt idx="20">
                  <c:v>21-00</c:v>
                </c:pt>
                <c:pt idx="21">
                  <c:v>22-00</c:v>
                </c:pt>
                <c:pt idx="22">
                  <c:v>23-00</c:v>
                </c:pt>
                <c:pt idx="23">
                  <c:v>24-00</c:v>
                </c:pt>
              </c:strCache>
            </c:strRef>
          </c:cat>
          <c:val>
            <c:numRef>
              <c:f>'Всего без субабонентов'!$B$16:$B$39</c:f>
              <c:numCache>
                <c:formatCode>0</c:formatCode>
                <c:ptCount val="24"/>
                <c:pt idx="0">
                  <c:v>7344.659999996702</c:v>
                </c:pt>
                <c:pt idx="1">
                  <c:v>7266.3599999937105</c:v>
                </c:pt>
                <c:pt idx="2">
                  <c:v>7254.9000000091382</c:v>
                </c:pt>
                <c:pt idx="3">
                  <c:v>7340.4599999814536</c:v>
                </c:pt>
                <c:pt idx="4">
                  <c:v>7297.5000000266164</c:v>
                </c:pt>
                <c:pt idx="5">
                  <c:v>7303.2599999946115</c:v>
                </c:pt>
                <c:pt idx="6">
                  <c:v>7406.6399999951955</c:v>
                </c:pt>
                <c:pt idx="7">
                  <c:v>7548.4800000214591</c:v>
                </c:pt>
                <c:pt idx="8">
                  <c:v>7902.1799999899031</c:v>
                </c:pt>
                <c:pt idx="9">
                  <c:v>7942.3199999798953</c:v>
                </c:pt>
                <c:pt idx="10">
                  <c:v>8120.3400000017155</c:v>
                </c:pt>
                <c:pt idx="11">
                  <c:v>8007.0600000197828</c:v>
                </c:pt>
                <c:pt idx="12">
                  <c:v>7962.2999999800641</c:v>
                </c:pt>
                <c:pt idx="13">
                  <c:v>7732.26000002403</c:v>
                </c:pt>
                <c:pt idx="14">
                  <c:v>7769.0399999796682</c:v>
                </c:pt>
                <c:pt idx="15">
                  <c:v>7761.4200000038181</c:v>
                </c:pt>
                <c:pt idx="16">
                  <c:v>7749.7199999958411</c:v>
                </c:pt>
                <c:pt idx="17">
                  <c:v>7861.7999999911035</c:v>
                </c:pt>
                <c:pt idx="18">
                  <c:v>7812.6599999964128</c:v>
                </c:pt>
                <c:pt idx="19">
                  <c:v>7640.9400000126425</c:v>
                </c:pt>
                <c:pt idx="20">
                  <c:v>7577.6399999775094</c:v>
                </c:pt>
                <c:pt idx="21">
                  <c:v>7772.4000000127262</c:v>
                </c:pt>
                <c:pt idx="22">
                  <c:v>7799.1600000128983</c:v>
                </c:pt>
                <c:pt idx="23">
                  <c:v>7723.3199999614044</c:v>
                </c:pt>
              </c:numCache>
            </c:numRef>
          </c:val>
        </c:ser>
        <c:marker val="1"/>
        <c:axId val="88353024"/>
        <c:axId val="88396544"/>
      </c:lineChart>
      <c:catAx>
        <c:axId val="883530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ru-RU"/>
                  <a:t>час</a:t>
                </a:r>
              </a:p>
            </c:rich>
          </c:tx>
          <c:layout>
            <c:manualLayout>
              <c:xMode val="edge"/>
              <c:yMode val="edge"/>
              <c:x val="0.51582860623316806"/>
              <c:y val="0.92929302049722706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minorTickMark val="out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ru-RU"/>
          </a:p>
        </c:txPr>
        <c:crossAx val="88396544"/>
        <c:crosses val="autoZero"/>
        <c:auto val="1"/>
        <c:lblAlgn val="ctr"/>
        <c:lblOffset val="100"/>
        <c:tickLblSkip val="1"/>
        <c:tickMarkSkip val="1"/>
      </c:catAx>
      <c:valAx>
        <c:axId val="88396544"/>
        <c:scaling>
          <c:orientation val="minMax"/>
          <c:min val="7000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ru-RU"/>
                  <a:t>активная э/э, кВт </a:t>
                </a:r>
              </a:p>
            </c:rich>
          </c:tx>
          <c:layout>
            <c:manualLayout>
              <c:xMode val="edge"/>
              <c:yMode val="edge"/>
              <c:x val="1.1173225900350527E-2"/>
              <c:y val="0.34343438098905454"/>
            </c:manualLayout>
          </c:layout>
          <c:spPr>
            <a:noFill/>
            <a:ln w="25400">
              <a:noFill/>
            </a:ln>
          </c:spPr>
        </c:title>
        <c:numFmt formatCode="0" sourceLinked="1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ru-RU"/>
          </a:p>
        </c:txPr>
        <c:crossAx val="88353024"/>
        <c:crosses val="autoZero"/>
        <c:crossBetween val="between"/>
        <c:majorUnit val="100"/>
      </c:valAx>
      <c:spPr>
        <a:noFill/>
        <a:ln w="25400">
          <a:noFill/>
        </a:ln>
      </c:spPr>
    </c:plotArea>
    <c:plotVisOnly val="1"/>
    <c:dispBlanksAs val="gap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ru-RU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0.bin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Диаграмма30"/>
  <sheetViews>
    <sheetView zoomScale="65" workbookViewId="0"/>
  </sheetViews>
  <pageMargins left="0.19685039370078741" right="0.19685039370078741" top="0.98425196850393704" bottom="0.98425196850393704" header="0.51181102362204722" footer="0.51181102362204722"/>
  <pageSetup paperSize="9" orientation="landscape" horizontalDpi="300" verticalDpi="300" r:id="rId1"/>
  <headerFooter alignWithMargins="0">
    <oddHeader>&amp;C&amp;14График нагрузки за 20 июня 2012г.</oddHead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220325" cy="5648325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M92"/>
  <sheetViews>
    <sheetView workbookViewId="0"/>
  </sheetViews>
  <sheetFormatPr defaultRowHeight="12.75"/>
  <sheetData>
    <row r="1" spans="1:65">
      <c r="A1" t="s">
        <v>283</v>
      </c>
    </row>
    <row r="2" spans="1:65">
      <c r="A2" t="s">
        <v>284</v>
      </c>
      <c r="B2" t="s">
        <v>380</v>
      </c>
      <c r="C2" t="s">
        <v>381</v>
      </c>
      <c r="D2" t="s">
        <v>285</v>
      </c>
      <c r="E2" t="s">
        <v>286</v>
      </c>
      <c r="F2" t="s">
        <v>285</v>
      </c>
      <c r="G2" t="s">
        <v>287</v>
      </c>
      <c r="K2" t="s">
        <v>288</v>
      </c>
      <c r="M2" t="s">
        <v>306</v>
      </c>
      <c r="W2" t="s">
        <v>285</v>
      </c>
    </row>
    <row r="3" spans="1:65">
      <c r="A3" t="s">
        <v>290</v>
      </c>
      <c r="B3" t="s">
        <v>291</v>
      </c>
    </row>
    <row r="4" spans="1:65">
      <c r="A4" t="s">
        <v>292</v>
      </c>
      <c r="B4" t="s">
        <v>293</v>
      </c>
      <c r="C4" t="s">
        <v>294</v>
      </c>
      <c r="D4" t="s">
        <v>299</v>
      </c>
      <c r="F4" t="s">
        <v>295</v>
      </c>
      <c r="O4" t="s">
        <v>296</v>
      </c>
    </row>
    <row r="5" spans="1:65">
      <c r="A5" t="s">
        <v>292</v>
      </c>
      <c r="B5" t="s">
        <v>293</v>
      </c>
      <c r="C5" t="s">
        <v>297</v>
      </c>
      <c r="D5" t="s">
        <v>298</v>
      </c>
      <c r="F5" t="s">
        <v>295</v>
      </c>
      <c r="O5" t="s">
        <v>296</v>
      </c>
    </row>
    <row r="6" spans="1:65">
      <c r="A6" t="s">
        <v>301</v>
      </c>
      <c r="B6" t="s">
        <v>300</v>
      </c>
      <c r="C6" t="s">
        <v>291</v>
      </c>
      <c r="E6" t="s">
        <v>314</v>
      </c>
      <c r="G6" t="s">
        <v>302</v>
      </c>
      <c r="J6" t="s">
        <v>303</v>
      </c>
      <c r="K6" t="s">
        <v>304</v>
      </c>
      <c r="M6" t="s">
        <v>316</v>
      </c>
      <c r="N6" t="s">
        <v>305</v>
      </c>
      <c r="O6" t="s">
        <v>315</v>
      </c>
      <c r="P6" t="s">
        <v>306</v>
      </c>
      <c r="T6" t="s">
        <v>307</v>
      </c>
      <c r="Z6" t="s">
        <v>308</v>
      </c>
      <c r="AF6" t="s">
        <v>289</v>
      </c>
      <c r="AG6" t="s">
        <v>305</v>
      </c>
      <c r="AO6" t="s">
        <v>296</v>
      </c>
      <c r="AT6" t="s">
        <v>305</v>
      </c>
      <c r="AV6" t="s">
        <v>309</v>
      </c>
      <c r="AW6" t="s">
        <v>310</v>
      </c>
      <c r="BC6" t="s">
        <v>311</v>
      </c>
      <c r="BI6" t="s">
        <v>306</v>
      </c>
      <c r="BJ6" t="s">
        <v>305</v>
      </c>
      <c r="BK6" t="s">
        <v>305</v>
      </c>
      <c r="BL6" t="s">
        <v>285</v>
      </c>
      <c r="BM6" t="s">
        <v>305</v>
      </c>
    </row>
    <row r="7" spans="1:65">
      <c r="A7" t="s">
        <v>301</v>
      </c>
      <c r="B7" t="s">
        <v>300</v>
      </c>
      <c r="C7" t="s">
        <v>312</v>
      </c>
      <c r="E7" t="s">
        <v>317</v>
      </c>
      <c r="G7" t="s">
        <v>302</v>
      </c>
      <c r="J7" t="s">
        <v>303</v>
      </c>
      <c r="K7" t="s">
        <v>304</v>
      </c>
      <c r="M7" t="s">
        <v>316</v>
      </c>
      <c r="N7" t="s">
        <v>305</v>
      </c>
      <c r="O7" t="s">
        <v>315</v>
      </c>
      <c r="P7" t="s">
        <v>306</v>
      </c>
      <c r="T7" t="s">
        <v>307</v>
      </c>
      <c r="Z7" t="s">
        <v>308</v>
      </c>
      <c r="AF7" t="s">
        <v>289</v>
      </c>
      <c r="AG7" t="s">
        <v>305</v>
      </c>
      <c r="AO7" t="s">
        <v>296</v>
      </c>
      <c r="AT7" t="s">
        <v>305</v>
      </c>
      <c r="AV7" t="s">
        <v>318</v>
      </c>
      <c r="AW7" t="s">
        <v>310</v>
      </c>
      <c r="BC7" t="s">
        <v>311</v>
      </c>
      <c r="BE7" t="s">
        <v>313</v>
      </c>
      <c r="BI7" t="s">
        <v>297</v>
      </c>
      <c r="BJ7" t="s">
        <v>305</v>
      </c>
      <c r="BK7" t="s">
        <v>305</v>
      </c>
      <c r="BL7" t="s">
        <v>285</v>
      </c>
      <c r="BM7" t="s">
        <v>305</v>
      </c>
    </row>
    <row r="8" spans="1:65">
      <c r="A8" t="s">
        <v>290</v>
      </c>
      <c r="B8" t="s">
        <v>319</v>
      </c>
    </row>
    <row r="9" spans="1:65">
      <c r="A9" t="s">
        <v>292</v>
      </c>
      <c r="B9" t="s">
        <v>293</v>
      </c>
      <c r="C9" t="s">
        <v>294</v>
      </c>
      <c r="D9" t="s">
        <v>299</v>
      </c>
      <c r="F9" t="s">
        <v>295</v>
      </c>
      <c r="O9" t="s">
        <v>296</v>
      </c>
    </row>
    <row r="10" spans="1:65">
      <c r="A10" t="s">
        <v>292</v>
      </c>
      <c r="B10" t="s">
        <v>293</v>
      </c>
      <c r="C10" t="s">
        <v>297</v>
      </c>
      <c r="D10" t="s">
        <v>298</v>
      </c>
      <c r="F10" t="s">
        <v>295</v>
      </c>
      <c r="O10" t="s">
        <v>296</v>
      </c>
    </row>
    <row r="11" spans="1:65">
      <c r="A11" t="s">
        <v>301</v>
      </c>
      <c r="B11" t="s">
        <v>300</v>
      </c>
      <c r="C11" t="s">
        <v>291</v>
      </c>
      <c r="E11" t="s">
        <v>320</v>
      </c>
      <c r="G11" t="s">
        <v>302</v>
      </c>
      <c r="J11" t="s">
        <v>303</v>
      </c>
      <c r="K11" t="s">
        <v>304</v>
      </c>
      <c r="M11" t="s">
        <v>316</v>
      </c>
      <c r="N11" t="s">
        <v>305</v>
      </c>
      <c r="O11" t="s">
        <v>321</v>
      </c>
      <c r="P11" t="s">
        <v>306</v>
      </c>
      <c r="T11" t="s">
        <v>307</v>
      </c>
      <c r="Z11" t="s">
        <v>308</v>
      </c>
      <c r="AF11" t="s">
        <v>289</v>
      </c>
      <c r="AG11" t="s">
        <v>305</v>
      </c>
      <c r="AO11" t="s">
        <v>296</v>
      </c>
      <c r="AT11" t="s">
        <v>305</v>
      </c>
      <c r="AV11" t="s">
        <v>309</v>
      </c>
      <c r="AW11" t="s">
        <v>310</v>
      </c>
      <c r="BC11" t="s">
        <v>311</v>
      </c>
      <c r="BI11" t="s">
        <v>306</v>
      </c>
      <c r="BJ11" t="s">
        <v>305</v>
      </c>
      <c r="BK11" t="s">
        <v>305</v>
      </c>
      <c r="BL11" t="s">
        <v>285</v>
      </c>
      <c r="BM11" t="s">
        <v>305</v>
      </c>
    </row>
    <row r="12" spans="1:65">
      <c r="A12" t="s">
        <v>301</v>
      </c>
      <c r="B12" t="s">
        <v>300</v>
      </c>
      <c r="C12" t="s">
        <v>312</v>
      </c>
      <c r="E12" t="s">
        <v>322</v>
      </c>
      <c r="G12" t="s">
        <v>302</v>
      </c>
      <c r="J12" t="s">
        <v>303</v>
      </c>
      <c r="K12" t="s">
        <v>304</v>
      </c>
      <c r="M12" t="s">
        <v>316</v>
      </c>
      <c r="N12" t="s">
        <v>305</v>
      </c>
      <c r="O12" t="s">
        <v>321</v>
      </c>
      <c r="P12" t="s">
        <v>306</v>
      </c>
      <c r="T12" t="s">
        <v>307</v>
      </c>
      <c r="Z12" t="s">
        <v>308</v>
      </c>
      <c r="AF12" t="s">
        <v>289</v>
      </c>
      <c r="AG12" t="s">
        <v>305</v>
      </c>
      <c r="AO12" t="s">
        <v>296</v>
      </c>
      <c r="AT12" t="s">
        <v>305</v>
      </c>
      <c r="AV12" t="s">
        <v>318</v>
      </c>
      <c r="AW12" t="s">
        <v>310</v>
      </c>
      <c r="BC12" t="s">
        <v>311</v>
      </c>
      <c r="BE12" t="s">
        <v>313</v>
      </c>
      <c r="BI12" t="s">
        <v>297</v>
      </c>
      <c r="BJ12" t="s">
        <v>305</v>
      </c>
      <c r="BK12" t="s">
        <v>305</v>
      </c>
      <c r="BL12" t="s">
        <v>285</v>
      </c>
      <c r="BM12" t="s">
        <v>305</v>
      </c>
    </row>
    <row r="13" spans="1:65">
      <c r="A13" t="s">
        <v>290</v>
      </c>
      <c r="B13" t="s">
        <v>306</v>
      </c>
    </row>
    <row r="14" spans="1:65">
      <c r="A14" t="s">
        <v>292</v>
      </c>
      <c r="B14" t="s">
        <v>293</v>
      </c>
      <c r="C14" t="s">
        <v>294</v>
      </c>
      <c r="D14" t="s">
        <v>299</v>
      </c>
      <c r="F14" t="s">
        <v>295</v>
      </c>
      <c r="O14" t="s">
        <v>296</v>
      </c>
    </row>
    <row r="15" spans="1:65">
      <c r="A15" t="s">
        <v>292</v>
      </c>
      <c r="B15" t="s">
        <v>293</v>
      </c>
      <c r="C15" t="s">
        <v>297</v>
      </c>
      <c r="D15" t="s">
        <v>298</v>
      </c>
      <c r="F15" t="s">
        <v>295</v>
      </c>
      <c r="O15" t="s">
        <v>296</v>
      </c>
    </row>
    <row r="16" spans="1:65">
      <c r="A16" t="s">
        <v>301</v>
      </c>
      <c r="B16" t="s">
        <v>300</v>
      </c>
      <c r="C16" t="s">
        <v>291</v>
      </c>
      <c r="E16" t="s">
        <v>323</v>
      </c>
      <c r="G16" t="s">
        <v>302</v>
      </c>
      <c r="J16" t="s">
        <v>303</v>
      </c>
      <c r="K16" t="s">
        <v>304</v>
      </c>
      <c r="M16" t="s">
        <v>316</v>
      </c>
      <c r="N16" t="s">
        <v>305</v>
      </c>
      <c r="O16" t="s">
        <v>324</v>
      </c>
      <c r="P16" t="s">
        <v>306</v>
      </c>
      <c r="T16" t="s">
        <v>307</v>
      </c>
      <c r="Z16" t="s">
        <v>308</v>
      </c>
      <c r="AF16" t="s">
        <v>289</v>
      </c>
      <c r="AG16" t="s">
        <v>305</v>
      </c>
      <c r="AO16" t="s">
        <v>296</v>
      </c>
      <c r="AT16" t="s">
        <v>305</v>
      </c>
      <c r="AV16" t="s">
        <v>309</v>
      </c>
      <c r="AW16" t="s">
        <v>310</v>
      </c>
      <c r="BC16" t="s">
        <v>311</v>
      </c>
      <c r="BI16" t="s">
        <v>306</v>
      </c>
      <c r="BJ16" t="s">
        <v>305</v>
      </c>
      <c r="BK16" t="s">
        <v>305</v>
      </c>
      <c r="BL16" t="s">
        <v>285</v>
      </c>
      <c r="BM16" t="s">
        <v>305</v>
      </c>
    </row>
    <row r="17" spans="1:65">
      <c r="A17" t="s">
        <v>301</v>
      </c>
      <c r="B17" t="s">
        <v>300</v>
      </c>
      <c r="C17" t="s">
        <v>312</v>
      </c>
      <c r="E17" t="s">
        <v>325</v>
      </c>
      <c r="G17" t="s">
        <v>302</v>
      </c>
      <c r="J17" t="s">
        <v>303</v>
      </c>
      <c r="K17" t="s">
        <v>304</v>
      </c>
      <c r="M17" t="s">
        <v>316</v>
      </c>
      <c r="N17" t="s">
        <v>305</v>
      </c>
      <c r="O17" t="s">
        <v>324</v>
      </c>
      <c r="P17" t="s">
        <v>306</v>
      </c>
      <c r="T17" t="s">
        <v>307</v>
      </c>
      <c r="Z17" t="s">
        <v>308</v>
      </c>
      <c r="AF17" t="s">
        <v>289</v>
      </c>
      <c r="AG17" t="s">
        <v>305</v>
      </c>
      <c r="AO17" t="s">
        <v>296</v>
      </c>
      <c r="AT17" t="s">
        <v>305</v>
      </c>
      <c r="AV17" t="s">
        <v>318</v>
      </c>
      <c r="AW17" t="s">
        <v>310</v>
      </c>
      <c r="BC17" t="s">
        <v>311</v>
      </c>
      <c r="BE17" t="s">
        <v>313</v>
      </c>
      <c r="BI17" t="s">
        <v>297</v>
      </c>
      <c r="BJ17" t="s">
        <v>305</v>
      </c>
      <c r="BK17" t="s">
        <v>305</v>
      </c>
      <c r="BL17" t="s">
        <v>285</v>
      </c>
      <c r="BM17" t="s">
        <v>305</v>
      </c>
    </row>
    <row r="18" spans="1:65">
      <c r="A18" t="s">
        <v>290</v>
      </c>
      <c r="B18" t="s">
        <v>294</v>
      </c>
    </row>
    <row r="19" spans="1:65">
      <c r="A19" t="s">
        <v>292</v>
      </c>
      <c r="B19" t="s">
        <v>293</v>
      </c>
      <c r="C19" t="s">
        <v>294</v>
      </c>
      <c r="D19" t="s">
        <v>299</v>
      </c>
      <c r="F19" t="s">
        <v>295</v>
      </c>
      <c r="O19" t="s">
        <v>296</v>
      </c>
    </row>
    <row r="20" spans="1:65">
      <c r="A20" t="s">
        <v>292</v>
      </c>
      <c r="B20" t="s">
        <v>293</v>
      </c>
      <c r="C20" t="s">
        <v>297</v>
      </c>
      <c r="D20" t="s">
        <v>298</v>
      </c>
      <c r="F20" t="s">
        <v>295</v>
      </c>
      <c r="O20" t="s">
        <v>296</v>
      </c>
    </row>
    <row r="21" spans="1:65">
      <c r="A21" t="s">
        <v>301</v>
      </c>
      <c r="B21" t="s">
        <v>300</v>
      </c>
      <c r="C21" t="s">
        <v>291</v>
      </c>
      <c r="E21" t="s">
        <v>326</v>
      </c>
      <c r="G21" t="s">
        <v>302</v>
      </c>
      <c r="J21" t="s">
        <v>303</v>
      </c>
      <c r="K21" t="s">
        <v>304</v>
      </c>
      <c r="M21" t="s">
        <v>316</v>
      </c>
      <c r="N21" t="s">
        <v>305</v>
      </c>
      <c r="O21" t="s">
        <v>327</v>
      </c>
      <c r="P21" t="s">
        <v>306</v>
      </c>
      <c r="T21" t="s">
        <v>307</v>
      </c>
      <c r="Z21" t="s">
        <v>308</v>
      </c>
      <c r="AF21" t="s">
        <v>289</v>
      </c>
      <c r="AG21" t="s">
        <v>305</v>
      </c>
      <c r="AO21" t="s">
        <v>296</v>
      </c>
      <c r="AT21" t="s">
        <v>305</v>
      </c>
      <c r="AV21" t="s">
        <v>309</v>
      </c>
      <c r="AW21" t="s">
        <v>310</v>
      </c>
      <c r="BC21" t="s">
        <v>311</v>
      </c>
      <c r="BI21" t="s">
        <v>306</v>
      </c>
      <c r="BJ21" t="s">
        <v>305</v>
      </c>
      <c r="BK21" t="s">
        <v>305</v>
      </c>
      <c r="BL21" t="s">
        <v>285</v>
      </c>
      <c r="BM21" t="s">
        <v>305</v>
      </c>
    </row>
    <row r="22" spans="1:65">
      <c r="A22" t="s">
        <v>301</v>
      </c>
      <c r="B22" t="s">
        <v>300</v>
      </c>
      <c r="C22" t="s">
        <v>312</v>
      </c>
      <c r="E22" t="s">
        <v>328</v>
      </c>
      <c r="G22" t="s">
        <v>302</v>
      </c>
      <c r="J22" t="s">
        <v>303</v>
      </c>
      <c r="K22" t="s">
        <v>304</v>
      </c>
      <c r="M22" t="s">
        <v>316</v>
      </c>
      <c r="N22" t="s">
        <v>305</v>
      </c>
      <c r="O22" t="s">
        <v>327</v>
      </c>
      <c r="P22" t="s">
        <v>306</v>
      </c>
      <c r="T22" t="s">
        <v>307</v>
      </c>
      <c r="Z22" t="s">
        <v>308</v>
      </c>
      <c r="AF22" t="s">
        <v>289</v>
      </c>
      <c r="AG22" t="s">
        <v>305</v>
      </c>
      <c r="AO22" t="s">
        <v>296</v>
      </c>
      <c r="AT22" t="s">
        <v>305</v>
      </c>
      <c r="AV22" t="s">
        <v>318</v>
      </c>
      <c r="AW22" t="s">
        <v>310</v>
      </c>
      <c r="BC22" t="s">
        <v>311</v>
      </c>
      <c r="BE22" t="s">
        <v>313</v>
      </c>
      <c r="BI22" t="s">
        <v>297</v>
      </c>
      <c r="BJ22" t="s">
        <v>305</v>
      </c>
      <c r="BK22" t="s">
        <v>305</v>
      </c>
      <c r="BL22" t="s">
        <v>285</v>
      </c>
      <c r="BM22" t="s">
        <v>305</v>
      </c>
    </row>
    <row r="23" spans="1:65">
      <c r="A23" t="s">
        <v>290</v>
      </c>
      <c r="B23" t="s">
        <v>312</v>
      </c>
    </row>
    <row r="24" spans="1:65">
      <c r="A24" t="s">
        <v>292</v>
      </c>
      <c r="B24" t="s">
        <v>293</v>
      </c>
      <c r="C24" t="s">
        <v>294</v>
      </c>
      <c r="D24" t="s">
        <v>299</v>
      </c>
      <c r="F24" t="s">
        <v>295</v>
      </c>
      <c r="O24" t="s">
        <v>296</v>
      </c>
    </row>
    <row r="25" spans="1:65">
      <c r="A25" t="s">
        <v>292</v>
      </c>
      <c r="B25" t="s">
        <v>293</v>
      </c>
      <c r="C25" t="s">
        <v>297</v>
      </c>
      <c r="D25" t="s">
        <v>298</v>
      </c>
      <c r="F25" t="s">
        <v>295</v>
      </c>
      <c r="O25" t="s">
        <v>296</v>
      </c>
    </row>
    <row r="26" spans="1:65">
      <c r="A26" t="s">
        <v>301</v>
      </c>
      <c r="B26" t="s">
        <v>300</v>
      </c>
      <c r="C26" t="s">
        <v>291</v>
      </c>
      <c r="E26" t="s">
        <v>339</v>
      </c>
      <c r="G26" t="s">
        <v>302</v>
      </c>
      <c r="J26" t="s">
        <v>303</v>
      </c>
      <c r="K26" t="s">
        <v>304</v>
      </c>
      <c r="M26" t="s">
        <v>316</v>
      </c>
      <c r="N26" t="s">
        <v>305</v>
      </c>
      <c r="O26" t="s">
        <v>340</v>
      </c>
      <c r="P26" t="s">
        <v>306</v>
      </c>
      <c r="T26" t="s">
        <v>307</v>
      </c>
      <c r="Z26" t="s">
        <v>308</v>
      </c>
      <c r="AF26" t="s">
        <v>289</v>
      </c>
      <c r="AG26" t="s">
        <v>305</v>
      </c>
      <c r="AO26" t="s">
        <v>296</v>
      </c>
      <c r="AT26" t="s">
        <v>305</v>
      </c>
      <c r="AV26" t="s">
        <v>309</v>
      </c>
      <c r="AW26" t="s">
        <v>310</v>
      </c>
      <c r="BC26" t="s">
        <v>311</v>
      </c>
      <c r="BI26" t="s">
        <v>306</v>
      </c>
      <c r="BJ26" t="s">
        <v>305</v>
      </c>
      <c r="BK26" t="s">
        <v>305</v>
      </c>
      <c r="BL26" t="s">
        <v>285</v>
      </c>
      <c r="BM26" t="s">
        <v>305</v>
      </c>
    </row>
    <row r="27" spans="1:65">
      <c r="A27" t="s">
        <v>301</v>
      </c>
      <c r="B27" t="s">
        <v>300</v>
      </c>
      <c r="C27" t="s">
        <v>312</v>
      </c>
      <c r="E27" t="s">
        <v>341</v>
      </c>
      <c r="G27" t="s">
        <v>302</v>
      </c>
      <c r="J27" t="s">
        <v>303</v>
      </c>
      <c r="K27" t="s">
        <v>304</v>
      </c>
      <c r="M27" t="s">
        <v>316</v>
      </c>
      <c r="N27" t="s">
        <v>305</v>
      </c>
      <c r="O27" t="s">
        <v>340</v>
      </c>
      <c r="P27" t="s">
        <v>306</v>
      </c>
      <c r="T27" t="s">
        <v>307</v>
      </c>
      <c r="Z27" t="s">
        <v>308</v>
      </c>
      <c r="AF27" t="s">
        <v>289</v>
      </c>
      <c r="AG27" t="s">
        <v>305</v>
      </c>
      <c r="AO27" t="s">
        <v>296</v>
      </c>
      <c r="AT27" t="s">
        <v>305</v>
      </c>
      <c r="AV27" t="s">
        <v>318</v>
      </c>
      <c r="AW27" t="s">
        <v>310</v>
      </c>
      <c r="BC27" t="s">
        <v>311</v>
      </c>
      <c r="BE27" t="s">
        <v>313</v>
      </c>
      <c r="BI27" t="s">
        <v>297</v>
      </c>
      <c r="BJ27" t="s">
        <v>305</v>
      </c>
      <c r="BK27" t="s">
        <v>305</v>
      </c>
      <c r="BL27" t="s">
        <v>285</v>
      </c>
      <c r="BM27" t="s">
        <v>305</v>
      </c>
    </row>
    <row r="28" spans="1:65">
      <c r="A28" t="s">
        <v>290</v>
      </c>
      <c r="B28" t="s">
        <v>329</v>
      </c>
    </row>
    <row r="29" spans="1:65">
      <c r="A29" t="s">
        <v>292</v>
      </c>
      <c r="B29" t="s">
        <v>293</v>
      </c>
      <c r="C29" t="s">
        <v>294</v>
      </c>
      <c r="D29" t="s">
        <v>299</v>
      </c>
      <c r="F29" t="s">
        <v>295</v>
      </c>
      <c r="O29" t="s">
        <v>296</v>
      </c>
    </row>
    <row r="30" spans="1:65">
      <c r="A30" t="s">
        <v>292</v>
      </c>
      <c r="B30" t="s">
        <v>293</v>
      </c>
      <c r="C30" t="s">
        <v>297</v>
      </c>
      <c r="D30" t="s">
        <v>298</v>
      </c>
      <c r="F30" t="s">
        <v>295</v>
      </c>
      <c r="O30" t="s">
        <v>296</v>
      </c>
    </row>
    <row r="31" spans="1:65">
      <c r="A31" t="s">
        <v>301</v>
      </c>
      <c r="B31" t="s">
        <v>300</v>
      </c>
      <c r="C31" t="s">
        <v>291</v>
      </c>
      <c r="E31" t="s">
        <v>342</v>
      </c>
      <c r="G31" t="s">
        <v>302</v>
      </c>
      <c r="J31" t="s">
        <v>303</v>
      </c>
      <c r="K31" t="s">
        <v>304</v>
      </c>
      <c r="M31" t="s">
        <v>316</v>
      </c>
      <c r="N31" t="s">
        <v>305</v>
      </c>
      <c r="O31" t="s">
        <v>343</v>
      </c>
      <c r="P31" t="s">
        <v>306</v>
      </c>
      <c r="T31" t="s">
        <v>307</v>
      </c>
      <c r="Z31" t="s">
        <v>308</v>
      </c>
      <c r="AF31" t="s">
        <v>289</v>
      </c>
      <c r="AG31" t="s">
        <v>305</v>
      </c>
      <c r="AO31" t="s">
        <v>296</v>
      </c>
      <c r="AT31" t="s">
        <v>305</v>
      </c>
      <c r="AV31" t="s">
        <v>309</v>
      </c>
      <c r="AW31" t="s">
        <v>310</v>
      </c>
      <c r="BC31" t="s">
        <v>311</v>
      </c>
      <c r="BI31" t="s">
        <v>306</v>
      </c>
      <c r="BJ31" t="s">
        <v>305</v>
      </c>
      <c r="BK31" t="s">
        <v>305</v>
      </c>
      <c r="BL31" t="s">
        <v>285</v>
      </c>
      <c r="BM31" t="s">
        <v>305</v>
      </c>
    </row>
    <row r="32" spans="1:65">
      <c r="A32" t="s">
        <v>301</v>
      </c>
      <c r="B32" t="s">
        <v>300</v>
      </c>
      <c r="C32" t="s">
        <v>312</v>
      </c>
      <c r="E32" t="s">
        <v>344</v>
      </c>
      <c r="G32" t="s">
        <v>302</v>
      </c>
      <c r="J32" t="s">
        <v>303</v>
      </c>
      <c r="K32" t="s">
        <v>304</v>
      </c>
      <c r="M32" t="s">
        <v>316</v>
      </c>
      <c r="N32" t="s">
        <v>305</v>
      </c>
      <c r="O32" t="s">
        <v>343</v>
      </c>
      <c r="P32" t="s">
        <v>306</v>
      </c>
      <c r="T32" t="s">
        <v>307</v>
      </c>
      <c r="Z32" t="s">
        <v>308</v>
      </c>
      <c r="AF32" t="s">
        <v>289</v>
      </c>
      <c r="AG32" t="s">
        <v>305</v>
      </c>
      <c r="AO32" t="s">
        <v>296</v>
      </c>
      <c r="AT32" t="s">
        <v>305</v>
      </c>
      <c r="AV32" t="s">
        <v>318</v>
      </c>
      <c r="AW32" t="s">
        <v>310</v>
      </c>
      <c r="BC32" t="s">
        <v>311</v>
      </c>
      <c r="BE32" t="s">
        <v>313</v>
      </c>
      <c r="BI32" t="s">
        <v>297</v>
      </c>
      <c r="BJ32" t="s">
        <v>305</v>
      </c>
      <c r="BK32" t="s">
        <v>305</v>
      </c>
      <c r="BL32" t="s">
        <v>285</v>
      </c>
      <c r="BM32" t="s">
        <v>305</v>
      </c>
    </row>
    <row r="33" spans="1:65">
      <c r="A33" t="s">
        <v>290</v>
      </c>
      <c r="B33" t="s">
        <v>297</v>
      </c>
    </row>
    <row r="34" spans="1:65">
      <c r="A34" t="s">
        <v>292</v>
      </c>
      <c r="B34" t="s">
        <v>293</v>
      </c>
      <c r="C34" t="s">
        <v>294</v>
      </c>
      <c r="D34" t="s">
        <v>299</v>
      </c>
      <c r="F34" t="s">
        <v>295</v>
      </c>
      <c r="O34" t="s">
        <v>296</v>
      </c>
    </row>
    <row r="35" spans="1:65">
      <c r="A35" t="s">
        <v>292</v>
      </c>
      <c r="B35" t="s">
        <v>293</v>
      </c>
      <c r="C35" t="s">
        <v>297</v>
      </c>
      <c r="D35" t="s">
        <v>298</v>
      </c>
      <c r="F35" t="s">
        <v>295</v>
      </c>
      <c r="O35" t="s">
        <v>296</v>
      </c>
    </row>
    <row r="36" spans="1:65">
      <c r="A36" t="s">
        <v>301</v>
      </c>
      <c r="B36" t="s">
        <v>300</v>
      </c>
      <c r="C36" t="s">
        <v>291</v>
      </c>
      <c r="E36" t="s">
        <v>347</v>
      </c>
      <c r="G36" t="s">
        <v>302</v>
      </c>
      <c r="J36" t="s">
        <v>303</v>
      </c>
      <c r="K36" t="s">
        <v>304</v>
      </c>
      <c r="M36" t="s">
        <v>316</v>
      </c>
      <c r="N36" t="s">
        <v>305</v>
      </c>
      <c r="O36" t="s">
        <v>348</v>
      </c>
      <c r="P36" t="s">
        <v>306</v>
      </c>
      <c r="T36" t="s">
        <v>307</v>
      </c>
      <c r="Z36" t="s">
        <v>308</v>
      </c>
      <c r="AF36" t="s">
        <v>289</v>
      </c>
      <c r="AG36" t="s">
        <v>305</v>
      </c>
      <c r="AO36" t="s">
        <v>296</v>
      </c>
      <c r="AT36" t="s">
        <v>305</v>
      </c>
      <c r="AV36" t="s">
        <v>309</v>
      </c>
      <c r="AW36" t="s">
        <v>310</v>
      </c>
      <c r="BC36" t="s">
        <v>311</v>
      </c>
      <c r="BI36" t="s">
        <v>306</v>
      </c>
      <c r="BJ36" t="s">
        <v>305</v>
      </c>
      <c r="BK36" t="s">
        <v>305</v>
      </c>
      <c r="BL36" t="s">
        <v>285</v>
      </c>
      <c r="BM36" t="s">
        <v>305</v>
      </c>
    </row>
    <row r="37" spans="1:65">
      <c r="A37" t="s">
        <v>301</v>
      </c>
      <c r="B37" t="s">
        <v>300</v>
      </c>
      <c r="C37" t="s">
        <v>312</v>
      </c>
      <c r="E37" t="s">
        <v>349</v>
      </c>
      <c r="G37" t="s">
        <v>302</v>
      </c>
      <c r="J37" t="s">
        <v>303</v>
      </c>
      <c r="K37" t="s">
        <v>304</v>
      </c>
      <c r="M37" t="s">
        <v>316</v>
      </c>
      <c r="N37" t="s">
        <v>305</v>
      </c>
      <c r="O37" t="s">
        <v>348</v>
      </c>
      <c r="P37" t="s">
        <v>306</v>
      </c>
      <c r="T37" t="s">
        <v>307</v>
      </c>
      <c r="Z37" t="s">
        <v>308</v>
      </c>
      <c r="AF37" t="s">
        <v>289</v>
      </c>
      <c r="AG37" t="s">
        <v>305</v>
      </c>
      <c r="AO37" t="s">
        <v>296</v>
      </c>
      <c r="AT37" t="s">
        <v>305</v>
      </c>
      <c r="AV37" t="s">
        <v>318</v>
      </c>
      <c r="AW37" t="s">
        <v>310</v>
      </c>
      <c r="BC37" t="s">
        <v>311</v>
      </c>
      <c r="BE37" t="s">
        <v>313</v>
      </c>
      <c r="BI37" t="s">
        <v>297</v>
      </c>
      <c r="BJ37" t="s">
        <v>305</v>
      </c>
      <c r="BK37" t="s">
        <v>305</v>
      </c>
      <c r="BL37" t="s">
        <v>285</v>
      </c>
      <c r="BM37" t="s">
        <v>305</v>
      </c>
    </row>
    <row r="38" spans="1:65">
      <c r="A38" t="s">
        <v>290</v>
      </c>
      <c r="B38" t="s">
        <v>330</v>
      </c>
    </row>
    <row r="39" spans="1:65">
      <c r="A39" t="s">
        <v>292</v>
      </c>
      <c r="B39" t="s">
        <v>293</v>
      </c>
      <c r="C39" t="s">
        <v>294</v>
      </c>
      <c r="D39" t="s">
        <v>299</v>
      </c>
      <c r="F39" t="s">
        <v>295</v>
      </c>
      <c r="O39" t="s">
        <v>296</v>
      </c>
    </row>
    <row r="40" spans="1:65">
      <c r="A40" t="s">
        <v>292</v>
      </c>
      <c r="B40" t="s">
        <v>293</v>
      </c>
      <c r="C40" t="s">
        <v>297</v>
      </c>
      <c r="D40" t="s">
        <v>298</v>
      </c>
      <c r="F40" t="s">
        <v>295</v>
      </c>
      <c r="O40" t="s">
        <v>296</v>
      </c>
    </row>
    <row r="41" spans="1:65">
      <c r="A41" t="s">
        <v>301</v>
      </c>
      <c r="B41" t="s">
        <v>300</v>
      </c>
      <c r="C41" t="s">
        <v>291</v>
      </c>
      <c r="E41" t="s">
        <v>345</v>
      </c>
      <c r="G41" t="s">
        <v>302</v>
      </c>
      <c r="J41" t="s">
        <v>303</v>
      </c>
      <c r="K41" t="s">
        <v>304</v>
      </c>
      <c r="M41" t="s">
        <v>316</v>
      </c>
      <c r="N41" t="s">
        <v>305</v>
      </c>
      <c r="O41" t="s">
        <v>346</v>
      </c>
      <c r="P41" t="s">
        <v>306</v>
      </c>
      <c r="T41" t="s">
        <v>307</v>
      </c>
      <c r="Z41" t="s">
        <v>308</v>
      </c>
      <c r="AF41" t="s">
        <v>289</v>
      </c>
      <c r="AG41" t="s">
        <v>305</v>
      </c>
      <c r="AO41" t="s">
        <v>296</v>
      </c>
      <c r="AT41" t="s">
        <v>305</v>
      </c>
      <c r="AV41" t="s">
        <v>309</v>
      </c>
      <c r="AW41" t="s">
        <v>310</v>
      </c>
      <c r="BC41" t="s">
        <v>311</v>
      </c>
      <c r="BI41" t="s">
        <v>306</v>
      </c>
      <c r="BJ41" t="s">
        <v>305</v>
      </c>
      <c r="BK41" t="s">
        <v>305</v>
      </c>
      <c r="BL41" t="s">
        <v>285</v>
      </c>
      <c r="BM41" t="s">
        <v>305</v>
      </c>
    </row>
    <row r="42" spans="1:65">
      <c r="A42" t="s">
        <v>301</v>
      </c>
      <c r="B42" t="s">
        <v>300</v>
      </c>
      <c r="C42" t="s">
        <v>312</v>
      </c>
      <c r="E42" t="s">
        <v>382</v>
      </c>
      <c r="G42" t="s">
        <v>302</v>
      </c>
      <c r="J42" t="s">
        <v>303</v>
      </c>
      <c r="K42" t="s">
        <v>304</v>
      </c>
      <c r="M42" t="s">
        <v>316</v>
      </c>
      <c r="N42" t="s">
        <v>305</v>
      </c>
      <c r="O42" t="s">
        <v>346</v>
      </c>
      <c r="P42" t="s">
        <v>306</v>
      </c>
      <c r="T42" t="s">
        <v>307</v>
      </c>
      <c r="Z42" t="s">
        <v>308</v>
      </c>
      <c r="AF42" t="s">
        <v>289</v>
      </c>
      <c r="AG42" t="s">
        <v>305</v>
      </c>
      <c r="AO42" t="s">
        <v>296</v>
      </c>
      <c r="AT42" t="s">
        <v>305</v>
      </c>
      <c r="AV42" t="s">
        <v>318</v>
      </c>
      <c r="AW42" t="s">
        <v>310</v>
      </c>
      <c r="BC42" t="s">
        <v>311</v>
      </c>
      <c r="BE42" t="s">
        <v>313</v>
      </c>
      <c r="BI42" t="s">
        <v>297</v>
      </c>
      <c r="BJ42" t="s">
        <v>305</v>
      </c>
      <c r="BK42" t="s">
        <v>305</v>
      </c>
      <c r="BL42" t="s">
        <v>285</v>
      </c>
      <c r="BM42" t="s">
        <v>305</v>
      </c>
    </row>
    <row r="43" spans="1:65">
      <c r="A43" t="s">
        <v>290</v>
      </c>
      <c r="B43" t="s">
        <v>293</v>
      </c>
    </row>
    <row r="44" spans="1:65">
      <c r="A44" t="s">
        <v>292</v>
      </c>
      <c r="B44" t="s">
        <v>293</v>
      </c>
      <c r="C44" t="s">
        <v>294</v>
      </c>
      <c r="D44" t="s">
        <v>299</v>
      </c>
      <c r="F44" t="s">
        <v>295</v>
      </c>
      <c r="O44" t="s">
        <v>296</v>
      </c>
    </row>
    <row r="45" spans="1:65">
      <c r="A45" t="s">
        <v>292</v>
      </c>
      <c r="B45" t="s">
        <v>293</v>
      </c>
      <c r="C45" t="s">
        <v>297</v>
      </c>
      <c r="D45" t="s">
        <v>298</v>
      </c>
      <c r="F45" t="s">
        <v>295</v>
      </c>
      <c r="O45" t="s">
        <v>296</v>
      </c>
    </row>
    <row r="46" spans="1:65">
      <c r="A46" t="s">
        <v>301</v>
      </c>
      <c r="B46" t="s">
        <v>300</v>
      </c>
      <c r="C46" t="s">
        <v>291</v>
      </c>
      <c r="E46" t="s">
        <v>350</v>
      </c>
      <c r="G46" t="s">
        <v>302</v>
      </c>
      <c r="J46" t="s">
        <v>303</v>
      </c>
      <c r="K46" t="s">
        <v>304</v>
      </c>
      <c r="M46" t="s">
        <v>316</v>
      </c>
      <c r="N46" t="s">
        <v>305</v>
      </c>
      <c r="O46" t="s">
        <v>351</v>
      </c>
      <c r="P46" t="s">
        <v>306</v>
      </c>
      <c r="T46" t="s">
        <v>307</v>
      </c>
      <c r="Z46" t="s">
        <v>308</v>
      </c>
      <c r="AF46" t="s">
        <v>289</v>
      </c>
      <c r="AG46" t="s">
        <v>305</v>
      </c>
      <c r="AO46" t="s">
        <v>296</v>
      </c>
      <c r="AT46" t="s">
        <v>305</v>
      </c>
      <c r="AV46" t="s">
        <v>309</v>
      </c>
      <c r="AW46" t="s">
        <v>310</v>
      </c>
      <c r="BC46" t="s">
        <v>311</v>
      </c>
      <c r="BI46" t="s">
        <v>306</v>
      </c>
      <c r="BJ46" t="s">
        <v>305</v>
      </c>
      <c r="BK46" t="s">
        <v>305</v>
      </c>
      <c r="BL46" t="s">
        <v>285</v>
      </c>
      <c r="BM46" t="s">
        <v>305</v>
      </c>
    </row>
    <row r="47" spans="1:65">
      <c r="A47" t="s">
        <v>301</v>
      </c>
      <c r="B47" t="s">
        <v>300</v>
      </c>
      <c r="C47" t="s">
        <v>312</v>
      </c>
      <c r="E47" t="s">
        <v>352</v>
      </c>
      <c r="G47" t="s">
        <v>302</v>
      </c>
      <c r="J47" t="s">
        <v>303</v>
      </c>
      <c r="K47" t="s">
        <v>304</v>
      </c>
      <c r="M47" t="s">
        <v>316</v>
      </c>
      <c r="N47" t="s">
        <v>305</v>
      </c>
      <c r="O47" t="s">
        <v>351</v>
      </c>
      <c r="P47" t="s">
        <v>306</v>
      </c>
      <c r="T47" t="s">
        <v>307</v>
      </c>
      <c r="Z47" t="s">
        <v>308</v>
      </c>
      <c r="AF47" t="s">
        <v>289</v>
      </c>
      <c r="AG47" t="s">
        <v>305</v>
      </c>
      <c r="AO47" t="s">
        <v>296</v>
      </c>
      <c r="AT47" t="s">
        <v>305</v>
      </c>
      <c r="AV47" t="s">
        <v>318</v>
      </c>
      <c r="AW47" t="s">
        <v>310</v>
      </c>
      <c r="BC47" t="s">
        <v>311</v>
      </c>
      <c r="BE47" t="s">
        <v>313</v>
      </c>
      <c r="BI47" t="s">
        <v>297</v>
      </c>
      <c r="BJ47" t="s">
        <v>305</v>
      </c>
      <c r="BK47" t="s">
        <v>305</v>
      </c>
      <c r="BL47" t="s">
        <v>285</v>
      </c>
      <c r="BM47" t="s">
        <v>305</v>
      </c>
    </row>
    <row r="48" spans="1:65">
      <c r="A48" t="s">
        <v>290</v>
      </c>
      <c r="B48" t="s">
        <v>331</v>
      </c>
    </row>
    <row r="49" spans="1:65">
      <c r="A49" t="s">
        <v>292</v>
      </c>
      <c r="B49" t="s">
        <v>293</v>
      </c>
      <c r="C49" t="s">
        <v>294</v>
      </c>
      <c r="D49" t="s">
        <v>299</v>
      </c>
      <c r="F49" t="s">
        <v>295</v>
      </c>
      <c r="O49" t="s">
        <v>296</v>
      </c>
    </row>
    <row r="50" spans="1:65">
      <c r="A50" t="s">
        <v>292</v>
      </c>
      <c r="B50" t="s">
        <v>293</v>
      </c>
      <c r="C50" t="s">
        <v>297</v>
      </c>
      <c r="D50" t="s">
        <v>298</v>
      </c>
      <c r="F50" t="s">
        <v>295</v>
      </c>
      <c r="O50" t="s">
        <v>296</v>
      </c>
    </row>
    <row r="51" spans="1:65">
      <c r="A51" t="s">
        <v>301</v>
      </c>
      <c r="B51" t="s">
        <v>300</v>
      </c>
      <c r="C51" t="s">
        <v>291</v>
      </c>
      <c r="E51" t="s">
        <v>353</v>
      </c>
      <c r="G51" t="s">
        <v>302</v>
      </c>
      <c r="J51" t="s">
        <v>303</v>
      </c>
      <c r="K51" t="s">
        <v>304</v>
      </c>
      <c r="M51" t="s">
        <v>316</v>
      </c>
      <c r="N51" t="s">
        <v>305</v>
      </c>
      <c r="O51" t="s">
        <v>354</v>
      </c>
      <c r="P51" t="s">
        <v>306</v>
      </c>
      <c r="T51" t="s">
        <v>307</v>
      </c>
      <c r="Z51" t="s">
        <v>308</v>
      </c>
      <c r="AF51" t="s">
        <v>289</v>
      </c>
      <c r="AG51" t="s">
        <v>305</v>
      </c>
      <c r="AO51" t="s">
        <v>296</v>
      </c>
      <c r="AT51" t="s">
        <v>305</v>
      </c>
      <c r="AV51" t="s">
        <v>309</v>
      </c>
      <c r="AW51" t="s">
        <v>310</v>
      </c>
      <c r="BC51" t="s">
        <v>311</v>
      </c>
      <c r="BI51" t="s">
        <v>306</v>
      </c>
      <c r="BJ51" t="s">
        <v>305</v>
      </c>
      <c r="BK51" t="s">
        <v>305</v>
      </c>
      <c r="BL51" t="s">
        <v>285</v>
      </c>
      <c r="BM51" t="s">
        <v>305</v>
      </c>
    </row>
    <row r="52" spans="1:65">
      <c r="A52" t="s">
        <v>301</v>
      </c>
      <c r="B52" t="s">
        <v>300</v>
      </c>
      <c r="C52" t="s">
        <v>312</v>
      </c>
      <c r="E52" t="s">
        <v>355</v>
      </c>
      <c r="G52" t="s">
        <v>302</v>
      </c>
      <c r="J52" t="s">
        <v>303</v>
      </c>
      <c r="K52" t="s">
        <v>304</v>
      </c>
      <c r="M52" t="s">
        <v>316</v>
      </c>
      <c r="N52" t="s">
        <v>305</v>
      </c>
      <c r="O52" t="s">
        <v>354</v>
      </c>
      <c r="P52" t="s">
        <v>306</v>
      </c>
      <c r="T52" t="s">
        <v>307</v>
      </c>
      <c r="Z52" t="s">
        <v>308</v>
      </c>
      <c r="AF52" t="s">
        <v>289</v>
      </c>
      <c r="AG52" t="s">
        <v>305</v>
      </c>
      <c r="AO52" t="s">
        <v>296</v>
      </c>
      <c r="AT52" t="s">
        <v>305</v>
      </c>
      <c r="AV52" t="s">
        <v>318</v>
      </c>
      <c r="AW52" t="s">
        <v>310</v>
      </c>
      <c r="BC52" t="s">
        <v>311</v>
      </c>
      <c r="BE52" t="s">
        <v>313</v>
      </c>
      <c r="BI52" t="s">
        <v>297</v>
      </c>
      <c r="BJ52" t="s">
        <v>305</v>
      </c>
      <c r="BK52" t="s">
        <v>305</v>
      </c>
      <c r="BL52" t="s">
        <v>285</v>
      </c>
      <c r="BM52" t="s">
        <v>305</v>
      </c>
    </row>
    <row r="53" spans="1:65">
      <c r="A53" t="s">
        <v>290</v>
      </c>
      <c r="B53" t="s">
        <v>332</v>
      </c>
    </row>
    <row r="54" spans="1:65">
      <c r="A54" t="s">
        <v>292</v>
      </c>
      <c r="B54" t="s">
        <v>293</v>
      </c>
      <c r="C54" t="s">
        <v>294</v>
      </c>
      <c r="D54" t="s">
        <v>299</v>
      </c>
      <c r="F54" t="s">
        <v>295</v>
      </c>
      <c r="O54" t="s">
        <v>296</v>
      </c>
    </row>
    <row r="55" spans="1:65">
      <c r="A55" t="s">
        <v>292</v>
      </c>
      <c r="B55" t="s">
        <v>293</v>
      </c>
      <c r="C55" t="s">
        <v>297</v>
      </c>
      <c r="D55" t="s">
        <v>298</v>
      </c>
      <c r="F55" t="s">
        <v>295</v>
      </c>
      <c r="O55" t="s">
        <v>296</v>
      </c>
    </row>
    <row r="56" spans="1:65">
      <c r="A56" t="s">
        <v>301</v>
      </c>
      <c r="B56" t="s">
        <v>300</v>
      </c>
      <c r="C56" t="s">
        <v>291</v>
      </c>
      <c r="E56" t="s">
        <v>356</v>
      </c>
      <c r="G56" t="s">
        <v>302</v>
      </c>
      <c r="J56" t="s">
        <v>303</v>
      </c>
      <c r="K56" t="s">
        <v>304</v>
      </c>
      <c r="M56" t="s">
        <v>316</v>
      </c>
      <c r="N56" t="s">
        <v>305</v>
      </c>
      <c r="O56" t="s">
        <v>357</v>
      </c>
      <c r="P56" t="s">
        <v>306</v>
      </c>
      <c r="T56" t="s">
        <v>307</v>
      </c>
      <c r="Z56" t="s">
        <v>308</v>
      </c>
      <c r="AF56" t="s">
        <v>289</v>
      </c>
      <c r="AG56" t="s">
        <v>305</v>
      </c>
      <c r="AO56" t="s">
        <v>296</v>
      </c>
      <c r="AT56" t="s">
        <v>305</v>
      </c>
      <c r="AV56" t="s">
        <v>309</v>
      </c>
      <c r="AW56" t="s">
        <v>310</v>
      </c>
      <c r="BC56" t="s">
        <v>311</v>
      </c>
      <c r="BI56" t="s">
        <v>306</v>
      </c>
      <c r="BJ56" t="s">
        <v>305</v>
      </c>
      <c r="BK56" t="s">
        <v>305</v>
      </c>
      <c r="BL56" t="s">
        <v>285</v>
      </c>
      <c r="BM56" t="s">
        <v>305</v>
      </c>
    </row>
    <row r="57" spans="1:65">
      <c r="A57" t="s">
        <v>301</v>
      </c>
      <c r="B57" t="s">
        <v>300</v>
      </c>
      <c r="C57" t="s">
        <v>312</v>
      </c>
      <c r="E57" t="s">
        <v>358</v>
      </c>
      <c r="G57" t="s">
        <v>302</v>
      </c>
      <c r="J57" t="s">
        <v>303</v>
      </c>
      <c r="K57" t="s">
        <v>304</v>
      </c>
      <c r="M57" t="s">
        <v>316</v>
      </c>
      <c r="N57" t="s">
        <v>305</v>
      </c>
      <c r="O57" t="s">
        <v>357</v>
      </c>
      <c r="P57" t="s">
        <v>306</v>
      </c>
      <c r="T57" t="s">
        <v>307</v>
      </c>
      <c r="Z57" t="s">
        <v>308</v>
      </c>
      <c r="AF57" t="s">
        <v>289</v>
      </c>
      <c r="AG57" t="s">
        <v>305</v>
      </c>
      <c r="AO57" t="s">
        <v>296</v>
      </c>
      <c r="AT57" t="s">
        <v>305</v>
      </c>
      <c r="AV57" t="s">
        <v>318</v>
      </c>
      <c r="AW57" t="s">
        <v>310</v>
      </c>
      <c r="BC57" t="s">
        <v>311</v>
      </c>
      <c r="BE57" t="s">
        <v>313</v>
      </c>
      <c r="BI57" t="s">
        <v>297</v>
      </c>
      <c r="BJ57" t="s">
        <v>305</v>
      </c>
      <c r="BK57" t="s">
        <v>305</v>
      </c>
      <c r="BL57" t="s">
        <v>285</v>
      </c>
      <c r="BM57" t="s">
        <v>305</v>
      </c>
    </row>
    <row r="58" spans="1:65">
      <c r="A58" t="s">
        <v>290</v>
      </c>
      <c r="B58" t="s">
        <v>333</v>
      </c>
    </row>
    <row r="59" spans="1:65">
      <c r="A59" t="s">
        <v>292</v>
      </c>
      <c r="B59" t="s">
        <v>293</v>
      </c>
      <c r="C59" t="s">
        <v>294</v>
      </c>
      <c r="D59" t="s">
        <v>299</v>
      </c>
      <c r="F59" t="s">
        <v>295</v>
      </c>
      <c r="O59" t="s">
        <v>296</v>
      </c>
    </row>
    <row r="60" spans="1:65">
      <c r="A60" t="s">
        <v>292</v>
      </c>
      <c r="B60" t="s">
        <v>293</v>
      </c>
      <c r="C60" t="s">
        <v>297</v>
      </c>
      <c r="D60" t="s">
        <v>298</v>
      </c>
      <c r="F60" t="s">
        <v>295</v>
      </c>
      <c r="O60" t="s">
        <v>296</v>
      </c>
    </row>
    <row r="61" spans="1:65">
      <c r="A61" t="s">
        <v>301</v>
      </c>
      <c r="B61" t="s">
        <v>300</v>
      </c>
      <c r="C61" t="s">
        <v>291</v>
      </c>
      <c r="E61" t="s">
        <v>359</v>
      </c>
      <c r="G61" t="s">
        <v>302</v>
      </c>
      <c r="J61" t="s">
        <v>303</v>
      </c>
      <c r="K61" t="s">
        <v>304</v>
      </c>
      <c r="M61" t="s">
        <v>316</v>
      </c>
      <c r="N61" t="s">
        <v>305</v>
      </c>
      <c r="O61" t="s">
        <v>360</v>
      </c>
      <c r="P61" t="s">
        <v>306</v>
      </c>
      <c r="T61" t="s">
        <v>307</v>
      </c>
      <c r="Z61" t="s">
        <v>308</v>
      </c>
      <c r="AF61" t="s">
        <v>289</v>
      </c>
      <c r="AG61" t="s">
        <v>305</v>
      </c>
      <c r="AO61" t="s">
        <v>296</v>
      </c>
      <c r="AT61" t="s">
        <v>305</v>
      </c>
      <c r="AV61" t="s">
        <v>309</v>
      </c>
      <c r="AW61" t="s">
        <v>310</v>
      </c>
      <c r="BC61" t="s">
        <v>311</v>
      </c>
      <c r="BI61" t="s">
        <v>306</v>
      </c>
      <c r="BJ61" t="s">
        <v>305</v>
      </c>
      <c r="BK61" t="s">
        <v>305</v>
      </c>
      <c r="BL61" t="s">
        <v>285</v>
      </c>
      <c r="BM61" t="s">
        <v>305</v>
      </c>
    </row>
    <row r="62" spans="1:65">
      <c r="A62" t="s">
        <v>301</v>
      </c>
      <c r="B62" t="s">
        <v>300</v>
      </c>
      <c r="C62" t="s">
        <v>312</v>
      </c>
      <c r="E62" t="s">
        <v>361</v>
      </c>
      <c r="G62" t="s">
        <v>302</v>
      </c>
      <c r="J62" t="s">
        <v>303</v>
      </c>
      <c r="K62" t="s">
        <v>304</v>
      </c>
      <c r="M62" t="s">
        <v>316</v>
      </c>
      <c r="N62" t="s">
        <v>305</v>
      </c>
      <c r="O62" t="s">
        <v>360</v>
      </c>
      <c r="P62" t="s">
        <v>306</v>
      </c>
      <c r="T62" t="s">
        <v>307</v>
      </c>
      <c r="Z62" t="s">
        <v>308</v>
      </c>
      <c r="AF62" t="s">
        <v>289</v>
      </c>
      <c r="AG62" t="s">
        <v>305</v>
      </c>
      <c r="AO62" t="s">
        <v>296</v>
      </c>
      <c r="AT62" t="s">
        <v>305</v>
      </c>
      <c r="AV62" t="s">
        <v>318</v>
      </c>
      <c r="AW62" t="s">
        <v>310</v>
      </c>
      <c r="BC62" t="s">
        <v>311</v>
      </c>
      <c r="BE62" t="s">
        <v>313</v>
      </c>
      <c r="BI62" t="s">
        <v>297</v>
      </c>
      <c r="BJ62" t="s">
        <v>305</v>
      </c>
      <c r="BK62" t="s">
        <v>305</v>
      </c>
      <c r="BL62" t="s">
        <v>285</v>
      </c>
      <c r="BM62" t="s">
        <v>305</v>
      </c>
    </row>
    <row r="63" spans="1:65">
      <c r="A63" t="s">
        <v>290</v>
      </c>
      <c r="B63" t="s">
        <v>334</v>
      </c>
    </row>
    <row r="64" spans="1:65">
      <c r="A64" t="s">
        <v>292</v>
      </c>
      <c r="B64" t="s">
        <v>293</v>
      </c>
      <c r="C64" t="s">
        <v>294</v>
      </c>
      <c r="D64" t="s">
        <v>299</v>
      </c>
      <c r="F64" t="s">
        <v>295</v>
      </c>
      <c r="O64" t="s">
        <v>296</v>
      </c>
    </row>
    <row r="65" spans="1:65">
      <c r="A65" t="s">
        <v>292</v>
      </c>
      <c r="B65" t="s">
        <v>293</v>
      </c>
      <c r="C65" t="s">
        <v>297</v>
      </c>
      <c r="D65" t="s">
        <v>298</v>
      </c>
      <c r="F65" t="s">
        <v>295</v>
      </c>
      <c r="O65" t="s">
        <v>296</v>
      </c>
    </row>
    <row r="66" spans="1:65">
      <c r="A66" t="s">
        <v>301</v>
      </c>
      <c r="B66" t="s">
        <v>300</v>
      </c>
      <c r="C66" t="s">
        <v>291</v>
      </c>
      <c r="E66" t="s">
        <v>362</v>
      </c>
      <c r="G66" t="s">
        <v>302</v>
      </c>
      <c r="J66" t="s">
        <v>303</v>
      </c>
      <c r="K66" t="s">
        <v>304</v>
      </c>
      <c r="M66" t="s">
        <v>316</v>
      </c>
      <c r="N66" t="s">
        <v>305</v>
      </c>
      <c r="O66" t="s">
        <v>363</v>
      </c>
      <c r="P66" t="s">
        <v>306</v>
      </c>
      <c r="T66" t="s">
        <v>307</v>
      </c>
      <c r="Z66" t="s">
        <v>308</v>
      </c>
      <c r="AF66" t="s">
        <v>289</v>
      </c>
      <c r="AG66" t="s">
        <v>305</v>
      </c>
      <c r="AO66" t="s">
        <v>296</v>
      </c>
      <c r="AT66" t="s">
        <v>305</v>
      </c>
      <c r="AV66" t="s">
        <v>309</v>
      </c>
      <c r="AW66" t="s">
        <v>310</v>
      </c>
      <c r="BC66" t="s">
        <v>311</v>
      </c>
      <c r="BI66" t="s">
        <v>306</v>
      </c>
      <c r="BJ66" t="s">
        <v>305</v>
      </c>
      <c r="BK66" t="s">
        <v>305</v>
      </c>
      <c r="BL66" t="s">
        <v>285</v>
      </c>
      <c r="BM66" t="s">
        <v>305</v>
      </c>
    </row>
    <row r="67" spans="1:65">
      <c r="A67" t="s">
        <v>301</v>
      </c>
      <c r="B67" t="s">
        <v>300</v>
      </c>
      <c r="C67" t="s">
        <v>312</v>
      </c>
      <c r="E67" t="s">
        <v>364</v>
      </c>
      <c r="G67" t="s">
        <v>302</v>
      </c>
      <c r="J67" t="s">
        <v>303</v>
      </c>
      <c r="K67" t="s">
        <v>304</v>
      </c>
      <c r="M67" t="s">
        <v>316</v>
      </c>
      <c r="N67" t="s">
        <v>305</v>
      </c>
      <c r="O67" t="s">
        <v>363</v>
      </c>
      <c r="P67" t="s">
        <v>306</v>
      </c>
      <c r="T67" t="s">
        <v>307</v>
      </c>
      <c r="Z67" t="s">
        <v>308</v>
      </c>
      <c r="AF67" t="s">
        <v>289</v>
      </c>
      <c r="AG67" t="s">
        <v>305</v>
      </c>
      <c r="AO67" t="s">
        <v>296</v>
      </c>
      <c r="AT67" t="s">
        <v>305</v>
      </c>
      <c r="AV67" t="s">
        <v>318</v>
      </c>
      <c r="AW67" t="s">
        <v>310</v>
      </c>
      <c r="BC67" t="s">
        <v>311</v>
      </c>
      <c r="BE67" t="s">
        <v>313</v>
      </c>
      <c r="BI67" t="s">
        <v>297</v>
      </c>
      <c r="BJ67" t="s">
        <v>305</v>
      </c>
      <c r="BK67" t="s">
        <v>305</v>
      </c>
      <c r="BL67" t="s">
        <v>285</v>
      </c>
      <c r="BM67" t="s">
        <v>305</v>
      </c>
    </row>
    <row r="68" spans="1:65">
      <c r="A68" t="s">
        <v>290</v>
      </c>
      <c r="B68" t="s">
        <v>335</v>
      </c>
    </row>
    <row r="69" spans="1:65">
      <c r="A69" t="s">
        <v>292</v>
      </c>
      <c r="B69" t="s">
        <v>293</v>
      </c>
      <c r="C69" t="s">
        <v>294</v>
      </c>
      <c r="D69" t="s">
        <v>299</v>
      </c>
      <c r="F69" t="s">
        <v>295</v>
      </c>
      <c r="O69" t="s">
        <v>296</v>
      </c>
    </row>
    <row r="70" spans="1:65">
      <c r="A70" t="s">
        <v>292</v>
      </c>
      <c r="B70" t="s">
        <v>293</v>
      </c>
      <c r="C70" t="s">
        <v>297</v>
      </c>
      <c r="D70" t="s">
        <v>298</v>
      </c>
      <c r="F70" t="s">
        <v>295</v>
      </c>
      <c r="O70" t="s">
        <v>296</v>
      </c>
    </row>
    <row r="71" spans="1:65">
      <c r="A71" t="s">
        <v>301</v>
      </c>
      <c r="B71" t="s">
        <v>300</v>
      </c>
      <c r="C71" t="s">
        <v>291</v>
      </c>
      <c r="E71" t="s">
        <v>365</v>
      </c>
      <c r="G71" t="s">
        <v>302</v>
      </c>
      <c r="J71" t="s">
        <v>303</v>
      </c>
      <c r="K71" t="s">
        <v>304</v>
      </c>
      <c r="M71" t="s">
        <v>316</v>
      </c>
      <c r="N71" t="s">
        <v>305</v>
      </c>
      <c r="O71" t="s">
        <v>366</v>
      </c>
      <c r="P71" t="s">
        <v>306</v>
      </c>
      <c r="T71" t="s">
        <v>307</v>
      </c>
      <c r="Z71" t="s">
        <v>308</v>
      </c>
      <c r="AF71" t="s">
        <v>289</v>
      </c>
      <c r="AG71" t="s">
        <v>305</v>
      </c>
      <c r="AO71" t="s">
        <v>296</v>
      </c>
      <c r="AT71" t="s">
        <v>305</v>
      </c>
      <c r="AV71" t="s">
        <v>309</v>
      </c>
      <c r="AW71" t="s">
        <v>310</v>
      </c>
      <c r="BC71" t="s">
        <v>311</v>
      </c>
      <c r="BI71" t="s">
        <v>306</v>
      </c>
      <c r="BJ71" t="s">
        <v>305</v>
      </c>
      <c r="BK71" t="s">
        <v>305</v>
      </c>
      <c r="BL71" t="s">
        <v>285</v>
      </c>
      <c r="BM71" t="s">
        <v>305</v>
      </c>
    </row>
    <row r="72" spans="1:65">
      <c r="A72" t="s">
        <v>301</v>
      </c>
      <c r="B72" t="s">
        <v>300</v>
      </c>
      <c r="C72" t="s">
        <v>312</v>
      </c>
      <c r="E72" t="s">
        <v>367</v>
      </c>
      <c r="G72" t="s">
        <v>302</v>
      </c>
      <c r="J72" t="s">
        <v>303</v>
      </c>
      <c r="K72" t="s">
        <v>304</v>
      </c>
      <c r="M72" t="s">
        <v>316</v>
      </c>
      <c r="N72" t="s">
        <v>305</v>
      </c>
      <c r="O72" t="s">
        <v>366</v>
      </c>
      <c r="P72" t="s">
        <v>306</v>
      </c>
      <c r="T72" t="s">
        <v>307</v>
      </c>
      <c r="Z72" t="s">
        <v>308</v>
      </c>
      <c r="AF72" t="s">
        <v>289</v>
      </c>
      <c r="AG72" t="s">
        <v>305</v>
      </c>
      <c r="AO72" t="s">
        <v>296</v>
      </c>
      <c r="AT72" t="s">
        <v>305</v>
      </c>
      <c r="AV72" t="s">
        <v>318</v>
      </c>
      <c r="AW72" t="s">
        <v>310</v>
      </c>
      <c r="BC72" t="s">
        <v>311</v>
      </c>
      <c r="BE72" t="s">
        <v>313</v>
      </c>
      <c r="BI72" t="s">
        <v>297</v>
      </c>
      <c r="BJ72" t="s">
        <v>305</v>
      </c>
      <c r="BK72" t="s">
        <v>305</v>
      </c>
      <c r="BL72" t="s">
        <v>285</v>
      </c>
      <c r="BM72" t="s">
        <v>305</v>
      </c>
    </row>
    <row r="73" spans="1:65">
      <c r="A73" t="s">
        <v>290</v>
      </c>
      <c r="B73" t="s">
        <v>336</v>
      </c>
    </row>
    <row r="74" spans="1:65">
      <c r="A74" t="s">
        <v>292</v>
      </c>
      <c r="B74" t="s">
        <v>293</v>
      </c>
      <c r="C74" t="s">
        <v>294</v>
      </c>
      <c r="D74" t="s">
        <v>299</v>
      </c>
      <c r="F74" t="s">
        <v>295</v>
      </c>
      <c r="O74" t="s">
        <v>296</v>
      </c>
    </row>
    <row r="75" spans="1:65">
      <c r="A75" t="s">
        <v>292</v>
      </c>
      <c r="B75" t="s">
        <v>293</v>
      </c>
      <c r="C75" t="s">
        <v>297</v>
      </c>
      <c r="D75" t="s">
        <v>298</v>
      </c>
      <c r="F75" t="s">
        <v>295</v>
      </c>
      <c r="O75" t="s">
        <v>296</v>
      </c>
    </row>
    <row r="76" spans="1:65">
      <c r="A76" t="s">
        <v>301</v>
      </c>
      <c r="B76" t="s">
        <v>300</v>
      </c>
      <c r="C76" t="s">
        <v>291</v>
      </c>
      <c r="E76" t="s">
        <v>368</v>
      </c>
      <c r="G76" t="s">
        <v>302</v>
      </c>
      <c r="J76" t="s">
        <v>303</v>
      </c>
      <c r="K76" t="s">
        <v>304</v>
      </c>
      <c r="M76" t="s">
        <v>316</v>
      </c>
      <c r="N76" t="s">
        <v>305</v>
      </c>
      <c r="O76" t="s">
        <v>369</v>
      </c>
      <c r="P76" t="s">
        <v>306</v>
      </c>
      <c r="T76" t="s">
        <v>307</v>
      </c>
      <c r="Z76" t="s">
        <v>308</v>
      </c>
      <c r="AF76" t="s">
        <v>289</v>
      </c>
      <c r="AG76" t="s">
        <v>305</v>
      </c>
      <c r="AO76" t="s">
        <v>296</v>
      </c>
      <c r="AT76" t="s">
        <v>305</v>
      </c>
      <c r="AV76" t="s">
        <v>309</v>
      </c>
      <c r="AW76" t="s">
        <v>310</v>
      </c>
      <c r="BC76" t="s">
        <v>311</v>
      </c>
      <c r="BI76" t="s">
        <v>306</v>
      </c>
      <c r="BJ76" t="s">
        <v>305</v>
      </c>
      <c r="BK76" t="s">
        <v>305</v>
      </c>
      <c r="BL76" t="s">
        <v>285</v>
      </c>
      <c r="BM76" t="s">
        <v>305</v>
      </c>
    </row>
    <row r="77" spans="1:65">
      <c r="A77" t="s">
        <v>301</v>
      </c>
      <c r="B77" t="s">
        <v>300</v>
      </c>
      <c r="C77" t="s">
        <v>312</v>
      </c>
      <c r="E77" t="s">
        <v>370</v>
      </c>
      <c r="G77" t="s">
        <v>302</v>
      </c>
      <c r="J77" t="s">
        <v>303</v>
      </c>
      <c r="K77" t="s">
        <v>304</v>
      </c>
      <c r="M77" t="s">
        <v>316</v>
      </c>
      <c r="N77" t="s">
        <v>305</v>
      </c>
      <c r="O77" t="s">
        <v>369</v>
      </c>
      <c r="P77" t="s">
        <v>306</v>
      </c>
      <c r="T77" t="s">
        <v>307</v>
      </c>
      <c r="Z77" t="s">
        <v>308</v>
      </c>
      <c r="AF77" t="s">
        <v>289</v>
      </c>
      <c r="AG77" t="s">
        <v>305</v>
      </c>
      <c r="AO77" t="s">
        <v>296</v>
      </c>
      <c r="AT77" t="s">
        <v>305</v>
      </c>
      <c r="AV77" t="s">
        <v>318</v>
      </c>
      <c r="AW77" t="s">
        <v>310</v>
      </c>
      <c r="BC77" t="s">
        <v>311</v>
      </c>
      <c r="BE77" t="s">
        <v>313</v>
      </c>
      <c r="BI77" t="s">
        <v>297</v>
      </c>
      <c r="BJ77" t="s">
        <v>305</v>
      </c>
      <c r="BK77" t="s">
        <v>305</v>
      </c>
      <c r="BL77" t="s">
        <v>285</v>
      </c>
      <c r="BM77" t="s">
        <v>305</v>
      </c>
    </row>
    <row r="78" spans="1:65">
      <c r="A78" t="s">
        <v>290</v>
      </c>
      <c r="B78" t="s">
        <v>337</v>
      </c>
    </row>
    <row r="79" spans="1:65">
      <c r="A79" t="s">
        <v>292</v>
      </c>
      <c r="B79" t="s">
        <v>293</v>
      </c>
      <c r="C79" t="s">
        <v>294</v>
      </c>
      <c r="D79" t="s">
        <v>299</v>
      </c>
      <c r="F79" t="s">
        <v>295</v>
      </c>
      <c r="O79" t="s">
        <v>296</v>
      </c>
    </row>
    <row r="80" spans="1:65">
      <c r="A80" t="s">
        <v>292</v>
      </c>
      <c r="B80" t="s">
        <v>293</v>
      </c>
      <c r="C80" t="s">
        <v>297</v>
      </c>
      <c r="D80" t="s">
        <v>298</v>
      </c>
      <c r="F80" t="s">
        <v>295</v>
      </c>
      <c r="O80" t="s">
        <v>296</v>
      </c>
    </row>
    <row r="81" spans="1:65">
      <c r="A81" t="s">
        <v>301</v>
      </c>
      <c r="B81" t="s">
        <v>300</v>
      </c>
      <c r="C81" t="s">
        <v>291</v>
      </c>
      <c r="E81" t="s">
        <v>371</v>
      </c>
      <c r="G81" t="s">
        <v>302</v>
      </c>
      <c r="J81" t="s">
        <v>303</v>
      </c>
      <c r="K81" t="s">
        <v>304</v>
      </c>
      <c r="M81" t="s">
        <v>316</v>
      </c>
      <c r="N81" t="s">
        <v>305</v>
      </c>
      <c r="O81" t="s">
        <v>372</v>
      </c>
      <c r="P81" t="s">
        <v>306</v>
      </c>
      <c r="T81" t="s">
        <v>307</v>
      </c>
      <c r="Z81" t="s">
        <v>308</v>
      </c>
      <c r="AF81" t="s">
        <v>289</v>
      </c>
      <c r="AG81" t="s">
        <v>305</v>
      </c>
      <c r="AO81" t="s">
        <v>296</v>
      </c>
      <c r="AT81" t="s">
        <v>305</v>
      </c>
      <c r="AV81" t="s">
        <v>309</v>
      </c>
      <c r="AW81" t="s">
        <v>310</v>
      </c>
      <c r="BC81" t="s">
        <v>311</v>
      </c>
      <c r="BI81" t="s">
        <v>306</v>
      </c>
      <c r="BJ81" t="s">
        <v>305</v>
      </c>
      <c r="BK81" t="s">
        <v>305</v>
      </c>
      <c r="BL81" t="s">
        <v>285</v>
      </c>
      <c r="BM81" t="s">
        <v>305</v>
      </c>
    </row>
    <row r="82" spans="1:65">
      <c r="A82" t="s">
        <v>301</v>
      </c>
      <c r="B82" t="s">
        <v>300</v>
      </c>
      <c r="C82" t="s">
        <v>312</v>
      </c>
      <c r="E82" t="s">
        <v>373</v>
      </c>
      <c r="G82" t="s">
        <v>302</v>
      </c>
      <c r="J82" t="s">
        <v>303</v>
      </c>
      <c r="K82" t="s">
        <v>304</v>
      </c>
      <c r="M82" t="s">
        <v>316</v>
      </c>
      <c r="N82" t="s">
        <v>305</v>
      </c>
      <c r="O82" t="s">
        <v>372</v>
      </c>
      <c r="P82" t="s">
        <v>306</v>
      </c>
      <c r="T82" t="s">
        <v>307</v>
      </c>
      <c r="Z82" t="s">
        <v>308</v>
      </c>
      <c r="AF82" t="s">
        <v>289</v>
      </c>
      <c r="AG82" t="s">
        <v>305</v>
      </c>
      <c r="AO82" t="s">
        <v>296</v>
      </c>
      <c r="AT82" t="s">
        <v>305</v>
      </c>
      <c r="AV82" t="s">
        <v>318</v>
      </c>
      <c r="AW82" t="s">
        <v>310</v>
      </c>
      <c r="BC82" t="s">
        <v>311</v>
      </c>
      <c r="BE82" t="s">
        <v>313</v>
      </c>
      <c r="BI82" t="s">
        <v>297</v>
      </c>
      <c r="BJ82" t="s">
        <v>305</v>
      </c>
      <c r="BK82" t="s">
        <v>305</v>
      </c>
      <c r="BL82" t="s">
        <v>285</v>
      </c>
      <c r="BM82" t="s">
        <v>305</v>
      </c>
    </row>
    <row r="83" spans="1:65">
      <c r="A83" t="s">
        <v>290</v>
      </c>
      <c r="B83" t="s">
        <v>300</v>
      </c>
    </row>
    <row r="84" spans="1:65">
      <c r="A84" t="s">
        <v>292</v>
      </c>
      <c r="B84" t="s">
        <v>293</v>
      </c>
      <c r="C84" t="s">
        <v>294</v>
      </c>
      <c r="D84" t="s">
        <v>299</v>
      </c>
      <c r="F84" t="s">
        <v>295</v>
      </c>
      <c r="O84" t="s">
        <v>296</v>
      </c>
    </row>
    <row r="85" spans="1:65">
      <c r="A85" t="s">
        <v>292</v>
      </c>
      <c r="B85" t="s">
        <v>293</v>
      </c>
      <c r="C85" t="s">
        <v>297</v>
      </c>
      <c r="D85" t="s">
        <v>298</v>
      </c>
      <c r="F85" t="s">
        <v>295</v>
      </c>
      <c r="O85" t="s">
        <v>296</v>
      </c>
    </row>
    <row r="86" spans="1:65">
      <c r="A86" t="s">
        <v>301</v>
      </c>
      <c r="B86" t="s">
        <v>300</v>
      </c>
      <c r="C86" t="s">
        <v>291</v>
      </c>
      <c r="E86" t="s">
        <v>374</v>
      </c>
      <c r="G86" t="s">
        <v>302</v>
      </c>
      <c r="J86" t="s">
        <v>303</v>
      </c>
      <c r="K86" t="s">
        <v>304</v>
      </c>
      <c r="M86" t="s">
        <v>316</v>
      </c>
      <c r="N86" t="s">
        <v>305</v>
      </c>
      <c r="O86" t="s">
        <v>375</v>
      </c>
      <c r="P86" t="s">
        <v>306</v>
      </c>
      <c r="T86" t="s">
        <v>307</v>
      </c>
      <c r="Z86" t="s">
        <v>308</v>
      </c>
      <c r="AF86" t="s">
        <v>289</v>
      </c>
      <c r="AG86" t="s">
        <v>305</v>
      </c>
      <c r="AO86" t="s">
        <v>296</v>
      </c>
      <c r="AT86" t="s">
        <v>305</v>
      </c>
      <c r="AV86" t="s">
        <v>309</v>
      </c>
      <c r="AW86" t="s">
        <v>310</v>
      </c>
      <c r="BC86" t="s">
        <v>311</v>
      </c>
      <c r="BI86" t="s">
        <v>306</v>
      </c>
      <c r="BJ86" t="s">
        <v>305</v>
      </c>
      <c r="BK86" t="s">
        <v>305</v>
      </c>
      <c r="BL86" t="s">
        <v>285</v>
      </c>
      <c r="BM86" t="s">
        <v>305</v>
      </c>
    </row>
    <row r="87" spans="1:65">
      <c r="A87" t="s">
        <v>301</v>
      </c>
      <c r="B87" t="s">
        <v>300</v>
      </c>
      <c r="C87" t="s">
        <v>312</v>
      </c>
      <c r="E87" t="s">
        <v>376</v>
      </c>
      <c r="G87" t="s">
        <v>302</v>
      </c>
      <c r="J87" t="s">
        <v>303</v>
      </c>
      <c r="K87" t="s">
        <v>304</v>
      </c>
      <c r="M87" t="s">
        <v>316</v>
      </c>
      <c r="N87" t="s">
        <v>305</v>
      </c>
      <c r="O87" t="s">
        <v>375</v>
      </c>
      <c r="P87" t="s">
        <v>306</v>
      </c>
      <c r="T87" t="s">
        <v>307</v>
      </c>
      <c r="Z87" t="s">
        <v>308</v>
      </c>
      <c r="AF87" t="s">
        <v>289</v>
      </c>
      <c r="AG87" t="s">
        <v>305</v>
      </c>
      <c r="AO87" t="s">
        <v>296</v>
      </c>
      <c r="AT87" t="s">
        <v>305</v>
      </c>
      <c r="AV87" t="s">
        <v>318</v>
      </c>
      <c r="AW87" t="s">
        <v>310</v>
      </c>
      <c r="BC87" t="s">
        <v>311</v>
      </c>
      <c r="BE87" t="s">
        <v>313</v>
      </c>
      <c r="BI87" t="s">
        <v>297</v>
      </c>
      <c r="BJ87" t="s">
        <v>305</v>
      </c>
      <c r="BK87" t="s">
        <v>305</v>
      </c>
      <c r="BL87" t="s">
        <v>285</v>
      </c>
      <c r="BM87" t="s">
        <v>305</v>
      </c>
    </row>
    <row r="88" spans="1:65">
      <c r="A88" t="s">
        <v>290</v>
      </c>
      <c r="B88" t="s">
        <v>338</v>
      </c>
    </row>
    <row r="89" spans="1:65">
      <c r="A89" t="s">
        <v>292</v>
      </c>
      <c r="B89" t="s">
        <v>293</v>
      </c>
      <c r="C89" t="s">
        <v>294</v>
      </c>
      <c r="D89" t="s">
        <v>299</v>
      </c>
      <c r="F89" t="s">
        <v>295</v>
      </c>
      <c r="O89" t="s">
        <v>296</v>
      </c>
    </row>
    <row r="90" spans="1:65">
      <c r="A90" t="s">
        <v>292</v>
      </c>
      <c r="B90" t="s">
        <v>293</v>
      </c>
      <c r="C90" t="s">
        <v>297</v>
      </c>
      <c r="D90" t="s">
        <v>298</v>
      </c>
      <c r="F90" t="s">
        <v>295</v>
      </c>
      <c r="O90" t="s">
        <v>296</v>
      </c>
    </row>
    <row r="91" spans="1:65">
      <c r="A91" t="s">
        <v>301</v>
      </c>
      <c r="B91" t="s">
        <v>300</v>
      </c>
      <c r="C91" t="s">
        <v>291</v>
      </c>
      <c r="E91" t="s">
        <v>377</v>
      </c>
      <c r="G91" t="s">
        <v>302</v>
      </c>
      <c r="J91" t="s">
        <v>303</v>
      </c>
      <c r="K91" t="s">
        <v>304</v>
      </c>
      <c r="M91" t="s">
        <v>316</v>
      </c>
      <c r="N91" t="s">
        <v>305</v>
      </c>
      <c r="O91" t="s">
        <v>378</v>
      </c>
      <c r="P91" t="s">
        <v>306</v>
      </c>
      <c r="T91" t="s">
        <v>307</v>
      </c>
      <c r="Z91" t="s">
        <v>308</v>
      </c>
      <c r="AF91" t="s">
        <v>289</v>
      </c>
      <c r="AG91" t="s">
        <v>305</v>
      </c>
      <c r="AO91" t="s">
        <v>296</v>
      </c>
      <c r="AT91" t="s">
        <v>305</v>
      </c>
      <c r="AV91" t="s">
        <v>309</v>
      </c>
      <c r="AW91" t="s">
        <v>310</v>
      </c>
      <c r="BC91" t="s">
        <v>311</v>
      </c>
      <c r="BI91" t="s">
        <v>306</v>
      </c>
      <c r="BJ91" t="s">
        <v>305</v>
      </c>
      <c r="BK91" t="s">
        <v>305</v>
      </c>
      <c r="BL91" t="s">
        <v>285</v>
      </c>
      <c r="BM91" t="s">
        <v>305</v>
      </c>
    </row>
    <row r="92" spans="1:65">
      <c r="A92" t="s">
        <v>301</v>
      </c>
      <c r="B92" t="s">
        <v>300</v>
      </c>
      <c r="C92" t="s">
        <v>312</v>
      </c>
      <c r="E92" t="s">
        <v>379</v>
      </c>
      <c r="G92" t="s">
        <v>302</v>
      </c>
      <c r="J92" t="s">
        <v>303</v>
      </c>
      <c r="K92" t="s">
        <v>304</v>
      </c>
      <c r="M92" t="s">
        <v>316</v>
      </c>
      <c r="N92" t="s">
        <v>305</v>
      </c>
      <c r="O92" t="s">
        <v>378</v>
      </c>
      <c r="P92" t="s">
        <v>306</v>
      </c>
      <c r="T92" t="s">
        <v>307</v>
      </c>
      <c r="Z92" t="s">
        <v>308</v>
      </c>
      <c r="AF92" t="s">
        <v>289</v>
      </c>
      <c r="AG92" t="s">
        <v>305</v>
      </c>
      <c r="AO92" t="s">
        <v>296</v>
      </c>
      <c r="AT92" t="s">
        <v>305</v>
      </c>
      <c r="AV92" t="s">
        <v>318</v>
      </c>
      <c r="AW92" t="s">
        <v>310</v>
      </c>
      <c r="BC92" t="s">
        <v>311</v>
      </c>
      <c r="BE92" t="s">
        <v>313</v>
      </c>
      <c r="BI92" t="s">
        <v>297</v>
      </c>
      <c r="BJ92" t="s">
        <v>305</v>
      </c>
      <c r="BK92" t="s">
        <v>305</v>
      </c>
      <c r="BL92" t="s">
        <v>285</v>
      </c>
      <c r="BM92" t="s">
        <v>305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1"/>
  <dimension ref="A1:Z53"/>
  <sheetViews>
    <sheetView view="pageBreakPreview" zoomScale="75" zoomScaleNormal="100" zoomScaleSheetLayoutView="75" workbookViewId="0">
      <selection activeCell="N18" sqref="N18:P19"/>
    </sheetView>
  </sheetViews>
  <sheetFormatPr defaultRowHeight="18.75"/>
  <cols>
    <col min="1" max="1" width="11.140625" style="2" customWidth="1"/>
    <col min="2" max="2" width="15.28515625" style="2" customWidth="1"/>
    <col min="3" max="3" width="14.42578125" style="2" customWidth="1"/>
    <col min="4" max="4" width="12.85546875" style="2" customWidth="1"/>
    <col min="5" max="5" width="8.7109375" style="2" customWidth="1"/>
    <col min="6" max="6" width="14.85546875" style="2" customWidth="1"/>
    <col min="7" max="7" width="14.1406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" style="2" customWidth="1"/>
    <col min="13" max="14" width="10.28515625" style="2" customWidth="1"/>
    <col min="15" max="15" width="15" style="2" customWidth="1"/>
    <col min="16" max="26" width="10.28515625" style="2" customWidth="1"/>
    <col min="27" max="16384" width="9.140625" style="2"/>
  </cols>
  <sheetData>
    <row r="1" spans="1:26" ht="21.75" customHeight="1">
      <c r="A1" s="59" t="s">
        <v>157</v>
      </c>
      <c r="B1" s="59"/>
      <c r="C1" s="59"/>
      <c r="D1" s="59"/>
      <c r="E1" s="59"/>
      <c r="F1" s="59"/>
      <c r="G1" s="63" t="s">
        <v>154</v>
      </c>
      <c r="H1" s="63"/>
      <c r="I1" s="118" t="s">
        <v>160</v>
      </c>
      <c r="J1" s="118"/>
      <c r="K1" s="118"/>
      <c r="L1" s="118"/>
      <c r="M1" s="91" t="s">
        <v>96</v>
      </c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spans="1:26" ht="21.75" customHeight="1">
      <c r="A2" s="61" t="s">
        <v>45</v>
      </c>
      <c r="B2" s="61"/>
      <c r="C2" s="61"/>
      <c r="D2" s="61"/>
      <c r="E2" s="61"/>
      <c r="F2" s="61"/>
      <c r="G2" s="63"/>
      <c r="H2" s="63"/>
      <c r="I2" s="118"/>
      <c r="J2" s="118"/>
      <c r="K2" s="118"/>
      <c r="L2" s="118"/>
      <c r="M2" s="91" t="s">
        <v>78</v>
      </c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spans="1:26" ht="21.75" customHeight="1">
      <c r="A3" s="59" t="s">
        <v>158</v>
      </c>
      <c r="B3" s="60"/>
      <c r="C3" s="60"/>
      <c r="D3" s="60"/>
      <c r="E3" s="60"/>
      <c r="F3" s="60"/>
      <c r="G3" s="63" t="s">
        <v>155</v>
      </c>
      <c r="H3" s="63"/>
      <c r="I3" s="59" t="s">
        <v>204</v>
      </c>
      <c r="J3" s="59"/>
      <c r="K3" s="59"/>
      <c r="L3" s="59"/>
      <c r="M3" s="104" t="s">
        <v>79</v>
      </c>
      <c r="N3" s="100" t="s">
        <v>81</v>
      </c>
      <c r="O3" s="104"/>
      <c r="P3" s="100" t="s">
        <v>65</v>
      </c>
      <c r="Q3" s="104"/>
      <c r="R3" s="100" t="s">
        <v>82</v>
      </c>
      <c r="S3" s="104"/>
      <c r="T3" s="100" t="s">
        <v>85</v>
      </c>
      <c r="U3" s="104"/>
      <c r="V3" s="100" t="s">
        <v>87</v>
      </c>
      <c r="W3" s="104"/>
      <c r="X3" s="107" t="s">
        <v>91</v>
      </c>
      <c r="Y3" s="108"/>
      <c r="Z3" s="108"/>
    </row>
    <row r="4" spans="1:26" ht="30" customHeight="1">
      <c r="A4" s="61" t="s">
        <v>46</v>
      </c>
      <c r="B4" s="61"/>
      <c r="C4" s="61"/>
      <c r="D4" s="61"/>
      <c r="E4" s="61"/>
      <c r="F4" s="61"/>
      <c r="G4" s="63"/>
      <c r="H4" s="63"/>
      <c r="I4" s="59"/>
      <c r="J4" s="59"/>
      <c r="K4" s="59"/>
      <c r="L4" s="59"/>
      <c r="M4" s="95"/>
      <c r="N4" s="101"/>
      <c r="O4" s="95"/>
      <c r="P4" s="101"/>
      <c r="Q4" s="95"/>
      <c r="R4" s="101" t="s">
        <v>83</v>
      </c>
      <c r="S4" s="95"/>
      <c r="T4" s="101" t="s">
        <v>86</v>
      </c>
      <c r="U4" s="95"/>
      <c r="V4" s="101" t="s">
        <v>88</v>
      </c>
      <c r="W4" s="95"/>
      <c r="X4" s="107"/>
      <c r="Y4" s="108"/>
      <c r="Z4" s="108"/>
    </row>
    <row r="5" spans="1:26" ht="21.75" customHeight="1">
      <c r="A5" s="59" t="s">
        <v>185</v>
      </c>
      <c r="B5" s="60"/>
      <c r="C5" s="60"/>
      <c r="D5" s="60"/>
      <c r="E5" s="60"/>
      <c r="F5" s="60"/>
      <c r="G5" s="63" t="s">
        <v>156</v>
      </c>
      <c r="H5" s="63"/>
      <c r="I5" s="59" t="s">
        <v>205</v>
      </c>
      <c r="J5" s="59"/>
      <c r="K5" s="59"/>
      <c r="L5" s="59"/>
      <c r="M5" s="95" t="s">
        <v>80</v>
      </c>
      <c r="N5" s="101"/>
      <c r="O5" s="95"/>
      <c r="P5" s="101" t="s">
        <v>190</v>
      </c>
      <c r="Q5" s="95"/>
      <c r="R5" s="109" t="s">
        <v>84</v>
      </c>
      <c r="S5" s="110"/>
      <c r="T5" s="109" t="s">
        <v>84</v>
      </c>
      <c r="U5" s="110"/>
      <c r="V5" s="101" t="s">
        <v>89</v>
      </c>
      <c r="W5" s="95"/>
      <c r="X5" s="107"/>
      <c r="Y5" s="108"/>
      <c r="Z5" s="108"/>
    </row>
    <row r="6" spans="1:26" ht="21.75" customHeight="1">
      <c r="A6" s="61" t="s">
        <v>47</v>
      </c>
      <c r="B6" s="61"/>
      <c r="C6" s="61"/>
      <c r="D6" s="61"/>
      <c r="E6" s="61"/>
      <c r="F6" s="61"/>
      <c r="G6" s="63"/>
      <c r="H6" s="63"/>
      <c r="I6" s="59"/>
      <c r="J6" s="59"/>
      <c r="K6" s="59"/>
      <c r="L6" s="59"/>
      <c r="M6" s="96"/>
      <c r="N6" s="103"/>
      <c r="O6" s="96"/>
      <c r="P6" s="103"/>
      <c r="Q6" s="96"/>
      <c r="R6" s="103"/>
      <c r="S6" s="96"/>
      <c r="T6" s="103"/>
      <c r="U6" s="96"/>
      <c r="V6" s="103" t="s">
        <v>90</v>
      </c>
      <c r="W6" s="96"/>
      <c r="X6" s="107"/>
      <c r="Y6" s="108"/>
      <c r="Z6" s="108"/>
    </row>
    <row r="7" spans="1:26" ht="21.75" customHeight="1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10"/>
      <c r="N7" s="89"/>
      <c r="O7" s="105"/>
      <c r="P7" s="89"/>
      <c r="Q7" s="105"/>
      <c r="R7" s="89"/>
      <c r="S7" s="105"/>
      <c r="T7" s="89"/>
      <c r="U7" s="105"/>
      <c r="V7" s="89"/>
      <c r="W7" s="105"/>
      <c r="X7" s="89"/>
      <c r="Y7" s="90"/>
      <c r="Z7" s="90"/>
    </row>
    <row r="8" spans="1:26" ht="22.5" customHeight="1">
      <c r="A8" s="94" t="s">
        <v>48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10"/>
      <c r="N8" s="89"/>
      <c r="O8" s="105"/>
      <c r="P8" s="89"/>
      <c r="Q8" s="105"/>
      <c r="R8" s="89"/>
      <c r="S8" s="105"/>
      <c r="T8" s="89"/>
      <c r="U8" s="105"/>
      <c r="V8" s="89"/>
      <c r="W8" s="105"/>
      <c r="X8" s="89"/>
      <c r="Y8" s="90"/>
      <c r="Z8" s="90"/>
    </row>
    <row r="9" spans="1:26" ht="22.5" customHeight="1">
      <c r="A9" s="88" t="s">
        <v>49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10"/>
      <c r="N9" s="89"/>
      <c r="O9" s="105"/>
      <c r="P9" s="89"/>
      <c r="Q9" s="105"/>
      <c r="R9" s="89"/>
      <c r="S9" s="105"/>
      <c r="T9" s="89"/>
      <c r="U9" s="105"/>
      <c r="V9" s="89"/>
      <c r="W9" s="105"/>
      <c r="X9" s="89"/>
      <c r="Y9" s="90"/>
      <c r="Z9" s="90"/>
    </row>
    <row r="10" spans="1:26" ht="22.5" customHeight="1">
      <c r="A10" s="80" t="s">
        <v>112</v>
      </c>
      <c r="B10" s="80"/>
      <c r="C10" s="80"/>
      <c r="D10" s="80"/>
      <c r="E10" s="81" t="s">
        <v>383</v>
      </c>
      <c r="F10" s="81"/>
      <c r="G10" s="81"/>
      <c r="H10" s="62" t="s">
        <v>384</v>
      </c>
      <c r="I10" s="62"/>
      <c r="J10" s="62"/>
      <c r="K10" s="62"/>
      <c r="L10" s="62"/>
      <c r="M10" s="10"/>
      <c r="N10" s="89"/>
      <c r="O10" s="105"/>
      <c r="P10" s="89"/>
      <c r="Q10" s="105"/>
      <c r="R10" s="89"/>
      <c r="S10" s="105"/>
      <c r="T10" s="89"/>
      <c r="U10" s="105"/>
      <c r="V10" s="89"/>
      <c r="W10" s="105"/>
      <c r="X10" s="89"/>
      <c r="Y10" s="90"/>
      <c r="Z10" s="90"/>
    </row>
    <row r="11" spans="1:26" ht="22.5" customHeight="1">
      <c r="A11" s="80" t="s">
        <v>113</v>
      </c>
      <c r="B11" s="80"/>
      <c r="C11" s="80"/>
      <c r="D11" s="80"/>
      <c r="E11" s="79" t="s">
        <v>238</v>
      </c>
      <c r="F11" s="79"/>
      <c r="G11" s="79"/>
      <c r="H11" s="79"/>
      <c r="I11" s="62" t="s">
        <v>114</v>
      </c>
      <c r="J11" s="62"/>
      <c r="K11" s="62"/>
      <c r="L11" s="62"/>
      <c r="M11" s="10"/>
      <c r="N11" s="89"/>
      <c r="O11" s="105"/>
      <c r="P11" s="89"/>
      <c r="Q11" s="105"/>
      <c r="R11" s="89"/>
      <c r="S11" s="105"/>
      <c r="T11" s="89"/>
      <c r="U11" s="105"/>
      <c r="V11" s="89"/>
      <c r="W11" s="105"/>
      <c r="X11" s="89"/>
      <c r="Y11" s="90"/>
      <c r="Z11" s="90"/>
    </row>
    <row r="12" spans="1:26" ht="21.75" customHeight="1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10"/>
      <c r="N12" s="89"/>
      <c r="O12" s="105"/>
      <c r="P12" s="89"/>
      <c r="Q12" s="105"/>
      <c r="R12" s="89"/>
      <c r="S12" s="105"/>
      <c r="T12" s="89"/>
      <c r="U12" s="105"/>
      <c r="V12" s="89"/>
      <c r="W12" s="105"/>
      <c r="X12" s="89"/>
      <c r="Y12" s="90"/>
      <c r="Z12" s="90"/>
    </row>
    <row r="13" spans="1:26" ht="21.75" customHeight="1">
      <c r="A13" s="64" t="s">
        <v>50</v>
      </c>
      <c r="B13" s="72" t="s">
        <v>56</v>
      </c>
      <c r="C13" s="73"/>
      <c r="D13" s="74" t="s">
        <v>198</v>
      </c>
      <c r="E13" s="75"/>
      <c r="F13" s="72" t="s">
        <v>59</v>
      </c>
      <c r="G13" s="73"/>
      <c r="H13" s="18" t="s">
        <v>198</v>
      </c>
      <c r="I13" s="84" t="s">
        <v>5</v>
      </c>
      <c r="J13" s="72" t="s">
        <v>60</v>
      </c>
      <c r="K13" s="64"/>
      <c r="L13" s="17" t="s">
        <v>65</v>
      </c>
      <c r="M13" s="10"/>
      <c r="N13" s="89"/>
      <c r="O13" s="105"/>
      <c r="P13" s="89"/>
      <c r="Q13" s="105"/>
      <c r="R13" s="89"/>
      <c r="S13" s="105"/>
      <c r="T13" s="89"/>
      <c r="U13" s="105"/>
      <c r="V13" s="89"/>
      <c r="W13" s="105"/>
      <c r="X13" s="89"/>
      <c r="Y13" s="90"/>
      <c r="Z13" s="90"/>
    </row>
    <row r="14" spans="1:26" ht="21.75" customHeight="1">
      <c r="A14" s="65"/>
      <c r="B14" s="82" t="s">
        <v>57</v>
      </c>
      <c r="C14" s="83"/>
      <c r="D14" s="92" t="s">
        <v>242</v>
      </c>
      <c r="E14" s="93"/>
      <c r="F14" s="82" t="s">
        <v>57</v>
      </c>
      <c r="G14" s="83"/>
      <c r="H14" s="19" t="s">
        <v>243</v>
      </c>
      <c r="I14" s="85"/>
      <c r="J14" s="82" t="s">
        <v>61</v>
      </c>
      <c r="K14" s="65"/>
      <c r="L14" s="17" t="s">
        <v>66</v>
      </c>
      <c r="M14" s="10"/>
      <c r="N14" s="89"/>
      <c r="O14" s="105"/>
      <c r="P14" s="89"/>
      <c r="Q14" s="105"/>
      <c r="R14" s="89"/>
      <c r="S14" s="105"/>
      <c r="T14" s="89"/>
      <c r="U14" s="105"/>
      <c r="V14" s="89"/>
      <c r="W14" s="105"/>
      <c r="X14" s="89"/>
      <c r="Y14" s="90"/>
      <c r="Z14" s="90"/>
    </row>
    <row r="15" spans="1:26" ht="21.75" customHeight="1">
      <c r="A15" s="65"/>
      <c r="B15" s="68" t="s">
        <v>58</v>
      </c>
      <c r="C15" s="69"/>
      <c r="D15" s="70">
        <v>18000</v>
      </c>
      <c r="E15" s="71"/>
      <c r="F15" s="68" t="s">
        <v>58</v>
      </c>
      <c r="G15" s="69"/>
      <c r="H15" s="20">
        <v>18000</v>
      </c>
      <c r="I15" s="85"/>
      <c r="J15" s="68" t="s">
        <v>62</v>
      </c>
      <c r="K15" s="78"/>
      <c r="L15" s="17" t="s">
        <v>67</v>
      </c>
      <c r="M15" s="10"/>
      <c r="N15" s="89"/>
      <c r="O15" s="105"/>
      <c r="P15" s="89"/>
      <c r="Q15" s="105"/>
      <c r="R15" s="89"/>
      <c r="S15" s="105"/>
      <c r="T15" s="89"/>
      <c r="U15" s="105"/>
      <c r="V15" s="89"/>
      <c r="W15" s="105"/>
      <c r="X15" s="89"/>
      <c r="Y15" s="90"/>
      <c r="Z15" s="90"/>
    </row>
    <row r="16" spans="1:26" ht="21.75" customHeight="1">
      <c r="A16" s="65"/>
      <c r="B16" s="13" t="s">
        <v>51</v>
      </c>
      <c r="C16" s="13" t="s">
        <v>53</v>
      </c>
      <c r="D16" s="13" t="s">
        <v>54</v>
      </c>
      <c r="E16" s="66"/>
      <c r="F16" s="13" t="s">
        <v>51</v>
      </c>
      <c r="G16" s="13" t="s">
        <v>53</v>
      </c>
      <c r="H16" s="11" t="s">
        <v>54</v>
      </c>
      <c r="I16" s="85"/>
      <c r="J16" s="66" t="s">
        <v>63</v>
      </c>
      <c r="K16" s="66" t="s">
        <v>64</v>
      </c>
      <c r="L16" s="17" t="s">
        <v>68</v>
      </c>
      <c r="M16" s="10"/>
      <c r="N16" s="89"/>
      <c r="O16" s="105"/>
      <c r="P16" s="89"/>
      <c r="Q16" s="105"/>
      <c r="R16" s="89"/>
      <c r="S16" s="105"/>
      <c r="T16" s="89"/>
      <c r="U16" s="105"/>
      <c r="V16" s="89"/>
      <c r="W16" s="105"/>
      <c r="X16" s="89"/>
      <c r="Y16" s="90"/>
      <c r="Z16" s="90"/>
    </row>
    <row r="17" spans="1:26" ht="21.75" customHeight="1">
      <c r="A17" s="65"/>
      <c r="B17" s="26" t="s">
        <v>52</v>
      </c>
      <c r="C17" s="26" t="s">
        <v>51</v>
      </c>
      <c r="D17" s="26" t="s">
        <v>55</v>
      </c>
      <c r="E17" s="67"/>
      <c r="F17" s="26" t="s">
        <v>52</v>
      </c>
      <c r="G17" s="26" t="s">
        <v>51</v>
      </c>
      <c r="H17" s="24" t="s">
        <v>55</v>
      </c>
      <c r="I17" s="85"/>
      <c r="J17" s="67"/>
      <c r="K17" s="67"/>
      <c r="L17" s="17" t="s">
        <v>69</v>
      </c>
      <c r="M17" s="111" t="s">
        <v>92</v>
      </c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spans="1:26" ht="23.25" customHeight="1">
      <c r="A18" s="29" t="s">
        <v>7</v>
      </c>
      <c r="B18" s="49">
        <v>3499.2465999999999</v>
      </c>
      <c r="C18" s="31"/>
      <c r="D18" s="30"/>
      <c r="E18" s="29"/>
      <c r="F18" s="49">
        <v>1295.7374</v>
      </c>
      <c r="G18" s="31"/>
      <c r="H18" s="30"/>
      <c r="I18" s="33"/>
      <c r="J18" s="29"/>
      <c r="K18" s="29">
        <v>6.5</v>
      </c>
      <c r="L18" s="35"/>
      <c r="M18" s="104" t="s">
        <v>79</v>
      </c>
      <c r="N18" s="98" t="s">
        <v>98</v>
      </c>
      <c r="O18" s="98"/>
      <c r="P18" s="98"/>
      <c r="Q18" s="98" t="s">
        <v>107</v>
      </c>
      <c r="R18" s="98"/>
      <c r="S18" s="98"/>
      <c r="T18" s="98" t="s">
        <v>93</v>
      </c>
      <c r="U18" s="98"/>
      <c r="V18" s="98"/>
      <c r="W18" s="100" t="s">
        <v>91</v>
      </c>
      <c r="X18" s="112"/>
      <c r="Y18" s="112"/>
      <c r="Z18" s="112"/>
    </row>
    <row r="19" spans="1:26" ht="23.25" customHeight="1">
      <c r="A19" s="29" t="s">
        <v>8</v>
      </c>
      <c r="B19" s="49">
        <v>3499.3316999999997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8.5099999999783904E-2</v>
      </c>
      <c r="D19" s="30">
        <f>IF(C19="","",C19*$D$15)</f>
        <v>1531.7999999961103</v>
      </c>
      <c r="E19" s="29"/>
      <c r="F19" s="49">
        <v>1295.7783999999999</v>
      </c>
      <c r="G19" s="31">
        <f t="shared" ref="G19:G42" si="1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4.0999999999939973E-2</v>
      </c>
      <c r="H19" s="30">
        <f>IF(G19="","",G19*$H$15)</f>
        <v>737.99999999891952</v>
      </c>
      <c r="I19" s="33">
        <f>IF(H19="","",IF(D19="","",IF(AND(H19=0,D19=0),0,H19/D19)))</f>
        <v>0.48178613396056502</v>
      </c>
      <c r="J19" s="29"/>
      <c r="K19" s="50">
        <v>6.5</v>
      </c>
      <c r="L19" s="35"/>
      <c r="M19" s="95"/>
      <c r="N19" s="99"/>
      <c r="O19" s="99"/>
      <c r="P19" s="99"/>
      <c r="Q19" s="99" t="s">
        <v>108</v>
      </c>
      <c r="R19" s="99"/>
      <c r="S19" s="99"/>
      <c r="T19" s="99"/>
      <c r="U19" s="99"/>
      <c r="V19" s="99"/>
      <c r="W19" s="101"/>
      <c r="X19" s="91"/>
      <c r="Y19" s="91"/>
      <c r="Z19" s="91"/>
    </row>
    <row r="20" spans="1:26" ht="23.25" customHeight="1">
      <c r="A20" s="29" t="s">
        <v>9</v>
      </c>
      <c r="B20" s="49">
        <v>3499.4171000000001</v>
      </c>
      <c r="C20" s="31">
        <f t="shared" si="0"/>
        <v>8.5400000000390719E-2</v>
      </c>
      <c r="D20" s="30">
        <f t="shared" ref="D20:D42" si="2">IF(C20="","",C20*$D$15)</f>
        <v>1537.2000000070329</v>
      </c>
      <c r="E20" s="29"/>
      <c r="F20" s="49">
        <v>1295.8197</v>
      </c>
      <c r="G20" s="31">
        <f t="shared" si="1"/>
        <v>4.1300000000092041E-2</v>
      </c>
      <c r="H20" s="30">
        <f t="shared" ref="H20:H42" si="3">IF(G20="","",G20*$H$15)</f>
        <v>743.40000000165674</v>
      </c>
      <c r="I20" s="33">
        <f t="shared" ref="I20:I42" si="4">IF(H20="","",IF(D20="","",IF(AND(H20=0,D20=0),0,H20/D20)))</f>
        <v>0.48360655737591435</v>
      </c>
      <c r="J20" s="29"/>
      <c r="K20" s="50">
        <v>6.5</v>
      </c>
      <c r="L20" s="35"/>
      <c r="M20" s="95" t="s">
        <v>80</v>
      </c>
      <c r="N20" s="99" t="s">
        <v>99</v>
      </c>
      <c r="O20" s="99"/>
      <c r="P20" s="99"/>
      <c r="Q20" s="99" t="s">
        <v>189</v>
      </c>
      <c r="R20" s="99"/>
      <c r="S20" s="99"/>
      <c r="T20" s="99" t="s">
        <v>94</v>
      </c>
      <c r="U20" s="99"/>
      <c r="V20" s="99"/>
      <c r="W20" s="101"/>
      <c r="X20" s="91"/>
      <c r="Y20" s="91"/>
      <c r="Z20" s="91"/>
    </row>
    <row r="21" spans="1:26" ht="23.25" customHeight="1">
      <c r="A21" s="29" t="s">
        <v>10</v>
      </c>
      <c r="B21" s="49">
        <v>3499.5023000000001</v>
      </c>
      <c r="C21" s="31">
        <f t="shared" si="0"/>
        <v>8.5199999999986176E-2</v>
      </c>
      <c r="D21" s="30">
        <f t="shared" si="2"/>
        <v>1533.5999999997512</v>
      </c>
      <c r="E21" s="29"/>
      <c r="F21" s="49">
        <v>1295.8615</v>
      </c>
      <c r="G21" s="31">
        <f t="shared" si="1"/>
        <v>4.1799999999966531E-2</v>
      </c>
      <c r="H21" s="30">
        <f t="shared" si="3"/>
        <v>752.39999999939755</v>
      </c>
      <c r="I21" s="33">
        <f t="shared" si="4"/>
        <v>0.49061032863818443</v>
      </c>
      <c r="J21" s="29"/>
      <c r="K21" s="50">
        <v>6.5</v>
      </c>
      <c r="L21" s="35"/>
      <c r="M21" s="96"/>
      <c r="N21" s="102"/>
      <c r="O21" s="102"/>
      <c r="P21" s="102"/>
      <c r="Q21" s="102"/>
      <c r="R21" s="102"/>
      <c r="S21" s="102"/>
      <c r="T21" s="102"/>
      <c r="U21" s="102"/>
      <c r="V21" s="102"/>
      <c r="W21" s="103"/>
      <c r="X21" s="111"/>
      <c r="Y21" s="111"/>
      <c r="Z21" s="111"/>
    </row>
    <row r="22" spans="1:26" ht="23.25" customHeight="1">
      <c r="A22" s="29" t="s">
        <v>11</v>
      </c>
      <c r="B22" s="49">
        <v>3499.5868</v>
      </c>
      <c r="C22" s="31">
        <f t="shared" si="0"/>
        <v>8.4499999999934516E-2</v>
      </c>
      <c r="D22" s="30">
        <f t="shared" si="2"/>
        <v>1520.9999999988213</v>
      </c>
      <c r="E22" s="29"/>
      <c r="F22" s="49">
        <v>1295.9025999999999</v>
      </c>
      <c r="G22" s="31">
        <f t="shared" si="1"/>
        <v>4.1099999999914871E-2</v>
      </c>
      <c r="H22" s="30">
        <f t="shared" si="3"/>
        <v>739.79999999846768</v>
      </c>
      <c r="I22" s="33">
        <f t="shared" si="4"/>
        <v>0.4863905325437482</v>
      </c>
      <c r="J22" s="29"/>
      <c r="K22" s="50">
        <v>6.5</v>
      </c>
      <c r="L22" s="35"/>
      <c r="M22" s="10"/>
      <c r="N22" s="106"/>
      <c r="O22" s="106"/>
      <c r="P22" s="106"/>
      <c r="Q22" s="106"/>
      <c r="R22" s="106"/>
      <c r="S22" s="106"/>
      <c r="T22" s="106"/>
      <c r="U22" s="106"/>
      <c r="V22" s="106"/>
      <c r="W22" s="89"/>
      <c r="X22" s="90"/>
      <c r="Y22" s="90"/>
      <c r="Z22" s="90"/>
    </row>
    <row r="23" spans="1:26" ht="23.25" customHeight="1">
      <c r="A23" s="29" t="s">
        <v>12</v>
      </c>
      <c r="B23" s="49">
        <v>3499.6704</v>
      </c>
      <c r="C23" s="31">
        <f t="shared" si="0"/>
        <v>8.3599999999933061E-2</v>
      </c>
      <c r="D23" s="30">
        <f t="shared" si="2"/>
        <v>1504.7999999987951</v>
      </c>
      <c r="E23" s="29"/>
      <c r="F23" s="49">
        <v>1295.9423999999999</v>
      </c>
      <c r="G23" s="31">
        <f t="shared" si="1"/>
        <v>3.9800000000013824E-2</v>
      </c>
      <c r="H23" s="30">
        <f t="shared" si="3"/>
        <v>716.40000000024884</v>
      </c>
      <c r="I23" s="33">
        <f t="shared" si="4"/>
        <v>0.47607655502446999</v>
      </c>
      <c r="J23" s="29"/>
      <c r="K23" s="50">
        <v>6.5</v>
      </c>
      <c r="L23" s="35"/>
      <c r="M23" s="10"/>
      <c r="N23" s="106"/>
      <c r="O23" s="106"/>
      <c r="P23" s="106"/>
      <c r="Q23" s="106"/>
      <c r="R23" s="106"/>
      <c r="S23" s="106"/>
      <c r="T23" s="106"/>
      <c r="U23" s="106"/>
      <c r="V23" s="106"/>
      <c r="W23" s="89"/>
      <c r="X23" s="90"/>
      <c r="Y23" s="90"/>
      <c r="Z23" s="90"/>
    </row>
    <row r="24" spans="1:26" ht="23.25" customHeight="1">
      <c r="A24" s="29" t="s">
        <v>13</v>
      </c>
      <c r="B24" s="49">
        <v>3499.7559000000001</v>
      </c>
      <c r="C24" s="31">
        <f t="shared" si="0"/>
        <v>8.5500000000138243E-2</v>
      </c>
      <c r="D24" s="30">
        <f t="shared" si="2"/>
        <v>1539.0000000024884</v>
      </c>
      <c r="E24" s="29"/>
      <c r="F24" s="49">
        <v>1295.9804999999999</v>
      </c>
      <c r="G24" s="31">
        <f t="shared" si="1"/>
        <v>3.8099999999985812E-2</v>
      </c>
      <c r="H24" s="30">
        <f t="shared" si="3"/>
        <v>685.79999999974461</v>
      </c>
      <c r="I24" s="33">
        <f t="shared" si="4"/>
        <v>0.44561403508683284</v>
      </c>
      <c r="J24" s="29"/>
      <c r="K24" s="50">
        <v>6.5</v>
      </c>
      <c r="L24" s="35"/>
      <c r="M24" s="10"/>
      <c r="N24" s="106"/>
      <c r="O24" s="106"/>
      <c r="P24" s="106"/>
      <c r="Q24" s="106"/>
      <c r="R24" s="106"/>
      <c r="S24" s="106"/>
      <c r="T24" s="106"/>
      <c r="U24" s="106"/>
      <c r="V24" s="106"/>
      <c r="W24" s="89"/>
      <c r="X24" s="90"/>
      <c r="Y24" s="90"/>
      <c r="Z24" s="90"/>
    </row>
    <row r="25" spans="1:26" ht="23.25" customHeight="1">
      <c r="A25" s="29" t="s">
        <v>14</v>
      </c>
      <c r="B25" s="49">
        <v>3499.8444</v>
      </c>
      <c r="C25" s="31">
        <f t="shared" si="0"/>
        <v>8.8499999999839929E-2</v>
      </c>
      <c r="D25" s="30">
        <f t="shared" si="2"/>
        <v>1592.9999999971187</v>
      </c>
      <c r="E25" s="29"/>
      <c r="F25" s="49">
        <v>1296.0174999999999</v>
      </c>
      <c r="G25" s="31">
        <f t="shared" si="1"/>
        <v>3.7000000000034561E-2</v>
      </c>
      <c r="H25" s="30">
        <f t="shared" si="3"/>
        <v>666.00000000062209</v>
      </c>
      <c r="I25" s="33">
        <f t="shared" si="4"/>
        <v>0.41807909604634447</v>
      </c>
      <c r="J25" s="29"/>
      <c r="K25" s="50">
        <v>6.5</v>
      </c>
      <c r="L25" s="35"/>
      <c r="M25" s="10"/>
      <c r="N25" s="106"/>
      <c r="O25" s="106"/>
      <c r="P25" s="106"/>
      <c r="Q25" s="106"/>
      <c r="R25" s="106"/>
      <c r="S25" s="106"/>
      <c r="T25" s="106"/>
      <c r="U25" s="106"/>
      <c r="V25" s="106"/>
      <c r="W25" s="89"/>
      <c r="X25" s="90"/>
      <c r="Y25" s="90"/>
      <c r="Z25" s="90"/>
    </row>
    <row r="26" spans="1:26" ht="23.25" customHeight="1">
      <c r="A26" s="29" t="s">
        <v>15</v>
      </c>
      <c r="B26" s="49">
        <v>3499.9367999999999</v>
      </c>
      <c r="C26" s="31">
        <f t="shared" si="0"/>
        <v>9.2399999999997817E-2</v>
      </c>
      <c r="D26" s="30">
        <f t="shared" si="2"/>
        <v>1663.1999999999607</v>
      </c>
      <c r="E26" s="29"/>
      <c r="F26" s="49">
        <v>1296.0556999999999</v>
      </c>
      <c r="G26" s="31">
        <f t="shared" si="1"/>
        <v>3.819999999996071E-2</v>
      </c>
      <c r="H26" s="30">
        <f t="shared" si="3"/>
        <v>687.59999999929278</v>
      </c>
      <c r="I26" s="33">
        <f t="shared" si="4"/>
        <v>0.41341991341949796</v>
      </c>
      <c r="J26" s="29"/>
      <c r="K26" s="50">
        <v>6.5</v>
      </c>
      <c r="L26" s="35"/>
      <c r="M26" s="10"/>
      <c r="N26" s="106"/>
      <c r="O26" s="106"/>
      <c r="P26" s="106"/>
      <c r="Q26" s="106"/>
      <c r="R26" s="106"/>
      <c r="S26" s="106"/>
      <c r="T26" s="106"/>
      <c r="U26" s="106"/>
      <c r="V26" s="106"/>
      <c r="W26" s="89"/>
      <c r="X26" s="90"/>
      <c r="Y26" s="90"/>
      <c r="Z26" s="90"/>
    </row>
    <row r="27" spans="1:26" ht="23.25" customHeight="1">
      <c r="A27" s="29" t="s">
        <v>16</v>
      </c>
      <c r="B27" s="49">
        <v>3500.0376999999999</v>
      </c>
      <c r="C27" s="31">
        <f t="shared" si="0"/>
        <v>0.10089999999991051</v>
      </c>
      <c r="D27" s="30">
        <f t="shared" si="2"/>
        <v>1816.1999999983891</v>
      </c>
      <c r="E27" s="29"/>
      <c r="F27" s="49">
        <v>1296.1027999999999</v>
      </c>
      <c r="G27" s="31">
        <f t="shared" si="1"/>
        <v>4.7100000000000364E-2</v>
      </c>
      <c r="H27" s="30">
        <f t="shared" si="3"/>
        <v>847.80000000000655</v>
      </c>
      <c r="I27" s="33">
        <f t="shared" si="4"/>
        <v>0.46679881070408463</v>
      </c>
      <c r="J27" s="29"/>
      <c r="K27" s="50">
        <v>6.5</v>
      </c>
      <c r="L27" s="35"/>
      <c r="M27" s="10"/>
      <c r="N27" s="106"/>
      <c r="O27" s="106"/>
      <c r="P27" s="106"/>
      <c r="Q27" s="106"/>
      <c r="R27" s="106"/>
      <c r="S27" s="106"/>
      <c r="T27" s="106"/>
      <c r="U27" s="106"/>
      <c r="V27" s="106"/>
      <c r="W27" s="89"/>
      <c r="X27" s="90"/>
      <c r="Y27" s="90"/>
      <c r="Z27" s="90"/>
    </row>
    <row r="28" spans="1:26" ht="23.25" customHeight="1">
      <c r="A28" s="29" t="s">
        <v>17</v>
      </c>
      <c r="B28" s="49">
        <v>3500.136</v>
      </c>
      <c r="C28" s="31">
        <f t="shared" si="0"/>
        <v>9.8300000000108412E-2</v>
      </c>
      <c r="D28" s="30">
        <f t="shared" si="2"/>
        <v>1769.4000000019514</v>
      </c>
      <c r="E28" s="29"/>
      <c r="F28" s="49">
        <v>1296.1466</v>
      </c>
      <c r="G28" s="31">
        <f t="shared" si="1"/>
        <v>4.3800000000146611E-2</v>
      </c>
      <c r="H28" s="30">
        <f t="shared" si="3"/>
        <v>788.40000000263899</v>
      </c>
      <c r="I28" s="33">
        <f t="shared" si="4"/>
        <v>0.4455747711098505</v>
      </c>
      <c r="J28" s="29"/>
      <c r="K28" s="50">
        <v>6.5</v>
      </c>
      <c r="L28" s="35"/>
      <c r="M28" s="10"/>
      <c r="N28" s="106"/>
      <c r="O28" s="106"/>
      <c r="P28" s="106"/>
      <c r="Q28" s="106"/>
      <c r="R28" s="106"/>
      <c r="S28" s="106"/>
      <c r="T28" s="106"/>
      <c r="U28" s="106"/>
      <c r="V28" s="106"/>
      <c r="W28" s="89"/>
      <c r="X28" s="90"/>
      <c r="Y28" s="90"/>
      <c r="Z28" s="90"/>
    </row>
    <row r="29" spans="1:26" ht="23.25" customHeight="1">
      <c r="A29" s="29" t="s">
        <v>18</v>
      </c>
      <c r="B29" s="49">
        <v>3500.2323000000001</v>
      </c>
      <c r="C29" s="31">
        <f t="shared" si="0"/>
        <v>9.6300000000155705E-2</v>
      </c>
      <c r="D29" s="30">
        <f t="shared" si="2"/>
        <v>1733.4000000028027</v>
      </c>
      <c r="E29" s="29"/>
      <c r="F29" s="49">
        <v>1296.1931</v>
      </c>
      <c r="G29" s="31">
        <f t="shared" si="1"/>
        <v>4.6499999999923602E-2</v>
      </c>
      <c r="H29" s="30">
        <f t="shared" si="3"/>
        <v>836.99999999862484</v>
      </c>
      <c r="I29" s="33">
        <f t="shared" si="4"/>
        <v>0.48286604361213309</v>
      </c>
      <c r="J29" s="29"/>
      <c r="K29" s="50">
        <v>6.4</v>
      </c>
      <c r="L29" s="35"/>
      <c r="M29" s="97" t="s">
        <v>95</v>
      </c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23.25" customHeight="1">
      <c r="A30" s="29" t="s">
        <v>19</v>
      </c>
      <c r="B30" s="49">
        <v>3500.3236999999999</v>
      </c>
      <c r="C30" s="31">
        <f t="shared" si="0"/>
        <v>9.139999999979409E-2</v>
      </c>
      <c r="D30" s="30">
        <f t="shared" si="2"/>
        <v>1645.1999999962936</v>
      </c>
      <c r="E30" s="29"/>
      <c r="F30" s="49">
        <v>1296.2353000000001</v>
      </c>
      <c r="G30" s="31">
        <f t="shared" si="1"/>
        <v>4.2200000000093496E-2</v>
      </c>
      <c r="H30" s="30">
        <f t="shared" si="3"/>
        <v>759.60000000168293</v>
      </c>
      <c r="I30" s="33">
        <f t="shared" si="4"/>
        <v>0.46170678337186616</v>
      </c>
      <c r="J30" s="29"/>
      <c r="K30" s="50">
        <v>6.4</v>
      </c>
      <c r="L30" s="35"/>
      <c r="M30" s="91" t="s">
        <v>97</v>
      </c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 spans="1:26" ht="23.25" customHeight="1">
      <c r="A31" s="29" t="s">
        <v>20</v>
      </c>
      <c r="B31" s="49">
        <v>3500.4128000000001</v>
      </c>
      <c r="C31" s="31">
        <f t="shared" si="0"/>
        <v>8.9100000000144064E-2</v>
      </c>
      <c r="D31" s="30">
        <f t="shared" si="2"/>
        <v>1603.8000000025932</v>
      </c>
      <c r="E31" s="29"/>
      <c r="F31" s="49">
        <v>1296.2744</v>
      </c>
      <c r="G31" s="31">
        <f t="shared" si="1"/>
        <v>3.9099999999962165E-2</v>
      </c>
      <c r="H31" s="30">
        <f t="shared" si="3"/>
        <v>703.79999999931897</v>
      </c>
      <c r="I31" s="33">
        <f t="shared" si="4"/>
        <v>0.43883277216497135</v>
      </c>
      <c r="J31" s="29"/>
      <c r="K31" s="50">
        <v>6.4</v>
      </c>
      <c r="L31" s="35"/>
      <c r="M31" s="104" t="s">
        <v>79</v>
      </c>
      <c r="N31" s="98" t="s">
        <v>98</v>
      </c>
      <c r="O31" s="98"/>
      <c r="P31" s="98" t="s">
        <v>100</v>
      </c>
      <c r="Q31" s="98"/>
      <c r="R31" s="98" t="s">
        <v>93</v>
      </c>
      <c r="S31" s="98"/>
      <c r="T31" s="98" t="s">
        <v>103</v>
      </c>
      <c r="U31" s="98"/>
      <c r="V31" s="98" t="s">
        <v>187</v>
      </c>
      <c r="W31" s="98"/>
      <c r="X31" s="98"/>
      <c r="Y31" s="98" t="s">
        <v>91</v>
      </c>
      <c r="Z31" s="100"/>
    </row>
    <row r="32" spans="1:26" ht="23.25" customHeight="1">
      <c r="A32" s="29" t="s">
        <v>21</v>
      </c>
      <c r="B32" s="49">
        <v>3500.4974999999999</v>
      </c>
      <c r="C32" s="31">
        <f t="shared" si="0"/>
        <v>8.4699999999884312E-2</v>
      </c>
      <c r="D32" s="30">
        <f t="shared" si="2"/>
        <v>1524.5999999979176</v>
      </c>
      <c r="E32" s="29"/>
      <c r="F32" s="49">
        <v>1296.3113000000001</v>
      </c>
      <c r="G32" s="31">
        <f t="shared" si="1"/>
        <v>3.6900000000059663E-2</v>
      </c>
      <c r="H32" s="30">
        <f t="shared" si="3"/>
        <v>664.20000000107393</v>
      </c>
      <c r="I32" s="33">
        <f t="shared" si="4"/>
        <v>0.43565525383837145</v>
      </c>
      <c r="J32" s="29"/>
      <c r="K32" s="50">
        <v>6.4</v>
      </c>
      <c r="L32" s="35"/>
      <c r="M32" s="95"/>
      <c r="N32" s="99"/>
      <c r="O32" s="99"/>
      <c r="P32" s="99" t="s">
        <v>83</v>
      </c>
      <c r="Q32" s="99"/>
      <c r="R32" s="99" t="s">
        <v>102</v>
      </c>
      <c r="S32" s="99"/>
      <c r="T32" s="99" t="s">
        <v>104</v>
      </c>
      <c r="U32" s="99"/>
      <c r="V32" s="99" t="s">
        <v>105</v>
      </c>
      <c r="W32" s="99"/>
      <c r="X32" s="99"/>
      <c r="Y32" s="99"/>
      <c r="Z32" s="101"/>
    </row>
    <row r="33" spans="1:26" ht="23.25" customHeight="1">
      <c r="A33" s="29" t="s">
        <v>22</v>
      </c>
      <c r="B33" s="49">
        <v>3500.5803999999998</v>
      </c>
      <c r="C33" s="31">
        <f t="shared" si="0"/>
        <v>8.2899999999881402E-2</v>
      </c>
      <c r="D33" s="30">
        <f t="shared" si="2"/>
        <v>1492.1999999978652</v>
      </c>
      <c r="E33" s="29"/>
      <c r="F33" s="49">
        <v>1296.3476000000001</v>
      </c>
      <c r="G33" s="31">
        <f t="shared" si="1"/>
        <v>3.6299999999982901E-2</v>
      </c>
      <c r="H33" s="30">
        <f t="shared" si="3"/>
        <v>653.39999999969223</v>
      </c>
      <c r="I33" s="33">
        <f t="shared" si="4"/>
        <v>0.43787696019342381</v>
      </c>
      <c r="J33" s="29"/>
      <c r="K33" s="50">
        <v>6.4</v>
      </c>
      <c r="L33" s="35"/>
      <c r="M33" s="95" t="s">
        <v>80</v>
      </c>
      <c r="N33" s="99" t="s">
        <v>99</v>
      </c>
      <c r="O33" s="99"/>
      <c r="P33" s="99" t="s">
        <v>101</v>
      </c>
      <c r="Q33" s="99"/>
      <c r="R33" s="99" t="s">
        <v>69</v>
      </c>
      <c r="S33" s="99"/>
      <c r="T33" s="99" t="s">
        <v>69</v>
      </c>
      <c r="U33" s="99"/>
      <c r="V33" s="99" t="s">
        <v>106</v>
      </c>
      <c r="W33" s="99"/>
      <c r="X33" s="99"/>
      <c r="Y33" s="99"/>
      <c r="Z33" s="101"/>
    </row>
    <row r="34" spans="1:26" ht="23.25" customHeight="1">
      <c r="A34" s="29" t="s">
        <v>23</v>
      </c>
      <c r="B34" s="49">
        <v>3500.6642000000002</v>
      </c>
      <c r="C34" s="31">
        <f t="shared" si="0"/>
        <v>8.3800000000337604E-2</v>
      </c>
      <c r="D34" s="30">
        <f t="shared" si="2"/>
        <v>1508.4000000060769</v>
      </c>
      <c r="E34" s="29"/>
      <c r="F34" s="49">
        <v>1296.385</v>
      </c>
      <c r="G34" s="31">
        <f t="shared" si="1"/>
        <v>3.7399999999934153E-2</v>
      </c>
      <c r="H34" s="30">
        <f t="shared" si="3"/>
        <v>673.19999999881475</v>
      </c>
      <c r="I34" s="33">
        <f t="shared" si="4"/>
        <v>0.44630071598786969</v>
      </c>
      <c r="J34" s="29"/>
      <c r="K34" s="50">
        <v>6.4</v>
      </c>
      <c r="L34" s="35"/>
      <c r="M34" s="96"/>
      <c r="N34" s="102"/>
      <c r="O34" s="102"/>
      <c r="P34" s="102"/>
      <c r="Q34" s="102"/>
      <c r="R34" s="103"/>
      <c r="S34" s="96"/>
      <c r="T34" s="103"/>
      <c r="U34" s="96"/>
      <c r="V34" s="103"/>
      <c r="W34" s="111"/>
      <c r="X34" s="96"/>
      <c r="Y34" s="102"/>
      <c r="Z34" s="103"/>
    </row>
    <row r="35" spans="1:26" ht="23.25" customHeight="1">
      <c r="A35" s="29" t="s">
        <v>24</v>
      </c>
      <c r="B35" s="49">
        <v>3500.7478999999998</v>
      </c>
      <c r="C35" s="31">
        <f t="shared" si="0"/>
        <v>8.3699999999680585E-2</v>
      </c>
      <c r="D35" s="30">
        <f t="shared" si="2"/>
        <v>1506.5999999942505</v>
      </c>
      <c r="E35" s="29"/>
      <c r="F35" s="49">
        <v>1296.4201</v>
      </c>
      <c r="G35" s="31">
        <f t="shared" si="1"/>
        <v>3.5100000000056752E-2</v>
      </c>
      <c r="H35" s="30">
        <f t="shared" si="3"/>
        <v>631.80000000102154</v>
      </c>
      <c r="I35" s="33">
        <f t="shared" si="4"/>
        <v>0.41935483871195578</v>
      </c>
      <c r="J35" s="29"/>
      <c r="K35" s="50">
        <v>6.4</v>
      </c>
      <c r="L35" s="35"/>
      <c r="M35" s="10"/>
      <c r="N35" s="89" t="s">
        <v>165</v>
      </c>
      <c r="O35" s="105"/>
      <c r="P35" s="114">
        <v>0.4</v>
      </c>
      <c r="Q35" s="115"/>
      <c r="R35" s="114">
        <v>2160</v>
      </c>
      <c r="S35" s="115"/>
      <c r="T35" s="106"/>
      <c r="U35" s="106"/>
      <c r="V35" s="106"/>
      <c r="W35" s="106"/>
      <c r="X35" s="106"/>
      <c r="Y35" s="106"/>
      <c r="Z35" s="89"/>
    </row>
    <row r="36" spans="1:26" ht="23.25" customHeight="1">
      <c r="A36" s="29" t="s">
        <v>25</v>
      </c>
      <c r="B36" s="49">
        <v>3500.8377</v>
      </c>
      <c r="C36" s="31">
        <f t="shared" si="0"/>
        <v>8.9800000000195723E-2</v>
      </c>
      <c r="D36" s="30">
        <f t="shared" si="2"/>
        <v>1616.400000003523</v>
      </c>
      <c r="E36" s="29"/>
      <c r="F36" s="49">
        <v>1296.4580000000001</v>
      </c>
      <c r="G36" s="31">
        <f t="shared" si="1"/>
        <v>3.7900000000036016E-2</v>
      </c>
      <c r="H36" s="30">
        <f t="shared" si="3"/>
        <v>682.20000000064829</v>
      </c>
      <c r="I36" s="33">
        <f t="shared" si="4"/>
        <v>0.4220489977723097</v>
      </c>
      <c r="J36" s="29"/>
      <c r="K36" s="50">
        <v>6.4</v>
      </c>
      <c r="L36" s="35"/>
      <c r="M36" s="10"/>
      <c r="N36" s="89" t="s">
        <v>167</v>
      </c>
      <c r="O36" s="105"/>
      <c r="P36" s="109"/>
      <c r="Q36" s="110"/>
      <c r="R36" s="109"/>
      <c r="S36" s="110"/>
      <c r="T36" s="106"/>
      <c r="U36" s="106"/>
      <c r="V36" s="106"/>
      <c r="W36" s="106"/>
      <c r="X36" s="106"/>
      <c r="Y36" s="106"/>
      <c r="Z36" s="89"/>
    </row>
    <row r="37" spans="1:26" ht="23.25" customHeight="1">
      <c r="A37" s="29" t="s">
        <v>26</v>
      </c>
      <c r="B37" s="49">
        <v>3500.9232999999999</v>
      </c>
      <c r="C37" s="31">
        <f t="shared" si="0"/>
        <v>8.5599999999885767E-2</v>
      </c>
      <c r="D37" s="30">
        <f t="shared" si="2"/>
        <v>1540.7999999979438</v>
      </c>
      <c r="E37" s="29"/>
      <c r="F37" s="49">
        <v>1296.4977999999999</v>
      </c>
      <c r="G37" s="31">
        <f t="shared" si="1"/>
        <v>3.9799999999786451E-2</v>
      </c>
      <c r="H37" s="30">
        <f t="shared" si="3"/>
        <v>716.39999999615611</v>
      </c>
      <c r="I37" s="33">
        <f t="shared" si="4"/>
        <v>0.46495327102616313</v>
      </c>
      <c r="J37" s="29"/>
      <c r="K37" s="50">
        <v>6.4</v>
      </c>
      <c r="L37" s="35"/>
      <c r="M37" s="10"/>
      <c r="N37" s="106" t="s">
        <v>166</v>
      </c>
      <c r="O37" s="106"/>
      <c r="P37" s="116"/>
      <c r="Q37" s="117"/>
      <c r="R37" s="116"/>
      <c r="S37" s="117"/>
      <c r="T37" s="106"/>
      <c r="U37" s="106"/>
      <c r="V37" s="106"/>
      <c r="W37" s="106"/>
      <c r="X37" s="106"/>
      <c r="Y37" s="106"/>
      <c r="Z37" s="89"/>
    </row>
    <row r="38" spans="1:26" ht="23.25" customHeight="1">
      <c r="A38" s="29" t="s">
        <v>27</v>
      </c>
      <c r="B38" s="49">
        <v>3501.0045</v>
      </c>
      <c r="C38" s="31">
        <f t="shared" si="0"/>
        <v>8.1200000000080763E-2</v>
      </c>
      <c r="D38" s="30">
        <f t="shared" si="2"/>
        <v>1461.6000000014537</v>
      </c>
      <c r="E38" s="29"/>
      <c r="F38" s="49">
        <v>1296.5346</v>
      </c>
      <c r="G38" s="31">
        <f t="shared" si="1"/>
        <v>3.6800000000084765E-2</v>
      </c>
      <c r="H38" s="30">
        <f t="shared" si="3"/>
        <v>662.40000000152577</v>
      </c>
      <c r="I38" s="33">
        <f t="shared" si="4"/>
        <v>0.45320197044394289</v>
      </c>
      <c r="J38" s="29"/>
      <c r="K38" s="29">
        <v>6.5</v>
      </c>
      <c r="L38" s="35"/>
      <c r="M38" s="10"/>
      <c r="N38" s="106" t="s">
        <v>168</v>
      </c>
      <c r="O38" s="106"/>
      <c r="P38" s="113">
        <v>6</v>
      </c>
      <c r="Q38" s="113"/>
      <c r="R38" s="106">
        <v>870</v>
      </c>
      <c r="S38" s="106"/>
      <c r="T38" s="106"/>
      <c r="U38" s="106"/>
      <c r="V38" s="106"/>
      <c r="W38" s="106"/>
      <c r="X38" s="106"/>
      <c r="Y38" s="106"/>
      <c r="Z38" s="89"/>
    </row>
    <row r="39" spans="1:26" ht="23.25" customHeight="1">
      <c r="A39" s="29" t="s">
        <v>28</v>
      </c>
      <c r="B39" s="49">
        <v>3501.0884000000001</v>
      </c>
      <c r="C39" s="31">
        <f t="shared" si="0"/>
        <v>8.3900000000085129E-2</v>
      </c>
      <c r="D39" s="30">
        <f t="shared" si="2"/>
        <v>1510.2000000015323</v>
      </c>
      <c r="E39" s="29"/>
      <c r="F39" s="49">
        <v>1296.5734</v>
      </c>
      <c r="G39" s="31">
        <f t="shared" si="1"/>
        <v>3.8800000000037471E-2</v>
      </c>
      <c r="H39" s="30">
        <f t="shared" si="3"/>
        <v>698.40000000067448</v>
      </c>
      <c r="I39" s="33">
        <f t="shared" si="4"/>
        <v>0.46245530393323125</v>
      </c>
      <c r="J39" s="29"/>
      <c r="K39" s="50">
        <v>6.5</v>
      </c>
      <c r="L39" s="35"/>
      <c r="M39" s="10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89"/>
    </row>
    <row r="40" spans="1:26" ht="23.25" customHeight="1">
      <c r="A40" s="29" t="s">
        <v>29</v>
      </c>
      <c r="B40" s="49">
        <v>3501.1790999999998</v>
      </c>
      <c r="C40" s="31">
        <f t="shared" si="0"/>
        <v>9.0699999999742431E-2</v>
      </c>
      <c r="D40" s="30">
        <f t="shared" si="2"/>
        <v>1632.5999999953638</v>
      </c>
      <c r="E40" s="29"/>
      <c r="F40" s="49">
        <v>1296.6188999999999</v>
      </c>
      <c r="G40" s="31">
        <f t="shared" si="1"/>
        <v>4.5499999999947249E-2</v>
      </c>
      <c r="H40" s="30">
        <f t="shared" si="3"/>
        <v>818.99999999905049</v>
      </c>
      <c r="I40" s="33">
        <f t="shared" si="4"/>
        <v>0.50165380374946478</v>
      </c>
      <c r="J40" s="29"/>
      <c r="K40" s="50">
        <v>6.5</v>
      </c>
      <c r="L40" s="35"/>
      <c r="M40" s="91" t="s">
        <v>109</v>
      </c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</row>
    <row r="41" spans="1:26" ht="23.25" customHeight="1">
      <c r="A41" s="29" t="s">
        <v>30</v>
      </c>
      <c r="B41" s="49">
        <v>3501.2687000000001</v>
      </c>
      <c r="C41" s="31">
        <f t="shared" si="0"/>
        <v>8.9600000000245927E-2</v>
      </c>
      <c r="D41" s="30">
        <f t="shared" si="2"/>
        <v>1612.8000000044267</v>
      </c>
      <c r="E41" s="29"/>
      <c r="F41" s="49">
        <v>1296.6646000000001</v>
      </c>
      <c r="G41" s="31">
        <f t="shared" si="1"/>
        <v>4.5700000000124419E-2</v>
      </c>
      <c r="H41" s="30">
        <f t="shared" si="3"/>
        <v>822.60000000223954</v>
      </c>
      <c r="I41" s="33">
        <f t="shared" si="4"/>
        <v>0.51004464285713158</v>
      </c>
      <c r="J41" s="29"/>
      <c r="K41" s="50">
        <v>6.5</v>
      </c>
      <c r="L41" s="35"/>
      <c r="M41" s="104" t="s">
        <v>79</v>
      </c>
      <c r="N41" s="98" t="s">
        <v>98</v>
      </c>
      <c r="O41" s="98"/>
      <c r="P41" s="98" t="s">
        <v>93</v>
      </c>
      <c r="Q41" s="98"/>
      <c r="R41" s="98"/>
      <c r="S41" s="98" t="s">
        <v>111</v>
      </c>
      <c r="T41" s="98" t="s">
        <v>81</v>
      </c>
      <c r="U41" s="98"/>
      <c r="V41" s="98"/>
      <c r="W41" s="98"/>
      <c r="X41" s="98" t="s">
        <v>93</v>
      </c>
      <c r="Y41" s="98"/>
      <c r="Z41" s="100"/>
    </row>
    <row r="42" spans="1:26" ht="23.25" customHeight="1">
      <c r="A42" s="29" t="s">
        <v>31</v>
      </c>
      <c r="B42" s="49">
        <v>3501.3564999999999</v>
      </c>
      <c r="C42" s="31">
        <f t="shared" si="0"/>
        <v>8.779999999978827E-2</v>
      </c>
      <c r="D42" s="30">
        <f t="shared" si="2"/>
        <v>1580.3999999961889</v>
      </c>
      <c r="E42" s="29"/>
      <c r="F42" s="49">
        <v>1296.7090000000001</v>
      </c>
      <c r="G42" s="31">
        <f t="shared" si="1"/>
        <v>4.4399999999995998E-2</v>
      </c>
      <c r="H42" s="30">
        <f t="shared" si="3"/>
        <v>799.19999999992797</v>
      </c>
      <c r="I42" s="33">
        <f t="shared" si="4"/>
        <v>0.50569476082121945</v>
      </c>
      <c r="J42" s="29"/>
      <c r="K42" s="50">
        <v>6.5</v>
      </c>
      <c r="L42" s="35"/>
      <c r="M42" s="95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101"/>
    </row>
    <row r="43" spans="1:26" ht="22.5" customHeight="1">
      <c r="A43" s="86" t="s">
        <v>70</v>
      </c>
      <c r="B43" s="86"/>
      <c r="C43" s="86"/>
      <c r="D43" s="30">
        <f>SUM(D18:D42)</f>
        <v>37978.199999998651</v>
      </c>
      <c r="E43" s="29"/>
      <c r="F43" s="36"/>
      <c r="G43" s="29"/>
      <c r="H43" s="30">
        <f>SUM(H18:H42)</f>
        <v>17488.800000001447</v>
      </c>
      <c r="I43" s="33">
        <f>IF(AND(H43=0,D43=0),0,H43/D43)</f>
        <v>0.46049575809285509</v>
      </c>
      <c r="J43" s="29"/>
      <c r="K43" s="29"/>
      <c r="L43" s="35"/>
      <c r="M43" s="95" t="s">
        <v>80</v>
      </c>
      <c r="N43" s="99" t="s">
        <v>99</v>
      </c>
      <c r="O43" s="99"/>
      <c r="P43" s="99" t="s">
        <v>110</v>
      </c>
      <c r="Q43" s="99"/>
      <c r="R43" s="99"/>
      <c r="S43" s="99"/>
      <c r="T43" s="99"/>
      <c r="U43" s="99"/>
      <c r="V43" s="99"/>
      <c r="W43" s="99"/>
      <c r="X43" s="99" t="s">
        <v>110</v>
      </c>
      <c r="Y43" s="99"/>
      <c r="Z43" s="101"/>
    </row>
    <row r="44" spans="1:26" ht="22.5" customHeight="1">
      <c r="A44" s="76" t="s">
        <v>71</v>
      </c>
      <c r="B44" s="76"/>
      <c r="C44" s="76"/>
      <c r="D44" s="37"/>
      <c r="E44" s="37"/>
      <c r="F44" s="38"/>
      <c r="G44" s="37"/>
      <c r="H44" s="37"/>
      <c r="I44" s="37"/>
      <c r="J44" s="37"/>
      <c r="K44" s="37"/>
      <c r="L44" s="35"/>
      <c r="M44" s="96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3"/>
    </row>
    <row r="45" spans="1:26" ht="22.5" customHeight="1">
      <c r="A45" s="39"/>
      <c r="B45" s="40"/>
      <c r="C45" s="40"/>
      <c r="D45" s="40"/>
      <c r="E45" s="40"/>
      <c r="F45" s="39"/>
      <c r="G45" s="39"/>
      <c r="H45" s="39"/>
      <c r="I45" s="40"/>
      <c r="J45" s="41"/>
      <c r="K45" s="41"/>
      <c r="L45" s="41"/>
      <c r="M45" s="10"/>
      <c r="N45" s="89"/>
      <c r="O45" s="105"/>
      <c r="P45" s="89"/>
      <c r="Q45" s="90"/>
      <c r="R45" s="105"/>
      <c r="S45" s="8"/>
      <c r="T45" s="89"/>
      <c r="U45" s="90"/>
      <c r="V45" s="90"/>
      <c r="W45" s="105"/>
      <c r="X45" s="89"/>
      <c r="Y45" s="90"/>
      <c r="Z45" s="90"/>
    </row>
    <row r="46" spans="1:26" ht="22.5" customHeight="1">
      <c r="A46" s="54" t="s">
        <v>72</v>
      </c>
      <c r="B46" s="54"/>
      <c r="C46" s="54"/>
      <c r="D46" s="54"/>
      <c r="E46" s="54"/>
      <c r="F46" s="54"/>
      <c r="G46" s="77" t="s">
        <v>73</v>
      </c>
      <c r="H46" s="77"/>
      <c r="I46" s="77"/>
      <c r="J46" s="77"/>
      <c r="K46" s="77"/>
      <c r="L46" s="77"/>
      <c r="M46" s="10"/>
      <c r="N46" s="89"/>
      <c r="O46" s="105"/>
      <c r="P46" s="89"/>
      <c r="Q46" s="90"/>
      <c r="R46" s="105"/>
      <c r="S46" s="8"/>
      <c r="T46" s="89"/>
      <c r="U46" s="90"/>
      <c r="V46" s="90"/>
      <c r="W46" s="105"/>
      <c r="X46" s="89"/>
      <c r="Y46" s="90"/>
      <c r="Z46" s="90"/>
    </row>
    <row r="47" spans="1:26" ht="22.5" customHeight="1">
      <c r="A47" s="52" t="s">
        <v>388</v>
      </c>
      <c r="B47" s="52"/>
      <c r="C47" s="52"/>
      <c r="D47" s="54" t="s">
        <v>74</v>
      </c>
      <c r="E47" s="54"/>
      <c r="F47" s="54"/>
      <c r="G47" s="40"/>
      <c r="H47" s="40"/>
      <c r="I47" s="40"/>
      <c r="J47" s="40"/>
      <c r="K47" s="40"/>
      <c r="L47" s="40"/>
      <c r="M47" s="10"/>
      <c r="N47" s="89"/>
      <c r="O47" s="105"/>
      <c r="P47" s="89"/>
      <c r="Q47" s="90"/>
      <c r="R47" s="105"/>
      <c r="S47" s="8"/>
      <c r="T47" s="89"/>
      <c r="U47" s="90"/>
      <c r="V47" s="90"/>
      <c r="W47" s="105"/>
      <c r="X47" s="89"/>
      <c r="Y47" s="90"/>
      <c r="Z47" s="90"/>
    </row>
    <row r="48" spans="1:26" ht="22.5" customHeight="1">
      <c r="A48" s="55" t="s">
        <v>75</v>
      </c>
      <c r="B48" s="55"/>
      <c r="C48" s="55"/>
      <c r="D48" s="55" t="s">
        <v>76</v>
      </c>
      <c r="E48" s="55"/>
      <c r="F48" s="55"/>
      <c r="G48" s="39"/>
      <c r="H48" s="39"/>
      <c r="I48" s="39"/>
      <c r="J48" s="39"/>
      <c r="K48" s="39"/>
      <c r="L48" s="39"/>
    </row>
    <row r="49" spans="1:23" ht="22.5" customHeight="1">
      <c r="A49" s="52" t="s">
        <v>389</v>
      </c>
      <c r="B49" s="52"/>
      <c r="C49" s="52"/>
      <c r="D49" s="54" t="s">
        <v>74</v>
      </c>
      <c r="E49" s="54"/>
      <c r="F49" s="54"/>
      <c r="G49" s="39"/>
      <c r="H49" s="54" t="s">
        <v>191</v>
      </c>
      <c r="I49" s="54"/>
      <c r="J49" s="54"/>
      <c r="K49" s="54" t="s">
        <v>77</v>
      </c>
      <c r="L49" s="54"/>
      <c r="N49" s="57" t="s">
        <v>150</v>
      </c>
      <c r="O49" s="57"/>
      <c r="P49" s="57"/>
      <c r="Q49" s="56" t="s">
        <v>391</v>
      </c>
      <c r="R49" s="56"/>
      <c r="S49" s="56"/>
      <c r="T49" s="56"/>
      <c r="U49" s="56"/>
      <c r="V49" s="56"/>
      <c r="W49" s="1"/>
    </row>
    <row r="50" spans="1:23" ht="22.15" customHeight="1">
      <c r="A50" s="55" t="s">
        <v>75</v>
      </c>
      <c r="B50" s="55"/>
      <c r="C50" s="55"/>
      <c r="D50" s="55" t="s">
        <v>76</v>
      </c>
      <c r="E50" s="55"/>
      <c r="F50" s="55"/>
      <c r="G50" s="44"/>
      <c r="H50" s="55" t="s">
        <v>75</v>
      </c>
      <c r="I50" s="55"/>
      <c r="J50" s="55"/>
      <c r="K50" s="55" t="s">
        <v>76</v>
      </c>
      <c r="L50" s="55"/>
      <c r="S50" s="53" t="s">
        <v>76</v>
      </c>
      <c r="T50" s="53"/>
    </row>
    <row r="51" spans="1:23" ht="22.15" customHeight="1">
      <c r="A51" s="52" t="s">
        <v>390</v>
      </c>
      <c r="B51" s="52"/>
      <c r="C51" s="52"/>
      <c r="D51" s="54" t="s">
        <v>74</v>
      </c>
      <c r="E51" s="54"/>
      <c r="F51" s="54"/>
      <c r="G51" s="39"/>
      <c r="H51" s="52"/>
      <c r="I51" s="52"/>
      <c r="J51" s="52"/>
      <c r="K51" s="58"/>
      <c r="L51" s="58"/>
      <c r="S51" s="53"/>
      <c r="T51" s="53"/>
    </row>
    <row r="52" spans="1:23" ht="20.100000000000001" customHeight="1">
      <c r="A52" s="53" t="s">
        <v>75</v>
      </c>
      <c r="B52" s="53"/>
      <c r="C52" s="53"/>
      <c r="D52" s="53" t="s">
        <v>76</v>
      </c>
      <c r="E52" s="53"/>
      <c r="F52" s="53"/>
    </row>
    <row r="53" spans="1:23" ht="20.100000000000001" customHeight="1">
      <c r="C53" s="1"/>
      <c r="D53" s="1"/>
      <c r="E53" s="1"/>
      <c r="F53" s="1"/>
      <c r="G53" s="1"/>
      <c r="H53" s="1"/>
    </row>
  </sheetData>
  <sheetProtection sheet="1" objects="1" scenarios="1"/>
  <mergeCells count="257">
    <mergeCell ref="P46:R46"/>
    <mergeCell ref="P47:R47"/>
    <mergeCell ref="X43:Z44"/>
    <mergeCell ref="X45:Z45"/>
    <mergeCell ref="X46:Z46"/>
    <mergeCell ref="X47:Z47"/>
    <mergeCell ref="I1:L2"/>
    <mergeCell ref="I5:L6"/>
    <mergeCell ref="M43:M44"/>
    <mergeCell ref="N47:O47"/>
    <mergeCell ref="T45:W45"/>
    <mergeCell ref="T46:W46"/>
    <mergeCell ref="T47:W47"/>
    <mergeCell ref="N43:O44"/>
    <mergeCell ref="P43:R44"/>
    <mergeCell ref="P45:R45"/>
    <mergeCell ref="N39:O39"/>
    <mergeCell ref="P39:Q39"/>
    <mergeCell ref="N41:O42"/>
    <mergeCell ref="P41:R42"/>
    <mergeCell ref="M40:Z40"/>
    <mergeCell ref="M41:M42"/>
    <mergeCell ref="N45:O45"/>
    <mergeCell ref="N46:O46"/>
    <mergeCell ref="V38:X38"/>
    <mergeCell ref="Y38:Z38"/>
    <mergeCell ref="X41:Z42"/>
    <mergeCell ref="N38:O38"/>
    <mergeCell ref="P38:Q38"/>
    <mergeCell ref="R38:S38"/>
    <mergeCell ref="T38:U38"/>
    <mergeCell ref="P35:Q37"/>
    <mergeCell ref="R35:S37"/>
    <mergeCell ref="R39:S39"/>
    <mergeCell ref="T39:U39"/>
    <mergeCell ref="V39:X39"/>
    <mergeCell ref="Y39:Z39"/>
    <mergeCell ref="S41:S44"/>
    <mergeCell ref="T41:W44"/>
    <mergeCell ref="N37:O37"/>
    <mergeCell ref="T37:U37"/>
    <mergeCell ref="V37:X37"/>
    <mergeCell ref="Y37:Z37"/>
    <mergeCell ref="T33:U33"/>
    <mergeCell ref="R31:S31"/>
    <mergeCell ref="R32:S32"/>
    <mergeCell ref="V15:W15"/>
    <mergeCell ref="N14:O14"/>
    <mergeCell ref="N15:O15"/>
    <mergeCell ref="X13:Z13"/>
    <mergeCell ref="Y35:Z35"/>
    <mergeCell ref="N36:O36"/>
    <mergeCell ref="T36:U36"/>
    <mergeCell ref="V36:X36"/>
    <mergeCell ref="Y36:Z36"/>
    <mergeCell ref="T34:U34"/>
    <mergeCell ref="V34:X34"/>
    <mergeCell ref="N35:O35"/>
    <mergeCell ref="T35:U35"/>
    <mergeCell ref="V35:X35"/>
    <mergeCell ref="W26:Z26"/>
    <mergeCell ref="N27:P27"/>
    <mergeCell ref="Q27:S27"/>
    <mergeCell ref="T27:V27"/>
    <mergeCell ref="W27:Z27"/>
    <mergeCell ref="N26:P26"/>
    <mergeCell ref="T24:V24"/>
    <mergeCell ref="N31:O32"/>
    <mergeCell ref="M18:M19"/>
    <mergeCell ref="N16:O16"/>
    <mergeCell ref="T25:V25"/>
    <mergeCell ref="W25:Z25"/>
    <mergeCell ref="N24:P24"/>
    <mergeCell ref="Q24:S24"/>
    <mergeCell ref="X14:Z14"/>
    <mergeCell ref="X15:Z15"/>
    <mergeCell ref="X16:Z16"/>
    <mergeCell ref="T28:V28"/>
    <mergeCell ref="W28:Z28"/>
    <mergeCell ref="T23:V23"/>
    <mergeCell ref="W24:Z24"/>
    <mergeCell ref="N25:P25"/>
    <mergeCell ref="Q25:S25"/>
    <mergeCell ref="X9:Z9"/>
    <mergeCell ref="X10:Z10"/>
    <mergeCell ref="X11:Z11"/>
    <mergeCell ref="X12:Z12"/>
    <mergeCell ref="R34:S34"/>
    <mergeCell ref="T16:U16"/>
    <mergeCell ref="N28:P28"/>
    <mergeCell ref="Q28:S28"/>
    <mergeCell ref="P16:Q16"/>
    <mergeCell ref="M17:Z17"/>
    <mergeCell ref="W18:Z21"/>
    <mergeCell ref="Q26:S26"/>
    <mergeCell ref="T26:V26"/>
    <mergeCell ref="T18:V19"/>
    <mergeCell ref="T22:V22"/>
    <mergeCell ref="Q18:S18"/>
    <mergeCell ref="N33:O34"/>
    <mergeCell ref="P31:Q31"/>
    <mergeCell ref="P32:Q32"/>
    <mergeCell ref="P33:Q33"/>
    <mergeCell ref="P34:Q34"/>
    <mergeCell ref="N20:P21"/>
    <mergeCell ref="W23:Z23"/>
    <mergeCell ref="N23:P23"/>
    <mergeCell ref="W22:Z22"/>
    <mergeCell ref="R16:S16"/>
    <mergeCell ref="Q19:S19"/>
    <mergeCell ref="V16:W16"/>
    <mergeCell ref="T11:U11"/>
    <mergeCell ref="T12:U12"/>
    <mergeCell ref="T13:U13"/>
    <mergeCell ref="R14:S14"/>
    <mergeCell ref="V11:W11"/>
    <mergeCell ref="Q22:S22"/>
    <mergeCell ref="T20:V21"/>
    <mergeCell ref="Q20:S20"/>
    <mergeCell ref="Q21:S21"/>
    <mergeCell ref="V12:W12"/>
    <mergeCell ref="V13:W13"/>
    <mergeCell ref="T14:U14"/>
    <mergeCell ref="V14:W14"/>
    <mergeCell ref="P12:Q12"/>
    <mergeCell ref="V8:W8"/>
    <mergeCell ref="V9:W9"/>
    <mergeCell ref="V10:W10"/>
    <mergeCell ref="T8:U8"/>
    <mergeCell ref="T9:U9"/>
    <mergeCell ref="T10:U10"/>
    <mergeCell ref="P5:Q6"/>
    <mergeCell ref="P8:Q8"/>
    <mergeCell ref="P9:Q9"/>
    <mergeCell ref="P10:Q10"/>
    <mergeCell ref="R11:S11"/>
    <mergeCell ref="R12:S12"/>
    <mergeCell ref="R13:S13"/>
    <mergeCell ref="R15:S15"/>
    <mergeCell ref="T15:U15"/>
    <mergeCell ref="P13:Q13"/>
    <mergeCell ref="V7:W7"/>
    <mergeCell ref="M1:Z1"/>
    <mergeCell ref="M2:Z2"/>
    <mergeCell ref="X3:Z6"/>
    <mergeCell ref="M5:M6"/>
    <mergeCell ref="M3:M4"/>
    <mergeCell ref="X7:Z7"/>
    <mergeCell ref="P3:Q4"/>
    <mergeCell ref="R3:S3"/>
    <mergeCell ref="R4:S4"/>
    <mergeCell ref="R5:S5"/>
    <mergeCell ref="R6:S6"/>
    <mergeCell ref="V3:W3"/>
    <mergeCell ref="V4:W4"/>
    <mergeCell ref="V5:W5"/>
    <mergeCell ref="V6:W6"/>
    <mergeCell ref="T6:U6"/>
    <mergeCell ref="R7:S7"/>
    <mergeCell ref="P7:Q7"/>
    <mergeCell ref="N3:O6"/>
    <mergeCell ref="T3:U3"/>
    <mergeCell ref="T4:U4"/>
    <mergeCell ref="T5:U5"/>
    <mergeCell ref="T7:U7"/>
    <mergeCell ref="N12:O12"/>
    <mergeCell ref="N13:O13"/>
    <mergeCell ref="P11:Q11"/>
    <mergeCell ref="N7:O7"/>
    <mergeCell ref="N8:O8"/>
    <mergeCell ref="N9:O9"/>
    <mergeCell ref="P15:Q15"/>
    <mergeCell ref="P14:Q14"/>
    <mergeCell ref="Q23:S23"/>
    <mergeCell ref="R8:S8"/>
    <mergeCell ref="R9:S9"/>
    <mergeCell ref="R10:S10"/>
    <mergeCell ref="N18:P19"/>
    <mergeCell ref="N22:P22"/>
    <mergeCell ref="X8:Z8"/>
    <mergeCell ref="H49:J49"/>
    <mergeCell ref="K49:L49"/>
    <mergeCell ref="A7:L7"/>
    <mergeCell ref="F13:G13"/>
    <mergeCell ref="I11:L11"/>
    <mergeCell ref="B14:C14"/>
    <mergeCell ref="D14:E14"/>
    <mergeCell ref="A8:L8"/>
    <mergeCell ref="A47:C47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M20:M21"/>
    <mergeCell ref="M31:M32"/>
    <mergeCell ref="N10:O10"/>
    <mergeCell ref="N11:O11"/>
    <mergeCell ref="A1:F1"/>
    <mergeCell ref="A2:F2"/>
    <mergeCell ref="A3:F3"/>
    <mergeCell ref="A4:F4"/>
    <mergeCell ref="A43:C43"/>
    <mergeCell ref="A46:F46"/>
    <mergeCell ref="A12:L12"/>
    <mergeCell ref="G3:H4"/>
    <mergeCell ref="I3:L4"/>
    <mergeCell ref="A11:D11"/>
    <mergeCell ref="G1:H2"/>
    <mergeCell ref="J16:J17"/>
    <mergeCell ref="K16:K17"/>
    <mergeCell ref="A9:L9"/>
    <mergeCell ref="A44:C44"/>
    <mergeCell ref="G46:L46"/>
    <mergeCell ref="J15:K15"/>
    <mergeCell ref="E11:H11"/>
    <mergeCell ref="A10:D10"/>
    <mergeCell ref="E10:G10"/>
    <mergeCell ref="D47:F47"/>
    <mergeCell ref="F14:G14"/>
    <mergeCell ref="F15:G15"/>
    <mergeCell ref="I13:I17"/>
    <mergeCell ref="J13:K13"/>
    <mergeCell ref="J14:K14"/>
    <mergeCell ref="A5:F5"/>
    <mergeCell ref="A6:F6"/>
    <mergeCell ref="H10:L10"/>
    <mergeCell ref="G5:H6"/>
    <mergeCell ref="A13:A17"/>
    <mergeCell ref="E16:E17"/>
    <mergeCell ref="B15:C15"/>
    <mergeCell ref="D15:E15"/>
    <mergeCell ref="B13:C13"/>
    <mergeCell ref="D13:E13"/>
    <mergeCell ref="A51:C51"/>
    <mergeCell ref="S50:T50"/>
    <mergeCell ref="A52:C52"/>
    <mergeCell ref="D52:F52"/>
    <mergeCell ref="D51:F51"/>
    <mergeCell ref="D48:F48"/>
    <mergeCell ref="A50:C50"/>
    <mergeCell ref="Q49:V49"/>
    <mergeCell ref="N49:P49"/>
    <mergeCell ref="H51:J51"/>
    <mergeCell ref="K51:L51"/>
    <mergeCell ref="D49:F49"/>
    <mergeCell ref="D50:F50"/>
    <mergeCell ref="H50:J50"/>
    <mergeCell ref="K50:L50"/>
    <mergeCell ref="A49:C49"/>
    <mergeCell ref="S51:T51"/>
    <mergeCell ref="A48:C48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3" orientation="portrait" horizontalDpi="180" verticalDpi="180" r:id="rId1"/>
  <headerFooter alignWithMargins="0"/>
  <colBreaks count="1" manualBreakCount="1">
    <brk id="1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sheetPr codeName="Лист2"/>
  <dimension ref="A1:Z52"/>
  <sheetViews>
    <sheetView view="pageBreakPreview" topLeftCell="A22" zoomScale="75" zoomScaleNormal="75" zoomScaleSheetLayoutView="50" workbookViewId="0">
      <selection activeCell="F37" sqref="F37"/>
    </sheetView>
  </sheetViews>
  <sheetFormatPr defaultRowHeight="18.75"/>
  <cols>
    <col min="1" max="1" width="11.140625" style="2" customWidth="1"/>
    <col min="2" max="2" width="14" style="2" customWidth="1"/>
    <col min="3" max="3" width="15.7109375" style="2" customWidth="1"/>
    <col min="4" max="4" width="12" style="2" customWidth="1"/>
    <col min="5" max="5" width="5.42578125" style="2" customWidth="1"/>
    <col min="6" max="6" width="15.140625" style="2" customWidth="1"/>
    <col min="7" max="7" width="14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.140625" style="2" customWidth="1"/>
    <col min="13" max="26" width="10.28515625" style="2" customWidth="1"/>
    <col min="27" max="16384" width="9.140625" style="2"/>
  </cols>
  <sheetData>
    <row r="1" spans="1:26" ht="21.75" customHeight="1">
      <c r="A1" s="59" t="s">
        <v>157</v>
      </c>
      <c r="B1" s="59"/>
      <c r="C1" s="59"/>
      <c r="D1" s="59"/>
      <c r="E1" s="59"/>
      <c r="F1" s="59"/>
      <c r="G1" s="63" t="s">
        <v>154</v>
      </c>
      <c r="H1" s="63"/>
      <c r="I1" s="59" t="s">
        <v>160</v>
      </c>
      <c r="J1" s="59"/>
      <c r="K1" s="59"/>
      <c r="L1" s="59"/>
      <c r="M1" s="91" t="s">
        <v>96</v>
      </c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spans="1:26" ht="21.75" customHeight="1">
      <c r="A2" s="61" t="s">
        <v>45</v>
      </c>
      <c r="B2" s="61"/>
      <c r="C2" s="61"/>
      <c r="D2" s="61"/>
      <c r="E2" s="61"/>
      <c r="F2" s="61"/>
      <c r="G2" s="63"/>
      <c r="H2" s="63"/>
      <c r="I2" s="59"/>
      <c r="J2" s="59"/>
      <c r="K2" s="59"/>
      <c r="L2" s="59"/>
      <c r="M2" s="91" t="s">
        <v>78</v>
      </c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spans="1:26" ht="21.75" customHeight="1">
      <c r="A3" s="59" t="s">
        <v>158</v>
      </c>
      <c r="B3" s="60"/>
      <c r="C3" s="60"/>
      <c r="D3" s="60"/>
      <c r="E3" s="60"/>
      <c r="F3" s="60"/>
      <c r="G3" s="63" t="s">
        <v>155</v>
      </c>
      <c r="H3" s="63"/>
      <c r="I3" s="59" t="s">
        <v>206</v>
      </c>
      <c r="J3" s="59"/>
      <c r="K3" s="59"/>
      <c r="L3" s="59"/>
      <c r="M3" s="104" t="s">
        <v>79</v>
      </c>
      <c r="N3" s="100" t="s">
        <v>81</v>
      </c>
      <c r="O3" s="104"/>
      <c r="P3" s="100" t="s">
        <v>65</v>
      </c>
      <c r="Q3" s="104"/>
      <c r="R3" s="100" t="s">
        <v>82</v>
      </c>
      <c r="S3" s="104"/>
      <c r="T3" s="100" t="s">
        <v>85</v>
      </c>
      <c r="U3" s="104"/>
      <c r="V3" s="100" t="s">
        <v>87</v>
      </c>
      <c r="W3" s="104"/>
      <c r="X3" s="107" t="s">
        <v>91</v>
      </c>
      <c r="Y3" s="108"/>
      <c r="Z3" s="108"/>
    </row>
    <row r="4" spans="1:26" ht="30" customHeight="1">
      <c r="A4" s="61" t="s">
        <v>46</v>
      </c>
      <c r="B4" s="61"/>
      <c r="C4" s="61"/>
      <c r="D4" s="61"/>
      <c r="E4" s="61"/>
      <c r="F4" s="61"/>
      <c r="G4" s="63"/>
      <c r="H4" s="63"/>
      <c r="I4" s="59"/>
      <c r="J4" s="59"/>
      <c r="K4" s="59"/>
      <c r="L4" s="59"/>
      <c r="M4" s="95"/>
      <c r="N4" s="101"/>
      <c r="O4" s="95"/>
      <c r="P4" s="101"/>
      <c r="Q4" s="95"/>
      <c r="R4" s="101" t="s">
        <v>83</v>
      </c>
      <c r="S4" s="95"/>
      <c r="T4" s="101" t="s">
        <v>86</v>
      </c>
      <c r="U4" s="95"/>
      <c r="V4" s="101" t="s">
        <v>88</v>
      </c>
      <c r="W4" s="95"/>
      <c r="X4" s="107"/>
      <c r="Y4" s="108"/>
      <c r="Z4" s="108"/>
    </row>
    <row r="5" spans="1:26" ht="21.75" customHeight="1">
      <c r="A5" s="59" t="s">
        <v>185</v>
      </c>
      <c r="B5" s="60"/>
      <c r="C5" s="60"/>
      <c r="D5" s="60"/>
      <c r="E5" s="60"/>
      <c r="F5" s="60"/>
      <c r="G5" s="63" t="s">
        <v>156</v>
      </c>
      <c r="H5" s="63"/>
      <c r="I5" s="59" t="s">
        <v>207</v>
      </c>
      <c r="J5" s="59"/>
      <c r="K5" s="59"/>
      <c r="L5" s="59"/>
      <c r="M5" s="95" t="s">
        <v>80</v>
      </c>
      <c r="N5" s="101"/>
      <c r="O5" s="95"/>
      <c r="P5" s="101" t="s">
        <v>190</v>
      </c>
      <c r="Q5" s="95"/>
      <c r="R5" s="109" t="s">
        <v>84</v>
      </c>
      <c r="S5" s="110"/>
      <c r="T5" s="109" t="s">
        <v>84</v>
      </c>
      <c r="U5" s="110"/>
      <c r="V5" s="101" t="s">
        <v>89</v>
      </c>
      <c r="W5" s="95"/>
      <c r="X5" s="107"/>
      <c r="Y5" s="108"/>
      <c r="Z5" s="108"/>
    </row>
    <row r="6" spans="1:26" ht="21.75" customHeight="1">
      <c r="A6" s="61" t="s">
        <v>47</v>
      </c>
      <c r="B6" s="61"/>
      <c r="C6" s="61"/>
      <c r="D6" s="61"/>
      <c r="E6" s="61"/>
      <c r="F6" s="61"/>
      <c r="G6" s="63"/>
      <c r="H6" s="63"/>
      <c r="I6" s="59"/>
      <c r="J6" s="59"/>
      <c r="K6" s="59"/>
      <c r="L6" s="59"/>
      <c r="M6" s="96"/>
      <c r="N6" s="103"/>
      <c r="O6" s="96"/>
      <c r="P6" s="103"/>
      <c r="Q6" s="96"/>
      <c r="R6" s="103"/>
      <c r="S6" s="96"/>
      <c r="T6" s="103"/>
      <c r="U6" s="96"/>
      <c r="V6" s="103" t="s">
        <v>90</v>
      </c>
      <c r="W6" s="96"/>
      <c r="X6" s="107"/>
      <c r="Y6" s="108"/>
      <c r="Z6" s="108"/>
    </row>
    <row r="7" spans="1:26" ht="21.75" customHeight="1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10"/>
      <c r="N7" s="89"/>
      <c r="O7" s="105"/>
      <c r="P7" s="89"/>
      <c r="Q7" s="105"/>
      <c r="R7" s="89"/>
      <c r="S7" s="105"/>
      <c r="T7" s="89"/>
      <c r="U7" s="105"/>
      <c r="V7" s="89"/>
      <c r="W7" s="105"/>
      <c r="X7" s="89"/>
      <c r="Y7" s="90"/>
      <c r="Z7" s="90"/>
    </row>
    <row r="8" spans="1:26" ht="22.5" customHeight="1">
      <c r="A8" s="94" t="s">
        <v>48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10"/>
      <c r="N8" s="89"/>
      <c r="O8" s="105"/>
      <c r="P8" s="89"/>
      <c r="Q8" s="105"/>
      <c r="R8" s="89"/>
      <c r="S8" s="105"/>
      <c r="T8" s="89"/>
      <c r="U8" s="105"/>
      <c r="V8" s="89"/>
      <c r="W8" s="105"/>
      <c r="X8" s="89"/>
      <c r="Y8" s="90"/>
      <c r="Z8" s="90"/>
    </row>
    <row r="9" spans="1:26" ht="22.5" customHeight="1">
      <c r="A9" s="88" t="s">
        <v>49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10"/>
      <c r="N9" s="89"/>
      <c r="O9" s="105"/>
      <c r="P9" s="89"/>
      <c r="Q9" s="105"/>
      <c r="R9" s="89"/>
      <c r="S9" s="105"/>
      <c r="T9" s="89"/>
      <c r="U9" s="105"/>
      <c r="V9" s="89"/>
      <c r="W9" s="105"/>
      <c r="X9" s="89"/>
      <c r="Y9" s="90"/>
      <c r="Z9" s="90"/>
    </row>
    <row r="10" spans="1:26" ht="22.5" customHeight="1">
      <c r="A10" s="80" t="s">
        <v>112</v>
      </c>
      <c r="B10" s="80"/>
      <c r="C10" s="80"/>
      <c r="D10" s="80"/>
      <c r="E10" s="81" t="s">
        <v>383</v>
      </c>
      <c r="F10" s="81"/>
      <c r="G10" s="81"/>
      <c r="H10" s="62" t="s">
        <v>384</v>
      </c>
      <c r="I10" s="62"/>
      <c r="J10" s="62"/>
      <c r="K10" s="62"/>
      <c r="L10" s="62"/>
      <c r="M10" s="10"/>
      <c r="N10" s="89"/>
      <c r="O10" s="105"/>
      <c r="P10" s="89"/>
      <c r="Q10" s="105"/>
      <c r="R10" s="89"/>
      <c r="S10" s="105"/>
      <c r="T10" s="89"/>
      <c r="U10" s="105"/>
      <c r="V10" s="89"/>
      <c r="W10" s="105"/>
      <c r="X10" s="89"/>
      <c r="Y10" s="90"/>
      <c r="Z10" s="90"/>
    </row>
    <row r="11" spans="1:26" ht="22.5" customHeight="1">
      <c r="A11" s="80" t="s">
        <v>113</v>
      </c>
      <c r="B11" s="80"/>
      <c r="C11" s="80"/>
      <c r="D11" s="80"/>
      <c r="E11" s="79" t="s">
        <v>239</v>
      </c>
      <c r="F11" s="79"/>
      <c r="G11" s="79"/>
      <c r="H11" s="79"/>
      <c r="I11" s="62" t="s">
        <v>114</v>
      </c>
      <c r="J11" s="62"/>
      <c r="K11" s="62"/>
      <c r="L11" s="62"/>
      <c r="M11" s="10"/>
      <c r="N11" s="89"/>
      <c r="O11" s="105"/>
      <c r="P11" s="89"/>
      <c r="Q11" s="105"/>
      <c r="R11" s="89"/>
      <c r="S11" s="105"/>
      <c r="T11" s="89"/>
      <c r="U11" s="105"/>
      <c r="V11" s="89"/>
      <c r="W11" s="105"/>
      <c r="X11" s="89"/>
      <c r="Y11" s="90"/>
      <c r="Z11" s="90"/>
    </row>
    <row r="12" spans="1:26" ht="21.75" customHeight="1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10"/>
      <c r="N12" s="89"/>
      <c r="O12" s="105"/>
      <c r="P12" s="89"/>
      <c r="Q12" s="105"/>
      <c r="R12" s="89"/>
      <c r="S12" s="105"/>
      <c r="T12" s="89"/>
      <c r="U12" s="105"/>
      <c r="V12" s="89"/>
      <c r="W12" s="105"/>
      <c r="X12" s="89"/>
      <c r="Y12" s="90"/>
      <c r="Z12" s="90"/>
    </row>
    <row r="13" spans="1:26" ht="21.75" customHeight="1">
      <c r="A13" s="64" t="s">
        <v>50</v>
      </c>
      <c r="B13" s="72" t="s">
        <v>56</v>
      </c>
      <c r="C13" s="73"/>
      <c r="D13" s="74" t="s">
        <v>198</v>
      </c>
      <c r="E13" s="75"/>
      <c r="F13" s="72" t="s">
        <v>59</v>
      </c>
      <c r="G13" s="73"/>
      <c r="H13" s="18" t="s">
        <v>199</v>
      </c>
      <c r="I13" s="84" t="s">
        <v>5</v>
      </c>
      <c r="J13" s="72" t="s">
        <v>60</v>
      </c>
      <c r="K13" s="64"/>
      <c r="L13" s="17" t="s">
        <v>65</v>
      </c>
      <c r="M13" s="10"/>
      <c r="N13" s="89"/>
      <c r="O13" s="105"/>
      <c r="P13" s="89"/>
      <c r="Q13" s="105"/>
      <c r="R13" s="89"/>
      <c r="S13" s="105"/>
      <c r="T13" s="89"/>
      <c r="U13" s="105"/>
      <c r="V13" s="89"/>
      <c r="W13" s="105"/>
      <c r="X13" s="89"/>
      <c r="Y13" s="90"/>
      <c r="Z13" s="90"/>
    </row>
    <row r="14" spans="1:26" ht="21.75" customHeight="1">
      <c r="A14" s="65"/>
      <c r="B14" s="82" t="s">
        <v>57</v>
      </c>
      <c r="C14" s="83"/>
      <c r="D14" s="92" t="s">
        <v>225</v>
      </c>
      <c r="E14" s="93"/>
      <c r="F14" s="82" t="s">
        <v>57</v>
      </c>
      <c r="G14" s="83"/>
      <c r="H14" s="19" t="s">
        <v>225</v>
      </c>
      <c r="I14" s="85"/>
      <c r="J14" s="82" t="s">
        <v>61</v>
      </c>
      <c r="K14" s="65"/>
      <c r="L14" s="17" t="s">
        <v>66</v>
      </c>
      <c r="M14" s="10"/>
      <c r="N14" s="89"/>
      <c r="O14" s="105"/>
      <c r="P14" s="89"/>
      <c r="Q14" s="105"/>
      <c r="R14" s="89"/>
      <c r="S14" s="105"/>
      <c r="T14" s="89"/>
      <c r="U14" s="105"/>
      <c r="V14" s="89"/>
      <c r="W14" s="105"/>
      <c r="X14" s="89"/>
      <c r="Y14" s="90"/>
      <c r="Z14" s="90"/>
    </row>
    <row r="15" spans="1:26" ht="18.75" customHeight="1">
      <c r="A15" s="65"/>
      <c r="B15" s="68" t="s">
        <v>58</v>
      </c>
      <c r="C15" s="69"/>
      <c r="D15" s="70">
        <v>18000</v>
      </c>
      <c r="E15" s="71"/>
      <c r="F15" s="68" t="s">
        <v>58</v>
      </c>
      <c r="G15" s="69"/>
      <c r="H15" s="20">
        <v>18000</v>
      </c>
      <c r="I15" s="85"/>
      <c r="J15" s="68" t="s">
        <v>62</v>
      </c>
      <c r="K15" s="78"/>
      <c r="L15" s="17" t="s">
        <v>67</v>
      </c>
      <c r="M15" s="10"/>
      <c r="N15" s="89"/>
      <c r="O15" s="105"/>
      <c r="P15" s="89"/>
      <c r="Q15" s="105"/>
      <c r="R15" s="89"/>
      <c r="S15" s="105"/>
      <c r="T15" s="89"/>
      <c r="U15" s="105"/>
      <c r="V15" s="89"/>
      <c r="W15" s="105"/>
      <c r="X15" s="89"/>
      <c r="Y15" s="90"/>
      <c r="Z15" s="90"/>
    </row>
    <row r="16" spans="1:26" ht="30.75" customHeight="1">
      <c r="A16" s="65"/>
      <c r="B16" s="13" t="s">
        <v>51</v>
      </c>
      <c r="C16" s="13" t="s">
        <v>53</v>
      </c>
      <c r="D16" s="13" t="s">
        <v>54</v>
      </c>
      <c r="E16" s="66"/>
      <c r="F16" s="13" t="s">
        <v>51</v>
      </c>
      <c r="G16" s="13" t="s">
        <v>53</v>
      </c>
      <c r="H16" s="11" t="s">
        <v>54</v>
      </c>
      <c r="I16" s="85"/>
      <c r="J16" s="66" t="s">
        <v>63</v>
      </c>
      <c r="K16" s="66" t="s">
        <v>64</v>
      </c>
      <c r="L16" s="17" t="s">
        <v>68</v>
      </c>
      <c r="M16" s="10"/>
      <c r="N16" s="89"/>
      <c r="O16" s="105"/>
      <c r="P16" s="89"/>
      <c r="Q16" s="105"/>
      <c r="R16" s="89"/>
      <c r="S16" s="105"/>
      <c r="T16" s="89"/>
      <c r="U16" s="105"/>
      <c r="V16" s="89"/>
      <c r="W16" s="105"/>
      <c r="X16" s="89"/>
      <c r="Y16" s="90"/>
      <c r="Z16" s="90"/>
    </row>
    <row r="17" spans="1:26" ht="21.75" customHeight="1">
      <c r="A17" s="65"/>
      <c r="B17" s="13" t="s">
        <v>52</v>
      </c>
      <c r="C17" s="26" t="s">
        <v>51</v>
      </c>
      <c r="D17" s="26" t="s">
        <v>55</v>
      </c>
      <c r="E17" s="67"/>
      <c r="F17" s="26" t="s">
        <v>52</v>
      </c>
      <c r="G17" s="14" t="s">
        <v>51</v>
      </c>
      <c r="H17" s="12" t="s">
        <v>55</v>
      </c>
      <c r="I17" s="119"/>
      <c r="J17" s="120"/>
      <c r="K17" s="120"/>
      <c r="L17" s="17" t="s">
        <v>69</v>
      </c>
      <c r="M17" s="111" t="s">
        <v>92</v>
      </c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spans="1:26" ht="23.25" customHeight="1">
      <c r="A18" s="29" t="s">
        <v>7</v>
      </c>
      <c r="B18" s="49">
        <v>7872.1469999999999</v>
      </c>
      <c r="C18" s="31"/>
      <c r="D18" s="30"/>
      <c r="E18" s="29"/>
      <c r="F18" s="49">
        <v>4165.9184999999998</v>
      </c>
      <c r="G18" s="28"/>
      <c r="H18" s="30"/>
      <c r="I18" s="33"/>
      <c r="J18" s="29"/>
      <c r="K18" s="29">
        <v>6.6</v>
      </c>
      <c r="L18" s="35"/>
      <c r="M18" s="104" t="s">
        <v>79</v>
      </c>
      <c r="N18" s="98" t="s">
        <v>98</v>
      </c>
      <c r="O18" s="98"/>
      <c r="P18" s="98"/>
      <c r="Q18" s="98" t="s">
        <v>107</v>
      </c>
      <c r="R18" s="98"/>
      <c r="S18" s="98"/>
      <c r="T18" s="98" t="s">
        <v>93</v>
      </c>
      <c r="U18" s="98"/>
      <c r="V18" s="98"/>
      <c r="W18" s="100" t="s">
        <v>91</v>
      </c>
      <c r="X18" s="112"/>
      <c r="Y18" s="112"/>
      <c r="Z18" s="112"/>
    </row>
    <row r="19" spans="1:26" ht="23.25" customHeight="1">
      <c r="A19" s="29" t="s">
        <v>8</v>
      </c>
      <c r="B19" s="49">
        <v>7872.3980000000001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0.25100000000020373</v>
      </c>
      <c r="D19" s="30">
        <f t="shared" ref="D19:D42" si="1">IF(C19="","",C19*$D$15)</f>
        <v>4518.0000000036671</v>
      </c>
      <c r="E19" s="29"/>
      <c r="F19" s="49">
        <v>4166.0414000000001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0.12290000000029977</v>
      </c>
      <c r="H19" s="30">
        <f t="shared" ref="H19:H42" si="3">IF(G19="","",G19*$H$15)</f>
        <v>2212.2000000053959</v>
      </c>
      <c r="I19" s="33">
        <f t="shared" ref="I19:I42" si="4">IF(H19="","",IF(D19="","",IF(AND(H19=0,D19=0),0,H19/D19)))</f>
        <v>0.48964143426374507</v>
      </c>
      <c r="J19" s="29"/>
      <c r="K19" s="50">
        <v>6.6</v>
      </c>
      <c r="L19" s="35"/>
      <c r="M19" s="95"/>
      <c r="N19" s="99"/>
      <c r="O19" s="99"/>
      <c r="P19" s="99"/>
      <c r="Q19" s="99" t="s">
        <v>108</v>
      </c>
      <c r="R19" s="99"/>
      <c r="S19" s="99"/>
      <c r="T19" s="99"/>
      <c r="U19" s="99"/>
      <c r="V19" s="99"/>
      <c r="W19" s="101"/>
      <c r="X19" s="91"/>
      <c r="Y19" s="91"/>
      <c r="Z19" s="91"/>
    </row>
    <row r="20" spans="1:26" ht="23.25" customHeight="1">
      <c r="A20" s="29" t="s">
        <v>9</v>
      </c>
      <c r="B20" s="49">
        <v>7872.6493</v>
      </c>
      <c r="C20" s="31">
        <f t="shared" si="0"/>
        <v>0.25129999999990105</v>
      </c>
      <c r="D20" s="30">
        <f t="shared" si="1"/>
        <v>4523.3999999982188</v>
      </c>
      <c r="E20" s="29"/>
      <c r="F20" s="49">
        <v>4166.1637999999994</v>
      </c>
      <c r="G20" s="28">
        <f t="shared" si="2"/>
        <v>0.12239999999928841</v>
      </c>
      <c r="H20" s="30">
        <f t="shared" si="3"/>
        <v>2203.1999999871914</v>
      </c>
      <c r="I20" s="33">
        <f t="shared" si="4"/>
        <v>0.48706725029580822</v>
      </c>
      <c r="J20" s="29"/>
      <c r="K20" s="50">
        <v>6.6</v>
      </c>
      <c r="L20" s="35"/>
      <c r="M20" s="95" t="s">
        <v>80</v>
      </c>
      <c r="N20" s="99" t="s">
        <v>99</v>
      </c>
      <c r="O20" s="99"/>
      <c r="P20" s="99"/>
      <c r="Q20" s="99" t="s">
        <v>189</v>
      </c>
      <c r="R20" s="99"/>
      <c r="S20" s="99"/>
      <c r="T20" s="99" t="s">
        <v>94</v>
      </c>
      <c r="U20" s="99"/>
      <c r="V20" s="99"/>
      <c r="W20" s="101"/>
      <c r="X20" s="91"/>
      <c r="Y20" s="91"/>
      <c r="Z20" s="91"/>
    </row>
    <row r="21" spans="1:26" ht="23.25" customHeight="1">
      <c r="A21" s="29" t="s">
        <v>10</v>
      </c>
      <c r="B21" s="49">
        <v>7872.8987999999999</v>
      </c>
      <c r="C21" s="31">
        <f t="shared" si="0"/>
        <v>0.24949999999989814</v>
      </c>
      <c r="D21" s="30">
        <f t="shared" si="1"/>
        <v>4490.9999999981665</v>
      </c>
      <c r="E21" s="29"/>
      <c r="F21" s="49">
        <v>4166.2846</v>
      </c>
      <c r="G21" s="28">
        <f t="shared" si="2"/>
        <v>0.12080000000059954</v>
      </c>
      <c r="H21" s="30">
        <f t="shared" si="3"/>
        <v>2174.4000000107917</v>
      </c>
      <c r="I21" s="33">
        <f t="shared" si="4"/>
        <v>0.48416833667594733</v>
      </c>
      <c r="J21" s="29"/>
      <c r="K21" s="50">
        <v>6.6</v>
      </c>
      <c r="L21" s="35"/>
      <c r="M21" s="96"/>
      <c r="N21" s="102"/>
      <c r="O21" s="102"/>
      <c r="P21" s="102"/>
      <c r="Q21" s="102"/>
      <c r="R21" s="102"/>
      <c r="S21" s="102"/>
      <c r="T21" s="102"/>
      <c r="U21" s="102"/>
      <c r="V21" s="102"/>
      <c r="W21" s="103"/>
      <c r="X21" s="111"/>
      <c r="Y21" s="111"/>
      <c r="Z21" s="111"/>
    </row>
    <row r="22" spans="1:26" ht="23.25" customHeight="1">
      <c r="A22" s="29" t="s">
        <v>11</v>
      </c>
      <c r="B22" s="49">
        <v>7873.1526999999996</v>
      </c>
      <c r="C22" s="31">
        <f t="shared" si="0"/>
        <v>0.25389999999970314</v>
      </c>
      <c r="D22" s="30">
        <f t="shared" si="1"/>
        <v>4570.1999999946565</v>
      </c>
      <c r="E22" s="29"/>
      <c r="F22" s="49">
        <v>4166.4063999999998</v>
      </c>
      <c r="G22" s="28">
        <f t="shared" si="2"/>
        <v>0.12179999999989377</v>
      </c>
      <c r="H22" s="30">
        <f t="shared" si="3"/>
        <v>2192.3999999980879</v>
      </c>
      <c r="I22" s="33">
        <f t="shared" si="4"/>
        <v>0.47971642378903578</v>
      </c>
      <c r="J22" s="29"/>
      <c r="K22" s="50">
        <v>6.6</v>
      </c>
      <c r="L22" s="35"/>
      <c r="M22" s="10"/>
      <c r="N22" s="106"/>
      <c r="O22" s="106"/>
      <c r="P22" s="106"/>
      <c r="Q22" s="106"/>
      <c r="R22" s="106"/>
      <c r="S22" s="106"/>
      <c r="T22" s="106"/>
      <c r="U22" s="106"/>
      <c r="V22" s="106"/>
      <c r="W22" s="89"/>
      <c r="X22" s="90"/>
      <c r="Y22" s="90"/>
      <c r="Z22" s="90"/>
    </row>
    <row r="23" spans="1:26" ht="23.25" customHeight="1">
      <c r="A23" s="29" t="s">
        <v>12</v>
      </c>
      <c r="B23" s="49">
        <v>7873.4030000000002</v>
      </c>
      <c r="C23" s="31">
        <f t="shared" si="0"/>
        <v>0.25030000000060681</v>
      </c>
      <c r="D23" s="30">
        <f t="shared" si="1"/>
        <v>4505.4000000109227</v>
      </c>
      <c r="E23" s="29"/>
      <c r="F23" s="49">
        <v>4166.5257999999994</v>
      </c>
      <c r="G23" s="28">
        <f t="shared" si="2"/>
        <v>0.11939999999958673</v>
      </c>
      <c r="H23" s="30">
        <f t="shared" si="3"/>
        <v>2149.1999999925611</v>
      </c>
      <c r="I23" s="33">
        <f t="shared" si="4"/>
        <v>0.47702756691688875</v>
      </c>
      <c r="J23" s="29"/>
      <c r="K23" s="50">
        <v>6.6</v>
      </c>
      <c r="L23" s="35"/>
      <c r="M23" s="10"/>
      <c r="N23" s="106"/>
      <c r="O23" s="106"/>
      <c r="P23" s="106"/>
      <c r="Q23" s="106"/>
      <c r="R23" s="106"/>
      <c r="S23" s="106"/>
      <c r="T23" s="106"/>
      <c r="U23" s="106"/>
      <c r="V23" s="106"/>
      <c r="W23" s="89"/>
      <c r="X23" s="90"/>
      <c r="Y23" s="90"/>
      <c r="Z23" s="90"/>
    </row>
    <row r="24" spans="1:26" ht="23.25" customHeight="1">
      <c r="A24" s="29" t="s">
        <v>13</v>
      </c>
      <c r="B24" s="49">
        <v>7873.6548999999995</v>
      </c>
      <c r="C24" s="31">
        <f t="shared" si="0"/>
        <v>0.25189999999929569</v>
      </c>
      <c r="D24" s="30">
        <f t="shared" si="1"/>
        <v>4534.1999999873224</v>
      </c>
      <c r="E24" s="29"/>
      <c r="F24" s="49">
        <v>4166.6421</v>
      </c>
      <c r="G24" s="28">
        <f t="shared" si="2"/>
        <v>0.11630000000059226</v>
      </c>
      <c r="H24" s="30">
        <f t="shared" si="3"/>
        <v>2093.4000000106607</v>
      </c>
      <c r="I24" s="33">
        <f t="shared" si="4"/>
        <v>0.46169114728430899</v>
      </c>
      <c r="J24" s="29"/>
      <c r="K24" s="50">
        <v>6.6</v>
      </c>
      <c r="L24" s="35"/>
      <c r="M24" s="10"/>
      <c r="N24" s="106"/>
      <c r="O24" s="106"/>
      <c r="P24" s="106"/>
      <c r="Q24" s="106"/>
      <c r="R24" s="106"/>
      <c r="S24" s="106"/>
      <c r="T24" s="106"/>
      <c r="U24" s="106"/>
      <c r="V24" s="106"/>
      <c r="W24" s="89"/>
      <c r="X24" s="90"/>
      <c r="Y24" s="90"/>
      <c r="Z24" s="90"/>
    </row>
    <row r="25" spans="1:26" ht="23.25" customHeight="1">
      <c r="A25" s="29" t="s">
        <v>14</v>
      </c>
      <c r="B25" s="49">
        <v>7873.9124000000002</v>
      </c>
      <c r="C25" s="31">
        <f t="shared" si="0"/>
        <v>0.25750000000061846</v>
      </c>
      <c r="D25" s="30">
        <f t="shared" si="1"/>
        <v>4635.0000000111322</v>
      </c>
      <c r="E25" s="29"/>
      <c r="F25" s="49">
        <v>4166.7582000000002</v>
      </c>
      <c r="G25" s="28">
        <f t="shared" si="2"/>
        <v>0.11610000000018772</v>
      </c>
      <c r="H25" s="30">
        <f t="shared" si="3"/>
        <v>2089.800000003379</v>
      </c>
      <c r="I25" s="33">
        <f t="shared" si="4"/>
        <v>0.4508737864074131</v>
      </c>
      <c r="J25" s="29"/>
      <c r="K25" s="50">
        <v>6.6</v>
      </c>
      <c r="L25" s="35"/>
      <c r="M25" s="10"/>
      <c r="N25" s="106"/>
      <c r="O25" s="106"/>
      <c r="P25" s="106"/>
      <c r="Q25" s="106"/>
      <c r="R25" s="106"/>
      <c r="S25" s="106"/>
      <c r="T25" s="106"/>
      <c r="U25" s="106"/>
      <c r="V25" s="106"/>
      <c r="W25" s="89"/>
      <c r="X25" s="90"/>
      <c r="Y25" s="90"/>
      <c r="Z25" s="90"/>
    </row>
    <row r="26" spans="1:26" ht="23.25" customHeight="1">
      <c r="A26" s="29" t="s">
        <v>15</v>
      </c>
      <c r="B26" s="49">
        <v>7874.1876000000002</v>
      </c>
      <c r="C26" s="31">
        <f t="shared" si="0"/>
        <v>0.27520000000004075</v>
      </c>
      <c r="D26" s="30">
        <f t="shared" si="1"/>
        <v>4953.6000000007334</v>
      </c>
      <c r="E26" s="29"/>
      <c r="F26" s="49">
        <v>4166.8782000000001</v>
      </c>
      <c r="G26" s="28">
        <f t="shared" si="2"/>
        <v>0.11999999999989086</v>
      </c>
      <c r="H26" s="30">
        <f t="shared" si="3"/>
        <v>2159.9999999980355</v>
      </c>
      <c r="I26" s="33">
        <f t="shared" si="4"/>
        <v>0.43604651162744584</v>
      </c>
      <c r="J26" s="29"/>
      <c r="K26" s="50">
        <v>6.6</v>
      </c>
      <c r="L26" s="35"/>
      <c r="M26" s="10"/>
      <c r="N26" s="106"/>
      <c r="O26" s="106"/>
      <c r="P26" s="106"/>
      <c r="Q26" s="106"/>
      <c r="R26" s="106"/>
      <c r="S26" s="106"/>
      <c r="T26" s="106"/>
      <c r="U26" s="106"/>
      <c r="V26" s="106"/>
      <c r="W26" s="89"/>
      <c r="X26" s="90"/>
      <c r="Y26" s="90"/>
      <c r="Z26" s="90"/>
    </row>
    <row r="27" spans="1:26" ht="23.25" customHeight="1">
      <c r="A27" s="29" t="s">
        <v>16</v>
      </c>
      <c r="B27" s="49">
        <v>7874.4785000000002</v>
      </c>
      <c r="C27" s="31">
        <f t="shared" si="0"/>
        <v>0.29089999999996508</v>
      </c>
      <c r="D27" s="30">
        <f t="shared" si="1"/>
        <v>5236.1999999993714</v>
      </c>
      <c r="E27" s="29"/>
      <c r="F27" s="49">
        <v>4167.0063</v>
      </c>
      <c r="G27" s="28">
        <f t="shared" si="2"/>
        <v>0.12809999999990396</v>
      </c>
      <c r="H27" s="30">
        <f t="shared" si="3"/>
        <v>2305.7999999982712</v>
      </c>
      <c r="I27" s="33">
        <f t="shared" si="4"/>
        <v>0.44035751117194682</v>
      </c>
      <c r="J27" s="29"/>
      <c r="K27" s="50">
        <v>6.6</v>
      </c>
      <c r="L27" s="35"/>
      <c r="M27" s="10"/>
      <c r="N27" s="106"/>
      <c r="O27" s="106"/>
      <c r="P27" s="106"/>
      <c r="Q27" s="106"/>
      <c r="R27" s="106"/>
      <c r="S27" s="106"/>
      <c r="T27" s="106"/>
      <c r="U27" s="106"/>
      <c r="V27" s="106"/>
      <c r="W27" s="89"/>
      <c r="X27" s="90"/>
      <c r="Y27" s="90"/>
      <c r="Z27" s="90"/>
    </row>
    <row r="28" spans="1:26" ht="23.25" customHeight="1">
      <c r="A28" s="29" t="s">
        <v>17</v>
      </c>
      <c r="B28" s="49">
        <v>7874.7882</v>
      </c>
      <c r="C28" s="31">
        <f t="shared" si="0"/>
        <v>0.30969999999979336</v>
      </c>
      <c r="D28" s="30">
        <f t="shared" si="1"/>
        <v>5574.5999999962805</v>
      </c>
      <c r="E28" s="29"/>
      <c r="F28" s="49">
        <v>4167.1415999999999</v>
      </c>
      <c r="G28" s="28">
        <f t="shared" si="2"/>
        <v>0.1352999999999156</v>
      </c>
      <c r="H28" s="30">
        <f t="shared" si="3"/>
        <v>2435.3999999984808</v>
      </c>
      <c r="I28" s="33">
        <f t="shared" si="4"/>
        <v>0.43687439457541449</v>
      </c>
      <c r="J28" s="29"/>
      <c r="K28" s="50">
        <v>6.5</v>
      </c>
      <c r="L28" s="35"/>
      <c r="M28" s="10"/>
      <c r="N28" s="106"/>
      <c r="O28" s="106"/>
      <c r="P28" s="106"/>
      <c r="Q28" s="106"/>
      <c r="R28" s="106"/>
      <c r="S28" s="106"/>
      <c r="T28" s="106"/>
      <c r="U28" s="106"/>
      <c r="V28" s="106"/>
      <c r="W28" s="89"/>
      <c r="X28" s="90"/>
      <c r="Y28" s="90"/>
      <c r="Z28" s="90"/>
    </row>
    <row r="29" spans="1:26" ht="23.25" customHeight="1">
      <c r="A29" s="29" t="s">
        <v>18</v>
      </c>
      <c r="B29" s="49">
        <v>7875.1067999999996</v>
      </c>
      <c r="C29" s="31">
        <f t="shared" si="0"/>
        <v>0.31859999999960564</v>
      </c>
      <c r="D29" s="30">
        <f t="shared" si="1"/>
        <v>5734.7999999929016</v>
      </c>
      <c r="E29" s="29"/>
      <c r="F29" s="49">
        <v>4167.2824000000001</v>
      </c>
      <c r="G29" s="28">
        <f t="shared" si="2"/>
        <v>0.1408000000001266</v>
      </c>
      <c r="H29" s="30">
        <f t="shared" si="3"/>
        <v>2534.4000000022788</v>
      </c>
      <c r="I29" s="33">
        <f t="shared" si="4"/>
        <v>0.44193345888355579</v>
      </c>
      <c r="J29" s="29"/>
      <c r="K29" s="50">
        <v>6.5</v>
      </c>
      <c r="L29" s="35"/>
      <c r="M29" s="97" t="s">
        <v>95</v>
      </c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23.25" customHeight="1">
      <c r="A30" s="29" t="s">
        <v>19</v>
      </c>
      <c r="B30" s="49">
        <v>7875.4224999999997</v>
      </c>
      <c r="C30" s="31">
        <f t="shared" si="0"/>
        <v>0.31570000000010623</v>
      </c>
      <c r="D30" s="30">
        <f t="shared" si="1"/>
        <v>5682.6000000019121</v>
      </c>
      <c r="E30" s="29"/>
      <c r="F30" s="49">
        <v>4167.4261999999999</v>
      </c>
      <c r="G30" s="28">
        <f t="shared" si="2"/>
        <v>0.14379999999982829</v>
      </c>
      <c r="H30" s="30">
        <f t="shared" si="3"/>
        <v>2588.3999999969092</v>
      </c>
      <c r="I30" s="33">
        <f t="shared" si="4"/>
        <v>0.45549572378770953</v>
      </c>
      <c r="J30" s="29"/>
      <c r="K30" s="50">
        <v>6.5</v>
      </c>
      <c r="L30" s="35"/>
      <c r="M30" s="91" t="s">
        <v>97</v>
      </c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 spans="1:26" ht="23.25" customHeight="1">
      <c r="A31" s="29" t="s">
        <v>20</v>
      </c>
      <c r="B31" s="49">
        <v>7875.7255999999998</v>
      </c>
      <c r="C31" s="31">
        <f t="shared" si="0"/>
        <v>0.30310000000008586</v>
      </c>
      <c r="D31" s="30">
        <f t="shared" si="1"/>
        <v>5455.8000000015454</v>
      </c>
      <c r="E31" s="29"/>
      <c r="F31" s="49">
        <v>4167.5684999999994</v>
      </c>
      <c r="G31" s="28">
        <f t="shared" si="2"/>
        <v>0.1422999999995227</v>
      </c>
      <c r="H31" s="30">
        <f t="shared" si="3"/>
        <v>2561.3999999914085</v>
      </c>
      <c r="I31" s="33">
        <f t="shared" si="4"/>
        <v>0.46948201913389109</v>
      </c>
      <c r="J31" s="29"/>
      <c r="K31" s="50">
        <v>6.5</v>
      </c>
      <c r="L31" s="35"/>
      <c r="M31" s="104" t="s">
        <v>79</v>
      </c>
      <c r="N31" s="98" t="s">
        <v>98</v>
      </c>
      <c r="O31" s="98"/>
      <c r="P31" s="98" t="s">
        <v>100</v>
      </c>
      <c r="Q31" s="98"/>
      <c r="R31" s="98" t="s">
        <v>93</v>
      </c>
      <c r="S31" s="98"/>
      <c r="T31" s="98" t="s">
        <v>103</v>
      </c>
      <c r="U31" s="98"/>
      <c r="V31" s="98" t="s">
        <v>187</v>
      </c>
      <c r="W31" s="98"/>
      <c r="X31" s="98"/>
      <c r="Y31" s="98" t="s">
        <v>91</v>
      </c>
      <c r="Z31" s="100"/>
    </row>
    <row r="32" spans="1:26" ht="23.25" customHeight="1">
      <c r="A32" s="29" t="s">
        <v>21</v>
      </c>
      <c r="B32" s="49">
        <v>7876.0306</v>
      </c>
      <c r="C32" s="31">
        <f t="shared" si="0"/>
        <v>0.30500000000029104</v>
      </c>
      <c r="D32" s="30">
        <f t="shared" si="1"/>
        <v>5490.0000000052387</v>
      </c>
      <c r="E32" s="29"/>
      <c r="F32" s="49">
        <v>4167.7092999999995</v>
      </c>
      <c r="G32" s="28">
        <f t="shared" si="2"/>
        <v>0.1408000000001266</v>
      </c>
      <c r="H32" s="30">
        <f t="shared" si="3"/>
        <v>2534.4000000022788</v>
      </c>
      <c r="I32" s="33">
        <f t="shared" si="4"/>
        <v>0.46163934426226966</v>
      </c>
      <c r="J32" s="29"/>
      <c r="K32" s="50">
        <v>6.5</v>
      </c>
      <c r="L32" s="35"/>
      <c r="M32" s="95"/>
      <c r="N32" s="99"/>
      <c r="O32" s="99"/>
      <c r="P32" s="99" t="s">
        <v>83</v>
      </c>
      <c r="Q32" s="99"/>
      <c r="R32" s="99" t="s">
        <v>102</v>
      </c>
      <c r="S32" s="99"/>
      <c r="T32" s="99" t="s">
        <v>104</v>
      </c>
      <c r="U32" s="99"/>
      <c r="V32" s="99" t="s">
        <v>105</v>
      </c>
      <c r="W32" s="99"/>
      <c r="X32" s="99"/>
      <c r="Y32" s="99"/>
      <c r="Z32" s="101"/>
    </row>
    <row r="33" spans="1:26" ht="23.25" customHeight="1">
      <c r="A33" s="29" t="s">
        <v>22</v>
      </c>
      <c r="B33" s="49">
        <v>7876.3306999999995</v>
      </c>
      <c r="C33" s="31">
        <f t="shared" si="0"/>
        <v>0.30009999999947468</v>
      </c>
      <c r="D33" s="30">
        <f t="shared" si="1"/>
        <v>5401.7999999905442</v>
      </c>
      <c r="E33" s="29"/>
      <c r="F33" s="49">
        <v>4167.8486999999996</v>
      </c>
      <c r="G33" s="28">
        <f t="shared" si="2"/>
        <v>0.13940000000002328</v>
      </c>
      <c r="H33" s="30">
        <f t="shared" si="3"/>
        <v>2509.2000000004191</v>
      </c>
      <c r="I33" s="33">
        <f t="shared" si="4"/>
        <v>0.46451182939109398</v>
      </c>
      <c r="J33" s="29"/>
      <c r="K33" s="50">
        <v>6.5</v>
      </c>
      <c r="L33" s="35"/>
      <c r="M33" s="95" t="s">
        <v>80</v>
      </c>
      <c r="N33" s="99" t="s">
        <v>99</v>
      </c>
      <c r="O33" s="99"/>
      <c r="P33" s="99" t="s">
        <v>101</v>
      </c>
      <c r="Q33" s="99"/>
      <c r="R33" s="99" t="s">
        <v>69</v>
      </c>
      <c r="S33" s="99"/>
      <c r="T33" s="99" t="s">
        <v>69</v>
      </c>
      <c r="U33" s="99"/>
      <c r="V33" s="99" t="s">
        <v>106</v>
      </c>
      <c r="W33" s="99"/>
      <c r="X33" s="99"/>
      <c r="Y33" s="99"/>
      <c r="Z33" s="101"/>
    </row>
    <row r="34" spans="1:26" ht="23.25" customHeight="1">
      <c r="A34" s="29" t="s">
        <v>23</v>
      </c>
      <c r="B34" s="49">
        <v>7876.6260999999995</v>
      </c>
      <c r="C34" s="31">
        <f t="shared" si="0"/>
        <v>0.29539999999997235</v>
      </c>
      <c r="D34" s="30">
        <f t="shared" si="1"/>
        <v>5317.1999999995023</v>
      </c>
      <c r="E34" s="29"/>
      <c r="F34" s="49">
        <v>4167.9861999999994</v>
      </c>
      <c r="G34" s="28">
        <f t="shared" si="2"/>
        <v>0.1374999999998181</v>
      </c>
      <c r="H34" s="30">
        <f t="shared" si="3"/>
        <v>2474.9999999967258</v>
      </c>
      <c r="I34" s="33">
        <f t="shared" si="4"/>
        <v>0.46547054840836483</v>
      </c>
      <c r="J34" s="29"/>
      <c r="K34" s="50">
        <v>6.5</v>
      </c>
      <c r="L34" s="35"/>
      <c r="M34" s="96"/>
      <c r="N34" s="102"/>
      <c r="O34" s="102"/>
      <c r="P34" s="102"/>
      <c r="Q34" s="102"/>
      <c r="R34" s="103"/>
      <c r="S34" s="96"/>
      <c r="T34" s="103"/>
      <c r="U34" s="96"/>
      <c r="V34" s="103"/>
      <c r="W34" s="111"/>
      <c r="X34" s="96"/>
      <c r="Y34" s="102"/>
      <c r="Z34" s="103"/>
    </row>
    <row r="35" spans="1:26" ht="23.25" customHeight="1">
      <c r="A35" s="29" t="s">
        <v>24</v>
      </c>
      <c r="B35" s="49">
        <v>7876.9201000000003</v>
      </c>
      <c r="C35" s="31">
        <f t="shared" si="0"/>
        <v>0.29400000000077853</v>
      </c>
      <c r="D35" s="30">
        <f t="shared" si="1"/>
        <v>5292.0000000140135</v>
      </c>
      <c r="E35" s="29"/>
      <c r="F35" s="49">
        <v>4168.1226999999999</v>
      </c>
      <c r="G35" s="28">
        <f t="shared" si="2"/>
        <v>0.13650000000052387</v>
      </c>
      <c r="H35" s="30">
        <f t="shared" si="3"/>
        <v>2457.0000000094296</v>
      </c>
      <c r="I35" s="33">
        <f t="shared" si="4"/>
        <v>0.46428571428626669</v>
      </c>
      <c r="J35" s="29"/>
      <c r="K35" s="50">
        <v>6.5</v>
      </c>
      <c r="L35" s="35"/>
      <c r="M35" s="10"/>
      <c r="N35" s="106" t="s">
        <v>169</v>
      </c>
      <c r="O35" s="106"/>
      <c r="P35" s="106">
        <v>0.4</v>
      </c>
      <c r="Q35" s="106"/>
      <c r="R35" s="106">
        <v>320</v>
      </c>
      <c r="S35" s="106"/>
      <c r="T35" s="106"/>
      <c r="U35" s="106"/>
      <c r="V35" s="106"/>
      <c r="W35" s="106"/>
      <c r="X35" s="106"/>
      <c r="Y35" s="106"/>
      <c r="Z35" s="89"/>
    </row>
    <row r="36" spans="1:26" ht="23.25" customHeight="1">
      <c r="A36" s="29" t="s">
        <v>25</v>
      </c>
      <c r="B36" s="49">
        <v>7877.2035999999998</v>
      </c>
      <c r="C36" s="31">
        <f t="shared" si="0"/>
        <v>0.28349999999954889</v>
      </c>
      <c r="D36" s="30">
        <f t="shared" si="1"/>
        <v>5102.99999999188</v>
      </c>
      <c r="E36" s="29"/>
      <c r="F36" s="49">
        <v>4168.2487999999994</v>
      </c>
      <c r="G36" s="28">
        <f t="shared" si="2"/>
        <v>0.1260999999994965</v>
      </c>
      <c r="H36" s="30">
        <f t="shared" si="3"/>
        <v>2269.7999999909371</v>
      </c>
      <c r="I36" s="33">
        <f t="shared" si="4"/>
        <v>0.44479717812944325</v>
      </c>
      <c r="J36" s="29"/>
      <c r="K36" s="50">
        <v>6.5</v>
      </c>
      <c r="L36" s="35"/>
      <c r="M36" s="10"/>
      <c r="N36" s="106" t="s">
        <v>168</v>
      </c>
      <c r="O36" s="106"/>
      <c r="P36" s="113">
        <v>6</v>
      </c>
      <c r="Q36" s="113"/>
      <c r="R36" s="106">
        <v>870</v>
      </c>
      <c r="S36" s="106"/>
      <c r="T36" s="106"/>
      <c r="U36" s="106"/>
      <c r="V36" s="106"/>
      <c r="W36" s="106"/>
      <c r="X36" s="106"/>
      <c r="Y36" s="106"/>
      <c r="Z36" s="89"/>
    </row>
    <row r="37" spans="1:26" ht="23.25" customHeight="1">
      <c r="A37" s="29" t="s">
        <v>26</v>
      </c>
      <c r="B37" s="49">
        <v>7877.4933000000001</v>
      </c>
      <c r="C37" s="31">
        <f t="shared" si="0"/>
        <v>0.2897000000002663</v>
      </c>
      <c r="D37" s="30">
        <f t="shared" si="1"/>
        <v>5214.6000000047934</v>
      </c>
      <c r="E37" s="29"/>
      <c r="F37" s="49">
        <v>4168.3769999999995</v>
      </c>
      <c r="G37" s="28">
        <f t="shared" si="2"/>
        <v>0.12820000000010623</v>
      </c>
      <c r="H37" s="30">
        <f t="shared" si="3"/>
        <v>2307.6000000019121</v>
      </c>
      <c r="I37" s="33">
        <f t="shared" si="4"/>
        <v>0.44252675181217943</v>
      </c>
      <c r="J37" s="29"/>
      <c r="K37" s="50">
        <v>6.5</v>
      </c>
      <c r="L37" s="35"/>
      <c r="M37" s="10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89"/>
    </row>
    <row r="38" spans="1:26" ht="23.25" customHeight="1">
      <c r="A38" s="29" t="s">
        <v>27</v>
      </c>
      <c r="B38" s="49">
        <v>7877.7848000000004</v>
      </c>
      <c r="C38" s="31">
        <f t="shared" si="0"/>
        <v>0.29150000000026921</v>
      </c>
      <c r="D38" s="30">
        <f t="shared" si="1"/>
        <v>5247.0000000048458</v>
      </c>
      <c r="E38" s="29"/>
      <c r="F38" s="49">
        <v>4168.5075999999999</v>
      </c>
      <c r="G38" s="28">
        <f t="shared" si="2"/>
        <v>0.13060000000041327</v>
      </c>
      <c r="H38" s="30">
        <f t="shared" si="3"/>
        <v>2350.8000000074389</v>
      </c>
      <c r="I38" s="33">
        <f t="shared" si="4"/>
        <v>0.44802744425486335</v>
      </c>
      <c r="J38" s="29"/>
      <c r="K38" s="50">
        <v>6.5</v>
      </c>
      <c r="L38" s="35"/>
      <c r="M38" s="10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89"/>
    </row>
    <row r="39" spans="1:26" ht="23.25" customHeight="1">
      <c r="A39" s="29" t="s">
        <v>28</v>
      </c>
      <c r="B39" s="49">
        <v>7878.0806999999995</v>
      </c>
      <c r="C39" s="31">
        <f t="shared" si="0"/>
        <v>0.29589999999916472</v>
      </c>
      <c r="D39" s="30">
        <f t="shared" si="1"/>
        <v>5326.199999984965</v>
      </c>
      <c r="E39" s="29"/>
      <c r="F39" s="49">
        <v>4168.6409999999996</v>
      </c>
      <c r="G39" s="28">
        <f t="shared" si="2"/>
        <v>0.13339999999971042</v>
      </c>
      <c r="H39" s="30">
        <f t="shared" si="3"/>
        <v>2401.1999999947875</v>
      </c>
      <c r="I39" s="33">
        <f t="shared" si="4"/>
        <v>0.4508279824267894</v>
      </c>
      <c r="J39" s="29"/>
      <c r="K39" s="50">
        <v>6.5</v>
      </c>
      <c r="L39" s="35"/>
      <c r="M39" s="10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89"/>
    </row>
    <row r="40" spans="1:26" ht="23.25" customHeight="1">
      <c r="A40" s="29" t="s">
        <v>29</v>
      </c>
      <c r="B40" s="49">
        <v>7878.3690999999999</v>
      </c>
      <c r="C40" s="31">
        <f t="shared" si="0"/>
        <v>0.28840000000036525</v>
      </c>
      <c r="D40" s="30">
        <f t="shared" si="1"/>
        <v>5191.2000000065746</v>
      </c>
      <c r="E40" s="29"/>
      <c r="F40" s="49">
        <v>4168.7730999999994</v>
      </c>
      <c r="G40" s="28">
        <f t="shared" si="2"/>
        <v>0.13209999999980937</v>
      </c>
      <c r="H40" s="30">
        <f t="shared" si="3"/>
        <v>2377.7999999965687</v>
      </c>
      <c r="I40" s="33">
        <f t="shared" si="4"/>
        <v>0.45804438280042326</v>
      </c>
      <c r="J40" s="29"/>
      <c r="K40" s="50">
        <v>6.5</v>
      </c>
      <c r="L40" s="35"/>
      <c r="M40" s="91" t="s">
        <v>109</v>
      </c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</row>
    <row r="41" spans="1:26" ht="23.25" customHeight="1">
      <c r="A41" s="29" t="s">
        <v>30</v>
      </c>
      <c r="B41" s="49">
        <v>7878.6473999999998</v>
      </c>
      <c r="C41" s="31">
        <f t="shared" si="0"/>
        <v>0.2782999999999447</v>
      </c>
      <c r="D41" s="30">
        <f t="shared" si="1"/>
        <v>5009.3999999990046</v>
      </c>
      <c r="E41" s="29"/>
      <c r="F41" s="49">
        <v>4168.9021999999995</v>
      </c>
      <c r="G41" s="28">
        <f t="shared" si="2"/>
        <v>0.12910000000010768</v>
      </c>
      <c r="H41" s="30">
        <f t="shared" si="3"/>
        <v>2323.8000000019383</v>
      </c>
      <c r="I41" s="33">
        <f t="shared" si="4"/>
        <v>0.46388789076584025</v>
      </c>
      <c r="J41" s="29"/>
      <c r="K41" s="50">
        <v>6.5</v>
      </c>
      <c r="L41" s="35"/>
      <c r="M41" s="104" t="s">
        <v>79</v>
      </c>
      <c r="N41" s="98" t="s">
        <v>98</v>
      </c>
      <c r="O41" s="98"/>
      <c r="P41" s="98" t="s">
        <v>93</v>
      </c>
      <c r="Q41" s="98"/>
      <c r="R41" s="98"/>
      <c r="S41" s="98" t="s">
        <v>111</v>
      </c>
      <c r="T41" s="98" t="s">
        <v>81</v>
      </c>
      <c r="U41" s="98"/>
      <c r="V41" s="98"/>
      <c r="W41" s="98"/>
      <c r="X41" s="98" t="s">
        <v>93</v>
      </c>
      <c r="Y41" s="98"/>
      <c r="Z41" s="100"/>
    </row>
    <row r="42" spans="1:26" ht="23.25" customHeight="1">
      <c r="A42" s="29" t="s">
        <v>31</v>
      </c>
      <c r="B42" s="49">
        <v>7878.9178000000002</v>
      </c>
      <c r="C42" s="31">
        <f t="shared" si="0"/>
        <v>0.27040000000033615</v>
      </c>
      <c r="D42" s="30">
        <f t="shared" si="1"/>
        <v>4867.2000000060507</v>
      </c>
      <c r="E42" s="29"/>
      <c r="F42" s="49">
        <v>4169.0276000000003</v>
      </c>
      <c r="G42" s="28">
        <f t="shared" si="2"/>
        <v>0.12540000000080909</v>
      </c>
      <c r="H42" s="30">
        <f t="shared" si="3"/>
        <v>2257.2000000145636</v>
      </c>
      <c r="I42" s="33">
        <f t="shared" si="4"/>
        <v>0.46375739645211983</v>
      </c>
      <c r="J42" s="29"/>
      <c r="K42" s="29">
        <v>6.5</v>
      </c>
      <c r="L42" s="35"/>
      <c r="M42" s="95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101"/>
    </row>
    <row r="43" spans="1:26" ht="31.5" customHeight="1">
      <c r="A43" s="86" t="s">
        <v>70</v>
      </c>
      <c r="B43" s="86"/>
      <c r="C43" s="86"/>
      <c r="D43" s="30">
        <f>SUM(D18:D42)</f>
        <v>121874.40000000424</v>
      </c>
      <c r="E43" s="29"/>
      <c r="F43" s="36"/>
      <c r="G43" s="43"/>
      <c r="H43" s="30">
        <f>SUM(H18:H42)</f>
        <v>55963.800000010451</v>
      </c>
      <c r="I43" s="33">
        <f>IF(AND(H43=0,D43=0),0,H43/D43)</f>
        <v>0.45919241448580261</v>
      </c>
      <c r="J43" s="29"/>
      <c r="K43" s="29"/>
      <c r="L43" s="35"/>
      <c r="M43" s="95" t="s">
        <v>80</v>
      </c>
      <c r="N43" s="99" t="s">
        <v>99</v>
      </c>
      <c r="O43" s="99"/>
      <c r="P43" s="99" t="s">
        <v>110</v>
      </c>
      <c r="Q43" s="99"/>
      <c r="R43" s="99"/>
      <c r="S43" s="99"/>
      <c r="T43" s="99"/>
      <c r="U43" s="99"/>
      <c r="V43" s="99"/>
      <c r="W43" s="99"/>
      <c r="X43" s="99" t="s">
        <v>110</v>
      </c>
      <c r="Y43" s="99"/>
      <c r="Z43" s="101"/>
    </row>
    <row r="44" spans="1:26" ht="22.5" customHeight="1">
      <c r="A44" s="76" t="s">
        <v>71</v>
      </c>
      <c r="B44" s="76"/>
      <c r="C44" s="76"/>
      <c r="D44" s="37"/>
      <c r="E44" s="37"/>
      <c r="F44" s="38"/>
      <c r="G44" s="29"/>
      <c r="H44" s="29"/>
      <c r="I44" s="29"/>
      <c r="J44" s="29"/>
      <c r="K44" s="29"/>
      <c r="L44" s="35"/>
      <c r="M44" s="96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3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89"/>
      <c r="O45" s="105"/>
      <c r="P45" s="89"/>
      <c r="Q45" s="90"/>
      <c r="R45" s="105"/>
      <c r="S45" s="8"/>
      <c r="T45" s="89"/>
      <c r="U45" s="90"/>
      <c r="V45" s="90"/>
      <c r="W45" s="105"/>
      <c r="X45" s="89"/>
      <c r="Y45" s="90"/>
      <c r="Z45" s="90"/>
    </row>
    <row r="46" spans="1:26" ht="22.5" customHeight="1">
      <c r="A46" s="54" t="s">
        <v>72</v>
      </c>
      <c r="B46" s="54"/>
      <c r="C46" s="54"/>
      <c r="D46" s="54"/>
      <c r="E46" s="54"/>
      <c r="F46" s="54"/>
      <c r="G46" s="77" t="s">
        <v>73</v>
      </c>
      <c r="H46" s="77"/>
      <c r="I46" s="77"/>
      <c r="J46" s="77"/>
      <c r="K46" s="77"/>
      <c r="L46" s="77"/>
      <c r="M46" s="10"/>
      <c r="N46" s="89"/>
      <c r="O46" s="105"/>
      <c r="P46" s="89"/>
      <c r="Q46" s="90"/>
      <c r="R46" s="105"/>
      <c r="S46" s="8"/>
      <c r="T46" s="89"/>
      <c r="U46" s="90"/>
      <c r="V46" s="90"/>
      <c r="W46" s="105"/>
      <c r="X46" s="89"/>
      <c r="Y46" s="90"/>
      <c r="Z46" s="90"/>
    </row>
    <row r="47" spans="1:26" ht="22.5" customHeight="1">
      <c r="A47" s="52" t="s">
        <v>388</v>
      </c>
      <c r="B47" s="52"/>
      <c r="C47" s="52"/>
      <c r="D47" s="54" t="s">
        <v>74</v>
      </c>
      <c r="E47" s="54"/>
      <c r="F47" s="54"/>
      <c r="G47" s="40"/>
      <c r="H47" s="40"/>
      <c r="I47" s="40"/>
      <c r="J47" s="40"/>
      <c r="K47" s="40"/>
      <c r="L47" s="40"/>
      <c r="M47" s="10"/>
      <c r="N47" s="89"/>
      <c r="O47" s="105"/>
      <c r="P47" s="89"/>
      <c r="Q47" s="90"/>
      <c r="R47" s="105"/>
      <c r="S47" s="8"/>
      <c r="T47" s="89"/>
      <c r="U47" s="90"/>
      <c r="V47" s="90"/>
      <c r="W47" s="105"/>
      <c r="X47" s="89"/>
      <c r="Y47" s="90"/>
      <c r="Z47" s="90"/>
    </row>
    <row r="48" spans="1:26" ht="22.5" customHeight="1">
      <c r="A48" s="55" t="s">
        <v>75</v>
      </c>
      <c r="B48" s="55"/>
      <c r="C48" s="55"/>
      <c r="D48" s="55" t="s">
        <v>76</v>
      </c>
      <c r="E48" s="55"/>
      <c r="F48" s="55"/>
      <c r="G48" s="39"/>
      <c r="H48" s="39"/>
      <c r="I48" s="39"/>
      <c r="J48" s="39"/>
      <c r="K48" s="39"/>
      <c r="L48" s="39"/>
    </row>
    <row r="49" spans="1:23" ht="22.5" customHeight="1">
      <c r="A49" s="52" t="s">
        <v>389</v>
      </c>
      <c r="B49" s="52"/>
      <c r="C49" s="52"/>
      <c r="D49" s="54" t="s">
        <v>74</v>
      </c>
      <c r="E49" s="54"/>
      <c r="F49" s="54"/>
      <c r="G49" s="39"/>
      <c r="H49" s="54" t="s">
        <v>191</v>
      </c>
      <c r="I49" s="54"/>
      <c r="J49" s="54"/>
      <c r="K49" s="54" t="s">
        <v>77</v>
      </c>
      <c r="L49" s="54"/>
      <c r="N49" s="57" t="s">
        <v>150</v>
      </c>
      <c r="O49" s="57"/>
      <c r="P49" s="57"/>
      <c r="Q49" s="56" t="s">
        <v>391</v>
      </c>
      <c r="R49" s="56"/>
      <c r="S49" s="56"/>
      <c r="T49" s="56"/>
      <c r="U49" s="56"/>
      <c r="V49" s="56"/>
      <c r="W49" s="1"/>
    </row>
    <row r="50" spans="1:23" ht="22.5" customHeight="1">
      <c r="A50" s="55" t="s">
        <v>75</v>
      </c>
      <c r="B50" s="55"/>
      <c r="C50" s="55"/>
      <c r="D50" s="55" t="s">
        <v>76</v>
      </c>
      <c r="E50" s="55"/>
      <c r="F50" s="55"/>
      <c r="G50" s="44"/>
      <c r="H50" s="55" t="s">
        <v>75</v>
      </c>
      <c r="I50" s="55"/>
      <c r="J50" s="55"/>
      <c r="K50" s="55" t="s">
        <v>76</v>
      </c>
      <c r="L50" s="55"/>
      <c r="S50" s="53" t="s">
        <v>76</v>
      </c>
      <c r="T50" s="53"/>
    </row>
    <row r="51" spans="1:23" ht="20.100000000000001" customHeight="1">
      <c r="A51" s="52" t="s">
        <v>390</v>
      </c>
      <c r="B51" s="52"/>
      <c r="C51" s="52"/>
      <c r="D51" s="54" t="s">
        <v>74</v>
      </c>
      <c r="E51" s="54"/>
      <c r="F51" s="54"/>
      <c r="G51" s="39"/>
      <c r="H51" s="39"/>
      <c r="I51" s="39"/>
      <c r="J51" s="39"/>
      <c r="K51" s="39"/>
      <c r="L51" s="39"/>
    </row>
    <row r="52" spans="1:23" ht="20.100000000000001" customHeight="1">
      <c r="A52" s="55" t="s">
        <v>75</v>
      </c>
      <c r="B52" s="55"/>
      <c r="C52" s="55"/>
      <c r="D52" s="55" t="s">
        <v>76</v>
      </c>
      <c r="E52" s="55"/>
      <c r="F52" s="55"/>
      <c r="G52" s="42"/>
      <c r="H52" s="42"/>
      <c r="I52" s="39"/>
      <c r="J52" s="39"/>
      <c r="K52" s="39"/>
      <c r="L52" s="39"/>
    </row>
  </sheetData>
  <sheetProtection sheet="1" objects="1" scenarios="1"/>
  <mergeCells count="258">
    <mergeCell ref="A10:D10"/>
    <mergeCell ref="E10:G10"/>
    <mergeCell ref="D13:E13"/>
    <mergeCell ref="A46:F46"/>
    <mergeCell ref="A44:C44"/>
    <mergeCell ref="G1:H2"/>
    <mergeCell ref="J16:J17"/>
    <mergeCell ref="K16:K17"/>
    <mergeCell ref="A13:A17"/>
    <mergeCell ref="E16:E17"/>
    <mergeCell ref="B15:C15"/>
    <mergeCell ref="D15:E15"/>
    <mergeCell ref="A43:C43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N14:O14"/>
    <mergeCell ref="N15:O15"/>
    <mergeCell ref="N16:O16"/>
    <mergeCell ref="N12:O12"/>
    <mergeCell ref="N13:O13"/>
    <mergeCell ref="I13:I17"/>
    <mergeCell ref="J13:K13"/>
    <mergeCell ref="J14:K14"/>
    <mergeCell ref="J15:K15"/>
    <mergeCell ref="A12:L12"/>
    <mergeCell ref="F13:G13"/>
    <mergeCell ref="B14:C14"/>
    <mergeCell ref="D14:E14"/>
    <mergeCell ref="B13:C13"/>
    <mergeCell ref="F14:G14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T27:V27"/>
    <mergeCell ref="W27:Z27"/>
    <mergeCell ref="N26:P26"/>
    <mergeCell ref="N25:P25"/>
    <mergeCell ref="Q25:S25"/>
    <mergeCell ref="T25:V25"/>
    <mergeCell ref="W25:Z25"/>
    <mergeCell ref="Q23:S23"/>
    <mergeCell ref="T23:V23"/>
    <mergeCell ref="Q26:S26"/>
    <mergeCell ref="T26:V26"/>
    <mergeCell ref="N24:P24"/>
    <mergeCell ref="Q24:S24"/>
    <mergeCell ref="T28:V28"/>
    <mergeCell ref="W28:Z28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T24:V24"/>
    <mergeCell ref="W24:Z24"/>
    <mergeCell ref="T18:V19"/>
    <mergeCell ref="V14:W14"/>
    <mergeCell ref="V11:W11"/>
    <mergeCell ref="V12:W12"/>
    <mergeCell ref="V13:W13"/>
    <mergeCell ref="T11:U11"/>
    <mergeCell ref="T12:U12"/>
    <mergeCell ref="T13:U13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X45:Z45"/>
    <mergeCell ref="X46:Z46"/>
    <mergeCell ref="X47:Z47"/>
    <mergeCell ref="S50:T50"/>
    <mergeCell ref="N39:O39"/>
    <mergeCell ref="P39:Q39"/>
    <mergeCell ref="N41:O42"/>
    <mergeCell ref="P41:R42"/>
    <mergeCell ref="M40:Z40"/>
    <mergeCell ref="M43:M44"/>
    <mergeCell ref="T47:W47"/>
    <mergeCell ref="N43:O44"/>
    <mergeCell ref="P43:R44"/>
    <mergeCell ref="P46:R46"/>
    <mergeCell ref="P47:R47"/>
    <mergeCell ref="N45:O45"/>
    <mergeCell ref="R39:S39"/>
    <mergeCell ref="T39:U39"/>
    <mergeCell ref="V39:X39"/>
    <mergeCell ref="Y39:Z39"/>
    <mergeCell ref="S41:S44"/>
    <mergeCell ref="T41:W44"/>
    <mergeCell ref="M41:M42"/>
    <mergeCell ref="Q49:V49"/>
    <mergeCell ref="N49:P49"/>
    <mergeCell ref="P45:R45"/>
    <mergeCell ref="A51:C51"/>
    <mergeCell ref="D51:F51"/>
    <mergeCell ref="N46:O46"/>
    <mergeCell ref="N47:O47"/>
    <mergeCell ref="T45:W45"/>
    <mergeCell ref="T46:W46"/>
    <mergeCell ref="H49:J49"/>
    <mergeCell ref="K49:L49"/>
    <mergeCell ref="A48:C48"/>
    <mergeCell ref="A49:C49"/>
    <mergeCell ref="A50:C50"/>
    <mergeCell ref="D50:F50"/>
    <mergeCell ref="D48:F48"/>
    <mergeCell ref="A47:C47"/>
    <mergeCell ref="D47:F47"/>
    <mergeCell ref="G46:L46"/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A7:L7"/>
    <mergeCell ref="I11:L11"/>
    <mergeCell ref="A8:L8"/>
    <mergeCell ref="A1:F1"/>
    <mergeCell ref="A2:F2"/>
    <mergeCell ref="A3:F3"/>
    <mergeCell ref="A4:F4"/>
    <mergeCell ref="A5:F5"/>
    <mergeCell ref="A6:F6"/>
    <mergeCell ref="A9:L9"/>
    <mergeCell ref="G3:H4"/>
    <mergeCell ref="I3:L4"/>
    <mergeCell ref="A11:D11"/>
    <mergeCell ref="E11:H11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sheetPr codeName="Лист3"/>
  <dimension ref="A1:Z52"/>
  <sheetViews>
    <sheetView view="pageBreakPreview" topLeftCell="A22" zoomScale="75" zoomScaleNormal="75" zoomScaleSheetLayoutView="50" workbookViewId="0">
      <selection activeCell="F37" sqref="F37"/>
    </sheetView>
  </sheetViews>
  <sheetFormatPr defaultRowHeight="18.75"/>
  <cols>
    <col min="1" max="1" width="11.140625" style="2" customWidth="1"/>
    <col min="2" max="2" width="14.28515625" style="2" customWidth="1"/>
    <col min="3" max="3" width="12.140625" style="2" customWidth="1"/>
    <col min="4" max="4" width="14" style="2" customWidth="1"/>
    <col min="5" max="5" width="5.42578125" style="2" customWidth="1"/>
    <col min="6" max="6" width="15.140625" style="2" customWidth="1"/>
    <col min="7" max="7" width="14.1406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8.140625" style="2" customWidth="1"/>
    <col min="13" max="26" width="10.28515625" style="2" customWidth="1"/>
    <col min="27" max="16384" width="9.140625" style="2"/>
  </cols>
  <sheetData>
    <row r="1" spans="1:26" ht="21.75" customHeight="1">
      <c r="A1" s="59" t="s">
        <v>157</v>
      </c>
      <c r="B1" s="59"/>
      <c r="C1" s="59"/>
      <c r="D1" s="59"/>
      <c r="E1" s="59"/>
      <c r="F1" s="59"/>
      <c r="G1" s="63" t="s">
        <v>154</v>
      </c>
      <c r="H1" s="63"/>
      <c r="I1" s="59" t="s">
        <v>160</v>
      </c>
      <c r="J1" s="59"/>
      <c r="K1" s="59"/>
      <c r="L1" s="59"/>
      <c r="M1" s="91" t="s">
        <v>96</v>
      </c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spans="1:26" ht="21.75" customHeight="1">
      <c r="A2" s="61" t="s">
        <v>45</v>
      </c>
      <c r="B2" s="61"/>
      <c r="C2" s="61"/>
      <c r="D2" s="61"/>
      <c r="E2" s="61"/>
      <c r="F2" s="61"/>
      <c r="G2" s="63"/>
      <c r="H2" s="63"/>
      <c r="I2" s="59"/>
      <c r="J2" s="59"/>
      <c r="K2" s="59"/>
      <c r="L2" s="59"/>
      <c r="M2" s="91" t="s">
        <v>78</v>
      </c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spans="1:26" ht="21.75" customHeight="1">
      <c r="A3" s="59" t="s">
        <v>158</v>
      </c>
      <c r="B3" s="60"/>
      <c r="C3" s="60"/>
      <c r="D3" s="60"/>
      <c r="E3" s="60"/>
      <c r="F3" s="60"/>
      <c r="G3" s="63" t="s">
        <v>155</v>
      </c>
      <c r="H3" s="63"/>
      <c r="I3" s="59" t="s">
        <v>211</v>
      </c>
      <c r="J3" s="59"/>
      <c r="K3" s="59"/>
      <c r="L3" s="59"/>
      <c r="M3" s="104" t="s">
        <v>79</v>
      </c>
      <c r="N3" s="100" t="s">
        <v>81</v>
      </c>
      <c r="O3" s="104"/>
      <c r="P3" s="100" t="s">
        <v>65</v>
      </c>
      <c r="Q3" s="104"/>
      <c r="R3" s="100" t="s">
        <v>82</v>
      </c>
      <c r="S3" s="104"/>
      <c r="T3" s="100" t="s">
        <v>85</v>
      </c>
      <c r="U3" s="104"/>
      <c r="V3" s="100" t="s">
        <v>87</v>
      </c>
      <c r="W3" s="104"/>
      <c r="X3" s="107" t="s">
        <v>91</v>
      </c>
      <c r="Y3" s="108"/>
      <c r="Z3" s="108"/>
    </row>
    <row r="4" spans="1:26" ht="29.25" customHeight="1">
      <c r="A4" s="61" t="s">
        <v>46</v>
      </c>
      <c r="B4" s="61"/>
      <c r="C4" s="61"/>
      <c r="D4" s="61"/>
      <c r="E4" s="61"/>
      <c r="F4" s="61"/>
      <c r="G4" s="63"/>
      <c r="H4" s="63"/>
      <c r="I4" s="59"/>
      <c r="J4" s="59"/>
      <c r="K4" s="59"/>
      <c r="L4" s="59"/>
      <c r="M4" s="95"/>
      <c r="N4" s="101"/>
      <c r="O4" s="95"/>
      <c r="P4" s="101"/>
      <c r="Q4" s="95"/>
      <c r="R4" s="101" t="s">
        <v>83</v>
      </c>
      <c r="S4" s="95"/>
      <c r="T4" s="101" t="s">
        <v>86</v>
      </c>
      <c r="U4" s="95"/>
      <c r="V4" s="101" t="s">
        <v>88</v>
      </c>
      <c r="W4" s="95"/>
      <c r="X4" s="107"/>
      <c r="Y4" s="108"/>
      <c r="Z4" s="108"/>
    </row>
    <row r="5" spans="1:26" ht="21.75" customHeight="1">
      <c r="A5" s="59" t="s">
        <v>186</v>
      </c>
      <c r="B5" s="60"/>
      <c r="C5" s="60"/>
      <c r="D5" s="60"/>
      <c r="E5" s="60"/>
      <c r="F5" s="60"/>
      <c r="G5" s="63" t="s">
        <v>156</v>
      </c>
      <c r="H5" s="63"/>
      <c r="I5" s="59" t="s">
        <v>210</v>
      </c>
      <c r="J5" s="59"/>
      <c r="K5" s="59"/>
      <c r="L5" s="59"/>
      <c r="M5" s="95" t="s">
        <v>80</v>
      </c>
      <c r="N5" s="101"/>
      <c r="O5" s="95"/>
      <c r="P5" s="101" t="s">
        <v>190</v>
      </c>
      <c r="Q5" s="95"/>
      <c r="R5" s="109" t="s">
        <v>84</v>
      </c>
      <c r="S5" s="110"/>
      <c r="T5" s="109" t="s">
        <v>84</v>
      </c>
      <c r="U5" s="110"/>
      <c r="V5" s="101" t="s">
        <v>89</v>
      </c>
      <c r="W5" s="95"/>
      <c r="X5" s="107"/>
      <c r="Y5" s="108"/>
      <c r="Z5" s="108"/>
    </row>
    <row r="6" spans="1:26" ht="21.75" customHeight="1">
      <c r="A6" s="61" t="s">
        <v>47</v>
      </c>
      <c r="B6" s="61"/>
      <c r="C6" s="61"/>
      <c r="D6" s="61"/>
      <c r="E6" s="61"/>
      <c r="F6" s="61"/>
      <c r="G6" s="63"/>
      <c r="H6" s="63"/>
      <c r="I6" s="59"/>
      <c r="J6" s="59"/>
      <c r="K6" s="59"/>
      <c r="L6" s="59"/>
      <c r="M6" s="96"/>
      <c r="N6" s="103"/>
      <c r="O6" s="96"/>
      <c r="P6" s="103"/>
      <c r="Q6" s="96"/>
      <c r="R6" s="103"/>
      <c r="S6" s="96"/>
      <c r="T6" s="103"/>
      <c r="U6" s="96"/>
      <c r="V6" s="103" t="s">
        <v>90</v>
      </c>
      <c r="W6" s="96"/>
      <c r="X6" s="107"/>
      <c r="Y6" s="108"/>
      <c r="Z6" s="108"/>
    </row>
    <row r="7" spans="1:26" ht="21.75" customHeight="1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10"/>
      <c r="N7" s="89"/>
      <c r="O7" s="105"/>
      <c r="P7" s="89"/>
      <c r="Q7" s="105"/>
      <c r="R7" s="89"/>
      <c r="S7" s="105"/>
      <c r="T7" s="89"/>
      <c r="U7" s="105"/>
      <c r="V7" s="89"/>
      <c r="W7" s="105"/>
      <c r="X7" s="89"/>
      <c r="Y7" s="90"/>
      <c r="Z7" s="90"/>
    </row>
    <row r="8" spans="1:26" ht="22.5" customHeight="1">
      <c r="A8" s="94" t="s">
        <v>48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10"/>
      <c r="N8" s="89"/>
      <c r="O8" s="105"/>
      <c r="P8" s="89"/>
      <c r="Q8" s="105"/>
      <c r="R8" s="89"/>
      <c r="S8" s="105"/>
      <c r="T8" s="89"/>
      <c r="U8" s="105"/>
      <c r="V8" s="89"/>
      <c r="W8" s="105"/>
      <c r="X8" s="89"/>
      <c r="Y8" s="90"/>
      <c r="Z8" s="90"/>
    </row>
    <row r="9" spans="1:26" ht="22.5" customHeight="1">
      <c r="A9" s="88" t="s">
        <v>49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10"/>
      <c r="N9" s="89"/>
      <c r="O9" s="105"/>
      <c r="P9" s="89"/>
      <c r="Q9" s="105"/>
      <c r="R9" s="89"/>
      <c r="S9" s="105"/>
      <c r="T9" s="89"/>
      <c r="U9" s="105"/>
      <c r="V9" s="89"/>
      <c r="W9" s="105"/>
      <c r="X9" s="89"/>
      <c r="Y9" s="90"/>
      <c r="Z9" s="90"/>
    </row>
    <row r="10" spans="1:26" ht="22.5" customHeight="1">
      <c r="A10" s="80" t="s">
        <v>112</v>
      </c>
      <c r="B10" s="80"/>
      <c r="C10" s="80"/>
      <c r="D10" s="80"/>
      <c r="E10" s="81" t="s">
        <v>383</v>
      </c>
      <c r="F10" s="81"/>
      <c r="G10" s="81"/>
      <c r="H10" s="62" t="s">
        <v>384</v>
      </c>
      <c r="I10" s="62"/>
      <c r="J10" s="62"/>
      <c r="K10" s="62"/>
      <c r="L10" s="62"/>
      <c r="M10" s="10"/>
      <c r="N10" s="89"/>
      <c r="O10" s="105"/>
      <c r="P10" s="89"/>
      <c r="Q10" s="105"/>
      <c r="R10" s="89"/>
      <c r="S10" s="105"/>
      <c r="T10" s="89"/>
      <c r="U10" s="105"/>
      <c r="V10" s="89"/>
      <c r="W10" s="105"/>
      <c r="X10" s="89"/>
      <c r="Y10" s="90"/>
      <c r="Z10" s="90"/>
    </row>
    <row r="11" spans="1:26" ht="22.5" customHeight="1">
      <c r="A11" s="80" t="s">
        <v>113</v>
      </c>
      <c r="B11" s="80"/>
      <c r="C11" s="80"/>
      <c r="D11" s="80"/>
      <c r="E11" s="79" t="s">
        <v>230</v>
      </c>
      <c r="F11" s="79"/>
      <c r="G11" s="79"/>
      <c r="H11" s="79"/>
      <c r="I11" s="62" t="s">
        <v>114</v>
      </c>
      <c r="J11" s="62"/>
      <c r="K11" s="62"/>
      <c r="L11" s="62"/>
      <c r="M11" s="10"/>
      <c r="N11" s="89"/>
      <c r="O11" s="105"/>
      <c r="P11" s="89"/>
      <c r="Q11" s="105"/>
      <c r="R11" s="89"/>
      <c r="S11" s="105"/>
      <c r="T11" s="89"/>
      <c r="U11" s="105"/>
      <c r="V11" s="89"/>
      <c r="W11" s="105"/>
      <c r="X11" s="89"/>
      <c r="Y11" s="90"/>
      <c r="Z11" s="90"/>
    </row>
    <row r="12" spans="1:26" ht="21.75" customHeight="1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10"/>
      <c r="N12" s="89"/>
      <c r="O12" s="105"/>
      <c r="P12" s="89"/>
      <c r="Q12" s="105"/>
      <c r="R12" s="89"/>
      <c r="S12" s="105"/>
      <c r="T12" s="89"/>
      <c r="U12" s="105"/>
      <c r="V12" s="89"/>
      <c r="W12" s="105"/>
      <c r="X12" s="89"/>
      <c r="Y12" s="90"/>
      <c r="Z12" s="90"/>
    </row>
    <row r="13" spans="1:26" ht="21.75" customHeight="1">
      <c r="A13" s="64" t="s">
        <v>50</v>
      </c>
      <c r="B13" s="72" t="s">
        <v>56</v>
      </c>
      <c r="C13" s="73"/>
      <c r="D13" s="74" t="s">
        <v>198</v>
      </c>
      <c r="E13" s="75"/>
      <c r="F13" s="72" t="s">
        <v>59</v>
      </c>
      <c r="G13" s="73"/>
      <c r="H13" s="18" t="s">
        <v>198</v>
      </c>
      <c r="I13" s="84" t="s">
        <v>5</v>
      </c>
      <c r="J13" s="72" t="s">
        <v>60</v>
      </c>
      <c r="K13" s="64"/>
      <c r="L13" s="17" t="s">
        <v>65</v>
      </c>
      <c r="M13" s="10"/>
      <c r="N13" s="89"/>
      <c r="O13" s="105"/>
      <c r="P13" s="89"/>
      <c r="Q13" s="105"/>
      <c r="R13" s="89"/>
      <c r="S13" s="105"/>
      <c r="T13" s="89"/>
      <c r="U13" s="105"/>
      <c r="V13" s="89"/>
      <c r="W13" s="105"/>
      <c r="X13" s="89"/>
      <c r="Y13" s="90"/>
      <c r="Z13" s="90"/>
    </row>
    <row r="14" spans="1:26" ht="21.75" customHeight="1">
      <c r="A14" s="65"/>
      <c r="B14" s="82" t="s">
        <v>57</v>
      </c>
      <c r="C14" s="83"/>
      <c r="D14" s="92" t="s">
        <v>226</v>
      </c>
      <c r="E14" s="93"/>
      <c r="F14" s="82" t="s">
        <v>57</v>
      </c>
      <c r="G14" s="83"/>
      <c r="H14" s="19" t="s">
        <v>226</v>
      </c>
      <c r="I14" s="85"/>
      <c r="J14" s="82" t="s">
        <v>61</v>
      </c>
      <c r="K14" s="65"/>
      <c r="L14" s="17" t="s">
        <v>66</v>
      </c>
      <c r="M14" s="10"/>
      <c r="N14" s="89"/>
      <c r="O14" s="105"/>
      <c r="P14" s="89"/>
      <c r="Q14" s="105"/>
      <c r="R14" s="89"/>
      <c r="S14" s="105"/>
      <c r="T14" s="89"/>
      <c r="U14" s="105"/>
      <c r="V14" s="89"/>
      <c r="W14" s="105"/>
      <c r="X14" s="89"/>
      <c r="Y14" s="90"/>
      <c r="Z14" s="90"/>
    </row>
    <row r="15" spans="1:26" ht="21.75" customHeight="1">
      <c r="A15" s="65"/>
      <c r="B15" s="68" t="s">
        <v>58</v>
      </c>
      <c r="C15" s="69"/>
      <c r="D15" s="70">
        <v>12000</v>
      </c>
      <c r="E15" s="71"/>
      <c r="F15" s="68" t="s">
        <v>58</v>
      </c>
      <c r="G15" s="69"/>
      <c r="H15" s="20">
        <v>12000</v>
      </c>
      <c r="I15" s="85"/>
      <c r="J15" s="68" t="s">
        <v>62</v>
      </c>
      <c r="K15" s="78"/>
      <c r="L15" s="17" t="s">
        <v>67</v>
      </c>
      <c r="M15" s="10"/>
      <c r="N15" s="89"/>
      <c r="O15" s="105"/>
      <c r="P15" s="89"/>
      <c r="Q15" s="105"/>
      <c r="R15" s="89"/>
      <c r="S15" s="105"/>
      <c r="T15" s="89"/>
      <c r="U15" s="105"/>
      <c r="V15" s="89"/>
      <c r="W15" s="105"/>
      <c r="X15" s="89"/>
      <c r="Y15" s="90"/>
      <c r="Z15" s="90"/>
    </row>
    <row r="16" spans="1:26" ht="21.75" customHeight="1">
      <c r="A16" s="65"/>
      <c r="B16" s="13" t="s">
        <v>51</v>
      </c>
      <c r="C16" s="13" t="s">
        <v>53</v>
      </c>
      <c r="D16" s="13" t="s">
        <v>54</v>
      </c>
      <c r="E16" s="66"/>
      <c r="F16" s="13" t="s">
        <v>51</v>
      </c>
      <c r="G16" s="13" t="s">
        <v>53</v>
      </c>
      <c r="H16" s="11" t="s">
        <v>54</v>
      </c>
      <c r="I16" s="85"/>
      <c r="J16" s="66" t="s">
        <v>63</v>
      </c>
      <c r="K16" s="66" t="s">
        <v>64</v>
      </c>
      <c r="L16" s="17" t="s">
        <v>68</v>
      </c>
      <c r="M16" s="10"/>
      <c r="N16" s="89"/>
      <c r="O16" s="105"/>
      <c r="P16" s="89"/>
      <c r="Q16" s="105"/>
      <c r="R16" s="89"/>
      <c r="S16" s="105"/>
      <c r="T16" s="89"/>
      <c r="U16" s="105"/>
      <c r="V16" s="89"/>
      <c r="W16" s="105"/>
      <c r="X16" s="89"/>
      <c r="Y16" s="90"/>
      <c r="Z16" s="90"/>
    </row>
    <row r="17" spans="1:26" ht="21.75" customHeight="1">
      <c r="A17" s="78"/>
      <c r="B17" s="26" t="s">
        <v>52</v>
      </c>
      <c r="C17" s="26" t="s">
        <v>51</v>
      </c>
      <c r="D17" s="26" t="s">
        <v>55</v>
      </c>
      <c r="E17" s="67"/>
      <c r="F17" s="26" t="s">
        <v>52</v>
      </c>
      <c r="G17" s="14" t="s">
        <v>51</v>
      </c>
      <c r="H17" s="12" t="s">
        <v>55</v>
      </c>
      <c r="I17" s="119"/>
      <c r="J17" s="120"/>
      <c r="K17" s="120"/>
      <c r="L17" s="17" t="s">
        <v>69</v>
      </c>
      <c r="M17" s="111" t="s">
        <v>92</v>
      </c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spans="1:26" ht="23.25" customHeight="1">
      <c r="A18" s="45" t="s">
        <v>7</v>
      </c>
      <c r="B18" s="49">
        <v>5114.3807999999999</v>
      </c>
      <c r="C18" s="31"/>
      <c r="D18" s="30"/>
      <c r="E18" s="29"/>
      <c r="F18" s="49">
        <v>3185.2856999999999</v>
      </c>
      <c r="G18" s="28"/>
      <c r="H18" s="30"/>
      <c r="I18" s="33"/>
      <c r="J18" s="29"/>
      <c r="K18" s="29">
        <v>6.6</v>
      </c>
      <c r="L18" s="35"/>
      <c r="M18" s="104" t="s">
        <v>79</v>
      </c>
      <c r="N18" s="98" t="s">
        <v>98</v>
      </c>
      <c r="O18" s="98"/>
      <c r="P18" s="98"/>
      <c r="Q18" s="98" t="s">
        <v>107</v>
      </c>
      <c r="R18" s="98"/>
      <c r="S18" s="98"/>
      <c r="T18" s="98" t="s">
        <v>93</v>
      </c>
      <c r="U18" s="98"/>
      <c r="V18" s="98"/>
      <c r="W18" s="100" t="s">
        <v>91</v>
      </c>
      <c r="X18" s="112"/>
      <c r="Y18" s="112"/>
      <c r="Z18" s="112"/>
    </row>
    <row r="19" spans="1:26" ht="23.25" customHeight="1">
      <c r="A19" s="45" t="s">
        <v>8</v>
      </c>
      <c r="B19" s="49">
        <v>5114.5666000000001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0.18580000000019936</v>
      </c>
      <c r="D19" s="30">
        <f t="shared" ref="D19:D42" si="1">IF(C19="","",C19*$D$15)</f>
        <v>2229.6000000023923</v>
      </c>
      <c r="E19" s="29"/>
      <c r="F19" s="49">
        <v>3185.3894999999998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0.10379999999986467</v>
      </c>
      <c r="H19" s="30">
        <f t="shared" ref="H19:H42" si="3">IF(G19="","",G19*$H$15)</f>
        <v>1245.599999998376</v>
      </c>
      <c r="I19" s="33">
        <f t="shared" ref="I19:I42" si="4">IF(H19="","",IF(D19="","",IF(AND(H19=0,D19=0),0,H19/D19)))</f>
        <v>0.5586652314303191</v>
      </c>
      <c r="J19" s="29"/>
      <c r="K19" s="50">
        <v>6.6</v>
      </c>
      <c r="L19" s="35"/>
      <c r="M19" s="95"/>
      <c r="N19" s="99"/>
      <c r="O19" s="99"/>
      <c r="P19" s="99"/>
      <c r="Q19" s="99" t="s">
        <v>108</v>
      </c>
      <c r="R19" s="99"/>
      <c r="S19" s="99"/>
      <c r="T19" s="99"/>
      <c r="U19" s="99"/>
      <c r="V19" s="99"/>
      <c r="W19" s="101"/>
      <c r="X19" s="91"/>
      <c r="Y19" s="91"/>
      <c r="Z19" s="91"/>
    </row>
    <row r="20" spans="1:26" ht="23.25" customHeight="1">
      <c r="A20" s="45" t="s">
        <v>9</v>
      </c>
      <c r="B20" s="49">
        <v>5114.7452000000003</v>
      </c>
      <c r="C20" s="31">
        <f t="shared" si="0"/>
        <v>0.17860000000018772</v>
      </c>
      <c r="D20" s="30">
        <f t="shared" si="1"/>
        <v>2143.2000000022526</v>
      </c>
      <c r="E20" s="29"/>
      <c r="F20" s="49">
        <v>3185.4906999999998</v>
      </c>
      <c r="G20" s="28">
        <f t="shared" si="2"/>
        <v>0.10120000000006257</v>
      </c>
      <c r="H20" s="30">
        <f t="shared" si="3"/>
        <v>1214.4000000007509</v>
      </c>
      <c r="I20" s="33">
        <f t="shared" si="4"/>
        <v>0.56662933930546588</v>
      </c>
      <c r="J20" s="29"/>
      <c r="K20" s="50">
        <v>6.6</v>
      </c>
      <c r="L20" s="35"/>
      <c r="M20" s="95" t="s">
        <v>80</v>
      </c>
      <c r="N20" s="99" t="s">
        <v>99</v>
      </c>
      <c r="O20" s="99"/>
      <c r="P20" s="99"/>
      <c r="Q20" s="99" t="s">
        <v>189</v>
      </c>
      <c r="R20" s="99"/>
      <c r="S20" s="99"/>
      <c r="T20" s="99" t="s">
        <v>94</v>
      </c>
      <c r="U20" s="99"/>
      <c r="V20" s="99"/>
      <c r="W20" s="101"/>
      <c r="X20" s="91"/>
      <c r="Y20" s="91"/>
      <c r="Z20" s="91"/>
    </row>
    <row r="21" spans="1:26" ht="23.25" customHeight="1">
      <c r="A21" s="45" t="s">
        <v>10</v>
      </c>
      <c r="B21" s="49">
        <v>5114.9223000000002</v>
      </c>
      <c r="C21" s="31">
        <f t="shared" si="0"/>
        <v>0.17709999999988213</v>
      </c>
      <c r="D21" s="30">
        <f t="shared" si="1"/>
        <v>2125.1999999985856</v>
      </c>
      <c r="E21" s="29"/>
      <c r="F21" s="49">
        <v>3185.5922</v>
      </c>
      <c r="G21" s="28">
        <f t="shared" si="2"/>
        <v>0.10150000000021464</v>
      </c>
      <c r="H21" s="30">
        <f t="shared" si="3"/>
        <v>1218.0000000025757</v>
      </c>
      <c r="I21" s="33">
        <f t="shared" si="4"/>
        <v>0.57312252964586219</v>
      </c>
      <c r="J21" s="29"/>
      <c r="K21" s="50">
        <v>6.6</v>
      </c>
      <c r="L21" s="35"/>
      <c r="M21" s="96"/>
      <c r="N21" s="102"/>
      <c r="O21" s="102"/>
      <c r="P21" s="102"/>
      <c r="Q21" s="102"/>
      <c r="R21" s="102"/>
      <c r="S21" s="102"/>
      <c r="T21" s="102"/>
      <c r="U21" s="102"/>
      <c r="V21" s="102"/>
      <c r="W21" s="103"/>
      <c r="X21" s="111"/>
      <c r="Y21" s="111"/>
      <c r="Z21" s="111"/>
    </row>
    <row r="22" spans="1:26" ht="23.25" customHeight="1">
      <c r="A22" s="45" t="s">
        <v>11</v>
      </c>
      <c r="B22" s="49">
        <v>5115.1049000000003</v>
      </c>
      <c r="C22" s="31">
        <f t="shared" si="0"/>
        <v>0.18260000000009313</v>
      </c>
      <c r="D22" s="30">
        <f t="shared" si="1"/>
        <v>2191.2000000011176</v>
      </c>
      <c r="E22" s="29"/>
      <c r="F22" s="49">
        <v>3185.6936999999998</v>
      </c>
      <c r="G22" s="28">
        <f t="shared" si="2"/>
        <v>0.10149999999975989</v>
      </c>
      <c r="H22" s="30">
        <f t="shared" si="3"/>
        <v>1217.9999999971187</v>
      </c>
      <c r="I22" s="33">
        <f t="shared" si="4"/>
        <v>0.55585980284615621</v>
      </c>
      <c r="J22" s="29"/>
      <c r="K22" s="50">
        <v>6.6</v>
      </c>
      <c r="L22" s="35"/>
      <c r="M22" s="10"/>
      <c r="N22" s="106"/>
      <c r="O22" s="106"/>
      <c r="P22" s="106"/>
      <c r="Q22" s="106"/>
      <c r="R22" s="106"/>
      <c r="S22" s="106"/>
      <c r="T22" s="106"/>
      <c r="U22" s="106"/>
      <c r="V22" s="106"/>
      <c r="W22" s="89"/>
      <c r="X22" s="90"/>
      <c r="Y22" s="90"/>
      <c r="Z22" s="90"/>
    </row>
    <row r="23" spans="1:26" ht="23.25" customHeight="1">
      <c r="A23" s="45" t="s">
        <v>12</v>
      </c>
      <c r="B23" s="49">
        <v>5115.2855</v>
      </c>
      <c r="C23" s="31">
        <f t="shared" si="0"/>
        <v>0.18059999999968568</v>
      </c>
      <c r="D23" s="30">
        <f t="shared" si="1"/>
        <v>2167.1999999962281</v>
      </c>
      <c r="E23" s="29"/>
      <c r="F23" s="49">
        <v>3185.7936999999997</v>
      </c>
      <c r="G23" s="28">
        <f t="shared" si="2"/>
        <v>9.9999999999909051E-2</v>
      </c>
      <c r="H23" s="30">
        <f t="shared" si="3"/>
        <v>1199.9999999989086</v>
      </c>
      <c r="I23" s="33">
        <f t="shared" si="4"/>
        <v>0.55370985603589751</v>
      </c>
      <c r="J23" s="29"/>
      <c r="K23" s="50">
        <v>6.6</v>
      </c>
      <c r="L23" s="35"/>
      <c r="M23" s="10"/>
      <c r="N23" s="106"/>
      <c r="O23" s="106"/>
      <c r="P23" s="106"/>
      <c r="Q23" s="106"/>
      <c r="R23" s="106"/>
      <c r="S23" s="106"/>
      <c r="T23" s="106"/>
      <c r="U23" s="106"/>
      <c r="V23" s="106"/>
      <c r="W23" s="89"/>
      <c r="X23" s="90"/>
      <c r="Y23" s="90"/>
      <c r="Z23" s="90"/>
    </row>
    <row r="24" spans="1:26" ht="23.25" customHeight="1">
      <c r="A24" s="45" t="s">
        <v>13</v>
      </c>
      <c r="B24" s="49">
        <v>5115.4696999999996</v>
      </c>
      <c r="C24" s="31">
        <f t="shared" si="0"/>
        <v>0.1841999999996915</v>
      </c>
      <c r="D24" s="30">
        <f t="shared" si="1"/>
        <v>2210.399999996298</v>
      </c>
      <c r="E24" s="29"/>
      <c r="F24" s="49">
        <v>3185.8935999999999</v>
      </c>
      <c r="G24" s="28">
        <f t="shared" si="2"/>
        <v>9.9900000000161526E-2</v>
      </c>
      <c r="H24" s="30">
        <f t="shared" si="3"/>
        <v>1198.8000000019383</v>
      </c>
      <c r="I24" s="33">
        <f t="shared" si="4"/>
        <v>0.54234527687474943</v>
      </c>
      <c r="J24" s="29"/>
      <c r="K24" s="50">
        <v>6.6</v>
      </c>
      <c r="L24" s="35"/>
      <c r="M24" s="10"/>
      <c r="N24" s="106"/>
      <c r="O24" s="106"/>
      <c r="P24" s="106"/>
      <c r="Q24" s="106"/>
      <c r="R24" s="106"/>
      <c r="S24" s="106"/>
      <c r="T24" s="106"/>
      <c r="U24" s="106"/>
      <c r="V24" s="106"/>
      <c r="W24" s="89"/>
      <c r="X24" s="90"/>
      <c r="Y24" s="90"/>
      <c r="Z24" s="90"/>
    </row>
    <row r="25" spans="1:26" ht="23.25" customHeight="1">
      <c r="A25" s="45" t="s">
        <v>14</v>
      </c>
      <c r="B25" s="49">
        <v>5115.6615000000002</v>
      </c>
      <c r="C25" s="31">
        <f t="shared" si="0"/>
        <v>0.19180000000051223</v>
      </c>
      <c r="D25" s="30">
        <f t="shared" si="1"/>
        <v>2301.6000000061467</v>
      </c>
      <c r="E25" s="29"/>
      <c r="F25" s="49">
        <v>3185.9962</v>
      </c>
      <c r="G25" s="28">
        <f t="shared" si="2"/>
        <v>0.10260000000016589</v>
      </c>
      <c r="H25" s="30">
        <f t="shared" si="3"/>
        <v>1231.2000000019907</v>
      </c>
      <c r="I25" s="33">
        <f t="shared" si="4"/>
        <v>0.53493222106304428</v>
      </c>
      <c r="J25" s="29"/>
      <c r="K25" s="50">
        <v>6.6</v>
      </c>
      <c r="L25" s="35"/>
      <c r="M25" s="10"/>
      <c r="N25" s="106"/>
      <c r="O25" s="106"/>
      <c r="P25" s="106"/>
      <c r="Q25" s="106"/>
      <c r="R25" s="106"/>
      <c r="S25" s="106"/>
      <c r="T25" s="106"/>
      <c r="U25" s="106"/>
      <c r="V25" s="106"/>
      <c r="W25" s="89"/>
      <c r="X25" s="90"/>
      <c r="Y25" s="90"/>
      <c r="Z25" s="90"/>
    </row>
    <row r="26" spans="1:26" ht="23.25" customHeight="1">
      <c r="A26" s="45" t="s">
        <v>15</v>
      </c>
      <c r="B26" s="49">
        <v>5115.8756999999996</v>
      </c>
      <c r="C26" s="31">
        <f t="shared" si="0"/>
        <v>0.21419999999943684</v>
      </c>
      <c r="D26" s="30">
        <f t="shared" si="1"/>
        <v>2570.3999999932421</v>
      </c>
      <c r="E26" s="29"/>
      <c r="F26" s="49">
        <v>3186.1062999999999</v>
      </c>
      <c r="G26" s="28">
        <f t="shared" si="2"/>
        <v>0.11009999999987485</v>
      </c>
      <c r="H26" s="30">
        <f t="shared" si="3"/>
        <v>1321.1999999984982</v>
      </c>
      <c r="I26" s="33">
        <f t="shared" si="4"/>
        <v>0.51400560224166347</v>
      </c>
      <c r="J26" s="29"/>
      <c r="K26" s="50">
        <v>6.6</v>
      </c>
      <c r="L26" s="35"/>
      <c r="M26" s="10"/>
      <c r="N26" s="106"/>
      <c r="O26" s="106"/>
      <c r="P26" s="106"/>
      <c r="Q26" s="106"/>
      <c r="R26" s="106"/>
      <c r="S26" s="106"/>
      <c r="T26" s="106"/>
      <c r="U26" s="106"/>
      <c r="V26" s="106"/>
      <c r="W26" s="89"/>
      <c r="X26" s="90"/>
      <c r="Y26" s="90"/>
      <c r="Z26" s="90"/>
    </row>
    <row r="27" spans="1:26" ht="23.25" customHeight="1">
      <c r="A27" s="45" t="s">
        <v>16</v>
      </c>
      <c r="B27" s="49">
        <v>5116.1034</v>
      </c>
      <c r="C27" s="31">
        <f t="shared" si="0"/>
        <v>0.22770000000036816</v>
      </c>
      <c r="D27" s="30">
        <f t="shared" si="1"/>
        <v>2732.400000004418</v>
      </c>
      <c r="E27" s="29"/>
      <c r="F27" s="49">
        <v>3186.2203999999997</v>
      </c>
      <c r="G27" s="28">
        <f t="shared" si="2"/>
        <v>0.11409999999978027</v>
      </c>
      <c r="H27" s="30">
        <f t="shared" si="3"/>
        <v>1369.1999999973632</v>
      </c>
      <c r="I27" s="33">
        <f t="shared" si="4"/>
        <v>0.50109793587876938</v>
      </c>
      <c r="J27" s="29"/>
      <c r="K27" s="50">
        <v>6.6</v>
      </c>
      <c r="L27" s="35"/>
      <c r="M27" s="10"/>
      <c r="N27" s="106"/>
      <c r="O27" s="106"/>
      <c r="P27" s="106"/>
      <c r="Q27" s="106"/>
      <c r="R27" s="106"/>
      <c r="S27" s="106"/>
      <c r="T27" s="106"/>
      <c r="U27" s="106"/>
      <c r="V27" s="106"/>
      <c r="W27" s="89"/>
      <c r="X27" s="90"/>
      <c r="Y27" s="90"/>
      <c r="Z27" s="90"/>
    </row>
    <row r="28" spans="1:26" ht="23.25" customHeight="1">
      <c r="A28" s="45" t="s">
        <v>17</v>
      </c>
      <c r="B28" s="49">
        <v>5116.3409000000001</v>
      </c>
      <c r="C28" s="31">
        <f t="shared" si="0"/>
        <v>0.2375000000001819</v>
      </c>
      <c r="D28" s="30">
        <f t="shared" si="1"/>
        <v>2850.0000000021828</v>
      </c>
      <c r="E28" s="29"/>
      <c r="F28" s="49">
        <v>3186.3372999999997</v>
      </c>
      <c r="G28" s="28">
        <f t="shared" si="2"/>
        <v>0.1168999999999869</v>
      </c>
      <c r="H28" s="30">
        <f t="shared" si="3"/>
        <v>1402.7999999998428</v>
      </c>
      <c r="I28" s="33">
        <f t="shared" si="4"/>
        <v>0.49221052631535733</v>
      </c>
      <c r="J28" s="29"/>
      <c r="K28" s="29">
        <v>6.5</v>
      </c>
      <c r="L28" s="35"/>
      <c r="M28" s="10"/>
      <c r="N28" s="106"/>
      <c r="O28" s="106"/>
      <c r="P28" s="106"/>
      <c r="Q28" s="106"/>
      <c r="R28" s="106"/>
      <c r="S28" s="106"/>
      <c r="T28" s="106"/>
      <c r="U28" s="106"/>
      <c r="V28" s="106"/>
      <c r="W28" s="89"/>
      <c r="X28" s="90"/>
      <c r="Y28" s="90"/>
      <c r="Z28" s="90"/>
    </row>
    <row r="29" spans="1:26" ht="23.25" customHeight="1">
      <c r="A29" s="45" t="s">
        <v>18</v>
      </c>
      <c r="B29" s="49">
        <v>5116.5745999999999</v>
      </c>
      <c r="C29" s="31">
        <f t="shared" si="0"/>
        <v>0.23369999999977153</v>
      </c>
      <c r="D29" s="30">
        <f t="shared" si="1"/>
        <v>2804.3999999972584</v>
      </c>
      <c r="E29" s="29"/>
      <c r="F29" s="49">
        <v>3186.4526999999998</v>
      </c>
      <c r="G29" s="28">
        <f t="shared" si="2"/>
        <v>0.11540000000013606</v>
      </c>
      <c r="H29" s="30">
        <f t="shared" si="3"/>
        <v>1384.8000000016327</v>
      </c>
      <c r="I29" s="33">
        <f t="shared" si="4"/>
        <v>0.49379546427149712</v>
      </c>
      <c r="J29" s="29"/>
      <c r="K29" s="50">
        <v>6.5</v>
      </c>
      <c r="L29" s="35"/>
      <c r="M29" s="97" t="s">
        <v>95</v>
      </c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23.25" customHeight="1">
      <c r="A30" s="45" t="s">
        <v>19</v>
      </c>
      <c r="B30" s="49">
        <v>5116.8071</v>
      </c>
      <c r="C30" s="31">
        <f t="shared" si="0"/>
        <v>0.23250000000007276</v>
      </c>
      <c r="D30" s="30">
        <f t="shared" si="1"/>
        <v>2790.0000000008731</v>
      </c>
      <c r="E30" s="29"/>
      <c r="F30" s="49">
        <v>3186.5718999999999</v>
      </c>
      <c r="G30" s="28">
        <f t="shared" si="2"/>
        <v>0.11920000000009168</v>
      </c>
      <c r="H30" s="30">
        <f t="shared" si="3"/>
        <v>1430.4000000011001</v>
      </c>
      <c r="I30" s="33">
        <f t="shared" si="4"/>
        <v>0.51268817204324457</v>
      </c>
      <c r="J30" s="29"/>
      <c r="K30" s="50">
        <v>6.5</v>
      </c>
      <c r="L30" s="35"/>
      <c r="M30" s="91" t="s">
        <v>97</v>
      </c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 spans="1:26" ht="23.25" customHeight="1">
      <c r="A31" s="45" t="s">
        <v>20</v>
      </c>
      <c r="B31" s="49">
        <v>5117.0271999999995</v>
      </c>
      <c r="C31" s="31">
        <f t="shared" si="0"/>
        <v>0.22009999999954744</v>
      </c>
      <c r="D31" s="30">
        <f t="shared" si="1"/>
        <v>2641.1999999945692</v>
      </c>
      <c r="E31" s="29"/>
      <c r="F31" s="49">
        <v>3186.6911999999998</v>
      </c>
      <c r="G31" s="28">
        <f t="shared" si="2"/>
        <v>0.1192999999998392</v>
      </c>
      <c r="H31" s="30">
        <f t="shared" si="3"/>
        <v>1431.5999999980704</v>
      </c>
      <c r="I31" s="33">
        <f t="shared" si="4"/>
        <v>0.54202635165872104</v>
      </c>
      <c r="J31" s="29"/>
      <c r="K31" s="50">
        <v>6.5</v>
      </c>
      <c r="L31" s="35"/>
      <c r="M31" s="104" t="s">
        <v>79</v>
      </c>
      <c r="N31" s="98" t="s">
        <v>98</v>
      </c>
      <c r="O31" s="98"/>
      <c r="P31" s="98" t="s">
        <v>100</v>
      </c>
      <c r="Q31" s="98"/>
      <c r="R31" s="98" t="s">
        <v>93</v>
      </c>
      <c r="S31" s="98"/>
      <c r="T31" s="98" t="s">
        <v>103</v>
      </c>
      <c r="U31" s="98"/>
      <c r="V31" s="98" t="s">
        <v>187</v>
      </c>
      <c r="W31" s="98"/>
      <c r="X31" s="98"/>
      <c r="Y31" s="98" t="s">
        <v>91</v>
      </c>
      <c r="Z31" s="100"/>
    </row>
    <row r="32" spans="1:26" ht="23.25" customHeight="1">
      <c r="A32" s="45" t="s">
        <v>21</v>
      </c>
      <c r="B32" s="49">
        <v>5117.2507999999998</v>
      </c>
      <c r="C32" s="31">
        <f t="shared" si="0"/>
        <v>0.22360000000026048</v>
      </c>
      <c r="D32" s="30">
        <f t="shared" si="1"/>
        <v>2683.2000000031258</v>
      </c>
      <c r="E32" s="29"/>
      <c r="F32" s="49">
        <v>3186.8094000000001</v>
      </c>
      <c r="G32" s="28">
        <f t="shared" si="2"/>
        <v>0.1182000000003427</v>
      </c>
      <c r="H32" s="30">
        <f t="shared" si="3"/>
        <v>1418.4000000041124</v>
      </c>
      <c r="I32" s="33">
        <f t="shared" si="4"/>
        <v>0.52862254025136401</v>
      </c>
      <c r="J32" s="29"/>
      <c r="K32" s="50">
        <v>6.5</v>
      </c>
      <c r="L32" s="35"/>
      <c r="M32" s="95"/>
      <c r="N32" s="99"/>
      <c r="O32" s="99"/>
      <c r="P32" s="99" t="s">
        <v>83</v>
      </c>
      <c r="Q32" s="99"/>
      <c r="R32" s="99" t="s">
        <v>102</v>
      </c>
      <c r="S32" s="99"/>
      <c r="T32" s="99" t="s">
        <v>104</v>
      </c>
      <c r="U32" s="99"/>
      <c r="V32" s="99" t="s">
        <v>105</v>
      </c>
      <c r="W32" s="99"/>
      <c r="X32" s="99"/>
      <c r="Y32" s="99"/>
      <c r="Z32" s="101"/>
    </row>
    <row r="33" spans="1:26" ht="23.25" customHeight="1">
      <c r="A33" s="45" t="s">
        <v>22</v>
      </c>
      <c r="B33" s="49">
        <v>5117.4681</v>
      </c>
      <c r="C33" s="31">
        <f t="shared" si="0"/>
        <v>0.21730000000025029</v>
      </c>
      <c r="D33" s="30">
        <f t="shared" si="1"/>
        <v>2607.6000000030035</v>
      </c>
      <c r="E33" s="29"/>
      <c r="F33" s="49">
        <v>3186.9238</v>
      </c>
      <c r="G33" s="28">
        <f t="shared" si="2"/>
        <v>0.11439999999993233</v>
      </c>
      <c r="H33" s="30">
        <f t="shared" si="3"/>
        <v>1372.799999999188</v>
      </c>
      <c r="I33" s="33">
        <f t="shared" si="4"/>
        <v>0.52646111366682269</v>
      </c>
      <c r="J33" s="29"/>
      <c r="K33" s="50">
        <v>6.5</v>
      </c>
      <c r="L33" s="35"/>
      <c r="M33" s="95" t="s">
        <v>80</v>
      </c>
      <c r="N33" s="99" t="s">
        <v>99</v>
      </c>
      <c r="O33" s="99"/>
      <c r="P33" s="99" t="s">
        <v>101</v>
      </c>
      <c r="Q33" s="99"/>
      <c r="R33" s="99" t="s">
        <v>69</v>
      </c>
      <c r="S33" s="99"/>
      <c r="T33" s="99" t="s">
        <v>69</v>
      </c>
      <c r="U33" s="99"/>
      <c r="V33" s="99" t="s">
        <v>106</v>
      </c>
      <c r="W33" s="99"/>
      <c r="X33" s="99"/>
      <c r="Y33" s="99"/>
      <c r="Z33" s="101"/>
    </row>
    <row r="34" spans="1:26" ht="23.25" customHeight="1">
      <c r="A34" s="45" t="s">
        <v>23</v>
      </c>
      <c r="B34" s="49">
        <v>5117.6808000000001</v>
      </c>
      <c r="C34" s="31">
        <f t="shared" si="0"/>
        <v>0.21270000000004075</v>
      </c>
      <c r="D34" s="30">
        <f t="shared" si="1"/>
        <v>2552.4000000004889</v>
      </c>
      <c r="E34" s="29"/>
      <c r="F34" s="49">
        <v>3187.0365999999999</v>
      </c>
      <c r="G34" s="28">
        <f t="shared" si="2"/>
        <v>0.11279999999987922</v>
      </c>
      <c r="H34" s="30">
        <f t="shared" si="3"/>
        <v>1353.5999999985506</v>
      </c>
      <c r="I34" s="33">
        <f t="shared" si="4"/>
        <v>0.53032440056350549</v>
      </c>
      <c r="J34" s="29"/>
      <c r="K34" s="50">
        <v>6.5</v>
      </c>
      <c r="L34" s="35"/>
      <c r="M34" s="96"/>
      <c r="N34" s="102"/>
      <c r="O34" s="102"/>
      <c r="P34" s="102"/>
      <c r="Q34" s="102"/>
      <c r="R34" s="103"/>
      <c r="S34" s="96"/>
      <c r="T34" s="103"/>
      <c r="U34" s="96"/>
      <c r="V34" s="103"/>
      <c r="W34" s="111"/>
      <c r="X34" s="96"/>
      <c r="Y34" s="102"/>
      <c r="Z34" s="103"/>
    </row>
    <row r="35" spans="1:26" ht="23.25" customHeight="1">
      <c r="A35" s="45" t="s">
        <v>24</v>
      </c>
      <c r="B35" s="49">
        <v>5117.8958999999995</v>
      </c>
      <c r="C35" s="31">
        <f t="shared" si="0"/>
        <v>0.2150999999994383</v>
      </c>
      <c r="D35" s="30">
        <f t="shared" si="1"/>
        <v>2581.1999999932596</v>
      </c>
      <c r="E35" s="29"/>
      <c r="F35" s="49">
        <v>3187.1527999999998</v>
      </c>
      <c r="G35" s="28">
        <f t="shared" si="2"/>
        <v>0.11619999999993524</v>
      </c>
      <c r="H35" s="30">
        <f t="shared" si="3"/>
        <v>1394.3999999992229</v>
      </c>
      <c r="I35" s="33">
        <f t="shared" si="4"/>
        <v>0.540213854022495</v>
      </c>
      <c r="J35" s="29"/>
      <c r="K35" s="50">
        <v>6.5</v>
      </c>
      <c r="L35" s="35"/>
      <c r="M35" s="10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89"/>
    </row>
    <row r="36" spans="1:26" ht="23.25" customHeight="1">
      <c r="A36" s="45" t="s">
        <v>25</v>
      </c>
      <c r="B36" s="49">
        <v>5118.1103000000003</v>
      </c>
      <c r="C36" s="31">
        <f t="shared" si="0"/>
        <v>0.21440000000075088</v>
      </c>
      <c r="D36" s="30">
        <f t="shared" si="1"/>
        <v>2572.8000000090105</v>
      </c>
      <c r="E36" s="29"/>
      <c r="F36" s="49">
        <v>3187.2631999999999</v>
      </c>
      <c r="G36" s="28">
        <f t="shared" si="2"/>
        <v>0.11040000000002692</v>
      </c>
      <c r="H36" s="30">
        <f t="shared" si="3"/>
        <v>1324.8000000003231</v>
      </c>
      <c r="I36" s="33">
        <f t="shared" si="4"/>
        <v>0.51492537313265052</v>
      </c>
      <c r="J36" s="29"/>
      <c r="K36" s="50">
        <v>6.5</v>
      </c>
      <c r="L36" s="35"/>
      <c r="M36" s="10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89"/>
    </row>
    <row r="37" spans="1:26" ht="23.25" customHeight="1">
      <c r="A37" s="45" t="s">
        <v>26</v>
      </c>
      <c r="B37" s="49">
        <v>5118.3332</v>
      </c>
      <c r="C37" s="31">
        <f t="shared" si="0"/>
        <v>0.22289999999975407</v>
      </c>
      <c r="D37" s="30">
        <f t="shared" si="1"/>
        <v>2674.7999999970489</v>
      </c>
      <c r="E37" s="29"/>
      <c r="F37" s="49">
        <v>3187.3759</v>
      </c>
      <c r="G37" s="28">
        <f t="shared" si="2"/>
        <v>0.11270000000013169</v>
      </c>
      <c r="H37" s="30">
        <f t="shared" si="3"/>
        <v>1352.4000000015803</v>
      </c>
      <c r="I37" s="33">
        <f t="shared" si="4"/>
        <v>0.50560789591860045</v>
      </c>
      <c r="J37" s="29"/>
      <c r="K37" s="50">
        <v>6.5</v>
      </c>
      <c r="L37" s="35"/>
      <c r="M37" s="10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89"/>
    </row>
    <row r="38" spans="1:26" ht="23.25" customHeight="1">
      <c r="A38" s="45" t="s">
        <v>27</v>
      </c>
      <c r="B38" s="49">
        <v>5118.5653999999995</v>
      </c>
      <c r="C38" s="31">
        <f t="shared" si="0"/>
        <v>0.23219999999946594</v>
      </c>
      <c r="D38" s="30">
        <f t="shared" si="1"/>
        <v>2786.3999999935913</v>
      </c>
      <c r="E38" s="29"/>
      <c r="F38" s="49">
        <v>3187.4964</v>
      </c>
      <c r="G38" s="28">
        <f t="shared" si="2"/>
        <v>0.12049999999999272</v>
      </c>
      <c r="H38" s="30">
        <f t="shared" si="3"/>
        <v>1445.9999999999127</v>
      </c>
      <c r="I38" s="33">
        <f t="shared" si="4"/>
        <v>0.51894918174104165</v>
      </c>
      <c r="J38" s="29"/>
      <c r="K38" s="50">
        <v>6.5</v>
      </c>
      <c r="L38" s="35"/>
      <c r="M38" s="10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89"/>
    </row>
    <row r="39" spans="1:26" ht="23.25" customHeight="1">
      <c r="A39" s="45" t="s">
        <v>28</v>
      </c>
      <c r="B39" s="49">
        <v>5118.8018999999995</v>
      </c>
      <c r="C39" s="31">
        <f t="shared" si="0"/>
        <v>0.23649999999997817</v>
      </c>
      <c r="D39" s="30">
        <f t="shared" si="1"/>
        <v>2837.9999999997381</v>
      </c>
      <c r="E39" s="29"/>
      <c r="F39" s="49">
        <v>3187.6205</v>
      </c>
      <c r="G39" s="28">
        <f t="shared" si="2"/>
        <v>0.12409999999999854</v>
      </c>
      <c r="H39" s="30">
        <f t="shared" si="3"/>
        <v>1489.1999999999825</v>
      </c>
      <c r="I39" s="33">
        <f t="shared" si="4"/>
        <v>0.52473572938693447</v>
      </c>
      <c r="J39" s="29"/>
      <c r="K39" s="50">
        <v>6.5</v>
      </c>
      <c r="L39" s="35"/>
      <c r="M39" s="10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89"/>
    </row>
    <row r="40" spans="1:26" ht="23.25" customHeight="1">
      <c r="A40" s="45" t="s">
        <v>29</v>
      </c>
      <c r="B40" s="49">
        <v>5119.0230000000001</v>
      </c>
      <c r="C40" s="31">
        <f t="shared" si="0"/>
        <v>0.22110000000066066</v>
      </c>
      <c r="D40" s="30">
        <f t="shared" si="1"/>
        <v>2653.2000000079279</v>
      </c>
      <c r="E40" s="29"/>
      <c r="F40" s="49">
        <v>3187.7370000000001</v>
      </c>
      <c r="G40" s="28">
        <f t="shared" si="2"/>
        <v>0.11650000000008731</v>
      </c>
      <c r="H40" s="30">
        <f t="shared" si="3"/>
        <v>1398.0000000010477</v>
      </c>
      <c r="I40" s="33">
        <f t="shared" si="4"/>
        <v>0.52691090004404884</v>
      </c>
      <c r="J40" s="29"/>
      <c r="K40" s="50">
        <v>6.5</v>
      </c>
      <c r="L40" s="35"/>
      <c r="M40" s="91" t="s">
        <v>109</v>
      </c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</row>
    <row r="41" spans="1:26" ht="23.25" customHeight="1">
      <c r="A41" s="45" t="s">
        <v>30</v>
      </c>
      <c r="B41" s="49">
        <v>5119.2344999999996</v>
      </c>
      <c r="C41" s="31">
        <f t="shared" si="0"/>
        <v>0.21149999999943248</v>
      </c>
      <c r="D41" s="30">
        <f t="shared" si="1"/>
        <v>2537.9999999931897</v>
      </c>
      <c r="E41" s="29"/>
      <c r="F41" s="49">
        <v>3187.8496</v>
      </c>
      <c r="G41" s="28">
        <f t="shared" si="2"/>
        <v>0.11259999999992942</v>
      </c>
      <c r="H41" s="30">
        <f t="shared" si="3"/>
        <v>1351.1999999991531</v>
      </c>
      <c r="I41" s="33">
        <f t="shared" si="4"/>
        <v>0.53238770685688686</v>
      </c>
      <c r="J41" s="29"/>
      <c r="K41" s="50">
        <v>6.5</v>
      </c>
      <c r="L41" s="35"/>
      <c r="M41" s="104" t="s">
        <v>79</v>
      </c>
      <c r="N41" s="98" t="s">
        <v>98</v>
      </c>
      <c r="O41" s="98"/>
      <c r="P41" s="98" t="s">
        <v>93</v>
      </c>
      <c r="Q41" s="98"/>
      <c r="R41" s="98"/>
      <c r="S41" s="98" t="s">
        <v>111</v>
      </c>
      <c r="T41" s="98" t="s">
        <v>81</v>
      </c>
      <c r="U41" s="98"/>
      <c r="V41" s="98"/>
      <c r="W41" s="98"/>
      <c r="X41" s="98" t="s">
        <v>93</v>
      </c>
      <c r="Y41" s="98"/>
      <c r="Z41" s="100"/>
    </row>
    <row r="42" spans="1:26" ht="23.25" customHeight="1">
      <c r="A42" s="45" t="s">
        <v>31</v>
      </c>
      <c r="B42" s="49">
        <v>5119.4385000000002</v>
      </c>
      <c r="C42" s="31">
        <f t="shared" si="0"/>
        <v>0.20400000000063301</v>
      </c>
      <c r="D42" s="30">
        <f t="shared" si="1"/>
        <v>2448.0000000075961</v>
      </c>
      <c r="E42" s="29"/>
      <c r="F42" s="49">
        <v>3187.9596000000001</v>
      </c>
      <c r="G42" s="28">
        <f t="shared" si="2"/>
        <v>0.11000000000012733</v>
      </c>
      <c r="H42" s="30">
        <f t="shared" si="3"/>
        <v>1320.000000001528</v>
      </c>
      <c r="I42" s="33">
        <f t="shared" si="4"/>
        <v>0.53921568627346084</v>
      </c>
      <c r="J42" s="29"/>
      <c r="K42" s="50">
        <v>6.5</v>
      </c>
      <c r="L42" s="35"/>
      <c r="M42" s="95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101"/>
    </row>
    <row r="43" spans="1:26" ht="22.5" customHeight="1">
      <c r="A43" s="121" t="s">
        <v>70</v>
      </c>
      <c r="B43" s="121"/>
      <c r="C43" s="121"/>
      <c r="D43" s="30">
        <f>SUM(D18:D42)</f>
        <v>60692.400000003545</v>
      </c>
      <c r="E43" s="29"/>
      <c r="F43" s="36"/>
      <c r="G43" s="29"/>
      <c r="H43" s="30">
        <f>SUM(H18:H42)</f>
        <v>32086.800000002768</v>
      </c>
      <c r="I43" s="33">
        <f>IF(AND(H43=0,D43=0),0,H43/D43)</f>
        <v>0.52867904383416864</v>
      </c>
      <c r="J43" s="29"/>
      <c r="K43" s="29"/>
      <c r="L43" s="35"/>
      <c r="M43" s="95" t="s">
        <v>80</v>
      </c>
      <c r="N43" s="99" t="s">
        <v>99</v>
      </c>
      <c r="O43" s="99"/>
      <c r="P43" s="99" t="s">
        <v>110</v>
      </c>
      <c r="Q43" s="99"/>
      <c r="R43" s="99"/>
      <c r="S43" s="99"/>
      <c r="T43" s="99"/>
      <c r="U43" s="99"/>
      <c r="V43" s="99"/>
      <c r="W43" s="99"/>
      <c r="X43" s="99" t="s">
        <v>110</v>
      </c>
      <c r="Y43" s="99"/>
      <c r="Z43" s="101"/>
    </row>
    <row r="44" spans="1:26" ht="22.5" customHeight="1">
      <c r="A44" s="76" t="s">
        <v>71</v>
      </c>
      <c r="B44" s="76"/>
      <c r="C44" s="76"/>
      <c r="D44" s="29"/>
      <c r="E44" s="29"/>
      <c r="F44" s="36"/>
      <c r="G44" s="29"/>
      <c r="H44" s="29"/>
      <c r="I44" s="29"/>
      <c r="J44" s="29"/>
      <c r="K44" s="29"/>
      <c r="L44" s="35"/>
      <c r="M44" s="96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3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89"/>
      <c r="O45" s="105"/>
      <c r="P45" s="89"/>
      <c r="Q45" s="90"/>
      <c r="R45" s="105"/>
      <c r="S45" s="8"/>
      <c r="T45" s="89"/>
      <c r="U45" s="90"/>
      <c r="V45" s="90"/>
      <c r="W45" s="105"/>
      <c r="X45" s="89"/>
      <c r="Y45" s="90"/>
      <c r="Z45" s="90"/>
    </row>
    <row r="46" spans="1:26" ht="22.5" customHeight="1">
      <c r="A46" s="54" t="s">
        <v>72</v>
      </c>
      <c r="B46" s="54"/>
      <c r="C46" s="54"/>
      <c r="D46" s="54"/>
      <c r="E46" s="54"/>
      <c r="F46" s="54"/>
      <c r="G46" s="77" t="s">
        <v>73</v>
      </c>
      <c r="H46" s="77"/>
      <c r="I46" s="77"/>
      <c r="J46" s="77"/>
      <c r="K46" s="77"/>
      <c r="L46" s="77"/>
      <c r="M46" s="10"/>
      <c r="N46" s="89"/>
      <c r="O46" s="105"/>
      <c r="P46" s="89"/>
      <c r="Q46" s="90"/>
      <c r="R46" s="105"/>
      <c r="S46" s="8"/>
      <c r="T46" s="89"/>
      <c r="U46" s="90"/>
      <c r="V46" s="90"/>
      <c r="W46" s="105"/>
      <c r="X46" s="89"/>
      <c r="Y46" s="90"/>
      <c r="Z46" s="90"/>
    </row>
    <row r="47" spans="1:26" ht="22.5" customHeight="1">
      <c r="A47" s="52" t="s">
        <v>388</v>
      </c>
      <c r="B47" s="52"/>
      <c r="C47" s="52"/>
      <c r="D47" s="54" t="s">
        <v>74</v>
      </c>
      <c r="E47" s="54"/>
      <c r="F47" s="54"/>
      <c r="G47" s="40"/>
      <c r="H47" s="40"/>
      <c r="I47" s="40"/>
      <c r="J47" s="40"/>
      <c r="K47" s="40"/>
      <c r="L47" s="40"/>
      <c r="M47" s="10"/>
      <c r="N47" s="89"/>
      <c r="O47" s="105"/>
      <c r="P47" s="89"/>
      <c r="Q47" s="90"/>
      <c r="R47" s="105"/>
      <c r="S47" s="8"/>
      <c r="T47" s="89"/>
      <c r="U47" s="90"/>
      <c r="V47" s="90"/>
      <c r="W47" s="105"/>
      <c r="X47" s="89"/>
      <c r="Y47" s="90"/>
      <c r="Z47" s="90"/>
    </row>
    <row r="48" spans="1:26" ht="22.5" customHeight="1">
      <c r="A48" s="55" t="s">
        <v>75</v>
      </c>
      <c r="B48" s="55"/>
      <c r="C48" s="55"/>
      <c r="D48" s="55" t="s">
        <v>76</v>
      </c>
      <c r="E48" s="55"/>
      <c r="F48" s="55"/>
      <c r="G48" s="39"/>
      <c r="H48" s="39"/>
      <c r="I48" s="39"/>
      <c r="J48" s="39"/>
      <c r="K48" s="39"/>
      <c r="L48" s="39"/>
    </row>
    <row r="49" spans="1:23" ht="22.5" customHeight="1">
      <c r="A49" s="52" t="s">
        <v>389</v>
      </c>
      <c r="B49" s="52"/>
      <c r="C49" s="52"/>
      <c r="D49" s="54" t="s">
        <v>74</v>
      </c>
      <c r="E49" s="54"/>
      <c r="F49" s="54"/>
      <c r="G49" s="39"/>
      <c r="H49" s="54" t="s">
        <v>191</v>
      </c>
      <c r="I49" s="54"/>
      <c r="J49" s="54"/>
      <c r="K49" s="54" t="s">
        <v>77</v>
      </c>
      <c r="L49" s="54"/>
      <c r="N49" s="57" t="s">
        <v>150</v>
      </c>
      <c r="O49" s="57"/>
      <c r="P49" s="57"/>
      <c r="Q49" s="56" t="s">
        <v>391</v>
      </c>
      <c r="R49" s="56"/>
      <c r="S49" s="56"/>
      <c r="T49" s="56"/>
      <c r="U49" s="56"/>
      <c r="V49" s="56"/>
      <c r="W49" s="1"/>
    </row>
    <row r="50" spans="1:23" ht="22.5" customHeight="1">
      <c r="A50" s="55" t="s">
        <v>75</v>
      </c>
      <c r="B50" s="55"/>
      <c r="C50" s="55"/>
      <c r="D50" s="55" t="s">
        <v>76</v>
      </c>
      <c r="E50" s="55"/>
      <c r="F50" s="55"/>
      <c r="G50" s="44"/>
      <c r="H50" s="55" t="s">
        <v>75</v>
      </c>
      <c r="I50" s="55"/>
      <c r="J50" s="55"/>
      <c r="K50" s="55" t="s">
        <v>76</v>
      </c>
      <c r="L50" s="55"/>
      <c r="S50" s="53" t="s">
        <v>76</v>
      </c>
      <c r="T50" s="53"/>
    </row>
    <row r="51" spans="1:23" ht="20.100000000000001" customHeight="1">
      <c r="A51" s="52" t="s">
        <v>390</v>
      </c>
      <c r="B51" s="52"/>
      <c r="C51" s="52"/>
      <c r="D51" s="54" t="s">
        <v>74</v>
      </c>
      <c r="E51" s="54"/>
      <c r="F51" s="54"/>
      <c r="G51" s="39"/>
      <c r="H51" s="39"/>
      <c r="I51" s="39"/>
      <c r="J51" s="39"/>
      <c r="K51" s="39"/>
      <c r="L51" s="39"/>
    </row>
    <row r="52" spans="1:23" ht="20.100000000000001" customHeight="1">
      <c r="A52" s="55" t="s">
        <v>75</v>
      </c>
      <c r="B52" s="55"/>
      <c r="C52" s="55"/>
      <c r="D52" s="55" t="s">
        <v>76</v>
      </c>
      <c r="E52" s="55"/>
      <c r="F52" s="55"/>
      <c r="G52" s="42"/>
      <c r="H52" s="42"/>
      <c r="I52" s="39"/>
      <c r="J52" s="39"/>
      <c r="K52" s="39"/>
      <c r="L52" s="39"/>
    </row>
  </sheetData>
  <sheetProtection sheet="1" objects="1" scenarios="1"/>
  <mergeCells count="258"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  <mergeCell ref="I1:L2"/>
    <mergeCell ref="G5:H6"/>
    <mergeCell ref="I5:L6"/>
    <mergeCell ref="X46:Z46"/>
    <mergeCell ref="X47:Z47"/>
    <mergeCell ref="M43:M44"/>
    <mergeCell ref="N47:O47"/>
    <mergeCell ref="T45:W45"/>
    <mergeCell ref="T46:W46"/>
    <mergeCell ref="T47:W47"/>
    <mergeCell ref="N43:O44"/>
    <mergeCell ref="P43:R44"/>
    <mergeCell ref="X41:Z42"/>
    <mergeCell ref="X43:Z44"/>
    <mergeCell ref="R39:S39"/>
    <mergeCell ref="T39:U39"/>
    <mergeCell ref="V39:X39"/>
    <mergeCell ref="Y39:Z39"/>
    <mergeCell ref="S41:S44"/>
    <mergeCell ref="T41:W44"/>
    <mergeCell ref="X45:Z45"/>
    <mergeCell ref="V38:X38"/>
    <mergeCell ref="Y38:Z38"/>
    <mergeCell ref="N38:O38"/>
    <mergeCell ref="P38:Q38"/>
    <mergeCell ref="R38:S38"/>
    <mergeCell ref="T38:U38"/>
    <mergeCell ref="N37:O37"/>
    <mergeCell ref="P37:Q37"/>
    <mergeCell ref="R37:S37"/>
    <mergeCell ref="T37:U37"/>
    <mergeCell ref="Y35:Z35"/>
    <mergeCell ref="N36:O36"/>
    <mergeCell ref="P36:Q36"/>
    <mergeCell ref="R36:S36"/>
    <mergeCell ref="T36:U36"/>
    <mergeCell ref="V36:X36"/>
    <mergeCell ref="Y36:Z36"/>
    <mergeCell ref="V37:X37"/>
    <mergeCell ref="Y37:Z37"/>
    <mergeCell ref="N22:P22"/>
    <mergeCell ref="T18:V19"/>
    <mergeCell ref="R34:S34"/>
    <mergeCell ref="T34:U34"/>
    <mergeCell ref="V34:X34"/>
    <mergeCell ref="N35:O35"/>
    <mergeCell ref="P35:Q35"/>
    <mergeCell ref="R35:S35"/>
    <mergeCell ref="T35:U35"/>
    <mergeCell ref="V35:X35"/>
    <mergeCell ref="P34:Q34"/>
    <mergeCell ref="Q25:S25"/>
    <mergeCell ref="W25:Z25"/>
    <mergeCell ref="T27:V27"/>
    <mergeCell ref="W27:Z27"/>
    <mergeCell ref="N26:P26"/>
    <mergeCell ref="X9:Z9"/>
    <mergeCell ref="X10:Z10"/>
    <mergeCell ref="X11:Z11"/>
    <mergeCell ref="X12:Z12"/>
    <mergeCell ref="X13:Z13"/>
    <mergeCell ref="X14:Z14"/>
    <mergeCell ref="X16:Z16"/>
    <mergeCell ref="N23:P23"/>
    <mergeCell ref="T15:U15"/>
    <mergeCell ref="R15:S15"/>
    <mergeCell ref="P15:Q15"/>
    <mergeCell ref="Q26:S26"/>
    <mergeCell ref="T26:V26"/>
    <mergeCell ref="T22:V22"/>
    <mergeCell ref="Q19:S19"/>
    <mergeCell ref="N18:P19"/>
    <mergeCell ref="W22:Z22"/>
    <mergeCell ref="T20:V21"/>
    <mergeCell ref="Q21:S21"/>
    <mergeCell ref="N14:O14"/>
    <mergeCell ref="N15:O15"/>
    <mergeCell ref="P31:Q31"/>
    <mergeCell ref="P32:Q32"/>
    <mergeCell ref="P33:Q33"/>
    <mergeCell ref="T23:V23"/>
    <mergeCell ref="W23:Z23"/>
    <mergeCell ref="Q20:S20"/>
    <mergeCell ref="Q23:S23"/>
    <mergeCell ref="W28:Z28"/>
    <mergeCell ref="T24:V24"/>
    <mergeCell ref="T28:V28"/>
    <mergeCell ref="W26:Z26"/>
    <mergeCell ref="N27:P27"/>
    <mergeCell ref="Q27:S27"/>
    <mergeCell ref="T25:V25"/>
    <mergeCell ref="Q22:S22"/>
    <mergeCell ref="T33:U33"/>
    <mergeCell ref="R31:S31"/>
    <mergeCell ref="R32:S32"/>
    <mergeCell ref="N31:O32"/>
    <mergeCell ref="N33:O34"/>
    <mergeCell ref="W24:Z24"/>
    <mergeCell ref="N25:P25"/>
    <mergeCell ref="P14:Q14"/>
    <mergeCell ref="T11:U11"/>
    <mergeCell ref="T12:U12"/>
    <mergeCell ref="T13:U13"/>
    <mergeCell ref="R14:S14"/>
    <mergeCell ref="R9:S9"/>
    <mergeCell ref="R10:S10"/>
    <mergeCell ref="V12:W12"/>
    <mergeCell ref="T14:U14"/>
    <mergeCell ref="T9:U9"/>
    <mergeCell ref="V11:W11"/>
    <mergeCell ref="V14:W14"/>
    <mergeCell ref="P12:Q12"/>
    <mergeCell ref="M1:Z1"/>
    <mergeCell ref="M2:Z2"/>
    <mergeCell ref="X3:Z6"/>
    <mergeCell ref="M5:M6"/>
    <mergeCell ref="M3:M4"/>
    <mergeCell ref="T6:U6"/>
    <mergeCell ref="N7:O7"/>
    <mergeCell ref="N8:O8"/>
    <mergeCell ref="N9:O9"/>
    <mergeCell ref="P5:Q6"/>
    <mergeCell ref="N3:O6"/>
    <mergeCell ref="T3:U3"/>
    <mergeCell ref="T4:U4"/>
    <mergeCell ref="T5:U5"/>
    <mergeCell ref="T7:U7"/>
    <mergeCell ref="R7:S7"/>
    <mergeCell ref="R8:S8"/>
    <mergeCell ref="T8:U8"/>
    <mergeCell ref="V8:W8"/>
    <mergeCell ref="P3:Q4"/>
    <mergeCell ref="R3:S3"/>
    <mergeCell ref="R4:S4"/>
    <mergeCell ref="R5:S5"/>
    <mergeCell ref="R6:S6"/>
    <mergeCell ref="V3:W3"/>
    <mergeCell ref="V4:W4"/>
    <mergeCell ref="V5:W5"/>
    <mergeCell ref="V6:W6"/>
    <mergeCell ref="V7:W7"/>
    <mergeCell ref="T10:U10"/>
    <mergeCell ref="P9:Q9"/>
    <mergeCell ref="P10:Q10"/>
    <mergeCell ref="P11:Q11"/>
    <mergeCell ref="R11:S11"/>
    <mergeCell ref="V9:W9"/>
    <mergeCell ref="V10:W10"/>
    <mergeCell ref="M20:M21"/>
    <mergeCell ref="M31:M32"/>
    <mergeCell ref="N16:O16"/>
    <mergeCell ref="N12:O12"/>
    <mergeCell ref="N13:O13"/>
    <mergeCell ref="M18:M19"/>
    <mergeCell ref="N20:P21"/>
    <mergeCell ref="P13:Q13"/>
    <mergeCell ref="N28:P28"/>
    <mergeCell ref="Q28:S28"/>
    <mergeCell ref="P16:Q16"/>
    <mergeCell ref="M17:Z17"/>
    <mergeCell ref="W18:Z21"/>
    <mergeCell ref="X15:Z15"/>
    <mergeCell ref="Q18:S18"/>
    <mergeCell ref="R16:S16"/>
    <mergeCell ref="V15:W15"/>
    <mergeCell ref="V16:W16"/>
    <mergeCell ref="T16:U16"/>
    <mergeCell ref="N24:P24"/>
    <mergeCell ref="Q24:S24"/>
    <mergeCell ref="V13:W13"/>
    <mergeCell ref="R12:S12"/>
    <mergeCell ref="R13:S13"/>
    <mergeCell ref="X7:Z7"/>
    <mergeCell ref="X8:Z8"/>
    <mergeCell ref="H49:J49"/>
    <mergeCell ref="K49:L49"/>
    <mergeCell ref="A7:L7"/>
    <mergeCell ref="F13:G13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N10:O10"/>
    <mergeCell ref="N11:O11"/>
    <mergeCell ref="P7:Q7"/>
    <mergeCell ref="P8:Q8"/>
    <mergeCell ref="A12:L12"/>
    <mergeCell ref="A47:C47"/>
    <mergeCell ref="A3:F3"/>
    <mergeCell ref="A5:F5"/>
    <mergeCell ref="A48:C48"/>
    <mergeCell ref="A49:C49"/>
    <mergeCell ref="A50:C50"/>
    <mergeCell ref="D50:F50"/>
    <mergeCell ref="D48:F48"/>
    <mergeCell ref="F15:G15"/>
    <mergeCell ref="A46:F46"/>
    <mergeCell ref="A44:C44"/>
    <mergeCell ref="A9:L9"/>
    <mergeCell ref="G1:H2"/>
    <mergeCell ref="G3:H4"/>
    <mergeCell ref="A1:F1"/>
    <mergeCell ref="A2:F2"/>
    <mergeCell ref="A4:F4"/>
    <mergeCell ref="A51:C51"/>
    <mergeCell ref="D51:F51"/>
    <mergeCell ref="A6:F6"/>
    <mergeCell ref="D47:F47"/>
    <mergeCell ref="F14:G14"/>
    <mergeCell ref="H10:L10"/>
    <mergeCell ref="D13:E13"/>
    <mergeCell ref="E10:G10"/>
    <mergeCell ref="A43:C43"/>
    <mergeCell ref="I13:I17"/>
    <mergeCell ref="J13:K13"/>
    <mergeCell ref="J14:K14"/>
    <mergeCell ref="J15:K15"/>
    <mergeCell ref="I3:L4"/>
    <mergeCell ref="A11:D11"/>
    <mergeCell ref="E11:H11"/>
    <mergeCell ref="A10:D10"/>
    <mergeCell ref="H50:J50"/>
    <mergeCell ref="K50:L50"/>
    <mergeCell ref="A52:C52"/>
    <mergeCell ref="D52:F52"/>
    <mergeCell ref="K16:K17"/>
    <mergeCell ref="A13:A17"/>
    <mergeCell ref="E16:E17"/>
    <mergeCell ref="B15:C15"/>
    <mergeCell ref="D15:E15"/>
    <mergeCell ref="B13:C13"/>
    <mergeCell ref="J16:J17"/>
    <mergeCell ref="G46:L46"/>
    <mergeCell ref="D49:F49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>
  <sheetPr codeName="Лист4"/>
  <dimension ref="A1:Z53"/>
  <sheetViews>
    <sheetView topLeftCell="A19" zoomScaleNormal="100" zoomScaleSheetLayoutView="75" workbookViewId="0">
      <selection activeCell="F37" sqref="F37"/>
    </sheetView>
  </sheetViews>
  <sheetFormatPr defaultRowHeight="18.75"/>
  <cols>
    <col min="1" max="1" width="11.140625" style="2" customWidth="1"/>
    <col min="2" max="2" width="15.140625" style="2" customWidth="1"/>
    <col min="3" max="3" width="14.85546875" style="2" customWidth="1"/>
    <col min="4" max="4" width="12.7109375" style="2" customWidth="1"/>
    <col min="5" max="5" width="5.42578125" style="2" customWidth="1"/>
    <col min="6" max="6" width="14.140625" style="2" customWidth="1"/>
    <col min="7" max="7" width="13.7109375" style="2" customWidth="1"/>
    <col min="8" max="8" width="16.42578125" style="2" customWidth="1"/>
    <col min="9" max="9" width="8.28515625" style="2" customWidth="1"/>
    <col min="10" max="11" width="8.85546875" style="2" customWidth="1"/>
    <col min="12" max="12" width="18.85546875" style="2" customWidth="1"/>
    <col min="13" max="26" width="10.28515625" style="2" customWidth="1"/>
    <col min="27" max="16384" width="9.140625" style="2"/>
  </cols>
  <sheetData>
    <row r="1" spans="1:26" ht="21.75" customHeight="1">
      <c r="A1" s="59" t="s">
        <v>157</v>
      </c>
      <c r="B1" s="59"/>
      <c r="C1" s="59"/>
      <c r="D1" s="59"/>
      <c r="E1" s="59"/>
      <c r="F1" s="59"/>
      <c r="G1" s="63" t="s">
        <v>154</v>
      </c>
      <c r="H1" s="63"/>
      <c r="I1" s="59" t="s">
        <v>160</v>
      </c>
      <c r="J1" s="59"/>
      <c r="K1" s="59"/>
      <c r="L1" s="59"/>
      <c r="M1" s="91" t="s">
        <v>96</v>
      </c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spans="1:26" ht="21.75" customHeight="1">
      <c r="A2" s="61" t="s">
        <v>45</v>
      </c>
      <c r="B2" s="61"/>
      <c r="C2" s="61"/>
      <c r="D2" s="61"/>
      <c r="E2" s="61"/>
      <c r="F2" s="61"/>
      <c r="G2" s="63"/>
      <c r="H2" s="63"/>
      <c r="I2" s="59"/>
      <c r="J2" s="59"/>
      <c r="K2" s="59"/>
      <c r="L2" s="59"/>
      <c r="M2" s="91" t="s">
        <v>78</v>
      </c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spans="1:26" ht="21.75" customHeight="1">
      <c r="A3" s="59" t="s">
        <v>158</v>
      </c>
      <c r="B3" s="60"/>
      <c r="C3" s="60"/>
      <c r="D3" s="60"/>
      <c r="E3" s="60"/>
      <c r="F3" s="60"/>
      <c r="G3" s="63" t="s">
        <v>155</v>
      </c>
      <c r="H3" s="63"/>
      <c r="I3" s="59" t="s">
        <v>211</v>
      </c>
      <c r="J3" s="59"/>
      <c r="K3" s="59"/>
      <c r="L3" s="59"/>
      <c r="M3" s="104" t="s">
        <v>79</v>
      </c>
      <c r="N3" s="100" t="s">
        <v>81</v>
      </c>
      <c r="O3" s="104"/>
      <c r="P3" s="100" t="s">
        <v>65</v>
      </c>
      <c r="Q3" s="104"/>
      <c r="R3" s="100" t="s">
        <v>82</v>
      </c>
      <c r="S3" s="104"/>
      <c r="T3" s="100" t="s">
        <v>85</v>
      </c>
      <c r="U3" s="104"/>
      <c r="V3" s="100" t="s">
        <v>87</v>
      </c>
      <c r="W3" s="104"/>
      <c r="X3" s="107" t="s">
        <v>91</v>
      </c>
      <c r="Y3" s="108"/>
      <c r="Z3" s="108"/>
    </row>
    <row r="4" spans="1:26" ht="29.25" customHeight="1">
      <c r="A4" s="61" t="s">
        <v>46</v>
      </c>
      <c r="B4" s="61"/>
      <c r="C4" s="61"/>
      <c r="D4" s="61"/>
      <c r="E4" s="61"/>
      <c r="F4" s="61"/>
      <c r="G4" s="63"/>
      <c r="H4" s="63"/>
      <c r="I4" s="59"/>
      <c r="J4" s="59"/>
      <c r="K4" s="59"/>
      <c r="L4" s="59"/>
      <c r="M4" s="95"/>
      <c r="N4" s="101"/>
      <c r="O4" s="95"/>
      <c r="P4" s="101"/>
      <c r="Q4" s="95"/>
      <c r="R4" s="101" t="s">
        <v>83</v>
      </c>
      <c r="S4" s="95"/>
      <c r="T4" s="101" t="s">
        <v>86</v>
      </c>
      <c r="U4" s="95"/>
      <c r="V4" s="101" t="s">
        <v>88</v>
      </c>
      <c r="W4" s="95"/>
      <c r="X4" s="107"/>
      <c r="Y4" s="108"/>
      <c r="Z4" s="108"/>
    </row>
    <row r="5" spans="1:26" ht="21.75" customHeight="1">
      <c r="A5" s="59" t="s">
        <v>185</v>
      </c>
      <c r="B5" s="60"/>
      <c r="C5" s="60"/>
      <c r="D5" s="60"/>
      <c r="E5" s="60"/>
      <c r="F5" s="60"/>
      <c r="G5" s="63" t="s">
        <v>156</v>
      </c>
      <c r="H5" s="63"/>
      <c r="I5" s="59" t="s">
        <v>212</v>
      </c>
      <c r="J5" s="59"/>
      <c r="K5" s="59"/>
      <c r="L5" s="59"/>
      <c r="M5" s="95" t="s">
        <v>80</v>
      </c>
      <c r="N5" s="101"/>
      <c r="O5" s="95"/>
      <c r="P5" s="101" t="s">
        <v>190</v>
      </c>
      <c r="Q5" s="95"/>
      <c r="R5" s="109" t="s">
        <v>84</v>
      </c>
      <c r="S5" s="110"/>
      <c r="T5" s="109" t="s">
        <v>84</v>
      </c>
      <c r="U5" s="110"/>
      <c r="V5" s="101" t="s">
        <v>89</v>
      </c>
      <c r="W5" s="95"/>
      <c r="X5" s="107"/>
      <c r="Y5" s="108"/>
      <c r="Z5" s="108"/>
    </row>
    <row r="6" spans="1:26" ht="21.75" customHeight="1">
      <c r="A6" s="61" t="s">
        <v>47</v>
      </c>
      <c r="B6" s="61"/>
      <c r="C6" s="61"/>
      <c r="D6" s="61"/>
      <c r="E6" s="61"/>
      <c r="F6" s="61"/>
      <c r="G6" s="63"/>
      <c r="H6" s="63"/>
      <c r="I6" s="59"/>
      <c r="J6" s="59"/>
      <c r="K6" s="59"/>
      <c r="L6" s="59"/>
      <c r="M6" s="96"/>
      <c r="N6" s="103"/>
      <c r="O6" s="96"/>
      <c r="P6" s="103"/>
      <c r="Q6" s="96"/>
      <c r="R6" s="103"/>
      <c r="S6" s="96"/>
      <c r="T6" s="103"/>
      <c r="U6" s="96"/>
      <c r="V6" s="103" t="s">
        <v>90</v>
      </c>
      <c r="W6" s="96"/>
      <c r="X6" s="107"/>
      <c r="Y6" s="108"/>
      <c r="Z6" s="108"/>
    </row>
    <row r="7" spans="1:26" ht="21.75" customHeight="1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10"/>
      <c r="N7" s="89"/>
      <c r="O7" s="105"/>
      <c r="P7" s="89"/>
      <c r="Q7" s="105"/>
      <c r="R7" s="89"/>
      <c r="S7" s="105"/>
      <c r="T7" s="89"/>
      <c r="U7" s="105"/>
      <c r="V7" s="89"/>
      <c r="W7" s="105"/>
      <c r="X7" s="89"/>
      <c r="Y7" s="90"/>
      <c r="Z7" s="90"/>
    </row>
    <row r="8" spans="1:26" ht="22.5" customHeight="1">
      <c r="A8" s="94" t="s">
        <v>48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10"/>
      <c r="N8" s="89"/>
      <c r="O8" s="105"/>
      <c r="P8" s="89"/>
      <c r="Q8" s="105"/>
      <c r="R8" s="89"/>
      <c r="S8" s="105"/>
      <c r="T8" s="89"/>
      <c r="U8" s="105"/>
      <c r="V8" s="89"/>
      <c r="W8" s="105"/>
      <c r="X8" s="89"/>
      <c r="Y8" s="90"/>
      <c r="Z8" s="90"/>
    </row>
    <row r="9" spans="1:26" ht="22.5" customHeight="1">
      <c r="A9" s="88" t="s">
        <v>49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10"/>
      <c r="N9" s="89"/>
      <c r="O9" s="105"/>
      <c r="P9" s="89"/>
      <c r="Q9" s="105"/>
      <c r="R9" s="89"/>
      <c r="S9" s="105"/>
      <c r="T9" s="89"/>
      <c r="U9" s="105"/>
      <c r="V9" s="89"/>
      <c r="W9" s="105"/>
      <c r="X9" s="89"/>
      <c r="Y9" s="90"/>
      <c r="Z9" s="90"/>
    </row>
    <row r="10" spans="1:26" ht="22.5" customHeight="1">
      <c r="A10" s="80" t="s">
        <v>112</v>
      </c>
      <c r="B10" s="80"/>
      <c r="C10" s="80"/>
      <c r="D10" s="80"/>
      <c r="E10" s="81" t="s">
        <v>383</v>
      </c>
      <c r="F10" s="81"/>
      <c r="G10" s="81"/>
      <c r="H10" s="62" t="s">
        <v>384</v>
      </c>
      <c r="I10" s="62"/>
      <c r="J10" s="62"/>
      <c r="K10" s="62"/>
      <c r="L10" s="62"/>
      <c r="M10" s="10"/>
      <c r="N10" s="89"/>
      <c r="O10" s="105"/>
      <c r="P10" s="89"/>
      <c r="Q10" s="105"/>
      <c r="R10" s="89"/>
      <c r="S10" s="105"/>
      <c r="T10" s="89"/>
      <c r="U10" s="105"/>
      <c r="V10" s="89"/>
      <c r="W10" s="105"/>
      <c r="X10" s="89"/>
      <c r="Y10" s="90"/>
      <c r="Z10" s="90"/>
    </row>
    <row r="11" spans="1:26" ht="22.5" customHeight="1">
      <c r="A11" s="80" t="s">
        <v>113</v>
      </c>
      <c r="B11" s="80"/>
      <c r="C11" s="80"/>
      <c r="D11" s="80"/>
      <c r="E11" s="79" t="s">
        <v>240</v>
      </c>
      <c r="F11" s="79"/>
      <c r="G11" s="79"/>
      <c r="H11" s="79"/>
      <c r="I11" s="62" t="s">
        <v>114</v>
      </c>
      <c r="J11" s="62"/>
      <c r="K11" s="62"/>
      <c r="L11" s="62"/>
      <c r="M11" s="10"/>
      <c r="N11" s="89"/>
      <c r="O11" s="105"/>
      <c r="P11" s="89"/>
      <c r="Q11" s="105"/>
      <c r="R11" s="89"/>
      <c r="S11" s="105"/>
      <c r="T11" s="89"/>
      <c r="U11" s="105"/>
      <c r="V11" s="89"/>
      <c r="W11" s="105"/>
      <c r="X11" s="89"/>
      <c r="Y11" s="90"/>
      <c r="Z11" s="90"/>
    </row>
    <row r="12" spans="1:26" ht="21.75" customHeight="1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10"/>
      <c r="N12" s="89"/>
      <c r="O12" s="105"/>
      <c r="P12" s="89"/>
      <c r="Q12" s="105"/>
      <c r="R12" s="89"/>
      <c r="S12" s="105"/>
      <c r="T12" s="89"/>
      <c r="U12" s="105"/>
      <c r="V12" s="89"/>
      <c r="W12" s="105"/>
      <c r="X12" s="89"/>
      <c r="Y12" s="90"/>
      <c r="Z12" s="90"/>
    </row>
    <row r="13" spans="1:26" ht="21.75" customHeight="1">
      <c r="A13" s="64" t="s">
        <v>50</v>
      </c>
      <c r="B13" s="72" t="s">
        <v>56</v>
      </c>
      <c r="C13" s="73"/>
      <c r="D13" s="74" t="s">
        <v>198</v>
      </c>
      <c r="E13" s="75"/>
      <c r="F13" s="72" t="s">
        <v>59</v>
      </c>
      <c r="G13" s="73"/>
      <c r="H13" s="18" t="s">
        <v>198</v>
      </c>
      <c r="I13" s="84" t="s">
        <v>5</v>
      </c>
      <c r="J13" s="72" t="s">
        <v>60</v>
      </c>
      <c r="K13" s="64"/>
      <c r="L13" s="17" t="s">
        <v>65</v>
      </c>
      <c r="M13" s="10"/>
      <c r="N13" s="89"/>
      <c r="O13" s="105"/>
      <c r="P13" s="89"/>
      <c r="Q13" s="105"/>
      <c r="R13" s="89"/>
      <c r="S13" s="105"/>
      <c r="T13" s="89"/>
      <c r="U13" s="105"/>
      <c r="V13" s="89"/>
      <c r="W13" s="105"/>
      <c r="X13" s="89"/>
      <c r="Y13" s="90"/>
      <c r="Z13" s="90"/>
    </row>
    <row r="14" spans="1:26" ht="21.75" customHeight="1">
      <c r="A14" s="65"/>
      <c r="B14" s="82" t="s">
        <v>57</v>
      </c>
      <c r="C14" s="83"/>
      <c r="D14" s="92" t="s">
        <v>244</v>
      </c>
      <c r="E14" s="93"/>
      <c r="F14" s="82" t="s">
        <v>57</v>
      </c>
      <c r="G14" s="83"/>
      <c r="H14" s="19" t="s">
        <v>245</v>
      </c>
      <c r="I14" s="85"/>
      <c r="J14" s="82" t="s">
        <v>61</v>
      </c>
      <c r="K14" s="65"/>
      <c r="L14" s="17" t="s">
        <v>66</v>
      </c>
      <c r="M14" s="10"/>
      <c r="N14" s="89"/>
      <c r="O14" s="105"/>
      <c r="P14" s="89"/>
      <c r="Q14" s="105"/>
      <c r="R14" s="89"/>
      <c r="S14" s="105"/>
      <c r="T14" s="89"/>
      <c r="U14" s="105"/>
      <c r="V14" s="89"/>
      <c r="W14" s="105"/>
      <c r="X14" s="89"/>
      <c r="Y14" s="90"/>
      <c r="Z14" s="90"/>
    </row>
    <row r="15" spans="1:26" ht="21.75" customHeight="1">
      <c r="A15" s="65"/>
      <c r="B15" s="68" t="s">
        <v>58</v>
      </c>
      <c r="C15" s="69"/>
      <c r="D15" s="70">
        <v>12000</v>
      </c>
      <c r="E15" s="71"/>
      <c r="F15" s="68" t="s">
        <v>58</v>
      </c>
      <c r="G15" s="69"/>
      <c r="H15" s="20">
        <v>12000</v>
      </c>
      <c r="I15" s="85"/>
      <c r="J15" s="68" t="s">
        <v>62</v>
      </c>
      <c r="K15" s="78"/>
      <c r="L15" s="17" t="s">
        <v>67</v>
      </c>
      <c r="M15" s="10"/>
      <c r="N15" s="89"/>
      <c r="O15" s="105"/>
      <c r="P15" s="89"/>
      <c r="Q15" s="105"/>
      <c r="R15" s="89"/>
      <c r="S15" s="105"/>
      <c r="T15" s="89"/>
      <c r="U15" s="105"/>
      <c r="V15" s="89"/>
      <c r="W15" s="105"/>
      <c r="X15" s="89"/>
      <c r="Y15" s="90"/>
      <c r="Z15" s="90"/>
    </row>
    <row r="16" spans="1:26" ht="21.75" customHeight="1">
      <c r="A16" s="65"/>
      <c r="B16" s="13" t="s">
        <v>51</v>
      </c>
      <c r="C16" s="13" t="s">
        <v>53</v>
      </c>
      <c r="D16" s="13" t="s">
        <v>54</v>
      </c>
      <c r="E16" s="66"/>
      <c r="F16" s="13" t="s">
        <v>51</v>
      </c>
      <c r="G16" s="13" t="s">
        <v>53</v>
      </c>
      <c r="H16" s="11" t="s">
        <v>54</v>
      </c>
      <c r="I16" s="85"/>
      <c r="J16" s="66" t="s">
        <v>63</v>
      </c>
      <c r="K16" s="66" t="s">
        <v>64</v>
      </c>
      <c r="L16" s="17" t="s">
        <v>68</v>
      </c>
      <c r="M16" s="10"/>
      <c r="N16" s="89"/>
      <c r="O16" s="105"/>
      <c r="P16" s="89"/>
      <c r="Q16" s="105"/>
      <c r="R16" s="89"/>
      <c r="S16" s="105"/>
      <c r="T16" s="89"/>
      <c r="U16" s="105"/>
      <c r="V16" s="89"/>
      <c r="W16" s="105"/>
      <c r="X16" s="89"/>
      <c r="Y16" s="90"/>
      <c r="Z16" s="90"/>
    </row>
    <row r="17" spans="1:26" ht="21.75" customHeight="1">
      <c r="A17" s="78"/>
      <c r="B17" s="26" t="s">
        <v>52</v>
      </c>
      <c r="C17" s="26" t="s">
        <v>51</v>
      </c>
      <c r="D17" s="26" t="s">
        <v>55</v>
      </c>
      <c r="E17" s="67"/>
      <c r="F17" s="26" t="s">
        <v>52</v>
      </c>
      <c r="G17" s="14" t="s">
        <v>51</v>
      </c>
      <c r="H17" s="12" t="s">
        <v>55</v>
      </c>
      <c r="I17" s="119"/>
      <c r="J17" s="120"/>
      <c r="K17" s="120"/>
      <c r="L17" s="17" t="s">
        <v>69</v>
      </c>
      <c r="M17" s="111" t="s">
        <v>92</v>
      </c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spans="1:26" ht="23.25" customHeight="1">
      <c r="A18" s="45" t="s">
        <v>7</v>
      </c>
      <c r="B18" s="49">
        <v>42.379399999999997</v>
      </c>
      <c r="C18" s="31"/>
      <c r="D18" s="30"/>
      <c r="E18" s="29"/>
      <c r="F18" s="49">
        <v>27.442900000000002</v>
      </c>
      <c r="G18" s="28"/>
      <c r="H18" s="30"/>
      <c r="I18" s="33"/>
      <c r="J18" s="29"/>
      <c r="K18" s="50">
        <v>6.5</v>
      </c>
      <c r="L18" s="35"/>
      <c r="M18" s="104" t="s">
        <v>79</v>
      </c>
      <c r="N18" s="98" t="s">
        <v>98</v>
      </c>
      <c r="O18" s="98"/>
      <c r="P18" s="98"/>
      <c r="Q18" s="98" t="s">
        <v>107</v>
      </c>
      <c r="R18" s="98"/>
      <c r="S18" s="98"/>
      <c r="T18" s="98" t="s">
        <v>93</v>
      </c>
      <c r="U18" s="98"/>
      <c r="V18" s="98"/>
      <c r="W18" s="100" t="s">
        <v>91</v>
      </c>
      <c r="X18" s="112"/>
      <c r="Y18" s="112"/>
      <c r="Z18" s="112"/>
    </row>
    <row r="19" spans="1:26" ht="23.25" customHeight="1">
      <c r="A19" s="45" t="s">
        <v>8</v>
      </c>
      <c r="B19" s="49">
        <v>42.379399999999997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</v>
      </c>
      <c r="D19" s="30">
        <f t="shared" ref="D19:D42" si="1">IF(C19="","",C19*$D$15)</f>
        <v>0</v>
      </c>
      <c r="E19" s="29"/>
      <c r="F19" s="49">
        <v>27.442900000000002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0</v>
      </c>
      <c r="H19" s="30">
        <f t="shared" ref="H19:H42" si="3">IF(G19="","",G19*$H$15)</f>
        <v>0</v>
      </c>
      <c r="I19" s="33">
        <f t="shared" ref="I19:I42" si="4">IF(H19="","",IF(D19="","",IF(AND(H19=0,D19=0),0,H19/D19)))</f>
        <v>0</v>
      </c>
      <c r="J19" s="29"/>
      <c r="K19" s="50">
        <v>6.5</v>
      </c>
      <c r="L19" s="35"/>
      <c r="M19" s="95"/>
      <c r="N19" s="99"/>
      <c r="O19" s="99"/>
      <c r="P19" s="99"/>
      <c r="Q19" s="99" t="s">
        <v>108</v>
      </c>
      <c r="R19" s="99"/>
      <c r="S19" s="99"/>
      <c r="T19" s="99"/>
      <c r="U19" s="99"/>
      <c r="V19" s="99"/>
      <c r="W19" s="101"/>
      <c r="X19" s="91"/>
      <c r="Y19" s="91"/>
      <c r="Z19" s="91"/>
    </row>
    <row r="20" spans="1:26" ht="23.25" customHeight="1">
      <c r="A20" s="45" t="s">
        <v>9</v>
      </c>
      <c r="B20" s="49">
        <v>42.379399999999997</v>
      </c>
      <c r="C20" s="31">
        <f t="shared" si="0"/>
        <v>0</v>
      </c>
      <c r="D20" s="30">
        <f t="shared" si="1"/>
        <v>0</v>
      </c>
      <c r="E20" s="29"/>
      <c r="F20" s="49">
        <v>27.442900000000002</v>
      </c>
      <c r="G20" s="28">
        <f t="shared" si="2"/>
        <v>0</v>
      </c>
      <c r="H20" s="30">
        <f t="shared" si="3"/>
        <v>0</v>
      </c>
      <c r="I20" s="33">
        <f t="shared" si="4"/>
        <v>0</v>
      </c>
      <c r="J20" s="29"/>
      <c r="K20" s="50">
        <v>6.5</v>
      </c>
      <c r="L20" s="35"/>
      <c r="M20" s="95" t="s">
        <v>80</v>
      </c>
      <c r="N20" s="99" t="s">
        <v>99</v>
      </c>
      <c r="O20" s="99"/>
      <c r="P20" s="99"/>
      <c r="Q20" s="99" t="s">
        <v>189</v>
      </c>
      <c r="R20" s="99"/>
      <c r="S20" s="99"/>
      <c r="T20" s="99" t="s">
        <v>94</v>
      </c>
      <c r="U20" s="99"/>
      <c r="V20" s="99"/>
      <c r="W20" s="101"/>
      <c r="X20" s="91"/>
      <c r="Y20" s="91"/>
      <c r="Z20" s="91"/>
    </row>
    <row r="21" spans="1:26" ht="23.25" customHeight="1">
      <c r="A21" s="45" t="s">
        <v>10</v>
      </c>
      <c r="B21" s="49">
        <v>42.379399999999997</v>
      </c>
      <c r="C21" s="31">
        <f t="shared" si="0"/>
        <v>0</v>
      </c>
      <c r="D21" s="30">
        <f t="shared" si="1"/>
        <v>0</v>
      </c>
      <c r="E21" s="29"/>
      <c r="F21" s="49">
        <v>27.442900000000002</v>
      </c>
      <c r="G21" s="28">
        <f t="shared" si="2"/>
        <v>0</v>
      </c>
      <c r="H21" s="30">
        <f t="shared" si="3"/>
        <v>0</v>
      </c>
      <c r="I21" s="33">
        <f t="shared" si="4"/>
        <v>0</v>
      </c>
      <c r="J21" s="29"/>
      <c r="K21" s="50">
        <v>6.5</v>
      </c>
      <c r="L21" s="35"/>
      <c r="M21" s="96"/>
      <c r="N21" s="102"/>
      <c r="O21" s="102"/>
      <c r="P21" s="102"/>
      <c r="Q21" s="102"/>
      <c r="R21" s="102"/>
      <c r="S21" s="102"/>
      <c r="T21" s="102"/>
      <c r="U21" s="102"/>
      <c r="V21" s="102"/>
      <c r="W21" s="103"/>
      <c r="X21" s="111"/>
      <c r="Y21" s="111"/>
      <c r="Z21" s="111"/>
    </row>
    <row r="22" spans="1:26" ht="23.25" customHeight="1">
      <c r="A22" s="45" t="s">
        <v>11</v>
      </c>
      <c r="B22" s="49">
        <v>42.379399999999997</v>
      </c>
      <c r="C22" s="31">
        <f t="shared" si="0"/>
        <v>0</v>
      </c>
      <c r="D22" s="30">
        <f t="shared" si="1"/>
        <v>0</v>
      </c>
      <c r="E22" s="29"/>
      <c r="F22" s="49">
        <v>27.442900000000002</v>
      </c>
      <c r="G22" s="28">
        <f t="shared" si="2"/>
        <v>0</v>
      </c>
      <c r="H22" s="30">
        <f t="shared" si="3"/>
        <v>0</v>
      </c>
      <c r="I22" s="33">
        <f t="shared" si="4"/>
        <v>0</v>
      </c>
      <c r="J22" s="29"/>
      <c r="K22" s="50">
        <v>6.5</v>
      </c>
      <c r="L22" s="35"/>
      <c r="M22" s="10"/>
      <c r="N22" s="106"/>
      <c r="O22" s="106"/>
      <c r="P22" s="106"/>
      <c r="Q22" s="106"/>
      <c r="R22" s="106"/>
      <c r="S22" s="106"/>
      <c r="T22" s="106"/>
      <c r="U22" s="106"/>
      <c r="V22" s="106"/>
      <c r="W22" s="89"/>
      <c r="X22" s="90"/>
      <c r="Y22" s="90"/>
      <c r="Z22" s="90"/>
    </row>
    <row r="23" spans="1:26" ht="23.25" customHeight="1">
      <c r="A23" s="45" t="s">
        <v>12</v>
      </c>
      <c r="B23" s="49">
        <v>42.379399999999997</v>
      </c>
      <c r="C23" s="31">
        <f t="shared" si="0"/>
        <v>0</v>
      </c>
      <c r="D23" s="30">
        <f t="shared" si="1"/>
        <v>0</v>
      </c>
      <c r="E23" s="29"/>
      <c r="F23" s="49">
        <v>27.442900000000002</v>
      </c>
      <c r="G23" s="28">
        <f t="shared" si="2"/>
        <v>0</v>
      </c>
      <c r="H23" s="30">
        <f t="shared" si="3"/>
        <v>0</v>
      </c>
      <c r="I23" s="33">
        <f t="shared" si="4"/>
        <v>0</v>
      </c>
      <c r="J23" s="29"/>
      <c r="K23" s="50">
        <v>6.5</v>
      </c>
      <c r="L23" s="35"/>
      <c r="M23" s="10"/>
      <c r="N23" s="106"/>
      <c r="O23" s="106"/>
      <c r="P23" s="106"/>
      <c r="Q23" s="106"/>
      <c r="R23" s="106"/>
      <c r="S23" s="106"/>
      <c r="T23" s="106"/>
      <c r="U23" s="106"/>
      <c r="V23" s="106"/>
      <c r="W23" s="89"/>
      <c r="X23" s="90"/>
      <c r="Y23" s="90"/>
      <c r="Z23" s="90"/>
    </row>
    <row r="24" spans="1:26" ht="23.25" customHeight="1">
      <c r="A24" s="45" t="s">
        <v>13</v>
      </c>
      <c r="B24" s="49">
        <v>42.379399999999997</v>
      </c>
      <c r="C24" s="31">
        <f t="shared" si="0"/>
        <v>0</v>
      </c>
      <c r="D24" s="30">
        <f t="shared" si="1"/>
        <v>0</v>
      </c>
      <c r="E24" s="29"/>
      <c r="F24" s="49">
        <v>27.442900000000002</v>
      </c>
      <c r="G24" s="28">
        <f t="shared" si="2"/>
        <v>0</v>
      </c>
      <c r="H24" s="30">
        <f t="shared" si="3"/>
        <v>0</v>
      </c>
      <c r="I24" s="33">
        <f t="shared" si="4"/>
        <v>0</v>
      </c>
      <c r="J24" s="29"/>
      <c r="K24" s="50">
        <v>6.5</v>
      </c>
      <c r="L24" s="35"/>
      <c r="M24" s="10"/>
      <c r="N24" s="106"/>
      <c r="O24" s="106"/>
      <c r="P24" s="106"/>
      <c r="Q24" s="106"/>
      <c r="R24" s="106"/>
      <c r="S24" s="106"/>
      <c r="T24" s="106"/>
      <c r="U24" s="106"/>
      <c r="V24" s="106"/>
      <c r="W24" s="89"/>
      <c r="X24" s="90"/>
      <c r="Y24" s="90"/>
      <c r="Z24" s="90"/>
    </row>
    <row r="25" spans="1:26" ht="23.25" customHeight="1">
      <c r="A25" s="45" t="s">
        <v>14</v>
      </c>
      <c r="B25" s="49">
        <v>42.379399999999997</v>
      </c>
      <c r="C25" s="31">
        <f t="shared" si="0"/>
        <v>0</v>
      </c>
      <c r="D25" s="30">
        <f t="shared" si="1"/>
        <v>0</v>
      </c>
      <c r="E25" s="29"/>
      <c r="F25" s="49">
        <v>27.442900000000002</v>
      </c>
      <c r="G25" s="28">
        <f t="shared" si="2"/>
        <v>0</v>
      </c>
      <c r="H25" s="30">
        <f t="shared" si="3"/>
        <v>0</v>
      </c>
      <c r="I25" s="33">
        <f t="shared" si="4"/>
        <v>0</v>
      </c>
      <c r="J25" s="29"/>
      <c r="K25" s="50">
        <v>6.5</v>
      </c>
      <c r="L25" s="35"/>
      <c r="M25" s="10"/>
      <c r="N25" s="106"/>
      <c r="O25" s="106"/>
      <c r="P25" s="106"/>
      <c r="Q25" s="106"/>
      <c r="R25" s="106"/>
      <c r="S25" s="106"/>
      <c r="T25" s="106"/>
      <c r="U25" s="106"/>
      <c r="V25" s="106"/>
      <c r="W25" s="89"/>
      <c r="X25" s="90"/>
      <c r="Y25" s="90"/>
      <c r="Z25" s="90"/>
    </row>
    <row r="26" spans="1:26" ht="23.25" customHeight="1">
      <c r="A26" s="45" t="s">
        <v>15</v>
      </c>
      <c r="B26" s="49">
        <v>42.379399999999997</v>
      </c>
      <c r="C26" s="31">
        <f t="shared" si="0"/>
        <v>0</v>
      </c>
      <c r="D26" s="30">
        <f t="shared" si="1"/>
        <v>0</v>
      </c>
      <c r="E26" s="29"/>
      <c r="F26" s="49">
        <v>27.442900000000002</v>
      </c>
      <c r="G26" s="28">
        <f t="shared" si="2"/>
        <v>0</v>
      </c>
      <c r="H26" s="30">
        <f t="shared" si="3"/>
        <v>0</v>
      </c>
      <c r="I26" s="33">
        <f t="shared" si="4"/>
        <v>0</v>
      </c>
      <c r="J26" s="29"/>
      <c r="K26" s="50">
        <v>6.5</v>
      </c>
      <c r="L26" s="35"/>
      <c r="M26" s="10"/>
      <c r="N26" s="106"/>
      <c r="O26" s="106"/>
      <c r="P26" s="106"/>
      <c r="Q26" s="106"/>
      <c r="R26" s="106"/>
      <c r="S26" s="106"/>
      <c r="T26" s="106"/>
      <c r="U26" s="106"/>
      <c r="V26" s="106"/>
      <c r="W26" s="89"/>
      <c r="X26" s="90"/>
      <c r="Y26" s="90"/>
      <c r="Z26" s="90"/>
    </row>
    <row r="27" spans="1:26" ht="23.25" customHeight="1">
      <c r="A27" s="45" t="s">
        <v>16</v>
      </c>
      <c r="B27" s="49">
        <v>42.379399999999997</v>
      </c>
      <c r="C27" s="31">
        <f t="shared" si="0"/>
        <v>0</v>
      </c>
      <c r="D27" s="30">
        <f t="shared" si="1"/>
        <v>0</v>
      </c>
      <c r="E27" s="29"/>
      <c r="F27" s="49">
        <v>27.442900000000002</v>
      </c>
      <c r="G27" s="28">
        <f t="shared" si="2"/>
        <v>0</v>
      </c>
      <c r="H27" s="30">
        <f t="shared" si="3"/>
        <v>0</v>
      </c>
      <c r="I27" s="33">
        <f t="shared" si="4"/>
        <v>0</v>
      </c>
      <c r="J27" s="29"/>
      <c r="K27" s="50">
        <v>6.5</v>
      </c>
      <c r="L27" s="35"/>
      <c r="M27" s="10"/>
      <c r="N27" s="106"/>
      <c r="O27" s="106"/>
      <c r="P27" s="106"/>
      <c r="Q27" s="106"/>
      <c r="R27" s="106"/>
      <c r="S27" s="106"/>
      <c r="T27" s="106"/>
      <c r="U27" s="106"/>
      <c r="V27" s="106"/>
      <c r="W27" s="89"/>
      <c r="X27" s="90"/>
      <c r="Y27" s="90"/>
      <c r="Z27" s="90"/>
    </row>
    <row r="28" spans="1:26" ht="23.25" customHeight="1">
      <c r="A28" s="45" t="s">
        <v>17</v>
      </c>
      <c r="B28" s="49">
        <v>42.379399999999997</v>
      </c>
      <c r="C28" s="31">
        <f t="shared" si="0"/>
        <v>0</v>
      </c>
      <c r="D28" s="30">
        <f t="shared" si="1"/>
        <v>0</v>
      </c>
      <c r="E28" s="29"/>
      <c r="F28" s="49">
        <v>27.442900000000002</v>
      </c>
      <c r="G28" s="28">
        <f t="shared" si="2"/>
        <v>0</v>
      </c>
      <c r="H28" s="30">
        <f t="shared" si="3"/>
        <v>0</v>
      </c>
      <c r="I28" s="33">
        <f t="shared" si="4"/>
        <v>0</v>
      </c>
      <c r="J28" s="29"/>
      <c r="K28" s="50">
        <v>6.5</v>
      </c>
      <c r="L28" s="35"/>
      <c r="M28" s="10"/>
      <c r="N28" s="106"/>
      <c r="O28" s="106"/>
      <c r="P28" s="106"/>
      <c r="Q28" s="106"/>
      <c r="R28" s="106"/>
      <c r="S28" s="106"/>
      <c r="T28" s="106"/>
      <c r="U28" s="106"/>
      <c r="V28" s="106"/>
      <c r="W28" s="89"/>
      <c r="X28" s="90"/>
      <c r="Y28" s="90"/>
      <c r="Z28" s="90"/>
    </row>
    <row r="29" spans="1:26" ht="23.25" customHeight="1">
      <c r="A29" s="45" t="s">
        <v>18</v>
      </c>
      <c r="B29" s="49">
        <v>42.379399999999997</v>
      </c>
      <c r="C29" s="31">
        <f t="shared" si="0"/>
        <v>0</v>
      </c>
      <c r="D29" s="30">
        <f t="shared" si="1"/>
        <v>0</v>
      </c>
      <c r="E29" s="29"/>
      <c r="F29" s="49">
        <v>27.442900000000002</v>
      </c>
      <c r="G29" s="28">
        <f t="shared" si="2"/>
        <v>0</v>
      </c>
      <c r="H29" s="30">
        <f t="shared" si="3"/>
        <v>0</v>
      </c>
      <c r="I29" s="33">
        <f t="shared" si="4"/>
        <v>0</v>
      </c>
      <c r="J29" s="29"/>
      <c r="K29" s="50">
        <v>6.4</v>
      </c>
      <c r="L29" s="35"/>
      <c r="M29" s="97" t="s">
        <v>95</v>
      </c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23.25" customHeight="1">
      <c r="A30" s="45" t="s">
        <v>19</v>
      </c>
      <c r="B30" s="49">
        <v>42.379399999999997</v>
      </c>
      <c r="C30" s="31">
        <f t="shared" si="0"/>
        <v>0</v>
      </c>
      <c r="D30" s="30">
        <f t="shared" si="1"/>
        <v>0</v>
      </c>
      <c r="E30" s="29"/>
      <c r="F30" s="49">
        <v>27.442900000000002</v>
      </c>
      <c r="G30" s="28">
        <f t="shared" si="2"/>
        <v>0</v>
      </c>
      <c r="H30" s="30">
        <f t="shared" si="3"/>
        <v>0</v>
      </c>
      <c r="I30" s="33">
        <f t="shared" si="4"/>
        <v>0</v>
      </c>
      <c r="J30" s="29"/>
      <c r="K30" s="50">
        <v>6.4</v>
      </c>
      <c r="L30" s="35"/>
      <c r="M30" s="91" t="s">
        <v>97</v>
      </c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 spans="1:26" ht="23.25" customHeight="1">
      <c r="A31" s="45" t="s">
        <v>20</v>
      </c>
      <c r="B31" s="49">
        <v>42.379399999999997</v>
      </c>
      <c r="C31" s="31">
        <f t="shared" si="0"/>
        <v>0</v>
      </c>
      <c r="D31" s="30">
        <f t="shared" si="1"/>
        <v>0</v>
      </c>
      <c r="E31" s="29"/>
      <c r="F31" s="49">
        <v>27.442900000000002</v>
      </c>
      <c r="G31" s="28">
        <f t="shared" si="2"/>
        <v>0</v>
      </c>
      <c r="H31" s="30">
        <f t="shared" si="3"/>
        <v>0</v>
      </c>
      <c r="I31" s="33">
        <f t="shared" si="4"/>
        <v>0</v>
      </c>
      <c r="J31" s="29"/>
      <c r="K31" s="50">
        <v>6.4</v>
      </c>
      <c r="L31" s="35"/>
      <c r="M31" s="104" t="s">
        <v>79</v>
      </c>
      <c r="N31" s="98" t="s">
        <v>98</v>
      </c>
      <c r="O31" s="98"/>
      <c r="P31" s="98" t="s">
        <v>100</v>
      </c>
      <c r="Q31" s="98"/>
      <c r="R31" s="98" t="s">
        <v>93</v>
      </c>
      <c r="S31" s="98"/>
      <c r="T31" s="98" t="s">
        <v>103</v>
      </c>
      <c r="U31" s="98"/>
      <c r="V31" s="98" t="s">
        <v>187</v>
      </c>
      <c r="W31" s="98"/>
      <c r="X31" s="98"/>
      <c r="Y31" s="98" t="s">
        <v>91</v>
      </c>
      <c r="Z31" s="100"/>
    </row>
    <row r="32" spans="1:26" ht="23.25" customHeight="1">
      <c r="A32" s="45" t="s">
        <v>21</v>
      </c>
      <c r="B32" s="49">
        <v>42.3795</v>
      </c>
      <c r="C32" s="31">
        <f t="shared" si="0"/>
        <v>1.0000000000331966E-4</v>
      </c>
      <c r="D32" s="30">
        <f t="shared" si="1"/>
        <v>1.2000000000398359</v>
      </c>
      <c r="E32" s="29"/>
      <c r="F32" s="49">
        <v>27.442900000000002</v>
      </c>
      <c r="G32" s="28">
        <f t="shared" si="2"/>
        <v>0</v>
      </c>
      <c r="H32" s="30">
        <f t="shared" si="3"/>
        <v>0</v>
      </c>
      <c r="I32" s="33">
        <f t="shared" si="4"/>
        <v>0</v>
      </c>
      <c r="J32" s="29"/>
      <c r="K32" s="50">
        <v>6.4</v>
      </c>
      <c r="L32" s="35"/>
      <c r="M32" s="95"/>
      <c r="N32" s="99"/>
      <c r="O32" s="99"/>
      <c r="P32" s="99" t="s">
        <v>83</v>
      </c>
      <c r="Q32" s="99"/>
      <c r="R32" s="99" t="s">
        <v>102</v>
      </c>
      <c r="S32" s="99"/>
      <c r="T32" s="99" t="s">
        <v>104</v>
      </c>
      <c r="U32" s="99"/>
      <c r="V32" s="99" t="s">
        <v>105</v>
      </c>
      <c r="W32" s="99"/>
      <c r="X32" s="99"/>
      <c r="Y32" s="99"/>
      <c r="Z32" s="101"/>
    </row>
    <row r="33" spans="1:26" ht="23.25" customHeight="1">
      <c r="A33" s="45" t="s">
        <v>22</v>
      </c>
      <c r="B33" s="49">
        <v>42.3795</v>
      </c>
      <c r="C33" s="31">
        <f t="shared" si="0"/>
        <v>0</v>
      </c>
      <c r="D33" s="30">
        <f t="shared" si="1"/>
        <v>0</v>
      </c>
      <c r="E33" s="29"/>
      <c r="F33" s="49">
        <v>27.442900000000002</v>
      </c>
      <c r="G33" s="28">
        <f t="shared" si="2"/>
        <v>0</v>
      </c>
      <c r="H33" s="30">
        <f t="shared" si="3"/>
        <v>0</v>
      </c>
      <c r="I33" s="33">
        <f t="shared" si="4"/>
        <v>0</v>
      </c>
      <c r="J33" s="29"/>
      <c r="K33" s="50">
        <v>6.4</v>
      </c>
      <c r="L33" s="35"/>
      <c r="M33" s="95" t="s">
        <v>80</v>
      </c>
      <c r="N33" s="99" t="s">
        <v>99</v>
      </c>
      <c r="O33" s="99"/>
      <c r="P33" s="99" t="s">
        <v>101</v>
      </c>
      <c r="Q33" s="99"/>
      <c r="R33" s="99" t="s">
        <v>69</v>
      </c>
      <c r="S33" s="99"/>
      <c r="T33" s="99" t="s">
        <v>69</v>
      </c>
      <c r="U33" s="99"/>
      <c r="V33" s="99" t="s">
        <v>106</v>
      </c>
      <c r="W33" s="99"/>
      <c r="X33" s="99"/>
      <c r="Y33" s="99"/>
      <c r="Z33" s="101"/>
    </row>
    <row r="34" spans="1:26" ht="23.25" customHeight="1">
      <c r="A34" s="45" t="s">
        <v>23</v>
      </c>
      <c r="B34" s="49">
        <v>42.3795</v>
      </c>
      <c r="C34" s="31">
        <f t="shared" si="0"/>
        <v>0</v>
      </c>
      <c r="D34" s="30">
        <f t="shared" si="1"/>
        <v>0</v>
      </c>
      <c r="E34" s="29"/>
      <c r="F34" s="49">
        <v>27.442900000000002</v>
      </c>
      <c r="G34" s="28">
        <f t="shared" si="2"/>
        <v>0</v>
      </c>
      <c r="H34" s="30">
        <f t="shared" si="3"/>
        <v>0</v>
      </c>
      <c r="I34" s="33">
        <f t="shared" si="4"/>
        <v>0</v>
      </c>
      <c r="J34" s="29"/>
      <c r="K34" s="50">
        <v>6.4</v>
      </c>
      <c r="L34" s="35"/>
      <c r="M34" s="96"/>
      <c r="N34" s="102"/>
      <c r="O34" s="102"/>
      <c r="P34" s="102"/>
      <c r="Q34" s="102"/>
      <c r="R34" s="103"/>
      <c r="S34" s="96"/>
      <c r="T34" s="103"/>
      <c r="U34" s="96"/>
      <c r="V34" s="103"/>
      <c r="W34" s="111"/>
      <c r="X34" s="96"/>
      <c r="Y34" s="102"/>
      <c r="Z34" s="103"/>
    </row>
    <row r="35" spans="1:26" ht="23.25" customHeight="1">
      <c r="A35" s="45" t="s">
        <v>24</v>
      </c>
      <c r="B35" s="49">
        <v>42.3795</v>
      </c>
      <c r="C35" s="31">
        <f t="shared" si="0"/>
        <v>0</v>
      </c>
      <c r="D35" s="30">
        <f t="shared" si="1"/>
        <v>0</v>
      </c>
      <c r="E35" s="29"/>
      <c r="F35" s="49">
        <v>27.442900000000002</v>
      </c>
      <c r="G35" s="28">
        <f t="shared" si="2"/>
        <v>0</v>
      </c>
      <c r="H35" s="30">
        <f t="shared" si="3"/>
        <v>0</v>
      </c>
      <c r="I35" s="33">
        <f t="shared" si="4"/>
        <v>0</v>
      </c>
      <c r="J35" s="29"/>
      <c r="K35" s="50">
        <v>6.4</v>
      </c>
      <c r="L35" s="35"/>
      <c r="M35" s="10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89"/>
    </row>
    <row r="36" spans="1:26" ht="23.25" customHeight="1">
      <c r="A36" s="45" t="s">
        <v>25</v>
      </c>
      <c r="B36" s="49">
        <v>42.3795</v>
      </c>
      <c r="C36" s="31">
        <f t="shared" si="0"/>
        <v>0</v>
      </c>
      <c r="D36" s="30">
        <f t="shared" si="1"/>
        <v>0</v>
      </c>
      <c r="E36" s="29"/>
      <c r="F36" s="49">
        <v>27.442900000000002</v>
      </c>
      <c r="G36" s="28">
        <f t="shared" si="2"/>
        <v>0</v>
      </c>
      <c r="H36" s="30">
        <f t="shared" si="3"/>
        <v>0</v>
      </c>
      <c r="I36" s="33">
        <f t="shared" si="4"/>
        <v>0</v>
      </c>
      <c r="J36" s="29"/>
      <c r="K36" s="50">
        <v>6.4</v>
      </c>
      <c r="L36" s="35"/>
      <c r="M36" s="10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89"/>
    </row>
    <row r="37" spans="1:26" ht="23.25" customHeight="1">
      <c r="A37" s="45" t="s">
        <v>26</v>
      </c>
      <c r="B37" s="49">
        <v>42.3795</v>
      </c>
      <c r="C37" s="31">
        <f t="shared" si="0"/>
        <v>0</v>
      </c>
      <c r="D37" s="30">
        <f t="shared" si="1"/>
        <v>0</v>
      </c>
      <c r="E37" s="29"/>
      <c r="F37" s="49">
        <v>27.442900000000002</v>
      </c>
      <c r="G37" s="28">
        <f t="shared" si="2"/>
        <v>0</v>
      </c>
      <c r="H37" s="30">
        <f t="shared" si="3"/>
        <v>0</v>
      </c>
      <c r="I37" s="33">
        <f t="shared" si="4"/>
        <v>0</v>
      </c>
      <c r="J37" s="29"/>
      <c r="K37" s="50">
        <v>6.4</v>
      </c>
      <c r="L37" s="35"/>
      <c r="M37" s="10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89"/>
    </row>
    <row r="38" spans="1:26" ht="23.25" customHeight="1">
      <c r="A38" s="45" t="s">
        <v>27</v>
      </c>
      <c r="B38" s="49">
        <v>42.3795</v>
      </c>
      <c r="C38" s="31">
        <f t="shared" si="0"/>
        <v>0</v>
      </c>
      <c r="D38" s="30">
        <f t="shared" si="1"/>
        <v>0</v>
      </c>
      <c r="E38" s="29"/>
      <c r="F38" s="49">
        <v>27.442900000000002</v>
      </c>
      <c r="G38" s="28">
        <f t="shared" si="2"/>
        <v>0</v>
      </c>
      <c r="H38" s="30">
        <f t="shared" si="3"/>
        <v>0</v>
      </c>
      <c r="I38" s="33">
        <f t="shared" si="4"/>
        <v>0</v>
      </c>
      <c r="J38" s="29"/>
      <c r="K38" s="50">
        <v>6.5</v>
      </c>
      <c r="L38" s="35"/>
      <c r="M38" s="10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89"/>
    </row>
    <row r="39" spans="1:26" ht="23.25" customHeight="1">
      <c r="A39" s="45" t="s">
        <v>28</v>
      </c>
      <c r="B39" s="49">
        <v>42.3795</v>
      </c>
      <c r="C39" s="31">
        <f t="shared" si="0"/>
        <v>0</v>
      </c>
      <c r="D39" s="30">
        <f t="shared" si="1"/>
        <v>0</v>
      </c>
      <c r="E39" s="29"/>
      <c r="F39" s="49">
        <v>27.442900000000002</v>
      </c>
      <c r="G39" s="28">
        <f t="shared" si="2"/>
        <v>0</v>
      </c>
      <c r="H39" s="30">
        <f t="shared" si="3"/>
        <v>0</v>
      </c>
      <c r="I39" s="33">
        <f t="shared" si="4"/>
        <v>0</v>
      </c>
      <c r="J39" s="29"/>
      <c r="K39" s="50">
        <v>6.5</v>
      </c>
      <c r="L39" s="35"/>
      <c r="M39" s="10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89"/>
    </row>
    <row r="40" spans="1:26" ht="23.25" customHeight="1">
      <c r="A40" s="45" t="s">
        <v>29</v>
      </c>
      <c r="B40" s="49">
        <v>42.3795</v>
      </c>
      <c r="C40" s="31">
        <f t="shared" si="0"/>
        <v>0</v>
      </c>
      <c r="D40" s="30">
        <f t="shared" si="1"/>
        <v>0</v>
      </c>
      <c r="E40" s="29"/>
      <c r="F40" s="49">
        <v>27.442900000000002</v>
      </c>
      <c r="G40" s="28">
        <f t="shared" si="2"/>
        <v>0</v>
      </c>
      <c r="H40" s="30">
        <f t="shared" si="3"/>
        <v>0</v>
      </c>
      <c r="I40" s="33">
        <f t="shared" si="4"/>
        <v>0</v>
      </c>
      <c r="J40" s="29"/>
      <c r="K40" s="50">
        <v>6.5</v>
      </c>
      <c r="L40" s="35"/>
      <c r="M40" s="91" t="s">
        <v>109</v>
      </c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</row>
    <row r="41" spans="1:26" ht="23.25" customHeight="1">
      <c r="A41" s="45" t="s">
        <v>30</v>
      </c>
      <c r="B41" s="49">
        <v>42.3795</v>
      </c>
      <c r="C41" s="31">
        <f t="shared" si="0"/>
        <v>0</v>
      </c>
      <c r="D41" s="30">
        <f t="shared" si="1"/>
        <v>0</v>
      </c>
      <c r="E41" s="29"/>
      <c r="F41" s="49">
        <v>27.442900000000002</v>
      </c>
      <c r="G41" s="28">
        <f t="shared" si="2"/>
        <v>0</v>
      </c>
      <c r="H41" s="30">
        <f t="shared" si="3"/>
        <v>0</v>
      </c>
      <c r="I41" s="33">
        <f t="shared" si="4"/>
        <v>0</v>
      </c>
      <c r="J41" s="29"/>
      <c r="K41" s="50">
        <v>6.5</v>
      </c>
      <c r="L41" s="35"/>
      <c r="M41" s="104" t="s">
        <v>79</v>
      </c>
      <c r="N41" s="98" t="s">
        <v>98</v>
      </c>
      <c r="O41" s="98"/>
      <c r="P41" s="98" t="s">
        <v>93</v>
      </c>
      <c r="Q41" s="98"/>
      <c r="R41" s="98"/>
      <c r="S41" s="98" t="s">
        <v>111</v>
      </c>
      <c r="T41" s="98" t="s">
        <v>81</v>
      </c>
      <c r="U41" s="98"/>
      <c r="V41" s="98"/>
      <c r="W41" s="98"/>
      <c r="X41" s="98" t="s">
        <v>93</v>
      </c>
      <c r="Y41" s="98"/>
      <c r="Z41" s="100"/>
    </row>
    <row r="42" spans="1:26" ht="23.25" customHeight="1">
      <c r="A42" s="45" t="s">
        <v>31</v>
      </c>
      <c r="B42" s="49">
        <v>42.3795</v>
      </c>
      <c r="C42" s="31">
        <f t="shared" si="0"/>
        <v>0</v>
      </c>
      <c r="D42" s="30">
        <f t="shared" si="1"/>
        <v>0</v>
      </c>
      <c r="E42" s="29"/>
      <c r="F42" s="49">
        <v>27.442900000000002</v>
      </c>
      <c r="G42" s="28">
        <f t="shared" si="2"/>
        <v>0</v>
      </c>
      <c r="H42" s="30">
        <f t="shared" si="3"/>
        <v>0</v>
      </c>
      <c r="I42" s="33">
        <f t="shared" si="4"/>
        <v>0</v>
      </c>
      <c r="J42" s="29"/>
      <c r="K42" s="50">
        <v>6.5</v>
      </c>
      <c r="L42" s="35"/>
      <c r="M42" s="95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101"/>
    </row>
    <row r="43" spans="1:26" ht="22.5" customHeight="1">
      <c r="A43" s="121" t="s">
        <v>70</v>
      </c>
      <c r="B43" s="121"/>
      <c r="C43" s="121"/>
      <c r="D43" s="30">
        <f>SUM(D18:D42)</f>
        <v>1.2000000000398359</v>
      </c>
      <c r="E43" s="29"/>
      <c r="F43" s="36"/>
      <c r="G43" s="29"/>
      <c r="H43" s="29">
        <f>SUM(H18:H42)</f>
        <v>0</v>
      </c>
      <c r="I43" s="33">
        <f>IF(AND(H43=0,D43=0),0,H43/D43)</f>
        <v>0</v>
      </c>
      <c r="J43" s="29"/>
      <c r="K43" s="29"/>
      <c r="L43" s="35"/>
      <c r="M43" s="95" t="s">
        <v>80</v>
      </c>
      <c r="N43" s="99" t="s">
        <v>99</v>
      </c>
      <c r="O43" s="99"/>
      <c r="P43" s="99" t="s">
        <v>110</v>
      </c>
      <c r="Q43" s="99"/>
      <c r="R43" s="99"/>
      <c r="S43" s="99"/>
      <c r="T43" s="99"/>
      <c r="U43" s="99"/>
      <c r="V43" s="99"/>
      <c r="W43" s="99"/>
      <c r="X43" s="99" t="s">
        <v>110</v>
      </c>
      <c r="Y43" s="99"/>
      <c r="Z43" s="101"/>
    </row>
    <row r="44" spans="1:26" ht="22.5" customHeight="1">
      <c r="A44" s="76" t="s">
        <v>71</v>
      </c>
      <c r="B44" s="76"/>
      <c r="C44" s="76"/>
      <c r="D44" s="29"/>
      <c r="E44" s="29"/>
      <c r="F44" s="36"/>
      <c r="G44" s="29"/>
      <c r="H44" s="29"/>
      <c r="I44" s="29"/>
      <c r="J44" s="29"/>
      <c r="K44" s="29"/>
      <c r="L44" s="35"/>
      <c r="M44" s="96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3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89"/>
      <c r="O45" s="105"/>
      <c r="P45" s="89"/>
      <c r="Q45" s="90"/>
      <c r="R45" s="105"/>
      <c r="S45" s="8"/>
      <c r="T45" s="89"/>
      <c r="U45" s="90"/>
      <c r="V45" s="90"/>
      <c r="W45" s="105"/>
      <c r="X45" s="89"/>
      <c r="Y45" s="90"/>
      <c r="Z45" s="90"/>
    </row>
    <row r="46" spans="1:26" ht="22.5" customHeight="1">
      <c r="A46" s="54" t="s">
        <v>72</v>
      </c>
      <c r="B46" s="54"/>
      <c r="C46" s="54"/>
      <c r="D46" s="54"/>
      <c r="E46" s="54"/>
      <c r="F46" s="54"/>
      <c r="G46" s="77" t="s">
        <v>73</v>
      </c>
      <c r="H46" s="77"/>
      <c r="I46" s="77"/>
      <c r="J46" s="77"/>
      <c r="K46" s="77"/>
      <c r="L46" s="77"/>
      <c r="M46" s="10"/>
      <c r="N46" s="89"/>
      <c r="O46" s="105"/>
      <c r="P46" s="89"/>
      <c r="Q46" s="90"/>
      <c r="R46" s="105"/>
      <c r="S46" s="8"/>
      <c r="T46" s="89"/>
      <c r="U46" s="90"/>
      <c r="V46" s="90"/>
      <c r="W46" s="105"/>
      <c r="X46" s="89"/>
      <c r="Y46" s="90"/>
      <c r="Z46" s="90"/>
    </row>
    <row r="47" spans="1:26" ht="22.5" customHeight="1">
      <c r="A47" s="52" t="s">
        <v>388</v>
      </c>
      <c r="B47" s="52"/>
      <c r="C47" s="52"/>
      <c r="D47" s="54" t="s">
        <v>74</v>
      </c>
      <c r="E47" s="54"/>
      <c r="F47" s="54"/>
      <c r="G47" s="40"/>
      <c r="H47" s="40"/>
      <c r="I47" s="40"/>
      <c r="J47" s="40"/>
      <c r="K47" s="40"/>
      <c r="L47" s="40"/>
      <c r="M47" s="10"/>
      <c r="N47" s="89"/>
      <c r="O47" s="105"/>
      <c r="P47" s="89"/>
      <c r="Q47" s="90"/>
      <c r="R47" s="105"/>
      <c r="S47" s="8"/>
      <c r="T47" s="89"/>
      <c r="U47" s="90"/>
      <c r="V47" s="90"/>
      <c r="W47" s="105"/>
      <c r="X47" s="89"/>
      <c r="Y47" s="90"/>
      <c r="Z47" s="90"/>
    </row>
    <row r="48" spans="1:26" ht="22.5" customHeight="1">
      <c r="A48" s="55" t="s">
        <v>75</v>
      </c>
      <c r="B48" s="55"/>
      <c r="C48" s="55"/>
      <c r="D48" s="55" t="s">
        <v>76</v>
      </c>
      <c r="E48" s="55"/>
      <c r="F48" s="55"/>
      <c r="G48" s="39"/>
      <c r="H48" s="39"/>
      <c r="I48" s="39"/>
      <c r="J48" s="39"/>
      <c r="K48" s="39"/>
      <c r="L48" s="39"/>
    </row>
    <row r="49" spans="1:23" ht="22.5" customHeight="1">
      <c r="A49" s="52" t="s">
        <v>389</v>
      </c>
      <c r="B49" s="52"/>
      <c r="C49" s="52"/>
      <c r="D49" s="54" t="s">
        <v>74</v>
      </c>
      <c r="E49" s="54"/>
      <c r="F49" s="54"/>
      <c r="G49" s="39"/>
      <c r="H49" s="54" t="s">
        <v>191</v>
      </c>
      <c r="I49" s="54"/>
      <c r="J49" s="54"/>
      <c r="K49" s="54" t="s">
        <v>77</v>
      </c>
      <c r="L49" s="54"/>
      <c r="N49" s="57" t="s">
        <v>150</v>
      </c>
      <c r="O49" s="57"/>
      <c r="P49" s="57"/>
      <c r="Q49" s="56" t="s">
        <v>391</v>
      </c>
      <c r="R49" s="56"/>
      <c r="S49" s="56"/>
      <c r="T49" s="56"/>
      <c r="U49" s="56"/>
      <c r="V49" s="56"/>
      <c r="W49" s="1"/>
    </row>
    <row r="50" spans="1:23" ht="22.5" customHeight="1">
      <c r="A50" s="55" t="s">
        <v>75</v>
      </c>
      <c r="B50" s="55"/>
      <c r="C50" s="55"/>
      <c r="D50" s="55" t="s">
        <v>76</v>
      </c>
      <c r="E50" s="55"/>
      <c r="F50" s="55"/>
      <c r="G50" s="44"/>
      <c r="H50" s="55" t="s">
        <v>75</v>
      </c>
      <c r="I50" s="55"/>
      <c r="J50" s="55"/>
      <c r="K50" s="55" t="s">
        <v>76</v>
      </c>
      <c r="L50" s="55"/>
      <c r="S50" s="53" t="s">
        <v>76</v>
      </c>
      <c r="T50" s="53"/>
    </row>
    <row r="51" spans="1:23" ht="20.100000000000001" customHeight="1">
      <c r="A51" s="52" t="s">
        <v>390</v>
      </c>
      <c r="B51" s="52"/>
      <c r="C51" s="52"/>
      <c r="D51" s="54" t="s">
        <v>74</v>
      </c>
      <c r="E51" s="54"/>
      <c r="F51" s="54"/>
      <c r="G51" s="39"/>
      <c r="H51" s="39"/>
      <c r="I51" s="39"/>
      <c r="J51" s="39"/>
      <c r="K51" s="39"/>
      <c r="L51" s="39"/>
    </row>
    <row r="52" spans="1:23" ht="20.100000000000001" customHeight="1">
      <c r="A52" s="55" t="s">
        <v>75</v>
      </c>
      <c r="B52" s="55"/>
      <c r="C52" s="55"/>
      <c r="D52" s="55" t="s">
        <v>76</v>
      </c>
      <c r="E52" s="55"/>
      <c r="F52" s="55"/>
      <c r="G52" s="42"/>
      <c r="H52" s="42"/>
      <c r="I52" s="39"/>
      <c r="J52" s="39"/>
      <c r="K52" s="39"/>
      <c r="L52" s="39"/>
    </row>
    <row r="53" spans="1:2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</sheetData>
  <sheetProtection sheet="1" objects="1" scenarios="1"/>
  <mergeCells count="258">
    <mergeCell ref="A10:D10"/>
    <mergeCell ref="E10:G10"/>
    <mergeCell ref="D13:E13"/>
    <mergeCell ref="A46:F46"/>
    <mergeCell ref="A44:C44"/>
    <mergeCell ref="G1:H2"/>
    <mergeCell ref="J16:J17"/>
    <mergeCell ref="K16:K17"/>
    <mergeCell ref="A13:A17"/>
    <mergeCell ref="E16:E17"/>
    <mergeCell ref="B15:C15"/>
    <mergeCell ref="D15:E15"/>
    <mergeCell ref="A43:C43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N14:O14"/>
    <mergeCell ref="N15:O15"/>
    <mergeCell ref="N16:O16"/>
    <mergeCell ref="N12:O12"/>
    <mergeCell ref="N13:O13"/>
    <mergeCell ref="I13:I17"/>
    <mergeCell ref="J13:K13"/>
    <mergeCell ref="J14:K14"/>
    <mergeCell ref="J15:K15"/>
    <mergeCell ref="A12:L12"/>
    <mergeCell ref="F13:G13"/>
    <mergeCell ref="B14:C14"/>
    <mergeCell ref="D14:E14"/>
    <mergeCell ref="B13:C13"/>
    <mergeCell ref="F14:G14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T27:V27"/>
    <mergeCell ref="W27:Z27"/>
    <mergeCell ref="N26:P26"/>
    <mergeCell ref="N25:P25"/>
    <mergeCell ref="Q25:S25"/>
    <mergeCell ref="T25:V25"/>
    <mergeCell ref="W25:Z25"/>
    <mergeCell ref="Q23:S23"/>
    <mergeCell ref="T23:V23"/>
    <mergeCell ref="Q26:S26"/>
    <mergeCell ref="T26:V26"/>
    <mergeCell ref="N24:P24"/>
    <mergeCell ref="Q24:S24"/>
    <mergeCell ref="T28:V28"/>
    <mergeCell ref="W28:Z28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T24:V24"/>
    <mergeCell ref="W24:Z24"/>
    <mergeCell ref="T18:V19"/>
    <mergeCell ref="V14:W14"/>
    <mergeCell ref="V11:W11"/>
    <mergeCell ref="V12:W12"/>
    <mergeCell ref="V13:W13"/>
    <mergeCell ref="T11:U11"/>
    <mergeCell ref="T12:U12"/>
    <mergeCell ref="T13:U13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X45:Z45"/>
    <mergeCell ref="X46:Z46"/>
    <mergeCell ref="X47:Z47"/>
    <mergeCell ref="S50:T50"/>
    <mergeCell ref="N39:O39"/>
    <mergeCell ref="P39:Q39"/>
    <mergeCell ref="N41:O42"/>
    <mergeCell ref="P41:R42"/>
    <mergeCell ref="M40:Z40"/>
    <mergeCell ref="M43:M44"/>
    <mergeCell ref="T47:W47"/>
    <mergeCell ref="N43:O44"/>
    <mergeCell ref="P43:R44"/>
    <mergeCell ref="P46:R46"/>
    <mergeCell ref="P47:R47"/>
    <mergeCell ref="N45:O45"/>
    <mergeCell ref="R39:S39"/>
    <mergeCell ref="T39:U39"/>
    <mergeCell ref="V39:X39"/>
    <mergeCell ref="Y39:Z39"/>
    <mergeCell ref="S41:S44"/>
    <mergeCell ref="T41:W44"/>
    <mergeCell ref="M41:M42"/>
    <mergeCell ref="Q49:V49"/>
    <mergeCell ref="N49:P49"/>
    <mergeCell ref="P45:R45"/>
    <mergeCell ref="A51:C51"/>
    <mergeCell ref="D51:F51"/>
    <mergeCell ref="N46:O46"/>
    <mergeCell ref="N47:O47"/>
    <mergeCell ref="T45:W45"/>
    <mergeCell ref="T46:W46"/>
    <mergeCell ref="H49:J49"/>
    <mergeCell ref="K49:L49"/>
    <mergeCell ref="A48:C48"/>
    <mergeCell ref="A49:C49"/>
    <mergeCell ref="A50:C50"/>
    <mergeCell ref="D50:F50"/>
    <mergeCell ref="D48:F48"/>
    <mergeCell ref="A47:C47"/>
    <mergeCell ref="D47:F47"/>
    <mergeCell ref="G46:L46"/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A7:L7"/>
    <mergeCell ref="I11:L11"/>
    <mergeCell ref="A8:L8"/>
    <mergeCell ref="A1:F1"/>
    <mergeCell ref="A2:F2"/>
    <mergeCell ref="A3:F3"/>
    <mergeCell ref="A4:F4"/>
    <mergeCell ref="A5:F5"/>
    <mergeCell ref="A6:F6"/>
    <mergeCell ref="A9:L9"/>
    <mergeCell ref="G3:H4"/>
    <mergeCell ref="I3:L4"/>
    <mergeCell ref="A11:D11"/>
    <mergeCell ref="E11:H11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4" orientation="portrait" horizontalDpi="180" verticalDpi="180" r:id="rId1"/>
  <headerFooter alignWithMargins="0"/>
  <colBreaks count="1" manualBreakCount="1">
    <brk id="1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>
  <sheetPr codeName="Лист5"/>
  <dimension ref="A1:Z52"/>
  <sheetViews>
    <sheetView zoomScaleNormal="100" zoomScaleSheetLayoutView="75" workbookViewId="0">
      <selection activeCell="F37" sqref="F37"/>
    </sheetView>
  </sheetViews>
  <sheetFormatPr defaultRowHeight="18.75"/>
  <cols>
    <col min="1" max="1" width="11.140625" style="2" customWidth="1"/>
    <col min="2" max="2" width="15.140625" style="2" customWidth="1"/>
    <col min="3" max="3" width="13.5703125" style="2" customWidth="1"/>
    <col min="4" max="4" width="12.7109375" style="2" customWidth="1"/>
    <col min="5" max="5" width="5.42578125" style="2" customWidth="1"/>
    <col min="6" max="6" width="14.140625" style="2" customWidth="1"/>
    <col min="7" max="7" width="13.7109375" style="2" customWidth="1"/>
    <col min="8" max="8" width="16.42578125" style="2" customWidth="1"/>
    <col min="9" max="9" width="8.28515625" style="2" customWidth="1"/>
    <col min="10" max="11" width="8.85546875" style="2" customWidth="1"/>
    <col min="12" max="12" width="18.85546875" style="2" customWidth="1"/>
    <col min="13" max="26" width="10.28515625" style="2" customWidth="1"/>
    <col min="27" max="16384" width="9.140625" style="2"/>
  </cols>
  <sheetData>
    <row r="1" spans="1:26" ht="21.75" customHeight="1">
      <c r="A1" s="59" t="s">
        <v>157</v>
      </c>
      <c r="B1" s="59"/>
      <c r="C1" s="59"/>
      <c r="D1" s="59"/>
      <c r="E1" s="59"/>
      <c r="F1" s="59"/>
      <c r="G1" s="63" t="s">
        <v>154</v>
      </c>
      <c r="H1" s="63"/>
      <c r="I1" s="59" t="s">
        <v>160</v>
      </c>
      <c r="J1" s="59"/>
      <c r="K1" s="59"/>
      <c r="L1" s="59"/>
      <c r="M1" s="91" t="s">
        <v>96</v>
      </c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spans="1:26" ht="21.75" customHeight="1">
      <c r="A2" s="61" t="s">
        <v>45</v>
      </c>
      <c r="B2" s="61"/>
      <c r="C2" s="61"/>
      <c r="D2" s="61"/>
      <c r="E2" s="61"/>
      <c r="F2" s="61"/>
      <c r="G2" s="63"/>
      <c r="H2" s="63"/>
      <c r="I2" s="59"/>
      <c r="J2" s="59"/>
      <c r="K2" s="59"/>
      <c r="L2" s="59"/>
      <c r="M2" s="91" t="s">
        <v>78</v>
      </c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spans="1:26" ht="21.75" customHeight="1">
      <c r="A3" s="59" t="s">
        <v>158</v>
      </c>
      <c r="B3" s="60"/>
      <c r="C3" s="60"/>
      <c r="D3" s="60"/>
      <c r="E3" s="60"/>
      <c r="F3" s="60"/>
      <c r="G3" s="63" t="s">
        <v>155</v>
      </c>
      <c r="H3" s="63"/>
      <c r="I3" s="59" t="s">
        <v>211</v>
      </c>
      <c r="J3" s="59"/>
      <c r="K3" s="59"/>
      <c r="L3" s="59"/>
      <c r="M3" s="104" t="s">
        <v>79</v>
      </c>
      <c r="N3" s="100" t="s">
        <v>81</v>
      </c>
      <c r="O3" s="104"/>
      <c r="P3" s="100" t="s">
        <v>65</v>
      </c>
      <c r="Q3" s="104"/>
      <c r="R3" s="100" t="s">
        <v>82</v>
      </c>
      <c r="S3" s="104"/>
      <c r="T3" s="100" t="s">
        <v>85</v>
      </c>
      <c r="U3" s="104"/>
      <c r="V3" s="100" t="s">
        <v>87</v>
      </c>
      <c r="W3" s="104"/>
      <c r="X3" s="107" t="s">
        <v>91</v>
      </c>
      <c r="Y3" s="108"/>
      <c r="Z3" s="108"/>
    </row>
    <row r="4" spans="1:26" ht="29.25" customHeight="1">
      <c r="A4" s="61" t="s">
        <v>46</v>
      </c>
      <c r="B4" s="61"/>
      <c r="C4" s="61"/>
      <c r="D4" s="61"/>
      <c r="E4" s="61"/>
      <c r="F4" s="61"/>
      <c r="G4" s="63"/>
      <c r="H4" s="63"/>
      <c r="I4" s="59"/>
      <c r="J4" s="59"/>
      <c r="K4" s="59"/>
      <c r="L4" s="59"/>
      <c r="M4" s="95"/>
      <c r="N4" s="101"/>
      <c r="O4" s="95"/>
      <c r="P4" s="101"/>
      <c r="Q4" s="95"/>
      <c r="R4" s="101" t="s">
        <v>83</v>
      </c>
      <c r="S4" s="95"/>
      <c r="T4" s="101" t="s">
        <v>86</v>
      </c>
      <c r="U4" s="95"/>
      <c r="V4" s="101" t="s">
        <v>88</v>
      </c>
      <c r="W4" s="95"/>
      <c r="X4" s="107"/>
      <c r="Y4" s="108"/>
      <c r="Z4" s="108"/>
    </row>
    <row r="5" spans="1:26" ht="21.75" customHeight="1">
      <c r="A5" s="59" t="s">
        <v>185</v>
      </c>
      <c r="B5" s="60"/>
      <c r="C5" s="60"/>
      <c r="D5" s="60"/>
      <c r="E5" s="60"/>
      <c r="F5" s="60"/>
      <c r="G5" s="63" t="s">
        <v>156</v>
      </c>
      <c r="H5" s="63"/>
      <c r="I5" s="59" t="s">
        <v>272</v>
      </c>
      <c r="J5" s="59"/>
      <c r="K5" s="59"/>
      <c r="L5" s="59"/>
      <c r="M5" s="95" t="s">
        <v>80</v>
      </c>
      <c r="N5" s="101"/>
      <c r="O5" s="95"/>
      <c r="P5" s="101" t="s">
        <v>190</v>
      </c>
      <c r="Q5" s="95"/>
      <c r="R5" s="109" t="s">
        <v>84</v>
      </c>
      <c r="S5" s="110"/>
      <c r="T5" s="109" t="s">
        <v>84</v>
      </c>
      <c r="U5" s="110"/>
      <c r="V5" s="101" t="s">
        <v>89</v>
      </c>
      <c r="W5" s="95"/>
      <c r="X5" s="107"/>
      <c r="Y5" s="108"/>
      <c r="Z5" s="108"/>
    </row>
    <row r="6" spans="1:26" ht="21.75" customHeight="1">
      <c r="A6" s="61" t="s">
        <v>47</v>
      </c>
      <c r="B6" s="61"/>
      <c r="C6" s="61"/>
      <c r="D6" s="61"/>
      <c r="E6" s="61"/>
      <c r="F6" s="61"/>
      <c r="G6" s="63"/>
      <c r="H6" s="63"/>
      <c r="I6" s="59"/>
      <c r="J6" s="59"/>
      <c r="K6" s="59"/>
      <c r="L6" s="59"/>
      <c r="M6" s="96"/>
      <c r="N6" s="103"/>
      <c r="O6" s="96"/>
      <c r="P6" s="103"/>
      <c r="Q6" s="96"/>
      <c r="R6" s="103"/>
      <c r="S6" s="96"/>
      <c r="T6" s="103"/>
      <c r="U6" s="96"/>
      <c r="V6" s="103" t="s">
        <v>90</v>
      </c>
      <c r="W6" s="96"/>
      <c r="X6" s="107"/>
      <c r="Y6" s="108"/>
      <c r="Z6" s="108"/>
    </row>
    <row r="7" spans="1:26" ht="21.75" customHeight="1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10"/>
      <c r="N7" s="89"/>
      <c r="O7" s="105"/>
      <c r="P7" s="89"/>
      <c r="Q7" s="105"/>
      <c r="R7" s="89"/>
      <c r="S7" s="105"/>
      <c r="T7" s="89"/>
      <c r="U7" s="105"/>
      <c r="V7" s="89"/>
      <c r="W7" s="105"/>
      <c r="X7" s="89"/>
      <c r="Y7" s="90"/>
      <c r="Z7" s="90"/>
    </row>
    <row r="8" spans="1:26" ht="22.5" customHeight="1">
      <c r="A8" s="94" t="s">
        <v>48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10"/>
      <c r="N8" s="89"/>
      <c r="O8" s="105"/>
      <c r="P8" s="89"/>
      <c r="Q8" s="105"/>
      <c r="R8" s="89"/>
      <c r="S8" s="105"/>
      <c r="T8" s="89"/>
      <c r="U8" s="105"/>
      <c r="V8" s="89"/>
      <c r="W8" s="105"/>
      <c r="X8" s="89"/>
      <c r="Y8" s="90"/>
      <c r="Z8" s="90"/>
    </row>
    <row r="9" spans="1:26" ht="22.5" customHeight="1">
      <c r="A9" s="88" t="s">
        <v>49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10"/>
      <c r="N9" s="89"/>
      <c r="O9" s="105"/>
      <c r="P9" s="89"/>
      <c r="Q9" s="105"/>
      <c r="R9" s="89"/>
      <c r="S9" s="105"/>
      <c r="T9" s="89"/>
      <c r="U9" s="105"/>
      <c r="V9" s="89"/>
      <c r="W9" s="105"/>
      <c r="X9" s="89"/>
      <c r="Y9" s="90"/>
      <c r="Z9" s="90"/>
    </row>
    <row r="10" spans="1:26" ht="22.5" customHeight="1">
      <c r="A10" s="80" t="s">
        <v>112</v>
      </c>
      <c r="B10" s="80"/>
      <c r="C10" s="80"/>
      <c r="D10" s="80"/>
      <c r="E10" s="81" t="s">
        <v>383</v>
      </c>
      <c r="F10" s="81"/>
      <c r="G10" s="81"/>
      <c r="H10" s="62" t="s">
        <v>384</v>
      </c>
      <c r="I10" s="62"/>
      <c r="J10" s="62"/>
      <c r="K10" s="62"/>
      <c r="L10" s="62"/>
      <c r="M10" s="10"/>
      <c r="N10" s="89"/>
      <c r="O10" s="105"/>
      <c r="P10" s="89"/>
      <c r="Q10" s="105"/>
      <c r="R10" s="89"/>
      <c r="S10" s="105"/>
      <c r="T10" s="89"/>
      <c r="U10" s="105"/>
      <c r="V10" s="89"/>
      <c r="W10" s="105"/>
      <c r="X10" s="89"/>
      <c r="Y10" s="90"/>
      <c r="Z10" s="90"/>
    </row>
    <row r="11" spans="1:26" ht="22.5" customHeight="1">
      <c r="A11" s="80" t="s">
        <v>113</v>
      </c>
      <c r="B11" s="80"/>
      <c r="C11" s="80"/>
      <c r="D11" s="80"/>
      <c r="E11" s="79" t="s">
        <v>240</v>
      </c>
      <c r="F11" s="79"/>
      <c r="G11" s="79"/>
      <c r="H11" s="79"/>
      <c r="I11" s="62" t="s">
        <v>114</v>
      </c>
      <c r="J11" s="62"/>
      <c r="K11" s="62"/>
      <c r="L11" s="62"/>
      <c r="M11" s="10"/>
      <c r="N11" s="89"/>
      <c r="O11" s="105"/>
      <c r="P11" s="89"/>
      <c r="Q11" s="105"/>
      <c r="R11" s="89"/>
      <c r="S11" s="105"/>
      <c r="T11" s="89"/>
      <c r="U11" s="105"/>
      <c r="V11" s="89"/>
      <c r="W11" s="105"/>
      <c r="X11" s="89"/>
      <c r="Y11" s="90"/>
      <c r="Z11" s="90"/>
    </row>
    <row r="12" spans="1:26" ht="21.75" customHeight="1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10"/>
      <c r="N12" s="89"/>
      <c r="O12" s="105"/>
      <c r="P12" s="89"/>
      <c r="Q12" s="105"/>
      <c r="R12" s="89"/>
      <c r="S12" s="105"/>
      <c r="T12" s="89"/>
      <c r="U12" s="105"/>
      <c r="V12" s="89"/>
      <c r="W12" s="105"/>
      <c r="X12" s="89"/>
      <c r="Y12" s="90"/>
      <c r="Z12" s="90"/>
    </row>
    <row r="13" spans="1:26" ht="21.75" customHeight="1">
      <c r="A13" s="64" t="s">
        <v>50</v>
      </c>
      <c r="B13" s="72" t="s">
        <v>56</v>
      </c>
      <c r="C13" s="73"/>
      <c r="D13" s="74" t="s">
        <v>198</v>
      </c>
      <c r="E13" s="75"/>
      <c r="F13" s="72" t="s">
        <v>59</v>
      </c>
      <c r="G13" s="73"/>
      <c r="H13" s="18" t="s">
        <v>198</v>
      </c>
      <c r="I13" s="84" t="s">
        <v>5</v>
      </c>
      <c r="J13" s="72" t="s">
        <v>60</v>
      </c>
      <c r="K13" s="64"/>
      <c r="L13" s="17" t="s">
        <v>65</v>
      </c>
      <c r="M13" s="10"/>
      <c r="N13" s="89"/>
      <c r="O13" s="105"/>
      <c r="P13" s="89"/>
      <c r="Q13" s="105"/>
      <c r="R13" s="89"/>
      <c r="S13" s="105"/>
      <c r="T13" s="89"/>
      <c r="U13" s="105"/>
      <c r="V13" s="89"/>
      <c r="W13" s="105"/>
      <c r="X13" s="89"/>
      <c r="Y13" s="90"/>
      <c r="Z13" s="90"/>
    </row>
    <row r="14" spans="1:26" ht="21.75" customHeight="1">
      <c r="A14" s="65"/>
      <c r="B14" s="82" t="s">
        <v>57</v>
      </c>
      <c r="C14" s="83"/>
      <c r="D14" s="92" t="s">
        <v>277</v>
      </c>
      <c r="E14" s="93"/>
      <c r="F14" s="82" t="s">
        <v>57</v>
      </c>
      <c r="G14" s="83"/>
      <c r="H14" s="19" t="s">
        <v>278</v>
      </c>
      <c r="I14" s="85"/>
      <c r="J14" s="82" t="s">
        <v>61</v>
      </c>
      <c r="K14" s="65"/>
      <c r="L14" s="17" t="s">
        <v>66</v>
      </c>
      <c r="M14" s="10"/>
      <c r="N14" s="89"/>
      <c r="O14" s="105"/>
      <c r="P14" s="89"/>
      <c r="Q14" s="105"/>
      <c r="R14" s="89"/>
      <c r="S14" s="105"/>
      <c r="T14" s="89"/>
      <c r="U14" s="105"/>
      <c r="V14" s="89"/>
      <c r="W14" s="105"/>
      <c r="X14" s="89"/>
      <c r="Y14" s="90"/>
      <c r="Z14" s="90"/>
    </row>
    <row r="15" spans="1:26" ht="21.75" customHeight="1">
      <c r="A15" s="65"/>
      <c r="B15" s="68" t="s">
        <v>58</v>
      </c>
      <c r="C15" s="69"/>
      <c r="D15" s="70">
        <v>4800</v>
      </c>
      <c r="E15" s="71"/>
      <c r="F15" s="68" t="s">
        <v>58</v>
      </c>
      <c r="G15" s="69"/>
      <c r="H15" s="20">
        <v>4800</v>
      </c>
      <c r="I15" s="85"/>
      <c r="J15" s="68" t="s">
        <v>62</v>
      </c>
      <c r="K15" s="78"/>
      <c r="L15" s="17" t="s">
        <v>67</v>
      </c>
      <c r="M15" s="10"/>
      <c r="N15" s="89"/>
      <c r="O15" s="105"/>
      <c r="P15" s="89"/>
      <c r="Q15" s="105"/>
      <c r="R15" s="89"/>
      <c r="S15" s="105"/>
      <c r="T15" s="89"/>
      <c r="U15" s="105"/>
      <c r="V15" s="89"/>
      <c r="W15" s="105"/>
      <c r="X15" s="89"/>
      <c r="Y15" s="90"/>
      <c r="Z15" s="90"/>
    </row>
    <row r="16" spans="1:26" ht="21.75" customHeight="1">
      <c r="A16" s="65"/>
      <c r="B16" s="13" t="s">
        <v>51</v>
      </c>
      <c r="C16" s="13" t="s">
        <v>53</v>
      </c>
      <c r="D16" s="13" t="s">
        <v>54</v>
      </c>
      <c r="E16" s="66"/>
      <c r="F16" s="13" t="s">
        <v>51</v>
      </c>
      <c r="G16" s="13" t="s">
        <v>53</v>
      </c>
      <c r="H16" s="11" t="s">
        <v>54</v>
      </c>
      <c r="I16" s="85"/>
      <c r="J16" s="66" t="s">
        <v>63</v>
      </c>
      <c r="K16" s="66" t="s">
        <v>64</v>
      </c>
      <c r="L16" s="17" t="s">
        <v>68</v>
      </c>
      <c r="M16" s="10"/>
      <c r="N16" s="89"/>
      <c r="O16" s="105"/>
      <c r="P16" s="89"/>
      <c r="Q16" s="105"/>
      <c r="R16" s="89"/>
      <c r="S16" s="105"/>
      <c r="T16" s="89"/>
      <c r="U16" s="105"/>
      <c r="V16" s="89"/>
      <c r="W16" s="105"/>
      <c r="X16" s="89"/>
      <c r="Y16" s="90"/>
      <c r="Z16" s="90"/>
    </row>
    <row r="17" spans="1:26" ht="21.75" customHeight="1">
      <c r="A17" s="65"/>
      <c r="B17" s="26" t="s">
        <v>52</v>
      </c>
      <c r="C17" s="26" t="s">
        <v>51</v>
      </c>
      <c r="D17" s="26" t="s">
        <v>55</v>
      </c>
      <c r="E17" s="67"/>
      <c r="F17" s="26" t="s">
        <v>52</v>
      </c>
      <c r="G17" s="14" t="s">
        <v>51</v>
      </c>
      <c r="H17" s="12" t="s">
        <v>55</v>
      </c>
      <c r="I17" s="119"/>
      <c r="J17" s="120"/>
      <c r="K17" s="120"/>
      <c r="L17" s="17" t="s">
        <v>69</v>
      </c>
      <c r="M17" s="111" t="s">
        <v>92</v>
      </c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spans="1:26" ht="23.25" customHeight="1">
      <c r="A18" s="29" t="s">
        <v>7</v>
      </c>
      <c r="B18" s="49">
        <v>104.8938</v>
      </c>
      <c r="C18" s="31"/>
      <c r="D18" s="30"/>
      <c r="E18" s="29"/>
      <c r="F18" s="49">
        <v>39.431600000000003</v>
      </c>
      <c r="G18" s="28"/>
      <c r="H18" s="30"/>
      <c r="I18" s="33"/>
      <c r="J18" s="29"/>
      <c r="K18" s="50">
        <v>6.6</v>
      </c>
      <c r="L18" s="35"/>
      <c r="M18" s="104" t="s">
        <v>79</v>
      </c>
      <c r="N18" s="98" t="s">
        <v>98</v>
      </c>
      <c r="O18" s="98"/>
      <c r="P18" s="98"/>
      <c r="Q18" s="98" t="s">
        <v>107</v>
      </c>
      <c r="R18" s="98"/>
      <c r="S18" s="98"/>
      <c r="T18" s="98" t="s">
        <v>93</v>
      </c>
      <c r="U18" s="98"/>
      <c r="V18" s="98"/>
      <c r="W18" s="100" t="s">
        <v>91</v>
      </c>
      <c r="X18" s="112"/>
      <c r="Y18" s="112"/>
      <c r="Z18" s="112"/>
    </row>
    <row r="19" spans="1:26" ht="23.25" customHeight="1">
      <c r="A19" s="29" t="s">
        <v>8</v>
      </c>
      <c r="B19" s="49">
        <v>104.8939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1.0000000000331966E-4</v>
      </c>
      <c r="D19" s="30">
        <f t="shared" ref="D19:D42" si="1">IF(C19="","",C19*$D$15)</f>
        <v>0.48000000001593435</v>
      </c>
      <c r="E19" s="29"/>
      <c r="F19" s="49">
        <v>39.431700000000006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1.0000000000331966E-4</v>
      </c>
      <c r="H19" s="30">
        <f t="shared" ref="H19:H42" si="3">IF(G19="","",G19*$H$15)</f>
        <v>0.48000000001593435</v>
      </c>
      <c r="I19" s="33">
        <f t="shared" ref="I19:I42" si="4">IF(H19="","",IF(D19="","",IF(AND(H19=0,D19=0),0,H19/D19)))</f>
        <v>1</v>
      </c>
      <c r="J19" s="29"/>
      <c r="K19" s="50">
        <v>6.6</v>
      </c>
      <c r="L19" s="35"/>
      <c r="M19" s="95"/>
      <c r="N19" s="99"/>
      <c r="O19" s="99"/>
      <c r="P19" s="99"/>
      <c r="Q19" s="99" t="s">
        <v>108</v>
      </c>
      <c r="R19" s="99"/>
      <c r="S19" s="99"/>
      <c r="T19" s="99"/>
      <c r="U19" s="99"/>
      <c r="V19" s="99"/>
      <c r="W19" s="101"/>
      <c r="X19" s="91"/>
      <c r="Y19" s="91"/>
      <c r="Z19" s="91"/>
    </row>
    <row r="20" spans="1:26" ht="23.25" customHeight="1">
      <c r="A20" s="29" t="s">
        <v>9</v>
      </c>
      <c r="B20" s="49">
        <v>104.8939</v>
      </c>
      <c r="C20" s="31">
        <f t="shared" si="0"/>
        <v>0</v>
      </c>
      <c r="D20" s="30">
        <f t="shared" si="1"/>
        <v>0</v>
      </c>
      <c r="E20" s="29"/>
      <c r="F20" s="49">
        <v>39.431700000000006</v>
      </c>
      <c r="G20" s="28">
        <f t="shared" si="2"/>
        <v>0</v>
      </c>
      <c r="H20" s="30">
        <f t="shared" si="3"/>
        <v>0</v>
      </c>
      <c r="I20" s="33">
        <f t="shared" si="4"/>
        <v>0</v>
      </c>
      <c r="J20" s="29"/>
      <c r="K20" s="50">
        <v>6.6</v>
      </c>
      <c r="L20" s="35"/>
      <c r="M20" s="95" t="s">
        <v>80</v>
      </c>
      <c r="N20" s="99" t="s">
        <v>99</v>
      </c>
      <c r="O20" s="99"/>
      <c r="P20" s="99"/>
      <c r="Q20" s="99" t="s">
        <v>189</v>
      </c>
      <c r="R20" s="99"/>
      <c r="S20" s="99"/>
      <c r="T20" s="99" t="s">
        <v>94</v>
      </c>
      <c r="U20" s="99"/>
      <c r="V20" s="99"/>
      <c r="W20" s="101"/>
      <c r="X20" s="91"/>
      <c r="Y20" s="91"/>
      <c r="Z20" s="91"/>
    </row>
    <row r="21" spans="1:26" ht="23.25" customHeight="1">
      <c r="A21" s="29" t="s">
        <v>10</v>
      </c>
      <c r="B21" s="49">
        <v>104.89400000000001</v>
      </c>
      <c r="C21" s="31">
        <f t="shared" si="0"/>
        <v>1.0000000000331966E-4</v>
      </c>
      <c r="D21" s="30">
        <f t="shared" si="1"/>
        <v>0.48000000001593435</v>
      </c>
      <c r="E21" s="29"/>
      <c r="F21" s="49">
        <v>39.431700000000006</v>
      </c>
      <c r="G21" s="28">
        <f t="shared" si="2"/>
        <v>0</v>
      </c>
      <c r="H21" s="30">
        <f t="shared" si="3"/>
        <v>0</v>
      </c>
      <c r="I21" s="33">
        <f t="shared" si="4"/>
        <v>0</v>
      </c>
      <c r="J21" s="29"/>
      <c r="K21" s="50">
        <v>6.6</v>
      </c>
      <c r="L21" s="35"/>
      <c r="M21" s="96"/>
      <c r="N21" s="102"/>
      <c r="O21" s="102"/>
      <c r="P21" s="102"/>
      <c r="Q21" s="102"/>
      <c r="R21" s="102"/>
      <c r="S21" s="102"/>
      <c r="T21" s="102"/>
      <c r="U21" s="102"/>
      <c r="V21" s="102"/>
      <c r="W21" s="103"/>
      <c r="X21" s="111"/>
      <c r="Y21" s="111"/>
      <c r="Z21" s="111"/>
    </row>
    <row r="22" spans="1:26" ht="23.25" customHeight="1">
      <c r="A22" s="29" t="s">
        <v>11</v>
      </c>
      <c r="B22" s="49">
        <v>104.8943</v>
      </c>
      <c r="C22" s="31">
        <f t="shared" si="0"/>
        <v>2.9999999999574811E-4</v>
      </c>
      <c r="D22" s="30">
        <f t="shared" si="1"/>
        <v>1.4399999999795909</v>
      </c>
      <c r="E22" s="29"/>
      <c r="F22" s="49">
        <v>39.431700000000006</v>
      </c>
      <c r="G22" s="28">
        <f t="shared" si="2"/>
        <v>0</v>
      </c>
      <c r="H22" s="30">
        <f t="shared" si="3"/>
        <v>0</v>
      </c>
      <c r="I22" s="33">
        <f t="shared" si="4"/>
        <v>0</v>
      </c>
      <c r="J22" s="29"/>
      <c r="K22" s="50">
        <v>6.6</v>
      </c>
      <c r="L22" s="35"/>
      <c r="M22" s="10"/>
      <c r="N22" s="106"/>
      <c r="O22" s="106"/>
      <c r="P22" s="106"/>
      <c r="Q22" s="106"/>
      <c r="R22" s="106"/>
      <c r="S22" s="106"/>
      <c r="T22" s="106"/>
      <c r="U22" s="106"/>
      <c r="V22" s="106"/>
      <c r="W22" s="89"/>
      <c r="X22" s="90"/>
      <c r="Y22" s="90"/>
      <c r="Z22" s="90"/>
    </row>
    <row r="23" spans="1:26" ht="23.25" customHeight="1">
      <c r="A23" s="29" t="s">
        <v>12</v>
      </c>
      <c r="B23" s="49">
        <v>104.8946</v>
      </c>
      <c r="C23" s="31">
        <f t="shared" si="0"/>
        <v>2.9999999999574811E-4</v>
      </c>
      <c r="D23" s="30">
        <f t="shared" si="1"/>
        <v>1.4399999999795909</v>
      </c>
      <c r="E23" s="29"/>
      <c r="F23" s="49">
        <v>39.431700000000006</v>
      </c>
      <c r="G23" s="28">
        <f t="shared" si="2"/>
        <v>0</v>
      </c>
      <c r="H23" s="30">
        <f t="shared" si="3"/>
        <v>0</v>
      </c>
      <c r="I23" s="33">
        <f t="shared" si="4"/>
        <v>0</v>
      </c>
      <c r="J23" s="29"/>
      <c r="K23" s="50">
        <v>6.6</v>
      </c>
      <c r="L23" s="35"/>
      <c r="M23" s="10"/>
      <c r="N23" s="106"/>
      <c r="O23" s="106"/>
      <c r="P23" s="106"/>
      <c r="Q23" s="106"/>
      <c r="R23" s="106"/>
      <c r="S23" s="106"/>
      <c r="T23" s="106"/>
      <c r="U23" s="106"/>
      <c r="V23" s="106"/>
      <c r="W23" s="89"/>
      <c r="X23" s="90"/>
      <c r="Y23" s="90"/>
      <c r="Z23" s="90"/>
    </row>
    <row r="24" spans="1:26" ht="23.25" customHeight="1">
      <c r="A24" s="29" t="s">
        <v>13</v>
      </c>
      <c r="B24" s="49">
        <v>104.89489999999999</v>
      </c>
      <c r="C24" s="31">
        <f t="shared" si="0"/>
        <v>2.9999999999574811E-4</v>
      </c>
      <c r="D24" s="30">
        <f t="shared" si="1"/>
        <v>1.4399999999795909</v>
      </c>
      <c r="E24" s="29"/>
      <c r="F24" s="49">
        <v>39.431700000000006</v>
      </c>
      <c r="G24" s="28">
        <f t="shared" si="2"/>
        <v>0</v>
      </c>
      <c r="H24" s="30">
        <f t="shared" si="3"/>
        <v>0</v>
      </c>
      <c r="I24" s="33">
        <f t="shared" si="4"/>
        <v>0</v>
      </c>
      <c r="J24" s="29"/>
      <c r="K24" s="50">
        <v>6.6</v>
      </c>
      <c r="L24" s="35"/>
      <c r="M24" s="10"/>
      <c r="N24" s="106"/>
      <c r="O24" s="106"/>
      <c r="P24" s="106"/>
      <c r="Q24" s="106"/>
      <c r="R24" s="106"/>
      <c r="S24" s="106"/>
      <c r="T24" s="106"/>
      <c r="U24" s="106"/>
      <c r="V24" s="106"/>
      <c r="W24" s="89"/>
      <c r="X24" s="90"/>
      <c r="Y24" s="90"/>
      <c r="Z24" s="90"/>
    </row>
    <row r="25" spans="1:26" ht="23.25" customHeight="1">
      <c r="A25" s="29" t="s">
        <v>14</v>
      </c>
      <c r="B25" s="49">
        <v>104.8952</v>
      </c>
      <c r="C25" s="31">
        <f t="shared" si="0"/>
        <v>3.0000000000995897E-4</v>
      </c>
      <c r="D25" s="30">
        <f t="shared" si="1"/>
        <v>1.440000000047803</v>
      </c>
      <c r="E25" s="29"/>
      <c r="F25" s="49">
        <v>39.431700000000006</v>
      </c>
      <c r="G25" s="28">
        <f t="shared" si="2"/>
        <v>0</v>
      </c>
      <c r="H25" s="30">
        <f t="shared" si="3"/>
        <v>0</v>
      </c>
      <c r="I25" s="33">
        <f t="shared" si="4"/>
        <v>0</v>
      </c>
      <c r="J25" s="29"/>
      <c r="K25" s="50">
        <v>6.6</v>
      </c>
      <c r="L25" s="35"/>
      <c r="M25" s="10"/>
      <c r="N25" s="106"/>
      <c r="O25" s="106"/>
      <c r="P25" s="106"/>
      <c r="Q25" s="106"/>
      <c r="R25" s="106"/>
      <c r="S25" s="106"/>
      <c r="T25" s="106"/>
      <c r="U25" s="106"/>
      <c r="V25" s="106"/>
      <c r="W25" s="89"/>
      <c r="X25" s="90"/>
      <c r="Y25" s="90"/>
      <c r="Z25" s="90"/>
    </row>
    <row r="26" spans="1:26" ht="23.25" customHeight="1">
      <c r="A26" s="29" t="s">
        <v>15</v>
      </c>
      <c r="B26" s="49">
        <v>104.8954</v>
      </c>
      <c r="C26" s="31">
        <f t="shared" si="0"/>
        <v>1.9999999999242846E-4</v>
      </c>
      <c r="D26" s="30">
        <f t="shared" si="1"/>
        <v>0.95999999996365659</v>
      </c>
      <c r="E26" s="29"/>
      <c r="F26" s="49">
        <v>39.431700000000006</v>
      </c>
      <c r="G26" s="28">
        <f t="shared" si="2"/>
        <v>0</v>
      </c>
      <c r="H26" s="30">
        <f t="shared" si="3"/>
        <v>0</v>
      </c>
      <c r="I26" s="33">
        <f t="shared" si="4"/>
        <v>0</v>
      </c>
      <c r="J26" s="29"/>
      <c r="K26" s="50">
        <v>6.6</v>
      </c>
      <c r="L26" s="35"/>
      <c r="M26" s="10"/>
      <c r="N26" s="106"/>
      <c r="O26" s="106"/>
      <c r="P26" s="106"/>
      <c r="Q26" s="106"/>
      <c r="R26" s="106"/>
      <c r="S26" s="106"/>
      <c r="T26" s="106"/>
      <c r="U26" s="106"/>
      <c r="V26" s="106"/>
      <c r="W26" s="89"/>
      <c r="X26" s="90"/>
      <c r="Y26" s="90"/>
      <c r="Z26" s="90"/>
    </row>
    <row r="27" spans="1:26" ht="23.25" customHeight="1">
      <c r="A27" s="29" t="s">
        <v>16</v>
      </c>
      <c r="B27" s="49">
        <v>104.89570000000001</v>
      </c>
      <c r="C27" s="31">
        <f t="shared" si="0"/>
        <v>3.0000000000995897E-4</v>
      </c>
      <c r="D27" s="30">
        <f t="shared" si="1"/>
        <v>1.440000000047803</v>
      </c>
      <c r="E27" s="29"/>
      <c r="F27" s="49">
        <v>39.431700000000006</v>
      </c>
      <c r="G27" s="28">
        <f t="shared" si="2"/>
        <v>0</v>
      </c>
      <c r="H27" s="30">
        <f t="shared" si="3"/>
        <v>0</v>
      </c>
      <c r="I27" s="33">
        <f t="shared" si="4"/>
        <v>0</v>
      </c>
      <c r="J27" s="29"/>
      <c r="K27" s="50">
        <v>6.6</v>
      </c>
      <c r="L27" s="35"/>
      <c r="M27" s="10"/>
      <c r="N27" s="106"/>
      <c r="O27" s="106"/>
      <c r="P27" s="106"/>
      <c r="Q27" s="106"/>
      <c r="R27" s="106"/>
      <c r="S27" s="106"/>
      <c r="T27" s="106"/>
      <c r="U27" s="106"/>
      <c r="V27" s="106"/>
      <c r="W27" s="89"/>
      <c r="X27" s="90"/>
      <c r="Y27" s="90"/>
      <c r="Z27" s="90"/>
    </row>
    <row r="28" spans="1:26" ht="23.25" customHeight="1">
      <c r="A28" s="29" t="s">
        <v>17</v>
      </c>
      <c r="B28" s="49">
        <v>104.8959</v>
      </c>
      <c r="C28" s="31">
        <f t="shared" si="0"/>
        <v>1.9999999999242846E-4</v>
      </c>
      <c r="D28" s="30">
        <f t="shared" si="1"/>
        <v>0.95999999996365659</v>
      </c>
      <c r="E28" s="29"/>
      <c r="F28" s="49">
        <v>39.431700000000006</v>
      </c>
      <c r="G28" s="28">
        <f t="shared" si="2"/>
        <v>0</v>
      </c>
      <c r="H28" s="30">
        <f t="shared" si="3"/>
        <v>0</v>
      </c>
      <c r="I28" s="33">
        <f t="shared" si="4"/>
        <v>0</v>
      </c>
      <c r="J28" s="29"/>
      <c r="K28" s="50">
        <v>6.5</v>
      </c>
      <c r="L28" s="35"/>
      <c r="M28" s="10"/>
      <c r="N28" s="106"/>
      <c r="O28" s="106"/>
      <c r="P28" s="106"/>
      <c r="Q28" s="106"/>
      <c r="R28" s="106"/>
      <c r="S28" s="106"/>
      <c r="T28" s="106"/>
      <c r="U28" s="106"/>
      <c r="V28" s="106"/>
      <c r="W28" s="89"/>
      <c r="X28" s="90"/>
      <c r="Y28" s="90"/>
      <c r="Z28" s="90"/>
    </row>
    <row r="29" spans="1:26" ht="23.25" customHeight="1">
      <c r="A29" s="29" t="s">
        <v>18</v>
      </c>
      <c r="B29" s="49">
        <v>104.896</v>
      </c>
      <c r="C29" s="31">
        <f t="shared" si="0"/>
        <v>1.0000000000331966E-4</v>
      </c>
      <c r="D29" s="30">
        <f t="shared" si="1"/>
        <v>0.48000000001593435</v>
      </c>
      <c r="E29" s="29"/>
      <c r="F29" s="49">
        <v>39.431700000000006</v>
      </c>
      <c r="G29" s="28">
        <f t="shared" si="2"/>
        <v>0</v>
      </c>
      <c r="H29" s="30">
        <f t="shared" si="3"/>
        <v>0</v>
      </c>
      <c r="I29" s="33">
        <f t="shared" si="4"/>
        <v>0</v>
      </c>
      <c r="J29" s="29"/>
      <c r="K29" s="50">
        <v>6.5</v>
      </c>
      <c r="L29" s="35"/>
      <c r="M29" s="97" t="s">
        <v>95</v>
      </c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23.25" customHeight="1">
      <c r="A30" s="29" t="s">
        <v>19</v>
      </c>
      <c r="B30" s="49">
        <v>104.8961</v>
      </c>
      <c r="C30" s="31">
        <f t="shared" si="0"/>
        <v>1.0000000000331966E-4</v>
      </c>
      <c r="D30" s="30">
        <f t="shared" si="1"/>
        <v>0.48000000001593435</v>
      </c>
      <c r="E30" s="29"/>
      <c r="F30" s="49">
        <v>39.431700000000006</v>
      </c>
      <c r="G30" s="28">
        <f t="shared" si="2"/>
        <v>0</v>
      </c>
      <c r="H30" s="30">
        <f t="shared" si="3"/>
        <v>0</v>
      </c>
      <c r="I30" s="33">
        <f t="shared" si="4"/>
        <v>0</v>
      </c>
      <c r="J30" s="29"/>
      <c r="K30" s="50">
        <v>6.5</v>
      </c>
      <c r="L30" s="35"/>
      <c r="M30" s="91" t="s">
        <v>97</v>
      </c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 spans="1:26" ht="23.25" customHeight="1">
      <c r="A31" s="29" t="s">
        <v>20</v>
      </c>
      <c r="B31" s="49">
        <v>104.89619999999999</v>
      </c>
      <c r="C31" s="31">
        <f t="shared" si="0"/>
        <v>9.9999999989108801E-5</v>
      </c>
      <c r="D31" s="30">
        <f t="shared" si="1"/>
        <v>0.47999999994772224</v>
      </c>
      <c r="E31" s="29"/>
      <c r="F31" s="49">
        <v>39.431700000000006</v>
      </c>
      <c r="G31" s="28">
        <f t="shared" si="2"/>
        <v>0</v>
      </c>
      <c r="H31" s="30">
        <f t="shared" si="3"/>
        <v>0</v>
      </c>
      <c r="I31" s="33">
        <f t="shared" si="4"/>
        <v>0</v>
      </c>
      <c r="J31" s="29"/>
      <c r="K31" s="50">
        <v>6.5</v>
      </c>
      <c r="L31" s="35"/>
      <c r="M31" s="104" t="s">
        <v>79</v>
      </c>
      <c r="N31" s="98" t="s">
        <v>98</v>
      </c>
      <c r="O31" s="98"/>
      <c r="P31" s="98" t="s">
        <v>100</v>
      </c>
      <c r="Q31" s="98"/>
      <c r="R31" s="98" t="s">
        <v>93</v>
      </c>
      <c r="S31" s="98"/>
      <c r="T31" s="98" t="s">
        <v>103</v>
      </c>
      <c r="U31" s="98"/>
      <c r="V31" s="98" t="s">
        <v>187</v>
      </c>
      <c r="W31" s="98"/>
      <c r="X31" s="98"/>
      <c r="Y31" s="98" t="s">
        <v>91</v>
      </c>
      <c r="Z31" s="100"/>
    </row>
    <row r="32" spans="1:26" ht="23.25" customHeight="1">
      <c r="A32" s="29" t="s">
        <v>21</v>
      </c>
      <c r="B32" s="49">
        <v>104.8963</v>
      </c>
      <c r="C32" s="31">
        <f t="shared" si="0"/>
        <v>1.0000000000331966E-4</v>
      </c>
      <c r="D32" s="30">
        <f t="shared" si="1"/>
        <v>0.48000000001593435</v>
      </c>
      <c r="E32" s="29"/>
      <c r="F32" s="49">
        <v>39.431700000000006</v>
      </c>
      <c r="G32" s="28">
        <f t="shared" si="2"/>
        <v>0</v>
      </c>
      <c r="H32" s="30">
        <f t="shared" si="3"/>
        <v>0</v>
      </c>
      <c r="I32" s="33">
        <f t="shared" si="4"/>
        <v>0</v>
      </c>
      <c r="J32" s="29"/>
      <c r="K32" s="50">
        <v>6.5</v>
      </c>
      <c r="L32" s="35"/>
      <c r="M32" s="95"/>
      <c r="N32" s="99"/>
      <c r="O32" s="99"/>
      <c r="P32" s="99" t="s">
        <v>83</v>
      </c>
      <c r="Q32" s="99"/>
      <c r="R32" s="99" t="s">
        <v>102</v>
      </c>
      <c r="S32" s="99"/>
      <c r="T32" s="99" t="s">
        <v>104</v>
      </c>
      <c r="U32" s="99"/>
      <c r="V32" s="99" t="s">
        <v>105</v>
      </c>
      <c r="W32" s="99"/>
      <c r="X32" s="99"/>
      <c r="Y32" s="99"/>
      <c r="Z32" s="101"/>
    </row>
    <row r="33" spans="1:26" ht="23.25" customHeight="1">
      <c r="A33" s="29" t="s">
        <v>22</v>
      </c>
      <c r="B33" s="49">
        <v>104.8963</v>
      </c>
      <c r="C33" s="31">
        <f t="shared" si="0"/>
        <v>0</v>
      </c>
      <c r="D33" s="30">
        <f t="shared" si="1"/>
        <v>0</v>
      </c>
      <c r="E33" s="29"/>
      <c r="F33" s="49">
        <v>39.431700000000006</v>
      </c>
      <c r="G33" s="28">
        <f t="shared" si="2"/>
        <v>0</v>
      </c>
      <c r="H33" s="30">
        <f t="shared" si="3"/>
        <v>0</v>
      </c>
      <c r="I33" s="33">
        <f t="shared" si="4"/>
        <v>0</v>
      </c>
      <c r="J33" s="29"/>
      <c r="K33" s="50">
        <v>6.5</v>
      </c>
      <c r="L33" s="35"/>
      <c r="M33" s="95" t="s">
        <v>80</v>
      </c>
      <c r="N33" s="99" t="s">
        <v>99</v>
      </c>
      <c r="O33" s="99"/>
      <c r="P33" s="99" t="s">
        <v>101</v>
      </c>
      <c r="Q33" s="99"/>
      <c r="R33" s="99" t="s">
        <v>69</v>
      </c>
      <c r="S33" s="99"/>
      <c r="T33" s="99" t="s">
        <v>69</v>
      </c>
      <c r="U33" s="99"/>
      <c r="V33" s="99" t="s">
        <v>106</v>
      </c>
      <c r="W33" s="99"/>
      <c r="X33" s="99"/>
      <c r="Y33" s="99"/>
      <c r="Z33" s="101"/>
    </row>
    <row r="34" spans="1:26" ht="23.25" customHeight="1">
      <c r="A34" s="29" t="s">
        <v>23</v>
      </c>
      <c r="B34" s="49">
        <v>104.8963</v>
      </c>
      <c r="C34" s="31">
        <f t="shared" si="0"/>
        <v>0</v>
      </c>
      <c r="D34" s="30">
        <f t="shared" si="1"/>
        <v>0</v>
      </c>
      <c r="E34" s="29"/>
      <c r="F34" s="49">
        <v>39.431700000000006</v>
      </c>
      <c r="G34" s="28">
        <f t="shared" si="2"/>
        <v>0</v>
      </c>
      <c r="H34" s="30">
        <f t="shared" si="3"/>
        <v>0</v>
      </c>
      <c r="I34" s="33">
        <f t="shared" si="4"/>
        <v>0</v>
      </c>
      <c r="J34" s="29"/>
      <c r="K34" s="50">
        <v>6.5</v>
      </c>
      <c r="L34" s="35"/>
      <c r="M34" s="96"/>
      <c r="N34" s="102"/>
      <c r="O34" s="102"/>
      <c r="P34" s="102"/>
      <c r="Q34" s="102"/>
      <c r="R34" s="103"/>
      <c r="S34" s="96"/>
      <c r="T34" s="103"/>
      <c r="U34" s="96"/>
      <c r="V34" s="103"/>
      <c r="W34" s="111"/>
      <c r="X34" s="96"/>
      <c r="Y34" s="102"/>
      <c r="Z34" s="103"/>
    </row>
    <row r="35" spans="1:26" ht="23.25" customHeight="1">
      <c r="A35" s="29" t="s">
        <v>24</v>
      </c>
      <c r="B35" s="49">
        <v>104.8964</v>
      </c>
      <c r="C35" s="31">
        <f t="shared" si="0"/>
        <v>1.0000000000331966E-4</v>
      </c>
      <c r="D35" s="30">
        <f t="shared" si="1"/>
        <v>0.48000000001593435</v>
      </c>
      <c r="E35" s="29"/>
      <c r="F35" s="49">
        <v>39.431700000000006</v>
      </c>
      <c r="G35" s="28">
        <f t="shared" si="2"/>
        <v>0</v>
      </c>
      <c r="H35" s="30">
        <f t="shared" si="3"/>
        <v>0</v>
      </c>
      <c r="I35" s="33">
        <f t="shared" si="4"/>
        <v>0</v>
      </c>
      <c r="J35" s="29"/>
      <c r="K35" s="50">
        <v>6.5</v>
      </c>
      <c r="L35" s="35"/>
      <c r="M35" s="10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89"/>
    </row>
    <row r="36" spans="1:26" ht="23.25" customHeight="1">
      <c r="A36" s="29" t="s">
        <v>25</v>
      </c>
      <c r="B36" s="49">
        <v>104.89659999999999</v>
      </c>
      <c r="C36" s="31">
        <f t="shared" si="0"/>
        <v>1.9999999999242846E-4</v>
      </c>
      <c r="D36" s="30">
        <f t="shared" si="1"/>
        <v>0.95999999996365659</v>
      </c>
      <c r="E36" s="29"/>
      <c r="F36" s="49">
        <v>39.431700000000006</v>
      </c>
      <c r="G36" s="28">
        <f t="shared" si="2"/>
        <v>0</v>
      </c>
      <c r="H36" s="30">
        <f t="shared" si="3"/>
        <v>0</v>
      </c>
      <c r="I36" s="33">
        <f>IF(H36="","",IF(D36="","",IF(AND(H36=0,D36=0),0,H36/D36)))</f>
        <v>0</v>
      </c>
      <c r="J36" s="29"/>
      <c r="K36" s="50">
        <v>6.5</v>
      </c>
      <c r="L36" s="35"/>
      <c r="M36" s="10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89"/>
    </row>
    <row r="37" spans="1:26" ht="23.25" customHeight="1">
      <c r="A37" s="29" t="s">
        <v>26</v>
      </c>
      <c r="B37" s="49">
        <v>104.8968</v>
      </c>
      <c r="C37" s="31">
        <f t="shared" si="0"/>
        <v>2.0000000000663931E-4</v>
      </c>
      <c r="D37" s="30">
        <f t="shared" si="1"/>
        <v>0.96000000003186869</v>
      </c>
      <c r="E37" s="29"/>
      <c r="F37" s="49">
        <v>39.431700000000006</v>
      </c>
      <c r="G37" s="28">
        <f t="shared" si="2"/>
        <v>0</v>
      </c>
      <c r="H37" s="30">
        <f t="shared" si="3"/>
        <v>0</v>
      </c>
      <c r="I37" s="33">
        <f t="shared" si="4"/>
        <v>0</v>
      </c>
      <c r="J37" s="29"/>
      <c r="K37" s="50">
        <v>6.5</v>
      </c>
      <c r="L37" s="35"/>
      <c r="M37" s="10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89"/>
    </row>
    <row r="38" spans="1:26" ht="23.25" customHeight="1">
      <c r="A38" s="29" t="s">
        <v>27</v>
      </c>
      <c r="B38" s="49">
        <v>104.8969</v>
      </c>
      <c r="C38" s="31">
        <f t="shared" si="0"/>
        <v>1.0000000000331966E-4</v>
      </c>
      <c r="D38" s="30">
        <f t="shared" si="1"/>
        <v>0.48000000001593435</v>
      </c>
      <c r="E38" s="29"/>
      <c r="F38" s="49">
        <v>39.431700000000006</v>
      </c>
      <c r="G38" s="28">
        <f t="shared" si="2"/>
        <v>0</v>
      </c>
      <c r="H38" s="30">
        <f t="shared" si="3"/>
        <v>0</v>
      </c>
      <c r="I38" s="33">
        <f t="shared" si="4"/>
        <v>0</v>
      </c>
      <c r="J38" s="29"/>
      <c r="K38" s="50">
        <v>6.5</v>
      </c>
      <c r="L38" s="35"/>
      <c r="M38" s="10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89"/>
    </row>
    <row r="39" spans="1:26" ht="23.25" customHeight="1">
      <c r="A39" s="29" t="s">
        <v>28</v>
      </c>
      <c r="B39" s="49">
        <v>104.8969</v>
      </c>
      <c r="C39" s="31">
        <f t="shared" si="0"/>
        <v>0</v>
      </c>
      <c r="D39" s="30">
        <f t="shared" si="1"/>
        <v>0</v>
      </c>
      <c r="E39" s="29"/>
      <c r="F39" s="49">
        <v>39.431700000000006</v>
      </c>
      <c r="G39" s="28">
        <f t="shared" si="2"/>
        <v>0</v>
      </c>
      <c r="H39" s="30">
        <f t="shared" si="3"/>
        <v>0</v>
      </c>
      <c r="I39" s="33">
        <f t="shared" si="4"/>
        <v>0</v>
      </c>
      <c r="J39" s="29"/>
      <c r="K39" s="50">
        <v>6.5</v>
      </c>
      <c r="L39" s="35"/>
      <c r="M39" s="10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89"/>
    </row>
    <row r="40" spans="1:26" ht="23.25" customHeight="1">
      <c r="A40" s="29" t="s">
        <v>29</v>
      </c>
      <c r="B40" s="49">
        <v>104.89709999999999</v>
      </c>
      <c r="C40" s="31">
        <f t="shared" si="0"/>
        <v>1.9999999999242846E-4</v>
      </c>
      <c r="D40" s="30">
        <f t="shared" si="1"/>
        <v>0.95999999996365659</v>
      </c>
      <c r="E40" s="29"/>
      <c r="F40" s="49">
        <v>39.431700000000006</v>
      </c>
      <c r="G40" s="28">
        <f t="shared" si="2"/>
        <v>0</v>
      </c>
      <c r="H40" s="30">
        <f t="shared" si="3"/>
        <v>0</v>
      </c>
      <c r="I40" s="33">
        <f t="shared" si="4"/>
        <v>0</v>
      </c>
      <c r="J40" s="29"/>
      <c r="K40" s="50">
        <v>6.5</v>
      </c>
      <c r="L40" s="35"/>
      <c r="M40" s="91" t="s">
        <v>109</v>
      </c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</row>
    <row r="41" spans="1:26" ht="23.25" customHeight="1">
      <c r="A41" s="29" t="s">
        <v>30</v>
      </c>
      <c r="B41" s="49">
        <v>104.8972</v>
      </c>
      <c r="C41" s="31">
        <f t="shared" si="0"/>
        <v>1.0000000000331966E-4</v>
      </c>
      <c r="D41" s="30">
        <f t="shared" si="1"/>
        <v>0.48000000001593435</v>
      </c>
      <c r="E41" s="29"/>
      <c r="F41" s="49">
        <v>39.431700000000006</v>
      </c>
      <c r="G41" s="28">
        <f t="shared" si="2"/>
        <v>0</v>
      </c>
      <c r="H41" s="30">
        <f t="shared" si="3"/>
        <v>0</v>
      </c>
      <c r="I41" s="33">
        <f t="shared" si="4"/>
        <v>0</v>
      </c>
      <c r="J41" s="29"/>
      <c r="K41" s="50">
        <v>6.5</v>
      </c>
      <c r="L41" s="35"/>
      <c r="M41" s="104" t="s">
        <v>79</v>
      </c>
      <c r="N41" s="98" t="s">
        <v>98</v>
      </c>
      <c r="O41" s="98"/>
      <c r="P41" s="98" t="s">
        <v>93</v>
      </c>
      <c r="Q41" s="98"/>
      <c r="R41" s="98"/>
      <c r="S41" s="98" t="s">
        <v>111</v>
      </c>
      <c r="T41" s="98" t="s">
        <v>81</v>
      </c>
      <c r="U41" s="98"/>
      <c r="V41" s="98"/>
      <c r="W41" s="98"/>
      <c r="X41" s="98" t="s">
        <v>93</v>
      </c>
      <c r="Y41" s="98"/>
      <c r="Z41" s="100"/>
    </row>
    <row r="42" spans="1:26" ht="23.25" customHeight="1">
      <c r="A42" s="29" t="s">
        <v>31</v>
      </c>
      <c r="B42" s="49">
        <v>104.8974</v>
      </c>
      <c r="C42" s="31">
        <f t="shared" si="0"/>
        <v>2.0000000000663931E-4</v>
      </c>
      <c r="D42" s="30">
        <f t="shared" si="1"/>
        <v>0.96000000003186869</v>
      </c>
      <c r="E42" s="29"/>
      <c r="F42" s="49">
        <v>39.431699999999999</v>
      </c>
      <c r="G42" s="28">
        <f t="shared" si="2"/>
        <v>-7.1054273576010019E-15</v>
      </c>
      <c r="H42" s="30">
        <f t="shared" si="3"/>
        <v>-3.4106051316484809E-11</v>
      </c>
      <c r="I42" s="33">
        <f t="shared" si="4"/>
        <v>-3.5527136786825631E-11</v>
      </c>
      <c r="J42" s="29"/>
      <c r="K42" s="50">
        <v>6.5</v>
      </c>
      <c r="L42" s="35"/>
      <c r="M42" s="95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101"/>
    </row>
    <row r="43" spans="1:26" ht="22.5" customHeight="1">
      <c r="A43" s="86" t="s">
        <v>70</v>
      </c>
      <c r="B43" s="86"/>
      <c r="C43" s="86"/>
      <c r="D43" s="30">
        <f>SUM(D18:D42)</f>
        <v>17.28000000002794</v>
      </c>
      <c r="E43" s="29"/>
      <c r="F43" s="36"/>
      <c r="G43" s="43"/>
      <c r="H43" s="30">
        <f>SUM(H18:H42)</f>
        <v>0.4799999999818283</v>
      </c>
      <c r="I43" s="33">
        <f>IF(AND(H43=0,D43=0),0,H43/D43)</f>
        <v>2.7777777776681261E-2</v>
      </c>
      <c r="J43" s="29"/>
      <c r="K43" s="29"/>
      <c r="L43" s="35"/>
      <c r="M43" s="95" t="s">
        <v>80</v>
      </c>
      <c r="N43" s="99" t="s">
        <v>99</v>
      </c>
      <c r="O43" s="99"/>
      <c r="P43" s="99" t="s">
        <v>110</v>
      </c>
      <c r="Q43" s="99"/>
      <c r="R43" s="99"/>
      <c r="S43" s="99"/>
      <c r="T43" s="99"/>
      <c r="U43" s="99"/>
      <c r="V43" s="99"/>
      <c r="W43" s="99"/>
      <c r="X43" s="99" t="s">
        <v>110</v>
      </c>
      <c r="Y43" s="99"/>
      <c r="Z43" s="101"/>
    </row>
    <row r="44" spans="1:26" ht="22.5" customHeight="1">
      <c r="A44" s="76" t="s">
        <v>71</v>
      </c>
      <c r="B44" s="76"/>
      <c r="C44" s="76"/>
      <c r="D44" s="37"/>
      <c r="E44" s="37"/>
      <c r="F44" s="38"/>
      <c r="G44" s="29"/>
      <c r="H44" s="29"/>
      <c r="I44" s="29"/>
      <c r="J44" s="29"/>
      <c r="K44" s="29"/>
      <c r="L44" s="35"/>
      <c r="M44" s="96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3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89"/>
      <c r="O45" s="105"/>
      <c r="P45" s="89"/>
      <c r="Q45" s="90"/>
      <c r="R45" s="105"/>
      <c r="S45" s="8"/>
      <c r="T45" s="89"/>
      <c r="U45" s="90"/>
      <c r="V45" s="90"/>
      <c r="W45" s="105"/>
      <c r="X45" s="89"/>
      <c r="Y45" s="90"/>
      <c r="Z45" s="90"/>
    </row>
    <row r="46" spans="1:26" ht="22.5" customHeight="1">
      <c r="A46" s="54" t="s">
        <v>72</v>
      </c>
      <c r="B46" s="54"/>
      <c r="C46" s="54"/>
      <c r="D46" s="54"/>
      <c r="E46" s="54"/>
      <c r="F46" s="54"/>
      <c r="G46" s="77" t="s">
        <v>73</v>
      </c>
      <c r="H46" s="77"/>
      <c r="I46" s="77"/>
      <c r="J46" s="77"/>
      <c r="K46" s="77"/>
      <c r="L46" s="77"/>
      <c r="M46" s="10"/>
      <c r="N46" s="89"/>
      <c r="O46" s="105"/>
      <c r="P46" s="89"/>
      <c r="Q46" s="90"/>
      <c r="R46" s="105"/>
      <c r="S46" s="8"/>
      <c r="T46" s="89"/>
      <c r="U46" s="90"/>
      <c r="V46" s="90"/>
      <c r="W46" s="105"/>
      <c r="X46" s="89"/>
      <c r="Y46" s="90"/>
      <c r="Z46" s="90"/>
    </row>
    <row r="47" spans="1:26" ht="22.5" customHeight="1">
      <c r="A47" s="52" t="s">
        <v>388</v>
      </c>
      <c r="B47" s="52"/>
      <c r="C47" s="52"/>
      <c r="D47" s="54" t="s">
        <v>74</v>
      </c>
      <c r="E47" s="54"/>
      <c r="F47" s="54"/>
      <c r="G47" s="40"/>
      <c r="H47" s="40"/>
      <c r="I47" s="40"/>
      <c r="J47" s="40"/>
      <c r="K47" s="40"/>
      <c r="L47" s="40"/>
      <c r="M47" s="10"/>
      <c r="N47" s="89"/>
      <c r="O47" s="105"/>
      <c r="P47" s="89"/>
      <c r="Q47" s="90"/>
      <c r="R47" s="105"/>
      <c r="S47" s="8"/>
      <c r="T47" s="89"/>
      <c r="U47" s="90"/>
      <c r="V47" s="90"/>
      <c r="W47" s="105"/>
      <c r="X47" s="89"/>
      <c r="Y47" s="90"/>
      <c r="Z47" s="90"/>
    </row>
    <row r="48" spans="1:26" ht="22.5" customHeight="1">
      <c r="A48" s="55" t="s">
        <v>75</v>
      </c>
      <c r="B48" s="55"/>
      <c r="C48" s="55"/>
      <c r="D48" s="55" t="s">
        <v>76</v>
      </c>
      <c r="E48" s="55"/>
      <c r="F48" s="55"/>
      <c r="G48" s="44"/>
      <c r="H48" s="44"/>
      <c r="I48" s="39"/>
      <c r="J48" s="39"/>
      <c r="K48" s="39"/>
      <c r="L48" s="39"/>
    </row>
    <row r="49" spans="1:23" ht="22.5" customHeight="1">
      <c r="A49" s="52" t="s">
        <v>389</v>
      </c>
      <c r="B49" s="52"/>
      <c r="C49" s="52"/>
      <c r="D49" s="54" t="s">
        <v>74</v>
      </c>
      <c r="E49" s="54"/>
      <c r="F49" s="54"/>
      <c r="G49" s="39"/>
      <c r="H49" s="54" t="s">
        <v>191</v>
      </c>
      <c r="I49" s="54"/>
      <c r="J49" s="54"/>
      <c r="K49" s="54" t="s">
        <v>77</v>
      </c>
      <c r="L49" s="54"/>
      <c r="N49" s="57" t="s">
        <v>150</v>
      </c>
      <c r="O49" s="57"/>
      <c r="P49" s="57"/>
      <c r="Q49" s="56" t="s">
        <v>391</v>
      </c>
      <c r="R49" s="56"/>
      <c r="S49" s="56"/>
      <c r="T49" s="56"/>
      <c r="U49" s="56"/>
      <c r="V49" s="56"/>
      <c r="W49" s="1"/>
    </row>
    <row r="50" spans="1:23" ht="22.5" customHeight="1">
      <c r="A50" s="55" t="s">
        <v>75</v>
      </c>
      <c r="B50" s="55"/>
      <c r="C50" s="55"/>
      <c r="D50" s="55" t="s">
        <v>76</v>
      </c>
      <c r="E50" s="55"/>
      <c r="F50" s="55"/>
      <c r="G50" s="44"/>
      <c r="H50" s="55" t="s">
        <v>75</v>
      </c>
      <c r="I50" s="55"/>
      <c r="J50" s="55"/>
      <c r="K50" s="55" t="s">
        <v>76</v>
      </c>
      <c r="L50" s="55"/>
      <c r="S50" s="53" t="s">
        <v>76</v>
      </c>
      <c r="T50" s="53"/>
    </row>
    <row r="51" spans="1:23" ht="20.100000000000001" customHeight="1">
      <c r="A51" s="52" t="s">
        <v>390</v>
      </c>
      <c r="B51" s="52"/>
      <c r="C51" s="52"/>
      <c r="D51" s="54" t="s">
        <v>74</v>
      </c>
      <c r="E51" s="54"/>
      <c r="F51" s="54"/>
      <c r="G51" s="39"/>
      <c r="H51" s="39"/>
      <c r="I51" s="39"/>
      <c r="J51" s="39"/>
      <c r="K51" s="39"/>
      <c r="L51" s="39"/>
    </row>
    <row r="52" spans="1:23" ht="20.100000000000001" customHeight="1">
      <c r="A52" s="55" t="s">
        <v>75</v>
      </c>
      <c r="B52" s="55"/>
      <c r="C52" s="55"/>
      <c r="D52" s="55" t="s">
        <v>76</v>
      </c>
      <c r="E52" s="55"/>
      <c r="F52" s="55"/>
      <c r="G52" s="42"/>
      <c r="H52" s="42"/>
      <c r="I52" s="39"/>
      <c r="J52" s="39"/>
      <c r="K52" s="39"/>
      <c r="L52" s="39"/>
    </row>
  </sheetData>
  <sheetProtection sheet="1" objects="1" scenarios="1"/>
  <mergeCells count="258">
    <mergeCell ref="A51:C51"/>
    <mergeCell ref="D51:F51"/>
    <mergeCell ref="N46:O46"/>
    <mergeCell ref="N47:O47"/>
    <mergeCell ref="T45:W45"/>
    <mergeCell ref="T46:W46"/>
    <mergeCell ref="A52:C52"/>
    <mergeCell ref="D52:F52"/>
    <mergeCell ref="I1:L2"/>
    <mergeCell ref="G5:H6"/>
    <mergeCell ref="I5:L6"/>
    <mergeCell ref="H10:L10"/>
    <mergeCell ref="A48:C48"/>
    <mergeCell ref="A49:C49"/>
    <mergeCell ref="A50:C50"/>
    <mergeCell ref="D50:F50"/>
    <mergeCell ref="N39:O39"/>
    <mergeCell ref="P39:Q39"/>
    <mergeCell ref="N41:O42"/>
    <mergeCell ref="P41:R42"/>
    <mergeCell ref="M40:Z40"/>
    <mergeCell ref="M43:M44"/>
    <mergeCell ref="M41:M42"/>
    <mergeCell ref="Q49:V49"/>
    <mergeCell ref="N49:P49"/>
    <mergeCell ref="P45:R45"/>
    <mergeCell ref="N43:O44"/>
    <mergeCell ref="P43:R44"/>
    <mergeCell ref="P46:R46"/>
    <mergeCell ref="P47:R47"/>
    <mergeCell ref="N45:O45"/>
    <mergeCell ref="X45:Z45"/>
    <mergeCell ref="X46:Z46"/>
    <mergeCell ref="X47:Z47"/>
    <mergeCell ref="S50:T50"/>
    <mergeCell ref="X41:Z42"/>
    <mergeCell ref="X43:Z44"/>
    <mergeCell ref="R39:S39"/>
    <mergeCell ref="T39:U39"/>
    <mergeCell ref="V39:X39"/>
    <mergeCell ref="Y39:Z39"/>
    <mergeCell ref="S41:S44"/>
    <mergeCell ref="T41:W44"/>
    <mergeCell ref="T47:W47"/>
    <mergeCell ref="V38:X38"/>
    <mergeCell ref="Y38:Z38"/>
    <mergeCell ref="N38:O38"/>
    <mergeCell ref="P38:Q38"/>
    <mergeCell ref="R38:S38"/>
    <mergeCell ref="T38:U38"/>
    <mergeCell ref="N37:O37"/>
    <mergeCell ref="P37:Q37"/>
    <mergeCell ref="R37:S37"/>
    <mergeCell ref="T37:U37"/>
    <mergeCell ref="V37:X37"/>
    <mergeCell ref="R36:S36"/>
    <mergeCell ref="T36:U36"/>
    <mergeCell ref="V36:X36"/>
    <mergeCell ref="Y36:Z36"/>
    <mergeCell ref="N35:O35"/>
    <mergeCell ref="P35:Q35"/>
    <mergeCell ref="R35:S35"/>
    <mergeCell ref="T35:U35"/>
    <mergeCell ref="V35:X35"/>
    <mergeCell ref="X9:Z9"/>
    <mergeCell ref="X10:Z10"/>
    <mergeCell ref="X11:Z11"/>
    <mergeCell ref="X12:Z12"/>
    <mergeCell ref="X13:Z13"/>
    <mergeCell ref="Y35:Z35"/>
    <mergeCell ref="Y37:Z37"/>
    <mergeCell ref="X14:Z14"/>
    <mergeCell ref="X15:Z15"/>
    <mergeCell ref="X16:Z16"/>
    <mergeCell ref="W26:Z26"/>
    <mergeCell ref="W25:Z25"/>
    <mergeCell ref="W27:Z27"/>
    <mergeCell ref="N26:P26"/>
    <mergeCell ref="T18:V19"/>
    <mergeCell ref="T33:U33"/>
    <mergeCell ref="R31:S31"/>
    <mergeCell ref="R32:S32"/>
    <mergeCell ref="N31:O32"/>
    <mergeCell ref="N33:O34"/>
    <mergeCell ref="T34:U34"/>
    <mergeCell ref="P32:Q32"/>
    <mergeCell ref="P33:Q33"/>
    <mergeCell ref="P34:Q34"/>
    <mergeCell ref="P31:Q31"/>
    <mergeCell ref="R34:S34"/>
    <mergeCell ref="N18:P19"/>
    <mergeCell ref="W22:Z22"/>
    <mergeCell ref="T20:V21"/>
    <mergeCell ref="Q21:S21"/>
    <mergeCell ref="N22:P22"/>
    <mergeCell ref="T23:V23"/>
    <mergeCell ref="V34:X34"/>
    <mergeCell ref="W28:Z28"/>
    <mergeCell ref="W23:Z23"/>
    <mergeCell ref="Q19:S19"/>
    <mergeCell ref="R16:S16"/>
    <mergeCell ref="V15:W15"/>
    <mergeCell ref="V16:W16"/>
    <mergeCell ref="T22:V22"/>
    <mergeCell ref="Q18:S18"/>
    <mergeCell ref="N24:P24"/>
    <mergeCell ref="Q24:S24"/>
    <mergeCell ref="N23:P23"/>
    <mergeCell ref="W24:Z24"/>
    <mergeCell ref="Q23:S23"/>
    <mergeCell ref="T24:V24"/>
    <mergeCell ref="V14:W14"/>
    <mergeCell ref="T16:U16"/>
    <mergeCell ref="P14:Q14"/>
    <mergeCell ref="P15:Q15"/>
    <mergeCell ref="P16:Q16"/>
    <mergeCell ref="V13:W13"/>
    <mergeCell ref="T14:U14"/>
    <mergeCell ref="T15:U15"/>
    <mergeCell ref="N20:P21"/>
    <mergeCell ref="N16:O16"/>
    <mergeCell ref="Q20:S20"/>
    <mergeCell ref="R8:S8"/>
    <mergeCell ref="R9:S9"/>
    <mergeCell ref="R10:S10"/>
    <mergeCell ref="T8:U8"/>
    <mergeCell ref="P8:Q8"/>
    <mergeCell ref="P9:Q9"/>
    <mergeCell ref="P10:Q10"/>
    <mergeCell ref="N12:O12"/>
    <mergeCell ref="N28:P28"/>
    <mergeCell ref="Q28:S28"/>
    <mergeCell ref="T28:V28"/>
    <mergeCell ref="Q26:S26"/>
    <mergeCell ref="Q25:S25"/>
    <mergeCell ref="Q22:S22"/>
    <mergeCell ref="N25:P25"/>
    <mergeCell ref="T26:V26"/>
    <mergeCell ref="T25:V25"/>
    <mergeCell ref="N27:P27"/>
    <mergeCell ref="Q27:S27"/>
    <mergeCell ref="T27:V27"/>
    <mergeCell ref="N3:O6"/>
    <mergeCell ref="T3:U3"/>
    <mergeCell ref="T10:U10"/>
    <mergeCell ref="T9:U9"/>
    <mergeCell ref="N8:O8"/>
    <mergeCell ref="M1:Z1"/>
    <mergeCell ref="M2:Z2"/>
    <mergeCell ref="X3:Z6"/>
    <mergeCell ref="M5:M6"/>
    <mergeCell ref="M3:M4"/>
    <mergeCell ref="R3:S3"/>
    <mergeCell ref="R4:S4"/>
    <mergeCell ref="R5:S5"/>
    <mergeCell ref="R6:S6"/>
    <mergeCell ref="T4:U4"/>
    <mergeCell ref="T5:U5"/>
    <mergeCell ref="P3:Q4"/>
    <mergeCell ref="V3:W3"/>
    <mergeCell ref="V4:W4"/>
    <mergeCell ref="V5:W5"/>
    <mergeCell ref="V6:W6"/>
    <mergeCell ref="T6:U6"/>
    <mergeCell ref="P5:Q6"/>
    <mergeCell ref="P7:Q7"/>
    <mergeCell ref="N7:O7"/>
    <mergeCell ref="M17:Z17"/>
    <mergeCell ref="W18:Z21"/>
    <mergeCell ref="V11:W11"/>
    <mergeCell ref="V12:W12"/>
    <mergeCell ref="T7:U7"/>
    <mergeCell ref="V7:W7"/>
    <mergeCell ref="R11:S11"/>
    <mergeCell ref="R12:S12"/>
    <mergeCell ref="R13:S13"/>
    <mergeCell ref="R14:S14"/>
    <mergeCell ref="R15:S15"/>
    <mergeCell ref="R7:S7"/>
    <mergeCell ref="X7:Z7"/>
    <mergeCell ref="X8:Z8"/>
    <mergeCell ref="T11:U11"/>
    <mergeCell ref="T12:U12"/>
    <mergeCell ref="P13:Q13"/>
    <mergeCell ref="T13:U13"/>
    <mergeCell ref="N13:O13"/>
    <mergeCell ref="V8:W8"/>
    <mergeCell ref="V9:W9"/>
    <mergeCell ref="V10:W10"/>
    <mergeCell ref="N9:O9"/>
    <mergeCell ref="M20:M21"/>
    <mergeCell ref="M31:M32"/>
    <mergeCell ref="N10:O10"/>
    <mergeCell ref="N11:O11"/>
    <mergeCell ref="D48:F48"/>
    <mergeCell ref="F15:G15"/>
    <mergeCell ref="M18:M19"/>
    <mergeCell ref="P11:Q11"/>
    <mergeCell ref="P12:Q12"/>
    <mergeCell ref="N14:O14"/>
    <mergeCell ref="N15:O15"/>
    <mergeCell ref="N36:O36"/>
    <mergeCell ref="P36:Q36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A43:C43"/>
    <mergeCell ref="J13:K13"/>
    <mergeCell ref="A3:F3"/>
    <mergeCell ref="A4:F4"/>
    <mergeCell ref="A5:F5"/>
    <mergeCell ref="A6:F6"/>
    <mergeCell ref="A12:L12"/>
    <mergeCell ref="H50:J50"/>
    <mergeCell ref="K50:L50"/>
    <mergeCell ref="D49:F49"/>
    <mergeCell ref="A47:C47"/>
    <mergeCell ref="D47:F47"/>
    <mergeCell ref="A46:F46"/>
    <mergeCell ref="A44:C44"/>
    <mergeCell ref="I13:I17"/>
    <mergeCell ref="J14:K14"/>
    <mergeCell ref="J15:K15"/>
    <mergeCell ref="G46:L46"/>
    <mergeCell ref="H49:J49"/>
    <mergeCell ref="K49:L49"/>
    <mergeCell ref="A7:L7"/>
    <mergeCell ref="F13:G13"/>
    <mergeCell ref="I11:L11"/>
    <mergeCell ref="B14:C14"/>
    <mergeCell ref="G1:H2"/>
    <mergeCell ref="J16:J17"/>
    <mergeCell ref="K16:K17"/>
    <mergeCell ref="A13:A17"/>
    <mergeCell ref="E16:E17"/>
    <mergeCell ref="B15:C15"/>
    <mergeCell ref="D15:E15"/>
    <mergeCell ref="B13:C13"/>
    <mergeCell ref="D13:E13"/>
    <mergeCell ref="F14:G14"/>
    <mergeCell ref="A9:L9"/>
    <mergeCell ref="A1:F1"/>
    <mergeCell ref="A2:F2"/>
    <mergeCell ref="G3:H4"/>
    <mergeCell ref="I3:L4"/>
    <mergeCell ref="A11:D11"/>
    <mergeCell ref="E11:H11"/>
    <mergeCell ref="A10:D10"/>
    <mergeCell ref="E10:G10"/>
    <mergeCell ref="D14:E14"/>
    <mergeCell ref="A8:L8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>
  <sheetPr codeName="Лист6"/>
  <dimension ref="A1:Z52"/>
  <sheetViews>
    <sheetView view="pageBreakPreview" topLeftCell="A7" zoomScale="75" zoomScaleNormal="100" zoomScaleSheetLayoutView="75" workbookViewId="0">
      <selection activeCell="H29" sqref="H29"/>
    </sheetView>
  </sheetViews>
  <sheetFormatPr defaultRowHeight="18.75"/>
  <cols>
    <col min="1" max="1" width="11.140625" style="2" customWidth="1"/>
    <col min="2" max="2" width="15.140625" style="2" customWidth="1"/>
    <col min="3" max="3" width="13.5703125" style="2" customWidth="1"/>
    <col min="4" max="4" width="12.7109375" style="2" customWidth="1"/>
    <col min="5" max="5" width="5.42578125" style="2" customWidth="1"/>
    <col min="6" max="6" width="14.140625" style="2" customWidth="1"/>
    <col min="7" max="7" width="13.7109375" style="2" customWidth="1"/>
    <col min="8" max="8" width="16.42578125" style="2" customWidth="1"/>
    <col min="9" max="9" width="8.28515625" style="2" customWidth="1"/>
    <col min="10" max="11" width="8.85546875" style="2" customWidth="1"/>
    <col min="12" max="12" width="18.85546875" style="2" customWidth="1"/>
    <col min="13" max="26" width="10.28515625" style="2" customWidth="1"/>
    <col min="27" max="16384" width="9.140625" style="2"/>
  </cols>
  <sheetData>
    <row r="1" spans="1:26" ht="21.75" customHeight="1">
      <c r="A1" s="59" t="s">
        <v>157</v>
      </c>
      <c r="B1" s="59"/>
      <c r="C1" s="59"/>
      <c r="D1" s="59"/>
      <c r="E1" s="59"/>
      <c r="F1" s="59"/>
      <c r="G1" s="63" t="s">
        <v>154</v>
      </c>
      <c r="H1" s="63"/>
      <c r="I1" s="59" t="s">
        <v>160</v>
      </c>
      <c r="J1" s="59"/>
      <c r="K1" s="59"/>
      <c r="L1" s="59"/>
      <c r="M1" s="91" t="s">
        <v>96</v>
      </c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spans="1:26" ht="21.75" customHeight="1">
      <c r="A2" s="61" t="s">
        <v>45</v>
      </c>
      <c r="B2" s="61"/>
      <c r="C2" s="61"/>
      <c r="D2" s="61"/>
      <c r="E2" s="61"/>
      <c r="F2" s="61"/>
      <c r="G2" s="63"/>
      <c r="H2" s="63"/>
      <c r="I2" s="59"/>
      <c r="J2" s="59"/>
      <c r="K2" s="59"/>
      <c r="L2" s="59"/>
      <c r="M2" s="91" t="s">
        <v>78</v>
      </c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spans="1:26" ht="21.75" customHeight="1">
      <c r="A3" s="59" t="s">
        <v>158</v>
      </c>
      <c r="B3" s="60"/>
      <c r="C3" s="60"/>
      <c r="D3" s="60"/>
      <c r="E3" s="60"/>
      <c r="F3" s="60"/>
      <c r="G3" s="63" t="s">
        <v>155</v>
      </c>
      <c r="H3" s="63"/>
      <c r="I3" s="59" t="s">
        <v>211</v>
      </c>
      <c r="J3" s="59"/>
      <c r="K3" s="59"/>
      <c r="L3" s="59"/>
      <c r="M3" s="104" t="s">
        <v>79</v>
      </c>
      <c r="N3" s="100" t="s">
        <v>81</v>
      </c>
      <c r="O3" s="104"/>
      <c r="P3" s="100" t="s">
        <v>65</v>
      </c>
      <c r="Q3" s="104"/>
      <c r="R3" s="100" t="s">
        <v>82</v>
      </c>
      <c r="S3" s="104"/>
      <c r="T3" s="100" t="s">
        <v>85</v>
      </c>
      <c r="U3" s="104"/>
      <c r="V3" s="100" t="s">
        <v>87</v>
      </c>
      <c r="W3" s="104"/>
      <c r="X3" s="107" t="s">
        <v>91</v>
      </c>
      <c r="Y3" s="108"/>
      <c r="Z3" s="108"/>
    </row>
    <row r="4" spans="1:26" ht="29.25" customHeight="1">
      <c r="A4" s="61" t="s">
        <v>46</v>
      </c>
      <c r="B4" s="61"/>
      <c r="C4" s="61"/>
      <c r="D4" s="61"/>
      <c r="E4" s="61"/>
      <c r="F4" s="61"/>
      <c r="G4" s="63"/>
      <c r="H4" s="63"/>
      <c r="I4" s="59"/>
      <c r="J4" s="59"/>
      <c r="K4" s="59"/>
      <c r="L4" s="59"/>
      <c r="M4" s="95"/>
      <c r="N4" s="101"/>
      <c r="O4" s="95"/>
      <c r="P4" s="101"/>
      <c r="Q4" s="95"/>
      <c r="R4" s="101" t="s">
        <v>83</v>
      </c>
      <c r="S4" s="95"/>
      <c r="T4" s="101" t="s">
        <v>86</v>
      </c>
      <c r="U4" s="95"/>
      <c r="V4" s="101" t="s">
        <v>88</v>
      </c>
      <c r="W4" s="95"/>
      <c r="X4" s="107"/>
      <c r="Y4" s="108"/>
      <c r="Z4" s="108"/>
    </row>
    <row r="5" spans="1:26" ht="21.75" customHeight="1">
      <c r="A5" s="59" t="s">
        <v>185</v>
      </c>
      <c r="B5" s="60"/>
      <c r="C5" s="60"/>
      <c r="D5" s="60"/>
      <c r="E5" s="60"/>
      <c r="F5" s="60"/>
      <c r="G5" s="63" t="s">
        <v>156</v>
      </c>
      <c r="H5" s="63"/>
      <c r="I5" s="59" t="s">
        <v>266</v>
      </c>
      <c r="J5" s="59"/>
      <c r="K5" s="59"/>
      <c r="L5" s="59"/>
      <c r="M5" s="95" t="s">
        <v>80</v>
      </c>
      <c r="N5" s="101"/>
      <c r="O5" s="95"/>
      <c r="P5" s="101" t="s">
        <v>190</v>
      </c>
      <c r="Q5" s="95"/>
      <c r="R5" s="109" t="s">
        <v>84</v>
      </c>
      <c r="S5" s="110"/>
      <c r="T5" s="109" t="s">
        <v>84</v>
      </c>
      <c r="U5" s="110"/>
      <c r="V5" s="101" t="s">
        <v>89</v>
      </c>
      <c r="W5" s="95"/>
      <c r="X5" s="107"/>
      <c r="Y5" s="108"/>
      <c r="Z5" s="108"/>
    </row>
    <row r="6" spans="1:26" ht="21.75" customHeight="1">
      <c r="A6" s="61" t="s">
        <v>47</v>
      </c>
      <c r="B6" s="61"/>
      <c r="C6" s="61"/>
      <c r="D6" s="61"/>
      <c r="E6" s="61"/>
      <c r="F6" s="61"/>
      <c r="G6" s="63"/>
      <c r="H6" s="63"/>
      <c r="I6" s="59"/>
      <c r="J6" s="59"/>
      <c r="K6" s="59"/>
      <c r="L6" s="59"/>
      <c r="M6" s="96"/>
      <c r="N6" s="103"/>
      <c r="O6" s="96"/>
      <c r="P6" s="103"/>
      <c r="Q6" s="96"/>
      <c r="R6" s="103"/>
      <c r="S6" s="96"/>
      <c r="T6" s="103"/>
      <c r="U6" s="96"/>
      <c r="V6" s="103" t="s">
        <v>90</v>
      </c>
      <c r="W6" s="96"/>
      <c r="X6" s="107"/>
      <c r="Y6" s="108"/>
      <c r="Z6" s="108"/>
    </row>
    <row r="7" spans="1:26" ht="21.75" customHeight="1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10"/>
      <c r="N7" s="89"/>
      <c r="O7" s="105"/>
      <c r="P7" s="89"/>
      <c r="Q7" s="105"/>
      <c r="R7" s="89"/>
      <c r="S7" s="105"/>
      <c r="T7" s="89"/>
      <c r="U7" s="105"/>
      <c r="V7" s="89"/>
      <c r="W7" s="105"/>
      <c r="X7" s="89"/>
      <c r="Y7" s="90"/>
      <c r="Z7" s="90"/>
    </row>
    <row r="8" spans="1:26" ht="22.5" customHeight="1">
      <c r="A8" s="94" t="s">
        <v>48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10"/>
      <c r="N8" s="89"/>
      <c r="O8" s="105"/>
      <c r="P8" s="89"/>
      <c r="Q8" s="105"/>
      <c r="R8" s="89"/>
      <c r="S8" s="105"/>
      <c r="T8" s="89"/>
      <c r="U8" s="105"/>
      <c r="V8" s="89"/>
      <c r="W8" s="105"/>
      <c r="X8" s="89"/>
      <c r="Y8" s="90"/>
      <c r="Z8" s="90"/>
    </row>
    <row r="9" spans="1:26" ht="22.5" customHeight="1">
      <c r="A9" s="88" t="s">
        <v>49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10"/>
      <c r="N9" s="89"/>
      <c r="O9" s="105"/>
      <c r="P9" s="89"/>
      <c r="Q9" s="105"/>
      <c r="R9" s="89"/>
      <c r="S9" s="105"/>
      <c r="T9" s="89"/>
      <c r="U9" s="105"/>
      <c r="V9" s="89"/>
      <c r="W9" s="105"/>
      <c r="X9" s="89"/>
      <c r="Y9" s="90"/>
      <c r="Z9" s="90"/>
    </row>
    <row r="10" spans="1:26" ht="22.5" customHeight="1">
      <c r="A10" s="80" t="s">
        <v>112</v>
      </c>
      <c r="B10" s="80"/>
      <c r="C10" s="80"/>
      <c r="D10" s="80"/>
      <c r="E10" s="81" t="s">
        <v>383</v>
      </c>
      <c r="F10" s="81"/>
      <c r="G10" s="81"/>
      <c r="H10" s="62" t="s">
        <v>384</v>
      </c>
      <c r="I10" s="62"/>
      <c r="J10" s="62"/>
      <c r="K10" s="62"/>
      <c r="L10" s="62"/>
      <c r="M10" s="10"/>
      <c r="N10" s="89"/>
      <c r="O10" s="105"/>
      <c r="P10" s="89"/>
      <c r="Q10" s="105"/>
      <c r="R10" s="89"/>
      <c r="S10" s="105"/>
      <c r="T10" s="89"/>
      <c r="U10" s="105"/>
      <c r="V10" s="89"/>
      <c r="W10" s="105"/>
      <c r="X10" s="89"/>
      <c r="Y10" s="90"/>
      <c r="Z10" s="90"/>
    </row>
    <row r="11" spans="1:26" ht="22.5" customHeight="1">
      <c r="A11" s="80" t="s">
        <v>113</v>
      </c>
      <c r="B11" s="80"/>
      <c r="C11" s="80"/>
      <c r="D11" s="80"/>
      <c r="E11" s="79" t="s">
        <v>240</v>
      </c>
      <c r="F11" s="79"/>
      <c r="G11" s="79"/>
      <c r="H11" s="79"/>
      <c r="I11" s="62" t="s">
        <v>114</v>
      </c>
      <c r="J11" s="62"/>
      <c r="K11" s="62"/>
      <c r="L11" s="62"/>
      <c r="M11" s="10"/>
      <c r="N11" s="89"/>
      <c r="O11" s="105"/>
      <c r="P11" s="89"/>
      <c r="Q11" s="105"/>
      <c r="R11" s="89"/>
      <c r="S11" s="105"/>
      <c r="T11" s="89"/>
      <c r="U11" s="105"/>
      <c r="V11" s="89"/>
      <c r="W11" s="105"/>
      <c r="X11" s="89"/>
      <c r="Y11" s="90"/>
      <c r="Z11" s="90"/>
    </row>
    <row r="12" spans="1:26" ht="21.75" customHeight="1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10"/>
      <c r="N12" s="89"/>
      <c r="O12" s="105"/>
      <c r="P12" s="89"/>
      <c r="Q12" s="105"/>
      <c r="R12" s="89"/>
      <c r="S12" s="105"/>
      <c r="T12" s="89"/>
      <c r="U12" s="105"/>
      <c r="V12" s="89"/>
      <c r="W12" s="105"/>
      <c r="X12" s="89"/>
      <c r="Y12" s="90"/>
      <c r="Z12" s="90"/>
    </row>
    <row r="13" spans="1:26" ht="21.75" customHeight="1">
      <c r="A13" s="64" t="s">
        <v>50</v>
      </c>
      <c r="B13" s="72" t="s">
        <v>56</v>
      </c>
      <c r="C13" s="73"/>
      <c r="D13" s="74" t="s">
        <v>198</v>
      </c>
      <c r="E13" s="75"/>
      <c r="F13" s="72" t="s">
        <v>59</v>
      </c>
      <c r="G13" s="73"/>
      <c r="H13" s="18" t="s">
        <v>198</v>
      </c>
      <c r="I13" s="84" t="s">
        <v>5</v>
      </c>
      <c r="J13" s="72" t="s">
        <v>60</v>
      </c>
      <c r="K13" s="64"/>
      <c r="L13" s="17" t="s">
        <v>65</v>
      </c>
      <c r="M13" s="10"/>
      <c r="N13" s="89"/>
      <c r="O13" s="105"/>
      <c r="P13" s="89"/>
      <c r="Q13" s="105"/>
      <c r="R13" s="89"/>
      <c r="S13" s="105"/>
      <c r="T13" s="89"/>
      <c r="U13" s="105"/>
      <c r="V13" s="89"/>
      <c r="W13" s="105"/>
      <c r="X13" s="89"/>
      <c r="Y13" s="90"/>
      <c r="Z13" s="90"/>
    </row>
    <row r="14" spans="1:26" ht="21.75" customHeight="1">
      <c r="A14" s="65"/>
      <c r="B14" s="82" t="s">
        <v>57</v>
      </c>
      <c r="C14" s="83"/>
      <c r="D14" s="92" t="s">
        <v>275</v>
      </c>
      <c r="E14" s="93"/>
      <c r="F14" s="82" t="s">
        <v>57</v>
      </c>
      <c r="G14" s="83"/>
      <c r="H14" s="19" t="s">
        <v>276</v>
      </c>
      <c r="I14" s="85"/>
      <c r="J14" s="82" t="s">
        <v>61</v>
      </c>
      <c r="K14" s="65"/>
      <c r="L14" s="17" t="s">
        <v>66</v>
      </c>
      <c r="M14" s="10"/>
      <c r="N14" s="89"/>
      <c r="O14" s="105"/>
      <c r="P14" s="89"/>
      <c r="Q14" s="105"/>
      <c r="R14" s="89"/>
      <c r="S14" s="105"/>
      <c r="T14" s="89"/>
      <c r="U14" s="105"/>
      <c r="V14" s="89"/>
      <c r="W14" s="105"/>
      <c r="X14" s="89"/>
      <c r="Y14" s="90"/>
      <c r="Z14" s="90"/>
    </row>
    <row r="15" spans="1:26" ht="21.75" customHeight="1">
      <c r="A15" s="65"/>
      <c r="B15" s="68" t="s">
        <v>58</v>
      </c>
      <c r="C15" s="69"/>
      <c r="D15" s="70">
        <v>4800</v>
      </c>
      <c r="E15" s="71"/>
      <c r="F15" s="68" t="s">
        <v>58</v>
      </c>
      <c r="G15" s="69"/>
      <c r="H15" s="20">
        <v>4800</v>
      </c>
      <c r="I15" s="85"/>
      <c r="J15" s="68" t="s">
        <v>62</v>
      </c>
      <c r="K15" s="78"/>
      <c r="L15" s="17" t="s">
        <v>67</v>
      </c>
      <c r="M15" s="10"/>
      <c r="N15" s="89"/>
      <c r="O15" s="105"/>
      <c r="P15" s="89"/>
      <c r="Q15" s="105"/>
      <c r="R15" s="89"/>
      <c r="S15" s="105"/>
      <c r="T15" s="89"/>
      <c r="U15" s="105"/>
      <c r="V15" s="89"/>
      <c r="W15" s="105"/>
      <c r="X15" s="89"/>
      <c r="Y15" s="90"/>
      <c r="Z15" s="90"/>
    </row>
    <row r="16" spans="1:26" ht="21.75" customHeight="1">
      <c r="A16" s="65"/>
      <c r="B16" s="13" t="s">
        <v>51</v>
      </c>
      <c r="C16" s="13" t="s">
        <v>53</v>
      </c>
      <c r="D16" s="13" t="s">
        <v>54</v>
      </c>
      <c r="E16" s="66"/>
      <c r="F16" s="13" t="s">
        <v>51</v>
      </c>
      <c r="G16" s="13" t="s">
        <v>53</v>
      </c>
      <c r="H16" s="11" t="s">
        <v>54</v>
      </c>
      <c r="I16" s="85"/>
      <c r="J16" s="66" t="s">
        <v>63</v>
      </c>
      <c r="K16" s="66" t="s">
        <v>64</v>
      </c>
      <c r="L16" s="17" t="s">
        <v>68</v>
      </c>
      <c r="M16" s="10"/>
      <c r="N16" s="89"/>
      <c r="O16" s="105"/>
      <c r="P16" s="89"/>
      <c r="Q16" s="105"/>
      <c r="R16" s="89"/>
      <c r="S16" s="105"/>
      <c r="T16" s="89"/>
      <c r="U16" s="105"/>
      <c r="V16" s="89"/>
      <c r="W16" s="105"/>
      <c r="X16" s="89"/>
      <c r="Y16" s="90"/>
      <c r="Z16" s="90"/>
    </row>
    <row r="17" spans="1:26" ht="21.75" customHeight="1">
      <c r="A17" s="78"/>
      <c r="B17" s="26" t="s">
        <v>52</v>
      </c>
      <c r="C17" s="26" t="s">
        <v>51</v>
      </c>
      <c r="D17" s="26" t="s">
        <v>55</v>
      </c>
      <c r="E17" s="67"/>
      <c r="F17" s="26" t="s">
        <v>52</v>
      </c>
      <c r="G17" s="14" t="s">
        <v>51</v>
      </c>
      <c r="H17" s="12" t="s">
        <v>55</v>
      </c>
      <c r="I17" s="119"/>
      <c r="J17" s="120"/>
      <c r="K17" s="120"/>
      <c r="L17" s="17" t="s">
        <v>69</v>
      </c>
      <c r="M17" s="111" t="s">
        <v>92</v>
      </c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spans="1:26" ht="23.25" customHeight="1">
      <c r="A18" s="45" t="s">
        <v>7</v>
      </c>
      <c r="B18" s="49">
        <v>1951.5129999999999</v>
      </c>
      <c r="C18" s="31"/>
      <c r="D18" s="30"/>
      <c r="E18" s="29"/>
      <c r="F18" s="49">
        <v>217.76259999999999</v>
      </c>
      <c r="G18" s="28"/>
      <c r="H18" s="30"/>
      <c r="I18" s="33"/>
      <c r="J18" s="29"/>
      <c r="K18" s="50">
        <v>6.5</v>
      </c>
      <c r="L18" s="35"/>
      <c r="M18" s="104" t="s">
        <v>79</v>
      </c>
      <c r="N18" s="98" t="s">
        <v>98</v>
      </c>
      <c r="O18" s="98"/>
      <c r="P18" s="98"/>
      <c r="Q18" s="98" t="s">
        <v>107</v>
      </c>
      <c r="R18" s="98"/>
      <c r="S18" s="98"/>
      <c r="T18" s="98" t="s">
        <v>93</v>
      </c>
      <c r="U18" s="98"/>
      <c r="V18" s="98"/>
      <c r="W18" s="100" t="s">
        <v>91</v>
      </c>
      <c r="X18" s="112"/>
      <c r="Y18" s="112"/>
      <c r="Z18" s="112"/>
    </row>
    <row r="19" spans="1:26" ht="23.25" customHeight="1">
      <c r="A19" s="45" t="s">
        <v>8</v>
      </c>
      <c r="B19" s="49">
        <v>1951.5321999999999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1.9199999999955253E-2</v>
      </c>
      <c r="D19" s="30">
        <f t="shared" ref="D19:D42" si="1">IF(C19="","",C19*$D$15)</f>
        <v>92.159999999785214</v>
      </c>
      <c r="E19" s="29"/>
      <c r="F19" s="49">
        <v>217.76759999999999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4.9999999999954525E-3</v>
      </c>
      <c r="H19" s="30">
        <f t="shared" ref="H19:H42" si="3">IF(G19="","",G19*$H$15)</f>
        <v>23.999999999978172</v>
      </c>
      <c r="I19" s="33">
        <f t="shared" ref="I19:I42" si="4">IF(H19="","",IF(D19="","",IF(AND(H19=0,D19=0),0,H19/D19)))</f>
        <v>0.26041666666703672</v>
      </c>
      <c r="J19" s="29"/>
      <c r="K19" s="50">
        <v>6.5</v>
      </c>
      <c r="L19" s="35"/>
      <c r="M19" s="95"/>
      <c r="N19" s="99"/>
      <c r="O19" s="99"/>
      <c r="P19" s="99"/>
      <c r="Q19" s="99" t="s">
        <v>108</v>
      </c>
      <c r="R19" s="99"/>
      <c r="S19" s="99"/>
      <c r="T19" s="99"/>
      <c r="U19" s="99"/>
      <c r="V19" s="99"/>
      <c r="W19" s="101"/>
      <c r="X19" s="91"/>
      <c r="Y19" s="91"/>
      <c r="Z19" s="91"/>
    </row>
    <row r="20" spans="1:26" ht="23.25" customHeight="1">
      <c r="A20" s="45" t="s">
        <v>9</v>
      </c>
      <c r="B20" s="49">
        <v>1951.5545999999999</v>
      </c>
      <c r="C20" s="31">
        <f t="shared" si="0"/>
        <v>2.2400000000061482E-2</v>
      </c>
      <c r="D20" s="30">
        <f t="shared" si="1"/>
        <v>107.52000000029511</v>
      </c>
      <c r="E20" s="29"/>
      <c r="F20" s="49">
        <v>217.7731</v>
      </c>
      <c r="G20" s="28">
        <f t="shared" si="2"/>
        <v>5.5000000000120508E-3</v>
      </c>
      <c r="H20" s="30">
        <f t="shared" si="3"/>
        <v>26.400000000057844</v>
      </c>
      <c r="I20" s="33">
        <f t="shared" si="4"/>
        <v>0.24553571428557833</v>
      </c>
      <c r="J20" s="29"/>
      <c r="K20" s="50">
        <v>6.5</v>
      </c>
      <c r="L20" s="35"/>
      <c r="M20" s="95" t="s">
        <v>80</v>
      </c>
      <c r="N20" s="99" t="s">
        <v>99</v>
      </c>
      <c r="O20" s="99"/>
      <c r="P20" s="99"/>
      <c r="Q20" s="99" t="s">
        <v>189</v>
      </c>
      <c r="R20" s="99"/>
      <c r="S20" s="99"/>
      <c r="T20" s="99" t="s">
        <v>94</v>
      </c>
      <c r="U20" s="99"/>
      <c r="V20" s="99"/>
      <c r="W20" s="101"/>
      <c r="X20" s="91"/>
      <c r="Y20" s="91"/>
      <c r="Z20" s="91"/>
    </row>
    <row r="21" spans="1:26" ht="23.25" customHeight="1">
      <c r="A21" s="45" t="s">
        <v>10</v>
      </c>
      <c r="B21" s="49">
        <v>1951.5756999999999</v>
      </c>
      <c r="C21" s="31">
        <f t="shared" si="0"/>
        <v>2.1099999999933061E-2</v>
      </c>
      <c r="D21" s="30">
        <f t="shared" si="1"/>
        <v>101.27999999967869</v>
      </c>
      <c r="E21" s="29"/>
      <c r="F21" s="49">
        <v>217.77879999999999</v>
      </c>
      <c r="G21" s="28">
        <f t="shared" si="2"/>
        <v>5.6999999999902684E-3</v>
      </c>
      <c r="H21" s="30">
        <f t="shared" si="3"/>
        <v>27.359999999953288</v>
      </c>
      <c r="I21" s="33">
        <f t="shared" si="4"/>
        <v>0.27014218009518254</v>
      </c>
      <c r="J21" s="29"/>
      <c r="K21" s="50">
        <v>6.5</v>
      </c>
      <c r="L21" s="35"/>
      <c r="M21" s="96"/>
      <c r="N21" s="102"/>
      <c r="O21" s="102"/>
      <c r="P21" s="102"/>
      <c r="Q21" s="102"/>
      <c r="R21" s="102"/>
      <c r="S21" s="102"/>
      <c r="T21" s="102"/>
      <c r="U21" s="102"/>
      <c r="V21" s="102"/>
      <c r="W21" s="103"/>
      <c r="X21" s="111"/>
      <c r="Y21" s="111"/>
      <c r="Z21" s="111"/>
    </row>
    <row r="22" spans="1:26" ht="23.25" customHeight="1">
      <c r="A22" s="45" t="s">
        <v>11</v>
      </c>
      <c r="B22" s="49">
        <v>1951.5962999999999</v>
      </c>
      <c r="C22" s="31">
        <f t="shared" si="0"/>
        <v>2.0600000000058571E-2</v>
      </c>
      <c r="D22" s="30">
        <f t="shared" si="1"/>
        <v>98.880000000281143</v>
      </c>
      <c r="E22" s="29"/>
      <c r="F22" s="49">
        <v>217.78440000000001</v>
      </c>
      <c r="G22" s="28">
        <f t="shared" si="2"/>
        <v>5.6000000000153705E-3</v>
      </c>
      <c r="H22" s="30">
        <f t="shared" si="3"/>
        <v>26.880000000073778</v>
      </c>
      <c r="I22" s="33">
        <f t="shared" si="4"/>
        <v>0.27184466019414799</v>
      </c>
      <c r="J22" s="29"/>
      <c r="K22" s="50">
        <v>6.5</v>
      </c>
      <c r="L22" s="35"/>
      <c r="M22" s="10"/>
      <c r="N22" s="106"/>
      <c r="O22" s="106"/>
      <c r="P22" s="106"/>
      <c r="Q22" s="106"/>
      <c r="R22" s="106"/>
      <c r="S22" s="106"/>
      <c r="T22" s="106"/>
      <c r="U22" s="106"/>
      <c r="V22" s="106"/>
      <c r="W22" s="89"/>
      <c r="X22" s="90"/>
      <c r="Y22" s="90"/>
      <c r="Z22" s="90"/>
    </row>
    <row r="23" spans="1:26" ht="23.25" customHeight="1">
      <c r="A23" s="45" t="s">
        <v>12</v>
      </c>
      <c r="B23" s="49">
        <v>1951.6155999999999</v>
      </c>
      <c r="C23" s="31">
        <f t="shared" si="0"/>
        <v>1.9299999999930151E-2</v>
      </c>
      <c r="D23" s="30">
        <f t="shared" si="1"/>
        <v>92.639999999664724</v>
      </c>
      <c r="E23" s="29"/>
      <c r="F23" s="49">
        <v>217.78959999999998</v>
      </c>
      <c r="G23" s="28">
        <f t="shared" si="2"/>
        <v>5.1999999999736701E-3</v>
      </c>
      <c r="H23" s="30">
        <f t="shared" si="3"/>
        <v>24.959999999873617</v>
      </c>
      <c r="I23" s="33">
        <f t="shared" si="4"/>
        <v>0.26943005181308238</v>
      </c>
      <c r="J23" s="29"/>
      <c r="K23" s="50">
        <v>6.5</v>
      </c>
      <c r="L23" s="35"/>
      <c r="M23" s="10"/>
      <c r="N23" s="106"/>
      <c r="O23" s="106"/>
      <c r="P23" s="106"/>
      <c r="Q23" s="106"/>
      <c r="R23" s="106"/>
      <c r="S23" s="106"/>
      <c r="T23" s="106"/>
      <c r="U23" s="106"/>
      <c r="V23" s="106"/>
      <c r="W23" s="89"/>
      <c r="X23" s="90"/>
      <c r="Y23" s="90"/>
      <c r="Z23" s="90"/>
    </row>
    <row r="24" spans="1:26" ht="23.25" customHeight="1">
      <c r="A24" s="45" t="s">
        <v>13</v>
      </c>
      <c r="B24" s="49">
        <v>1951.6379999999999</v>
      </c>
      <c r="C24" s="31">
        <f t="shared" si="0"/>
        <v>2.2400000000061482E-2</v>
      </c>
      <c r="D24" s="30">
        <f t="shared" si="1"/>
        <v>107.52000000029511</v>
      </c>
      <c r="E24" s="29"/>
      <c r="F24" s="49">
        <v>217.7953</v>
      </c>
      <c r="G24" s="28">
        <f t="shared" si="2"/>
        <v>5.7000000000186901E-3</v>
      </c>
      <c r="H24" s="30">
        <f t="shared" si="3"/>
        <v>27.360000000089713</v>
      </c>
      <c r="I24" s="33">
        <f t="shared" si="4"/>
        <v>0.25446428571442165</v>
      </c>
      <c r="J24" s="29"/>
      <c r="K24" s="50">
        <v>6.5</v>
      </c>
      <c r="L24" s="35"/>
      <c r="M24" s="10"/>
      <c r="N24" s="106"/>
      <c r="O24" s="106"/>
      <c r="P24" s="106"/>
      <c r="Q24" s="106"/>
      <c r="R24" s="106"/>
      <c r="S24" s="106"/>
      <c r="T24" s="106"/>
      <c r="U24" s="106"/>
      <c r="V24" s="106"/>
      <c r="W24" s="89"/>
      <c r="X24" s="90"/>
      <c r="Y24" s="90"/>
      <c r="Z24" s="90"/>
    </row>
    <row r="25" spans="1:26" ht="23.25" customHeight="1">
      <c r="A25" s="45" t="s">
        <v>14</v>
      </c>
      <c r="B25" s="49">
        <v>1951.6589999999999</v>
      </c>
      <c r="C25" s="31">
        <f t="shared" si="0"/>
        <v>2.0999999999958163E-2</v>
      </c>
      <c r="D25" s="30">
        <f t="shared" si="1"/>
        <v>100.79999999979918</v>
      </c>
      <c r="E25" s="29"/>
      <c r="F25" s="49">
        <v>217.80079999999998</v>
      </c>
      <c r="G25" s="28">
        <f t="shared" si="2"/>
        <v>5.4999999999836291E-3</v>
      </c>
      <c r="H25" s="30">
        <f t="shared" si="3"/>
        <v>26.39999999992142</v>
      </c>
      <c r="I25" s="33">
        <f t="shared" si="4"/>
        <v>0.26190476190450412</v>
      </c>
      <c r="J25" s="29"/>
      <c r="K25" s="50">
        <v>6.5</v>
      </c>
      <c r="L25" s="35"/>
      <c r="M25" s="10"/>
      <c r="N25" s="106"/>
      <c r="O25" s="106"/>
      <c r="P25" s="106"/>
      <c r="Q25" s="106"/>
      <c r="R25" s="106"/>
      <c r="S25" s="106"/>
      <c r="T25" s="106"/>
      <c r="U25" s="106"/>
      <c r="V25" s="106"/>
      <c r="W25" s="89"/>
      <c r="X25" s="90"/>
      <c r="Y25" s="90"/>
      <c r="Z25" s="90"/>
    </row>
    <row r="26" spans="1:26" ht="23.25" customHeight="1">
      <c r="A26" s="45" t="s">
        <v>15</v>
      </c>
      <c r="B26" s="49">
        <v>1951.6795</v>
      </c>
      <c r="C26" s="31">
        <f t="shared" si="0"/>
        <v>2.0500000000083674E-2</v>
      </c>
      <c r="D26" s="30">
        <f t="shared" si="1"/>
        <v>98.400000000401633</v>
      </c>
      <c r="E26" s="29"/>
      <c r="F26" s="49">
        <v>217.80609999999999</v>
      </c>
      <c r="G26" s="28">
        <f t="shared" si="2"/>
        <v>5.3000000000054115E-3</v>
      </c>
      <c r="H26" s="30">
        <f t="shared" si="3"/>
        <v>25.440000000025975</v>
      </c>
      <c r="I26" s="33">
        <f t="shared" si="4"/>
        <v>0.25853658536506235</v>
      </c>
      <c r="J26" s="29"/>
      <c r="K26" s="50">
        <v>6.5</v>
      </c>
      <c r="L26" s="35"/>
      <c r="M26" s="10"/>
      <c r="N26" s="106"/>
      <c r="O26" s="106"/>
      <c r="P26" s="106"/>
      <c r="Q26" s="106"/>
      <c r="R26" s="106"/>
      <c r="S26" s="106"/>
      <c r="T26" s="106"/>
      <c r="U26" s="106"/>
      <c r="V26" s="106"/>
      <c r="W26" s="89"/>
      <c r="X26" s="90"/>
      <c r="Y26" s="90"/>
      <c r="Z26" s="90"/>
    </row>
    <row r="27" spans="1:26" ht="23.25" customHeight="1">
      <c r="A27" s="45" t="s">
        <v>16</v>
      </c>
      <c r="B27" s="49">
        <v>1951.6998999999998</v>
      </c>
      <c r="C27" s="31">
        <f t="shared" si="0"/>
        <v>2.0399999999881402E-2</v>
      </c>
      <c r="D27" s="30">
        <f t="shared" si="1"/>
        <v>97.919999999430729</v>
      </c>
      <c r="E27" s="29"/>
      <c r="F27" s="49">
        <v>217.81029999999998</v>
      </c>
      <c r="G27" s="28">
        <f t="shared" si="2"/>
        <v>4.199999999997317E-3</v>
      </c>
      <c r="H27" s="30">
        <f t="shared" si="3"/>
        <v>20.159999999987122</v>
      </c>
      <c r="I27" s="33">
        <f t="shared" si="4"/>
        <v>0.20588235294224189</v>
      </c>
      <c r="J27" s="29"/>
      <c r="K27" s="50">
        <v>6.5</v>
      </c>
      <c r="L27" s="35"/>
      <c r="M27" s="10"/>
      <c r="N27" s="106"/>
      <c r="O27" s="106"/>
      <c r="P27" s="106"/>
      <c r="Q27" s="106"/>
      <c r="R27" s="106"/>
      <c r="S27" s="106"/>
      <c r="T27" s="106"/>
      <c r="U27" s="106"/>
      <c r="V27" s="106"/>
      <c r="W27" s="89"/>
      <c r="X27" s="90"/>
      <c r="Y27" s="90"/>
      <c r="Z27" s="90"/>
    </row>
    <row r="28" spans="1:26" ht="23.25" customHeight="1">
      <c r="A28" s="45" t="s">
        <v>17</v>
      </c>
      <c r="B28" s="49">
        <v>1951.7249999999999</v>
      </c>
      <c r="C28" s="31">
        <f t="shared" si="0"/>
        <v>2.5100000000065847E-2</v>
      </c>
      <c r="D28" s="30">
        <f t="shared" si="1"/>
        <v>120.48000000031607</v>
      </c>
      <c r="E28" s="29"/>
      <c r="F28" s="49">
        <v>217.8151</v>
      </c>
      <c r="G28" s="28">
        <f t="shared" si="2"/>
        <v>4.8000000000172349E-3</v>
      </c>
      <c r="H28" s="30">
        <f t="shared" si="3"/>
        <v>23.040000000082728</v>
      </c>
      <c r="I28" s="33">
        <f t="shared" si="4"/>
        <v>0.19123505976114114</v>
      </c>
      <c r="J28" s="29"/>
      <c r="K28" s="50">
        <v>6.5</v>
      </c>
      <c r="L28" s="35"/>
      <c r="M28" s="10"/>
      <c r="N28" s="106"/>
      <c r="O28" s="106"/>
      <c r="P28" s="106"/>
      <c r="Q28" s="106"/>
      <c r="R28" s="106"/>
      <c r="S28" s="106"/>
      <c r="T28" s="106"/>
      <c r="U28" s="106"/>
      <c r="V28" s="106"/>
      <c r="W28" s="89"/>
      <c r="X28" s="90"/>
      <c r="Y28" s="90"/>
      <c r="Z28" s="90"/>
    </row>
    <row r="29" spans="1:26" ht="23.25" customHeight="1">
      <c r="A29" s="45" t="s">
        <v>18</v>
      </c>
      <c r="B29" s="49">
        <v>1951.7474999999999</v>
      </c>
      <c r="C29" s="31">
        <f t="shared" si="0"/>
        <v>2.250000000003638E-2</v>
      </c>
      <c r="D29" s="30">
        <f t="shared" si="1"/>
        <v>108.00000000017462</v>
      </c>
      <c r="E29" s="29"/>
      <c r="F29" s="49">
        <v>217.81819999999999</v>
      </c>
      <c r="G29" s="28">
        <f t="shared" si="2"/>
        <v>3.0999999999892225E-3</v>
      </c>
      <c r="H29" s="30">
        <f t="shared" si="3"/>
        <v>14.879999999948268</v>
      </c>
      <c r="I29" s="33">
        <f t="shared" si="4"/>
        <v>0.137777777777076</v>
      </c>
      <c r="J29" s="29"/>
      <c r="K29" s="50">
        <v>6.4</v>
      </c>
      <c r="L29" s="35"/>
      <c r="M29" s="97" t="s">
        <v>95</v>
      </c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23.25" customHeight="1">
      <c r="A30" s="45" t="s">
        <v>19</v>
      </c>
      <c r="B30" s="49">
        <v>1951.7676999999999</v>
      </c>
      <c r="C30" s="31">
        <f t="shared" si="0"/>
        <v>2.0199999999931606E-2</v>
      </c>
      <c r="D30" s="30">
        <f t="shared" si="1"/>
        <v>96.959999999671709</v>
      </c>
      <c r="E30" s="29"/>
      <c r="F30" s="49">
        <v>217.8227</v>
      </c>
      <c r="G30" s="28">
        <f t="shared" si="2"/>
        <v>4.500000000007276E-3</v>
      </c>
      <c r="H30" s="30">
        <f t="shared" si="3"/>
        <v>21.600000000034925</v>
      </c>
      <c r="I30" s="33">
        <f t="shared" si="4"/>
        <v>0.22277227722883725</v>
      </c>
      <c r="J30" s="29"/>
      <c r="K30" s="50">
        <v>6.4</v>
      </c>
      <c r="L30" s="35"/>
      <c r="M30" s="91" t="s">
        <v>97</v>
      </c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 spans="1:26" ht="23.25" customHeight="1">
      <c r="A31" s="45" t="s">
        <v>20</v>
      </c>
      <c r="B31" s="49">
        <v>1951.7862</v>
      </c>
      <c r="C31" s="31">
        <f t="shared" si="0"/>
        <v>1.8500000000130967E-2</v>
      </c>
      <c r="D31" s="30">
        <f t="shared" si="1"/>
        <v>88.800000000628643</v>
      </c>
      <c r="E31" s="29"/>
      <c r="F31" s="49">
        <v>217.82689999999999</v>
      </c>
      <c r="G31" s="28">
        <f t="shared" si="2"/>
        <v>4.199999999997317E-3</v>
      </c>
      <c r="H31" s="30">
        <f t="shared" si="3"/>
        <v>20.159999999987122</v>
      </c>
      <c r="I31" s="33">
        <f t="shared" si="4"/>
        <v>0.2270270270252748</v>
      </c>
      <c r="J31" s="29"/>
      <c r="K31" s="50">
        <v>6.4</v>
      </c>
      <c r="L31" s="35"/>
      <c r="M31" s="104" t="s">
        <v>79</v>
      </c>
      <c r="N31" s="98" t="s">
        <v>98</v>
      </c>
      <c r="O31" s="98"/>
      <c r="P31" s="98" t="s">
        <v>100</v>
      </c>
      <c r="Q31" s="98"/>
      <c r="R31" s="98" t="s">
        <v>93</v>
      </c>
      <c r="S31" s="98"/>
      <c r="T31" s="98" t="s">
        <v>103</v>
      </c>
      <c r="U31" s="98"/>
      <c r="V31" s="98" t="s">
        <v>187</v>
      </c>
      <c r="W31" s="98"/>
      <c r="X31" s="98"/>
      <c r="Y31" s="98" t="s">
        <v>91</v>
      </c>
      <c r="Z31" s="100"/>
    </row>
    <row r="32" spans="1:26" ht="23.25" customHeight="1">
      <c r="A32" s="45" t="s">
        <v>21</v>
      </c>
      <c r="B32" s="49">
        <v>1951.8084999999999</v>
      </c>
      <c r="C32" s="31">
        <f t="shared" si="0"/>
        <v>2.229999999985921E-2</v>
      </c>
      <c r="D32" s="30">
        <f t="shared" si="1"/>
        <v>107.03999999932421</v>
      </c>
      <c r="E32" s="29"/>
      <c r="F32" s="49">
        <v>217.8322</v>
      </c>
      <c r="G32" s="28">
        <f t="shared" si="2"/>
        <v>5.3000000000054115E-3</v>
      </c>
      <c r="H32" s="30">
        <f t="shared" si="3"/>
        <v>25.440000000025975</v>
      </c>
      <c r="I32" s="33">
        <f t="shared" si="4"/>
        <v>0.23766816143672076</v>
      </c>
      <c r="J32" s="29"/>
      <c r="K32" s="50">
        <v>6.4</v>
      </c>
      <c r="L32" s="35"/>
      <c r="M32" s="95"/>
      <c r="N32" s="99"/>
      <c r="O32" s="99"/>
      <c r="P32" s="99" t="s">
        <v>83</v>
      </c>
      <c r="Q32" s="99"/>
      <c r="R32" s="99" t="s">
        <v>102</v>
      </c>
      <c r="S32" s="99"/>
      <c r="T32" s="99" t="s">
        <v>104</v>
      </c>
      <c r="U32" s="99"/>
      <c r="V32" s="99" t="s">
        <v>105</v>
      </c>
      <c r="W32" s="99"/>
      <c r="X32" s="99"/>
      <c r="Y32" s="99"/>
      <c r="Z32" s="101"/>
    </row>
    <row r="33" spans="1:26" ht="23.25" customHeight="1">
      <c r="A33" s="45" t="s">
        <v>22</v>
      </c>
      <c r="B33" s="49">
        <v>1951.8282999999999</v>
      </c>
      <c r="C33" s="31">
        <f t="shared" si="0"/>
        <v>1.9800000000032014E-2</v>
      </c>
      <c r="D33" s="30">
        <f t="shared" si="1"/>
        <v>95.040000000153668</v>
      </c>
      <c r="E33" s="29"/>
      <c r="F33" s="49">
        <v>217.83750000000001</v>
      </c>
      <c r="G33" s="28">
        <f t="shared" si="2"/>
        <v>5.3000000000054115E-3</v>
      </c>
      <c r="H33" s="30">
        <f t="shared" si="3"/>
        <v>25.440000000025975</v>
      </c>
      <c r="I33" s="33">
        <f t="shared" si="4"/>
        <v>0.2676767676766082</v>
      </c>
      <c r="J33" s="29"/>
      <c r="K33" s="50">
        <v>6.4</v>
      </c>
      <c r="L33" s="35"/>
      <c r="M33" s="95" t="s">
        <v>80</v>
      </c>
      <c r="N33" s="99" t="s">
        <v>99</v>
      </c>
      <c r="O33" s="99"/>
      <c r="P33" s="99" t="s">
        <v>101</v>
      </c>
      <c r="Q33" s="99"/>
      <c r="R33" s="99" t="s">
        <v>69</v>
      </c>
      <c r="S33" s="99"/>
      <c r="T33" s="99" t="s">
        <v>69</v>
      </c>
      <c r="U33" s="99"/>
      <c r="V33" s="99" t="s">
        <v>106</v>
      </c>
      <c r="W33" s="99"/>
      <c r="X33" s="99"/>
      <c r="Y33" s="99"/>
      <c r="Z33" s="101"/>
    </row>
    <row r="34" spans="1:26" ht="23.25" customHeight="1">
      <c r="A34" s="45" t="s">
        <v>23</v>
      </c>
      <c r="B34" s="49">
        <v>1951.8479</v>
      </c>
      <c r="C34" s="31">
        <f t="shared" si="0"/>
        <v>1.9600000000082218E-2</v>
      </c>
      <c r="D34" s="30">
        <f t="shared" si="1"/>
        <v>94.080000000394648</v>
      </c>
      <c r="E34" s="29"/>
      <c r="F34" s="49">
        <v>217.8426</v>
      </c>
      <c r="G34" s="28">
        <f t="shared" si="2"/>
        <v>5.0999999999987722E-3</v>
      </c>
      <c r="H34" s="30">
        <f t="shared" si="3"/>
        <v>24.479999999994106</v>
      </c>
      <c r="I34" s="33">
        <f t="shared" si="4"/>
        <v>0.26020408163149888</v>
      </c>
      <c r="J34" s="29"/>
      <c r="K34" s="50">
        <v>6.4</v>
      </c>
      <c r="L34" s="35"/>
      <c r="M34" s="96"/>
      <c r="N34" s="102"/>
      <c r="O34" s="102"/>
      <c r="P34" s="102"/>
      <c r="Q34" s="102"/>
      <c r="R34" s="103"/>
      <c r="S34" s="96"/>
      <c r="T34" s="103"/>
      <c r="U34" s="96"/>
      <c r="V34" s="103"/>
      <c r="W34" s="111"/>
      <c r="X34" s="96"/>
      <c r="Y34" s="102"/>
      <c r="Z34" s="103"/>
    </row>
    <row r="35" spans="1:26" ht="23.25" customHeight="1">
      <c r="A35" s="45" t="s">
        <v>24</v>
      </c>
      <c r="B35" s="49">
        <v>1951.8655999999999</v>
      </c>
      <c r="C35" s="31">
        <f t="shared" si="0"/>
        <v>1.7699999999877036E-2</v>
      </c>
      <c r="D35" s="30">
        <f t="shared" si="1"/>
        <v>84.959999999409774</v>
      </c>
      <c r="E35" s="29"/>
      <c r="F35" s="49">
        <v>217.84719999999999</v>
      </c>
      <c r="G35" s="28">
        <f t="shared" si="2"/>
        <v>4.5999999999821739E-3</v>
      </c>
      <c r="H35" s="30">
        <f t="shared" si="3"/>
        <v>22.079999999914435</v>
      </c>
      <c r="I35" s="33">
        <f t="shared" si="4"/>
        <v>0.25988700565051587</v>
      </c>
      <c r="J35" s="29"/>
      <c r="K35" s="50">
        <v>6.4</v>
      </c>
      <c r="L35" s="35"/>
      <c r="M35" s="10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89"/>
    </row>
    <row r="36" spans="1:26" ht="23.25" customHeight="1">
      <c r="A36" s="45" t="s">
        <v>25</v>
      </c>
      <c r="B36" s="49">
        <v>1951.8865999999998</v>
      </c>
      <c r="C36" s="31">
        <f t="shared" si="0"/>
        <v>2.0999999999958163E-2</v>
      </c>
      <c r="D36" s="30">
        <f t="shared" si="1"/>
        <v>100.79999999979918</v>
      </c>
      <c r="E36" s="29"/>
      <c r="F36" s="49">
        <v>217.85169999999999</v>
      </c>
      <c r="G36" s="28">
        <f t="shared" si="2"/>
        <v>4.500000000007276E-3</v>
      </c>
      <c r="H36" s="30">
        <f t="shared" si="3"/>
        <v>21.600000000034925</v>
      </c>
      <c r="I36" s="33">
        <f t="shared" si="4"/>
        <v>0.21428571428648766</v>
      </c>
      <c r="J36" s="29"/>
      <c r="K36" s="50">
        <v>6.4</v>
      </c>
      <c r="L36" s="35"/>
      <c r="M36" s="10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89"/>
    </row>
    <row r="37" spans="1:26" ht="23.25" customHeight="1">
      <c r="A37" s="45" t="s">
        <v>26</v>
      </c>
      <c r="B37" s="49">
        <v>1951.9059999999999</v>
      </c>
      <c r="C37" s="31">
        <f t="shared" si="0"/>
        <v>1.9400000000132422E-2</v>
      </c>
      <c r="D37" s="30">
        <f t="shared" si="1"/>
        <v>93.120000000635628</v>
      </c>
      <c r="E37" s="29"/>
      <c r="F37" s="49">
        <v>217.85559999999998</v>
      </c>
      <c r="G37" s="28">
        <f t="shared" si="2"/>
        <v>3.899999999987358E-3</v>
      </c>
      <c r="H37" s="30">
        <f t="shared" si="3"/>
        <v>18.719999999939319</v>
      </c>
      <c r="I37" s="33">
        <f t="shared" si="4"/>
        <v>0.20103092783302767</v>
      </c>
      <c r="J37" s="29"/>
      <c r="K37" s="50">
        <v>6.4</v>
      </c>
      <c r="L37" s="35"/>
      <c r="M37" s="10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89"/>
    </row>
    <row r="38" spans="1:26" ht="23.25" customHeight="1">
      <c r="A38" s="45" t="s">
        <v>27</v>
      </c>
      <c r="B38" s="49">
        <v>1951.9248</v>
      </c>
      <c r="C38" s="31">
        <f t="shared" si="0"/>
        <v>1.8800000000055661E-2</v>
      </c>
      <c r="D38" s="30">
        <f t="shared" si="1"/>
        <v>90.240000000267173</v>
      </c>
      <c r="E38" s="29"/>
      <c r="F38" s="49">
        <v>217.8596</v>
      </c>
      <c r="G38" s="28">
        <f t="shared" si="2"/>
        <v>4.0000000000190994E-3</v>
      </c>
      <c r="H38" s="30">
        <f t="shared" si="3"/>
        <v>19.200000000091677</v>
      </c>
      <c r="I38" s="33">
        <f t="shared" si="4"/>
        <v>0.21276595744719451</v>
      </c>
      <c r="J38" s="29"/>
      <c r="K38" s="50">
        <v>6.5</v>
      </c>
      <c r="L38" s="35"/>
      <c r="M38" s="10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89"/>
    </row>
    <row r="39" spans="1:26" ht="23.25" customHeight="1">
      <c r="A39" s="45" t="s">
        <v>28</v>
      </c>
      <c r="B39" s="49">
        <v>1951.9415999999999</v>
      </c>
      <c r="C39" s="31">
        <f t="shared" si="0"/>
        <v>1.6799999999875581E-2</v>
      </c>
      <c r="D39" s="30">
        <f t="shared" si="1"/>
        <v>80.639999999402789</v>
      </c>
      <c r="E39" s="29"/>
      <c r="F39" s="49">
        <v>217.8638</v>
      </c>
      <c r="G39" s="28">
        <f t="shared" si="2"/>
        <v>4.199999999997317E-3</v>
      </c>
      <c r="H39" s="30">
        <f t="shared" si="3"/>
        <v>20.159999999987122</v>
      </c>
      <c r="I39" s="33">
        <f t="shared" si="4"/>
        <v>0.25000000000169176</v>
      </c>
      <c r="J39" s="29"/>
      <c r="K39" s="50">
        <v>6.5</v>
      </c>
      <c r="L39" s="35"/>
      <c r="M39" s="10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89"/>
    </row>
    <row r="40" spans="1:26" ht="23.25" customHeight="1">
      <c r="A40" s="45" t="s">
        <v>29</v>
      </c>
      <c r="B40" s="49">
        <v>1951.9615999999999</v>
      </c>
      <c r="C40" s="31">
        <f t="shared" si="0"/>
        <v>1.999999999998181E-2</v>
      </c>
      <c r="D40" s="30">
        <f t="shared" si="1"/>
        <v>95.999999999912689</v>
      </c>
      <c r="E40" s="29"/>
      <c r="F40" s="49">
        <v>217.86859999999999</v>
      </c>
      <c r="G40" s="28">
        <f t="shared" si="2"/>
        <v>4.7999999999888132E-3</v>
      </c>
      <c r="H40" s="30">
        <f t="shared" si="3"/>
        <v>23.039999999946303</v>
      </c>
      <c r="I40" s="33">
        <f t="shared" si="4"/>
        <v>0.23999999999965893</v>
      </c>
      <c r="J40" s="29"/>
      <c r="K40" s="50">
        <v>6.5</v>
      </c>
      <c r="L40" s="35"/>
      <c r="M40" s="91" t="s">
        <v>109</v>
      </c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</row>
    <row r="41" spans="1:26" ht="23.25" customHeight="1">
      <c r="A41" s="45" t="s">
        <v>30</v>
      </c>
      <c r="B41" s="49">
        <v>1951.9802999999999</v>
      </c>
      <c r="C41" s="31">
        <f t="shared" si="0"/>
        <v>1.8700000000080763E-2</v>
      </c>
      <c r="D41" s="30">
        <f t="shared" si="1"/>
        <v>89.760000000387663</v>
      </c>
      <c r="E41" s="29"/>
      <c r="F41" s="49">
        <v>217.8734</v>
      </c>
      <c r="G41" s="28">
        <f t="shared" si="2"/>
        <v>4.8000000000172349E-3</v>
      </c>
      <c r="H41" s="30">
        <f t="shared" si="3"/>
        <v>23.040000000082728</v>
      </c>
      <c r="I41" s="33">
        <f t="shared" si="4"/>
        <v>0.25668449197842269</v>
      </c>
      <c r="J41" s="29"/>
      <c r="K41" s="50">
        <v>6.5</v>
      </c>
      <c r="L41" s="35"/>
      <c r="M41" s="104" t="s">
        <v>79</v>
      </c>
      <c r="N41" s="98" t="s">
        <v>98</v>
      </c>
      <c r="O41" s="98"/>
      <c r="P41" s="98" t="s">
        <v>93</v>
      </c>
      <c r="Q41" s="98"/>
      <c r="R41" s="98"/>
      <c r="S41" s="98" t="s">
        <v>111</v>
      </c>
      <c r="T41" s="98" t="s">
        <v>81</v>
      </c>
      <c r="U41" s="98"/>
      <c r="V41" s="98"/>
      <c r="W41" s="98"/>
      <c r="X41" s="98" t="s">
        <v>93</v>
      </c>
      <c r="Y41" s="98"/>
      <c r="Z41" s="100"/>
    </row>
    <row r="42" spans="1:26" ht="23.25" customHeight="1">
      <c r="A42" s="45" t="s">
        <v>31</v>
      </c>
      <c r="B42" s="49">
        <v>1951.9966999999999</v>
      </c>
      <c r="C42" s="31">
        <f t="shared" si="0"/>
        <v>1.6399999999975989E-2</v>
      </c>
      <c r="D42" s="30">
        <f t="shared" si="1"/>
        <v>78.719999999884749</v>
      </c>
      <c r="E42" s="29"/>
      <c r="F42" s="49">
        <v>217.87739999999999</v>
      </c>
      <c r="G42" s="28">
        <f t="shared" si="2"/>
        <v>3.9999999999906777E-3</v>
      </c>
      <c r="H42" s="30">
        <f t="shared" si="3"/>
        <v>19.199999999955253</v>
      </c>
      <c r="I42" s="33">
        <f t="shared" si="4"/>
        <v>0.24390243902417891</v>
      </c>
      <c r="J42" s="29"/>
      <c r="K42" s="50">
        <v>6.5</v>
      </c>
      <c r="L42" s="35"/>
      <c r="M42" s="95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101"/>
    </row>
    <row r="43" spans="1:26" ht="22.5" customHeight="1">
      <c r="A43" s="121" t="s">
        <v>70</v>
      </c>
      <c r="B43" s="121"/>
      <c r="C43" s="121"/>
      <c r="D43" s="30">
        <f>SUM(D18:D42)</f>
        <v>2321.7599999999948</v>
      </c>
      <c r="E43" s="29"/>
      <c r="F43" s="36"/>
      <c r="G43" s="29"/>
      <c r="H43" s="30">
        <f>SUM(H18:H42)</f>
        <v>551.04000000001179</v>
      </c>
      <c r="I43" s="33">
        <f>IF(AND(H43=0,D43=0),0,H43/D43)</f>
        <v>0.23733719247467999</v>
      </c>
      <c r="J43" s="29"/>
      <c r="K43" s="29"/>
      <c r="L43" s="35"/>
      <c r="M43" s="95" t="s">
        <v>80</v>
      </c>
      <c r="N43" s="99" t="s">
        <v>99</v>
      </c>
      <c r="O43" s="99"/>
      <c r="P43" s="99" t="s">
        <v>110</v>
      </c>
      <c r="Q43" s="99"/>
      <c r="R43" s="99"/>
      <c r="S43" s="99"/>
      <c r="T43" s="99"/>
      <c r="U43" s="99"/>
      <c r="V43" s="99"/>
      <c r="W43" s="99"/>
      <c r="X43" s="99" t="s">
        <v>110</v>
      </c>
      <c r="Y43" s="99"/>
      <c r="Z43" s="101"/>
    </row>
    <row r="44" spans="1:26" ht="22.5" customHeight="1">
      <c r="A44" s="76" t="s">
        <v>71</v>
      </c>
      <c r="B44" s="76"/>
      <c r="C44" s="76"/>
      <c r="D44" s="29"/>
      <c r="E44" s="29"/>
      <c r="F44" s="36"/>
      <c r="G44" s="29"/>
      <c r="H44" s="29"/>
      <c r="I44" s="29"/>
      <c r="J44" s="29"/>
      <c r="K44" s="29"/>
      <c r="L44" s="35"/>
      <c r="M44" s="96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3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89"/>
      <c r="O45" s="105"/>
      <c r="P45" s="89"/>
      <c r="Q45" s="90"/>
      <c r="R45" s="105"/>
      <c r="S45" s="8"/>
      <c r="T45" s="89"/>
      <c r="U45" s="90"/>
      <c r="V45" s="90"/>
      <c r="W45" s="105"/>
      <c r="X45" s="89"/>
      <c r="Y45" s="90"/>
      <c r="Z45" s="90"/>
    </row>
    <row r="46" spans="1:26" ht="22.5" customHeight="1">
      <c r="A46" s="54" t="s">
        <v>72</v>
      </c>
      <c r="B46" s="54"/>
      <c r="C46" s="54"/>
      <c r="D46" s="54"/>
      <c r="E46" s="54"/>
      <c r="F46" s="54"/>
      <c r="G46" s="77" t="s">
        <v>73</v>
      </c>
      <c r="H46" s="77"/>
      <c r="I46" s="77"/>
      <c r="J46" s="77"/>
      <c r="K46" s="77"/>
      <c r="L46" s="77"/>
      <c r="M46" s="10"/>
      <c r="N46" s="89"/>
      <c r="O46" s="105"/>
      <c r="P46" s="89"/>
      <c r="Q46" s="90"/>
      <c r="R46" s="105"/>
      <c r="S46" s="8"/>
      <c r="T46" s="89"/>
      <c r="U46" s="90"/>
      <c r="V46" s="90"/>
      <c r="W46" s="105"/>
      <c r="X46" s="89"/>
      <c r="Y46" s="90"/>
      <c r="Z46" s="90"/>
    </row>
    <row r="47" spans="1:26" ht="22.5" customHeight="1">
      <c r="A47" s="52" t="s">
        <v>388</v>
      </c>
      <c r="B47" s="52"/>
      <c r="C47" s="52"/>
      <c r="D47" s="54" t="s">
        <v>74</v>
      </c>
      <c r="E47" s="54"/>
      <c r="F47" s="54"/>
      <c r="G47" s="40"/>
      <c r="H47" s="40"/>
      <c r="I47" s="40"/>
      <c r="J47" s="40"/>
      <c r="K47" s="40"/>
      <c r="L47" s="40"/>
      <c r="M47" s="10"/>
      <c r="N47" s="89"/>
      <c r="O47" s="105"/>
      <c r="P47" s="89"/>
      <c r="Q47" s="90"/>
      <c r="R47" s="105"/>
      <c r="S47" s="8"/>
      <c r="T47" s="89"/>
      <c r="U47" s="90"/>
      <c r="V47" s="90"/>
      <c r="W47" s="105"/>
      <c r="X47" s="89"/>
      <c r="Y47" s="90"/>
      <c r="Z47" s="90"/>
    </row>
    <row r="48" spans="1:26" ht="22.5" customHeight="1">
      <c r="A48" s="55" t="s">
        <v>75</v>
      </c>
      <c r="B48" s="55"/>
      <c r="C48" s="55"/>
      <c r="D48" s="55" t="s">
        <v>76</v>
      </c>
      <c r="E48" s="55"/>
      <c r="F48" s="55"/>
      <c r="G48" s="39"/>
      <c r="H48" s="39"/>
      <c r="I48" s="39"/>
      <c r="J48" s="39"/>
      <c r="K48" s="39"/>
      <c r="L48" s="39"/>
    </row>
    <row r="49" spans="1:23" ht="22.5" customHeight="1">
      <c r="A49" s="52" t="s">
        <v>389</v>
      </c>
      <c r="B49" s="52"/>
      <c r="C49" s="52"/>
      <c r="D49" s="54" t="s">
        <v>74</v>
      </c>
      <c r="E49" s="54"/>
      <c r="F49" s="54"/>
      <c r="G49" s="39"/>
      <c r="H49" s="54" t="s">
        <v>191</v>
      </c>
      <c r="I49" s="54"/>
      <c r="J49" s="54"/>
      <c r="K49" s="54" t="s">
        <v>77</v>
      </c>
      <c r="L49" s="54"/>
      <c r="N49" s="57" t="s">
        <v>150</v>
      </c>
      <c r="O49" s="57"/>
      <c r="P49" s="57"/>
      <c r="Q49" s="56" t="s">
        <v>391</v>
      </c>
      <c r="R49" s="56"/>
      <c r="S49" s="56"/>
      <c r="T49" s="56"/>
      <c r="U49" s="56"/>
      <c r="V49" s="56"/>
      <c r="W49" s="1"/>
    </row>
    <row r="50" spans="1:23" ht="22.5" customHeight="1">
      <c r="A50" s="55" t="s">
        <v>75</v>
      </c>
      <c r="B50" s="55"/>
      <c r="C50" s="55"/>
      <c r="D50" s="55" t="s">
        <v>76</v>
      </c>
      <c r="E50" s="55"/>
      <c r="F50" s="55"/>
      <c r="G50" s="44"/>
      <c r="H50" s="55" t="s">
        <v>75</v>
      </c>
      <c r="I50" s="55"/>
      <c r="J50" s="55"/>
      <c r="K50" s="55" t="s">
        <v>76</v>
      </c>
      <c r="L50" s="55"/>
      <c r="S50" s="53" t="s">
        <v>76</v>
      </c>
      <c r="T50" s="53"/>
    </row>
    <row r="51" spans="1:23" ht="20.100000000000001" customHeight="1">
      <c r="A51" s="52" t="s">
        <v>390</v>
      </c>
      <c r="B51" s="52"/>
      <c r="C51" s="52"/>
      <c r="D51" s="54" t="s">
        <v>74</v>
      </c>
      <c r="E51" s="54"/>
      <c r="F51" s="54"/>
      <c r="G51" s="39"/>
      <c r="H51" s="39"/>
      <c r="I51" s="39"/>
      <c r="J51" s="39"/>
      <c r="K51" s="39"/>
      <c r="L51" s="39"/>
    </row>
    <row r="52" spans="1:23" ht="20.100000000000001" customHeight="1">
      <c r="A52" s="53" t="s">
        <v>75</v>
      </c>
      <c r="B52" s="53"/>
      <c r="C52" s="53"/>
      <c r="D52" s="53" t="s">
        <v>76</v>
      </c>
      <c r="E52" s="53"/>
      <c r="F52" s="53"/>
      <c r="G52" s="1"/>
      <c r="H52" s="1"/>
    </row>
  </sheetData>
  <sheetProtection sheet="1" objects="1" scenarios="1"/>
  <mergeCells count="258">
    <mergeCell ref="A10:D10"/>
    <mergeCell ref="E10:G10"/>
    <mergeCell ref="D13:E13"/>
    <mergeCell ref="A46:F46"/>
    <mergeCell ref="A44:C44"/>
    <mergeCell ref="G1:H2"/>
    <mergeCell ref="J16:J17"/>
    <mergeCell ref="K16:K17"/>
    <mergeCell ref="A13:A17"/>
    <mergeCell ref="E16:E17"/>
    <mergeCell ref="B15:C15"/>
    <mergeCell ref="D15:E15"/>
    <mergeCell ref="A43:C43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N14:O14"/>
    <mergeCell ref="N15:O15"/>
    <mergeCell ref="N16:O16"/>
    <mergeCell ref="N12:O12"/>
    <mergeCell ref="N13:O13"/>
    <mergeCell ref="I13:I17"/>
    <mergeCell ref="J13:K13"/>
    <mergeCell ref="J14:K14"/>
    <mergeCell ref="J15:K15"/>
    <mergeCell ref="A12:L12"/>
    <mergeCell ref="F13:G13"/>
    <mergeCell ref="B14:C14"/>
    <mergeCell ref="D14:E14"/>
    <mergeCell ref="B13:C13"/>
    <mergeCell ref="F14:G14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T27:V27"/>
    <mergeCell ref="W27:Z27"/>
    <mergeCell ref="N26:P26"/>
    <mergeCell ref="N25:P25"/>
    <mergeCell ref="Q25:S25"/>
    <mergeCell ref="T25:V25"/>
    <mergeCell ref="W25:Z25"/>
    <mergeCell ref="Q23:S23"/>
    <mergeCell ref="T23:V23"/>
    <mergeCell ref="Q26:S26"/>
    <mergeCell ref="T26:V26"/>
    <mergeCell ref="N24:P24"/>
    <mergeCell ref="Q24:S24"/>
    <mergeCell ref="T28:V28"/>
    <mergeCell ref="W28:Z28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T24:V24"/>
    <mergeCell ref="W24:Z24"/>
    <mergeCell ref="T18:V19"/>
    <mergeCell ref="V14:W14"/>
    <mergeCell ref="V11:W11"/>
    <mergeCell ref="V12:W12"/>
    <mergeCell ref="V13:W13"/>
    <mergeCell ref="T11:U11"/>
    <mergeCell ref="T12:U12"/>
    <mergeCell ref="T13:U13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X45:Z45"/>
    <mergeCell ref="X46:Z46"/>
    <mergeCell ref="X47:Z47"/>
    <mergeCell ref="S50:T50"/>
    <mergeCell ref="N39:O39"/>
    <mergeCell ref="P39:Q39"/>
    <mergeCell ref="N41:O42"/>
    <mergeCell ref="P41:R42"/>
    <mergeCell ref="M40:Z40"/>
    <mergeCell ref="M43:M44"/>
    <mergeCell ref="T47:W47"/>
    <mergeCell ref="N43:O44"/>
    <mergeCell ref="P43:R44"/>
    <mergeCell ref="P46:R46"/>
    <mergeCell ref="P47:R47"/>
    <mergeCell ref="N45:O45"/>
    <mergeCell ref="R39:S39"/>
    <mergeCell ref="T39:U39"/>
    <mergeCell ref="V39:X39"/>
    <mergeCell ref="Y39:Z39"/>
    <mergeCell ref="S41:S44"/>
    <mergeCell ref="T41:W44"/>
    <mergeCell ref="M41:M42"/>
    <mergeCell ref="Q49:V49"/>
    <mergeCell ref="N49:P49"/>
    <mergeCell ref="P45:R45"/>
    <mergeCell ref="A51:C51"/>
    <mergeCell ref="D51:F51"/>
    <mergeCell ref="N46:O46"/>
    <mergeCell ref="N47:O47"/>
    <mergeCell ref="T45:W45"/>
    <mergeCell ref="T46:W46"/>
    <mergeCell ref="H49:J49"/>
    <mergeCell ref="K49:L49"/>
    <mergeCell ref="A48:C48"/>
    <mergeCell ref="A49:C49"/>
    <mergeCell ref="A50:C50"/>
    <mergeCell ref="D50:F50"/>
    <mergeCell ref="D48:F48"/>
    <mergeCell ref="A47:C47"/>
    <mergeCell ref="D47:F47"/>
    <mergeCell ref="G46:L46"/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A7:L7"/>
    <mergeCell ref="I11:L11"/>
    <mergeCell ref="A8:L8"/>
    <mergeCell ref="A1:F1"/>
    <mergeCell ref="A2:F2"/>
    <mergeCell ref="A3:F3"/>
    <mergeCell ref="A4:F4"/>
    <mergeCell ref="A5:F5"/>
    <mergeCell ref="A6:F6"/>
    <mergeCell ref="A9:L9"/>
    <mergeCell ref="G3:H4"/>
    <mergeCell ref="I3:L4"/>
    <mergeCell ref="A11:D11"/>
    <mergeCell ref="E11:H11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>
  <sheetPr codeName="Лист7"/>
  <dimension ref="A1:Z52"/>
  <sheetViews>
    <sheetView zoomScaleNormal="100" zoomScaleSheetLayoutView="75" workbookViewId="0">
      <selection activeCell="F37" sqref="F37"/>
    </sheetView>
  </sheetViews>
  <sheetFormatPr defaultRowHeight="18.75"/>
  <cols>
    <col min="1" max="1" width="11.140625" style="2" customWidth="1"/>
    <col min="2" max="2" width="15.140625" style="2" customWidth="1"/>
    <col min="3" max="3" width="13.5703125" style="2" customWidth="1"/>
    <col min="4" max="4" width="12.7109375" style="2" customWidth="1"/>
    <col min="5" max="5" width="5.42578125" style="2" customWidth="1"/>
    <col min="6" max="6" width="14.140625" style="2" customWidth="1"/>
    <col min="7" max="7" width="13.7109375" style="2" customWidth="1"/>
    <col min="8" max="8" width="16.42578125" style="2" customWidth="1"/>
    <col min="9" max="9" width="8.28515625" style="2" customWidth="1"/>
    <col min="10" max="11" width="8.85546875" style="2" customWidth="1"/>
    <col min="12" max="12" width="18.85546875" style="2" customWidth="1"/>
    <col min="13" max="26" width="10.28515625" style="2" customWidth="1"/>
    <col min="27" max="16384" width="9.140625" style="2"/>
  </cols>
  <sheetData>
    <row r="1" spans="1:26" ht="21.75" customHeight="1">
      <c r="A1" s="59" t="s">
        <v>157</v>
      </c>
      <c r="B1" s="59"/>
      <c r="C1" s="59"/>
      <c r="D1" s="59"/>
      <c r="E1" s="59"/>
      <c r="F1" s="59"/>
      <c r="G1" s="63" t="s">
        <v>154</v>
      </c>
      <c r="H1" s="63"/>
      <c r="I1" s="59" t="s">
        <v>160</v>
      </c>
      <c r="J1" s="59"/>
      <c r="K1" s="59"/>
      <c r="L1" s="59"/>
      <c r="M1" s="91" t="s">
        <v>96</v>
      </c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spans="1:26" ht="21.75" customHeight="1">
      <c r="A2" s="61" t="s">
        <v>45</v>
      </c>
      <c r="B2" s="61"/>
      <c r="C2" s="61"/>
      <c r="D2" s="61"/>
      <c r="E2" s="61"/>
      <c r="F2" s="61"/>
      <c r="G2" s="63"/>
      <c r="H2" s="63"/>
      <c r="I2" s="59"/>
      <c r="J2" s="59"/>
      <c r="K2" s="59"/>
      <c r="L2" s="59"/>
      <c r="M2" s="91" t="s">
        <v>78</v>
      </c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spans="1:26" ht="21.75" customHeight="1">
      <c r="A3" s="59" t="s">
        <v>158</v>
      </c>
      <c r="B3" s="60"/>
      <c r="C3" s="60"/>
      <c r="D3" s="60"/>
      <c r="E3" s="60"/>
      <c r="F3" s="60"/>
      <c r="G3" s="63" t="s">
        <v>155</v>
      </c>
      <c r="H3" s="63"/>
      <c r="I3" s="59" t="s">
        <v>267</v>
      </c>
      <c r="J3" s="59"/>
      <c r="K3" s="59"/>
      <c r="L3" s="59"/>
      <c r="M3" s="104" t="s">
        <v>79</v>
      </c>
      <c r="N3" s="100" t="s">
        <v>81</v>
      </c>
      <c r="O3" s="104"/>
      <c r="P3" s="100" t="s">
        <v>65</v>
      </c>
      <c r="Q3" s="104"/>
      <c r="R3" s="100" t="s">
        <v>82</v>
      </c>
      <c r="S3" s="104"/>
      <c r="T3" s="100" t="s">
        <v>85</v>
      </c>
      <c r="U3" s="104"/>
      <c r="V3" s="100" t="s">
        <v>87</v>
      </c>
      <c r="W3" s="104"/>
      <c r="X3" s="107" t="s">
        <v>91</v>
      </c>
      <c r="Y3" s="108"/>
      <c r="Z3" s="108"/>
    </row>
    <row r="4" spans="1:26" ht="29.25" customHeight="1">
      <c r="A4" s="61" t="s">
        <v>46</v>
      </c>
      <c r="B4" s="61"/>
      <c r="C4" s="61"/>
      <c r="D4" s="61"/>
      <c r="E4" s="61"/>
      <c r="F4" s="61"/>
      <c r="G4" s="63"/>
      <c r="H4" s="63"/>
      <c r="I4" s="59"/>
      <c r="J4" s="59"/>
      <c r="K4" s="59"/>
      <c r="L4" s="59"/>
      <c r="M4" s="95"/>
      <c r="N4" s="101"/>
      <c r="O4" s="95"/>
      <c r="P4" s="101"/>
      <c r="Q4" s="95"/>
      <c r="R4" s="101" t="s">
        <v>83</v>
      </c>
      <c r="S4" s="95"/>
      <c r="T4" s="101" t="s">
        <v>86</v>
      </c>
      <c r="U4" s="95"/>
      <c r="V4" s="101" t="s">
        <v>88</v>
      </c>
      <c r="W4" s="95"/>
      <c r="X4" s="107"/>
      <c r="Y4" s="108"/>
      <c r="Z4" s="108"/>
    </row>
    <row r="5" spans="1:26" ht="21.75" customHeight="1">
      <c r="A5" s="59" t="s">
        <v>185</v>
      </c>
      <c r="B5" s="60"/>
      <c r="C5" s="60"/>
      <c r="D5" s="60"/>
      <c r="E5" s="60"/>
      <c r="F5" s="60"/>
      <c r="G5" s="63" t="s">
        <v>156</v>
      </c>
      <c r="H5" s="63"/>
      <c r="I5" s="59" t="s">
        <v>268</v>
      </c>
      <c r="J5" s="59"/>
      <c r="K5" s="59"/>
      <c r="L5" s="59"/>
      <c r="M5" s="95" t="s">
        <v>80</v>
      </c>
      <c r="N5" s="101"/>
      <c r="O5" s="95"/>
      <c r="P5" s="101" t="s">
        <v>190</v>
      </c>
      <c r="Q5" s="95"/>
      <c r="R5" s="109" t="s">
        <v>84</v>
      </c>
      <c r="S5" s="110"/>
      <c r="T5" s="109" t="s">
        <v>84</v>
      </c>
      <c r="U5" s="110"/>
      <c r="V5" s="101" t="s">
        <v>89</v>
      </c>
      <c r="W5" s="95"/>
      <c r="X5" s="107"/>
      <c r="Y5" s="108"/>
      <c r="Z5" s="108"/>
    </row>
    <row r="6" spans="1:26" ht="21.75" customHeight="1">
      <c r="A6" s="61" t="s">
        <v>47</v>
      </c>
      <c r="B6" s="61"/>
      <c r="C6" s="61"/>
      <c r="D6" s="61"/>
      <c r="E6" s="61"/>
      <c r="F6" s="61"/>
      <c r="G6" s="63"/>
      <c r="H6" s="63"/>
      <c r="I6" s="59"/>
      <c r="J6" s="59"/>
      <c r="K6" s="59"/>
      <c r="L6" s="59"/>
      <c r="M6" s="96"/>
      <c r="N6" s="103"/>
      <c r="O6" s="96"/>
      <c r="P6" s="103"/>
      <c r="Q6" s="96"/>
      <c r="R6" s="103"/>
      <c r="S6" s="96"/>
      <c r="T6" s="103"/>
      <c r="U6" s="96"/>
      <c r="V6" s="103" t="s">
        <v>90</v>
      </c>
      <c r="W6" s="96"/>
      <c r="X6" s="107"/>
      <c r="Y6" s="108"/>
      <c r="Z6" s="108"/>
    </row>
    <row r="7" spans="1:26" ht="21.75" customHeight="1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10"/>
      <c r="N7" s="89"/>
      <c r="O7" s="105"/>
      <c r="P7" s="89"/>
      <c r="Q7" s="105"/>
      <c r="R7" s="89"/>
      <c r="S7" s="105"/>
      <c r="T7" s="89"/>
      <c r="U7" s="105"/>
      <c r="V7" s="89"/>
      <c r="W7" s="105"/>
      <c r="X7" s="89"/>
      <c r="Y7" s="90"/>
      <c r="Z7" s="90"/>
    </row>
    <row r="8" spans="1:26" ht="22.5" customHeight="1">
      <c r="A8" s="94" t="s">
        <v>48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10"/>
      <c r="N8" s="89"/>
      <c r="O8" s="105"/>
      <c r="P8" s="89"/>
      <c r="Q8" s="105"/>
      <c r="R8" s="89"/>
      <c r="S8" s="105"/>
      <c r="T8" s="89"/>
      <c r="U8" s="105"/>
      <c r="V8" s="89"/>
      <c r="W8" s="105"/>
      <c r="X8" s="89"/>
      <c r="Y8" s="90"/>
      <c r="Z8" s="90"/>
    </row>
    <row r="9" spans="1:26" ht="22.5" customHeight="1">
      <c r="A9" s="88" t="s">
        <v>49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10"/>
      <c r="N9" s="89"/>
      <c r="O9" s="105"/>
      <c r="P9" s="89"/>
      <c r="Q9" s="105"/>
      <c r="R9" s="89"/>
      <c r="S9" s="105"/>
      <c r="T9" s="89"/>
      <c r="U9" s="105"/>
      <c r="V9" s="89"/>
      <c r="W9" s="105"/>
      <c r="X9" s="89"/>
      <c r="Y9" s="90"/>
      <c r="Z9" s="90"/>
    </row>
    <row r="10" spans="1:26" ht="22.5" customHeight="1">
      <c r="A10" s="80" t="s">
        <v>112</v>
      </c>
      <c r="B10" s="80"/>
      <c r="C10" s="80"/>
      <c r="D10" s="80"/>
      <c r="E10" s="81" t="s">
        <v>383</v>
      </c>
      <c r="F10" s="81"/>
      <c r="G10" s="81"/>
      <c r="H10" s="62" t="s">
        <v>384</v>
      </c>
      <c r="I10" s="62"/>
      <c r="J10" s="62"/>
      <c r="K10" s="62"/>
      <c r="L10" s="62"/>
      <c r="M10" s="10"/>
      <c r="N10" s="89"/>
      <c r="O10" s="105"/>
      <c r="P10" s="89"/>
      <c r="Q10" s="105"/>
      <c r="R10" s="89"/>
      <c r="S10" s="105"/>
      <c r="T10" s="89"/>
      <c r="U10" s="105"/>
      <c r="V10" s="89"/>
      <c r="W10" s="105"/>
      <c r="X10" s="89"/>
      <c r="Y10" s="90"/>
      <c r="Z10" s="90"/>
    </row>
    <row r="11" spans="1:26" ht="22.5" customHeight="1">
      <c r="A11" s="80" t="s">
        <v>113</v>
      </c>
      <c r="B11" s="80"/>
      <c r="C11" s="80"/>
      <c r="D11" s="80"/>
      <c r="E11" s="79" t="s">
        <v>240</v>
      </c>
      <c r="F11" s="79"/>
      <c r="G11" s="79"/>
      <c r="H11" s="79"/>
      <c r="I11" s="62" t="s">
        <v>114</v>
      </c>
      <c r="J11" s="62"/>
      <c r="K11" s="62"/>
      <c r="L11" s="62"/>
      <c r="M11" s="10"/>
      <c r="N11" s="89"/>
      <c r="O11" s="105"/>
      <c r="P11" s="89"/>
      <c r="Q11" s="105"/>
      <c r="R11" s="89"/>
      <c r="S11" s="105"/>
      <c r="T11" s="89"/>
      <c r="U11" s="105"/>
      <c r="V11" s="89"/>
      <c r="W11" s="105"/>
      <c r="X11" s="89"/>
      <c r="Y11" s="90"/>
      <c r="Z11" s="90"/>
    </row>
    <row r="12" spans="1:26" ht="21.75" customHeight="1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10"/>
      <c r="N12" s="89"/>
      <c r="O12" s="105"/>
      <c r="P12" s="89"/>
      <c r="Q12" s="105"/>
      <c r="R12" s="89"/>
      <c r="S12" s="105"/>
      <c r="T12" s="89"/>
      <c r="U12" s="105"/>
      <c r="V12" s="89"/>
      <c r="W12" s="105"/>
      <c r="X12" s="89"/>
      <c r="Y12" s="90"/>
      <c r="Z12" s="90"/>
    </row>
    <row r="13" spans="1:26" ht="21.75" customHeight="1">
      <c r="A13" s="64" t="s">
        <v>50</v>
      </c>
      <c r="B13" s="72" t="s">
        <v>56</v>
      </c>
      <c r="C13" s="73"/>
      <c r="D13" s="74" t="s">
        <v>198</v>
      </c>
      <c r="E13" s="75"/>
      <c r="F13" s="72" t="s">
        <v>59</v>
      </c>
      <c r="G13" s="73"/>
      <c r="H13" s="18" t="s">
        <v>198</v>
      </c>
      <c r="I13" s="84" t="s">
        <v>5</v>
      </c>
      <c r="J13" s="72" t="s">
        <v>60</v>
      </c>
      <c r="K13" s="64"/>
      <c r="L13" s="17" t="s">
        <v>65</v>
      </c>
      <c r="M13" s="10"/>
      <c r="N13" s="89"/>
      <c r="O13" s="105"/>
      <c r="P13" s="89"/>
      <c r="Q13" s="105"/>
      <c r="R13" s="89"/>
      <c r="S13" s="105"/>
      <c r="T13" s="89"/>
      <c r="U13" s="105"/>
      <c r="V13" s="89"/>
      <c r="W13" s="105"/>
      <c r="X13" s="89"/>
      <c r="Y13" s="90"/>
      <c r="Z13" s="90"/>
    </row>
    <row r="14" spans="1:26" ht="21.75" customHeight="1">
      <c r="A14" s="65"/>
      <c r="B14" s="82" t="s">
        <v>57</v>
      </c>
      <c r="C14" s="83"/>
      <c r="D14" s="92" t="s">
        <v>244</v>
      </c>
      <c r="E14" s="93"/>
      <c r="F14" s="82" t="s">
        <v>57</v>
      </c>
      <c r="G14" s="83"/>
      <c r="H14" s="19" t="s">
        <v>245</v>
      </c>
      <c r="I14" s="85"/>
      <c r="J14" s="82" t="s">
        <v>61</v>
      </c>
      <c r="K14" s="65"/>
      <c r="L14" s="17" t="s">
        <v>66</v>
      </c>
      <c r="M14" s="10"/>
      <c r="N14" s="89"/>
      <c r="O14" s="105"/>
      <c r="P14" s="89"/>
      <c r="Q14" s="105"/>
      <c r="R14" s="89"/>
      <c r="S14" s="105"/>
      <c r="T14" s="89"/>
      <c r="U14" s="105"/>
      <c r="V14" s="89"/>
      <c r="W14" s="105"/>
      <c r="X14" s="89"/>
      <c r="Y14" s="90"/>
      <c r="Z14" s="90"/>
    </row>
    <row r="15" spans="1:26" ht="21.75" customHeight="1">
      <c r="A15" s="65"/>
      <c r="B15" s="68" t="s">
        <v>58</v>
      </c>
      <c r="C15" s="69"/>
      <c r="D15" s="70">
        <v>1800</v>
      </c>
      <c r="E15" s="71"/>
      <c r="F15" s="68" t="s">
        <v>58</v>
      </c>
      <c r="G15" s="69"/>
      <c r="H15" s="20">
        <v>1800</v>
      </c>
      <c r="I15" s="85"/>
      <c r="J15" s="68" t="s">
        <v>62</v>
      </c>
      <c r="K15" s="78"/>
      <c r="L15" s="17" t="s">
        <v>67</v>
      </c>
      <c r="M15" s="10"/>
      <c r="N15" s="89"/>
      <c r="O15" s="105"/>
      <c r="P15" s="89"/>
      <c r="Q15" s="105"/>
      <c r="R15" s="89"/>
      <c r="S15" s="105"/>
      <c r="T15" s="89"/>
      <c r="U15" s="105"/>
      <c r="V15" s="89"/>
      <c r="W15" s="105"/>
      <c r="X15" s="89"/>
      <c r="Y15" s="90"/>
      <c r="Z15" s="90"/>
    </row>
    <row r="16" spans="1:26" ht="21.75" customHeight="1">
      <c r="A16" s="65"/>
      <c r="B16" s="13" t="s">
        <v>51</v>
      </c>
      <c r="C16" s="13" t="s">
        <v>53</v>
      </c>
      <c r="D16" s="13" t="s">
        <v>54</v>
      </c>
      <c r="E16" s="66"/>
      <c r="F16" s="13" t="s">
        <v>51</v>
      </c>
      <c r="G16" s="13" t="s">
        <v>53</v>
      </c>
      <c r="H16" s="11" t="s">
        <v>54</v>
      </c>
      <c r="I16" s="85"/>
      <c r="J16" s="66" t="s">
        <v>63</v>
      </c>
      <c r="K16" s="66" t="s">
        <v>64</v>
      </c>
      <c r="L16" s="17" t="s">
        <v>68</v>
      </c>
      <c r="M16" s="10"/>
      <c r="N16" s="89"/>
      <c r="O16" s="105"/>
      <c r="P16" s="89"/>
      <c r="Q16" s="105"/>
      <c r="R16" s="89"/>
      <c r="S16" s="105"/>
      <c r="T16" s="89"/>
      <c r="U16" s="105"/>
      <c r="V16" s="89"/>
      <c r="W16" s="105"/>
      <c r="X16" s="89"/>
      <c r="Y16" s="90"/>
      <c r="Z16" s="90"/>
    </row>
    <row r="17" spans="1:26" ht="21.75" customHeight="1">
      <c r="A17" s="65"/>
      <c r="B17" s="26" t="s">
        <v>52</v>
      </c>
      <c r="C17" s="26" t="s">
        <v>51</v>
      </c>
      <c r="D17" s="26" t="s">
        <v>55</v>
      </c>
      <c r="E17" s="67"/>
      <c r="F17" s="26" t="s">
        <v>52</v>
      </c>
      <c r="G17" s="14" t="s">
        <v>51</v>
      </c>
      <c r="H17" s="12" t="s">
        <v>55</v>
      </c>
      <c r="I17" s="119"/>
      <c r="J17" s="120"/>
      <c r="K17" s="120"/>
      <c r="L17" s="17" t="s">
        <v>69</v>
      </c>
      <c r="M17" s="111" t="s">
        <v>92</v>
      </c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spans="1:26" ht="23.25" customHeight="1">
      <c r="A18" s="29" t="s">
        <v>7</v>
      </c>
      <c r="B18" s="49">
        <v>2397.6536999999998</v>
      </c>
      <c r="C18" s="31"/>
      <c r="D18" s="30"/>
      <c r="E18" s="29"/>
      <c r="F18" s="49">
        <v>2666.0059000000001</v>
      </c>
      <c r="G18" s="28"/>
      <c r="H18" s="30"/>
      <c r="I18" s="33"/>
      <c r="J18" s="29"/>
      <c r="K18" s="29">
        <v>6.4</v>
      </c>
      <c r="L18" s="35"/>
      <c r="M18" s="104" t="s">
        <v>79</v>
      </c>
      <c r="N18" s="98" t="s">
        <v>98</v>
      </c>
      <c r="O18" s="98"/>
      <c r="P18" s="98"/>
      <c r="Q18" s="98" t="s">
        <v>107</v>
      </c>
      <c r="R18" s="98"/>
      <c r="S18" s="98"/>
      <c r="T18" s="98" t="s">
        <v>93</v>
      </c>
      <c r="U18" s="98"/>
      <c r="V18" s="98"/>
      <c r="W18" s="100" t="s">
        <v>91</v>
      </c>
      <c r="X18" s="112"/>
      <c r="Y18" s="112"/>
      <c r="Z18" s="112"/>
    </row>
    <row r="19" spans="1:26" ht="23.25" customHeight="1">
      <c r="A19" s="29" t="s">
        <v>8</v>
      </c>
      <c r="B19" s="49">
        <v>2397.6661999999997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1.2499999999818101E-2</v>
      </c>
      <c r="D19" s="30">
        <f t="shared" ref="D19:D42" si="1">IF(C19="","",C19*$D$15)</f>
        <v>22.499999999672582</v>
      </c>
      <c r="E19" s="29"/>
      <c r="F19" s="49">
        <v>2666.0302000000001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2.430000000003929E-2</v>
      </c>
      <c r="H19" s="30">
        <f t="shared" ref="H19:H42" si="3">IF(G19="","",G19*$H$15)</f>
        <v>43.740000000070722</v>
      </c>
      <c r="I19" s="33">
        <f t="shared" ref="I19:I42" si="4">IF(H19="","",IF(D19="","",IF(AND(H19=0,D19=0),0,H19/D19)))</f>
        <v>1.9440000000314321</v>
      </c>
      <c r="J19" s="29"/>
      <c r="K19" s="50">
        <v>6.4</v>
      </c>
      <c r="L19" s="35"/>
      <c r="M19" s="95"/>
      <c r="N19" s="99"/>
      <c r="O19" s="99"/>
      <c r="P19" s="99"/>
      <c r="Q19" s="99" t="s">
        <v>108</v>
      </c>
      <c r="R19" s="99"/>
      <c r="S19" s="99"/>
      <c r="T19" s="99"/>
      <c r="U19" s="99"/>
      <c r="V19" s="99"/>
      <c r="W19" s="101"/>
      <c r="X19" s="91"/>
      <c r="Y19" s="91"/>
      <c r="Z19" s="91"/>
    </row>
    <row r="20" spans="1:26" ht="23.25" customHeight="1">
      <c r="A20" s="29" t="s">
        <v>9</v>
      </c>
      <c r="B20" s="49">
        <v>2397.6786999999999</v>
      </c>
      <c r="C20" s="31">
        <f t="shared" si="0"/>
        <v>1.2500000000272848E-2</v>
      </c>
      <c r="D20" s="30">
        <f t="shared" si="1"/>
        <v>22.500000000491127</v>
      </c>
      <c r="E20" s="29"/>
      <c r="F20" s="49">
        <v>2666.0543000000002</v>
      </c>
      <c r="G20" s="28">
        <f t="shared" si="2"/>
        <v>2.4100000000089494E-2</v>
      </c>
      <c r="H20" s="30">
        <f t="shared" si="3"/>
        <v>43.38000000016109</v>
      </c>
      <c r="I20" s="33">
        <f t="shared" si="4"/>
        <v>1.9279999999650754</v>
      </c>
      <c r="J20" s="29"/>
      <c r="K20" s="50">
        <v>6.4</v>
      </c>
      <c r="L20" s="35"/>
      <c r="M20" s="95" t="s">
        <v>80</v>
      </c>
      <c r="N20" s="99" t="s">
        <v>99</v>
      </c>
      <c r="O20" s="99"/>
      <c r="P20" s="99"/>
      <c r="Q20" s="99" t="s">
        <v>189</v>
      </c>
      <c r="R20" s="99"/>
      <c r="S20" s="99"/>
      <c r="T20" s="99" t="s">
        <v>94</v>
      </c>
      <c r="U20" s="99"/>
      <c r="V20" s="99"/>
      <c r="W20" s="101"/>
      <c r="X20" s="91"/>
      <c r="Y20" s="91"/>
      <c r="Z20" s="91"/>
    </row>
    <row r="21" spans="1:26" ht="23.25" customHeight="1">
      <c r="A21" s="29" t="s">
        <v>10</v>
      </c>
      <c r="B21" s="49">
        <v>2397.6907999999999</v>
      </c>
      <c r="C21" s="31">
        <f t="shared" si="0"/>
        <v>1.2099999999918509E-2</v>
      </c>
      <c r="D21" s="30">
        <f t="shared" si="1"/>
        <v>21.779999999853317</v>
      </c>
      <c r="E21" s="29"/>
      <c r="F21" s="49">
        <v>2666.078</v>
      </c>
      <c r="G21" s="28">
        <f t="shared" si="2"/>
        <v>2.3699999999735155E-2</v>
      </c>
      <c r="H21" s="30">
        <f t="shared" si="3"/>
        <v>42.659999999523279</v>
      </c>
      <c r="I21" s="33">
        <f t="shared" si="4"/>
        <v>1.9586776859417165</v>
      </c>
      <c r="J21" s="29"/>
      <c r="K21" s="50">
        <v>6.4</v>
      </c>
      <c r="L21" s="35"/>
      <c r="M21" s="96"/>
      <c r="N21" s="102"/>
      <c r="O21" s="102"/>
      <c r="P21" s="102"/>
      <c r="Q21" s="102"/>
      <c r="R21" s="102"/>
      <c r="S21" s="102"/>
      <c r="T21" s="102"/>
      <c r="U21" s="102"/>
      <c r="V21" s="102"/>
      <c r="W21" s="103"/>
      <c r="X21" s="111"/>
      <c r="Y21" s="111"/>
      <c r="Z21" s="111"/>
    </row>
    <row r="22" spans="1:26" ht="23.25" customHeight="1">
      <c r="A22" s="29" t="s">
        <v>11</v>
      </c>
      <c r="B22" s="49">
        <v>2397.703</v>
      </c>
      <c r="C22" s="31">
        <f t="shared" si="0"/>
        <v>1.2200000000120781E-2</v>
      </c>
      <c r="D22" s="30">
        <f t="shared" si="1"/>
        <v>21.960000000217406</v>
      </c>
      <c r="E22" s="29"/>
      <c r="F22" s="49">
        <v>2666.1019000000001</v>
      </c>
      <c r="G22" s="28">
        <f t="shared" si="2"/>
        <v>2.3900000000139698E-2</v>
      </c>
      <c r="H22" s="30">
        <f t="shared" si="3"/>
        <v>43.020000000251457</v>
      </c>
      <c r="I22" s="33">
        <f t="shared" si="4"/>
        <v>1.9590163934346791</v>
      </c>
      <c r="J22" s="29"/>
      <c r="K22" s="50">
        <v>6.4</v>
      </c>
      <c r="L22" s="35"/>
      <c r="M22" s="10"/>
      <c r="N22" s="106"/>
      <c r="O22" s="106"/>
      <c r="P22" s="106"/>
      <c r="Q22" s="106"/>
      <c r="R22" s="106"/>
      <c r="S22" s="106"/>
      <c r="T22" s="106"/>
      <c r="U22" s="106"/>
      <c r="V22" s="106"/>
      <c r="W22" s="89"/>
      <c r="X22" s="90"/>
      <c r="Y22" s="90"/>
      <c r="Z22" s="90"/>
    </row>
    <row r="23" spans="1:26" ht="23.25" customHeight="1">
      <c r="A23" s="29" t="s">
        <v>12</v>
      </c>
      <c r="B23" s="49">
        <v>2397.7150999999999</v>
      </c>
      <c r="C23" s="31">
        <f t="shared" si="0"/>
        <v>1.2099999999918509E-2</v>
      </c>
      <c r="D23" s="30">
        <f t="shared" si="1"/>
        <v>21.779999999853317</v>
      </c>
      <c r="E23" s="29"/>
      <c r="F23" s="49">
        <v>2666.1256000000003</v>
      </c>
      <c r="G23" s="28">
        <f t="shared" si="2"/>
        <v>2.3700000000189902E-2</v>
      </c>
      <c r="H23" s="30">
        <f t="shared" si="3"/>
        <v>42.660000000341824</v>
      </c>
      <c r="I23" s="33">
        <f t="shared" si="4"/>
        <v>1.9586776859792989</v>
      </c>
      <c r="J23" s="29"/>
      <c r="K23" s="50">
        <v>6.4</v>
      </c>
      <c r="L23" s="35"/>
      <c r="M23" s="10"/>
      <c r="N23" s="106"/>
      <c r="O23" s="106"/>
      <c r="P23" s="106"/>
      <c r="Q23" s="106"/>
      <c r="R23" s="106"/>
      <c r="S23" s="106"/>
      <c r="T23" s="106"/>
      <c r="U23" s="106"/>
      <c r="V23" s="106"/>
      <c r="W23" s="89"/>
      <c r="X23" s="90"/>
      <c r="Y23" s="90"/>
      <c r="Z23" s="90"/>
    </row>
    <row r="24" spans="1:26" ht="23.25" customHeight="1">
      <c r="A24" s="29" t="s">
        <v>13</v>
      </c>
      <c r="B24" s="49">
        <v>2397.7273</v>
      </c>
      <c r="C24" s="31">
        <f t="shared" si="0"/>
        <v>1.2200000000120781E-2</v>
      </c>
      <c r="D24" s="30">
        <f t="shared" si="1"/>
        <v>21.960000000217406</v>
      </c>
      <c r="E24" s="29"/>
      <c r="F24" s="49">
        <v>2666.1494000000002</v>
      </c>
      <c r="G24" s="28">
        <f t="shared" si="2"/>
        <v>2.3799999999937427E-2</v>
      </c>
      <c r="H24" s="30">
        <f t="shared" si="3"/>
        <v>42.839999999887368</v>
      </c>
      <c r="I24" s="33">
        <f t="shared" si="4"/>
        <v>1.9508196721067053</v>
      </c>
      <c r="J24" s="29"/>
      <c r="K24" s="50">
        <v>6.4</v>
      </c>
      <c r="L24" s="35"/>
      <c r="M24" s="10"/>
      <c r="N24" s="106"/>
      <c r="O24" s="106"/>
      <c r="P24" s="106"/>
      <c r="Q24" s="106"/>
      <c r="R24" s="106"/>
      <c r="S24" s="106"/>
      <c r="T24" s="106"/>
      <c r="U24" s="106"/>
      <c r="V24" s="106"/>
      <c r="W24" s="89"/>
      <c r="X24" s="90"/>
      <c r="Y24" s="90"/>
      <c r="Z24" s="90"/>
    </row>
    <row r="25" spans="1:26" ht="23.25" customHeight="1">
      <c r="A25" s="29" t="s">
        <v>14</v>
      </c>
      <c r="B25" s="49">
        <v>2397.7397999999998</v>
      </c>
      <c r="C25" s="31">
        <f t="shared" si="0"/>
        <v>1.2499999999818101E-2</v>
      </c>
      <c r="D25" s="30">
        <f t="shared" si="1"/>
        <v>22.499999999672582</v>
      </c>
      <c r="E25" s="29"/>
      <c r="F25" s="49">
        <v>2666.1729</v>
      </c>
      <c r="G25" s="28">
        <f t="shared" si="2"/>
        <v>2.3499999999785359E-2</v>
      </c>
      <c r="H25" s="30">
        <f t="shared" si="3"/>
        <v>42.299999999613647</v>
      </c>
      <c r="I25" s="33">
        <f t="shared" si="4"/>
        <v>1.8800000000101864</v>
      </c>
      <c r="J25" s="29"/>
      <c r="K25" s="50">
        <v>6.4</v>
      </c>
      <c r="L25" s="35"/>
      <c r="M25" s="10"/>
      <c r="N25" s="106"/>
      <c r="O25" s="106"/>
      <c r="P25" s="106"/>
      <c r="Q25" s="106"/>
      <c r="R25" s="106"/>
      <c r="S25" s="106"/>
      <c r="T25" s="106"/>
      <c r="U25" s="106"/>
      <c r="V25" s="106"/>
      <c r="W25" s="89"/>
      <c r="X25" s="90"/>
      <c r="Y25" s="90"/>
      <c r="Z25" s="90"/>
    </row>
    <row r="26" spans="1:26" ht="23.25" customHeight="1">
      <c r="A26" s="29" t="s">
        <v>15</v>
      </c>
      <c r="B26" s="49">
        <v>2397.7529</v>
      </c>
      <c r="C26" s="31">
        <f t="shared" si="0"/>
        <v>1.3100000000122236E-2</v>
      </c>
      <c r="D26" s="30">
        <f t="shared" si="1"/>
        <v>23.580000000220025</v>
      </c>
      <c r="E26" s="29"/>
      <c r="F26" s="49">
        <v>2666.1959999999999</v>
      </c>
      <c r="G26" s="28">
        <f t="shared" si="2"/>
        <v>2.3099999999885767E-2</v>
      </c>
      <c r="H26" s="30">
        <f t="shared" si="3"/>
        <v>41.579999999794381</v>
      </c>
      <c r="I26" s="33">
        <f t="shared" si="4"/>
        <v>1.7633587786007803</v>
      </c>
      <c r="J26" s="29"/>
      <c r="K26" s="50">
        <v>6.4</v>
      </c>
      <c r="L26" s="35"/>
      <c r="M26" s="10"/>
      <c r="N26" s="106"/>
      <c r="O26" s="106"/>
      <c r="P26" s="106"/>
      <c r="Q26" s="106"/>
      <c r="R26" s="106"/>
      <c r="S26" s="106"/>
      <c r="T26" s="106"/>
      <c r="U26" s="106"/>
      <c r="V26" s="106"/>
      <c r="W26" s="89"/>
      <c r="X26" s="90"/>
      <c r="Y26" s="90"/>
      <c r="Z26" s="90"/>
    </row>
    <row r="27" spans="1:26" ht="23.25" customHeight="1">
      <c r="A27" s="29" t="s">
        <v>16</v>
      </c>
      <c r="B27" s="49">
        <v>2397.7684999999997</v>
      </c>
      <c r="C27" s="31">
        <f t="shared" si="0"/>
        <v>1.5599999999722058E-2</v>
      </c>
      <c r="D27" s="30">
        <f t="shared" si="1"/>
        <v>28.079999999499705</v>
      </c>
      <c r="E27" s="29"/>
      <c r="F27" s="49">
        <v>2666.2198000000003</v>
      </c>
      <c r="G27" s="28">
        <f t="shared" si="2"/>
        <v>2.3800000000392174E-2</v>
      </c>
      <c r="H27" s="30">
        <f t="shared" si="3"/>
        <v>42.840000000705913</v>
      </c>
      <c r="I27" s="33">
        <f t="shared" si="4"/>
        <v>1.525641025693347</v>
      </c>
      <c r="J27" s="29"/>
      <c r="K27" s="50">
        <v>6.4</v>
      </c>
      <c r="L27" s="35"/>
      <c r="M27" s="10"/>
      <c r="N27" s="106"/>
      <c r="O27" s="106"/>
      <c r="P27" s="106"/>
      <c r="Q27" s="106"/>
      <c r="R27" s="106"/>
      <c r="S27" s="106"/>
      <c r="T27" s="106"/>
      <c r="U27" s="106"/>
      <c r="V27" s="106"/>
      <c r="W27" s="89"/>
      <c r="X27" s="90"/>
      <c r="Y27" s="90"/>
      <c r="Z27" s="90"/>
    </row>
    <row r="28" spans="1:26" ht="23.25" customHeight="1">
      <c r="A28" s="29" t="s">
        <v>17</v>
      </c>
      <c r="B28" s="49">
        <v>2397.7860999999998</v>
      </c>
      <c r="C28" s="31">
        <f t="shared" si="0"/>
        <v>1.7600000000129512E-2</v>
      </c>
      <c r="D28" s="30">
        <f t="shared" si="1"/>
        <v>31.680000000233122</v>
      </c>
      <c r="E28" s="29"/>
      <c r="F28" s="49">
        <v>2666.2446</v>
      </c>
      <c r="G28" s="28">
        <f t="shared" si="2"/>
        <v>2.4799999999686406E-2</v>
      </c>
      <c r="H28" s="30">
        <f t="shared" si="3"/>
        <v>44.639999999435531</v>
      </c>
      <c r="I28" s="33">
        <f t="shared" si="4"/>
        <v>1.4090909090627222</v>
      </c>
      <c r="J28" s="29"/>
      <c r="K28" s="50">
        <v>6.4</v>
      </c>
      <c r="L28" s="35"/>
      <c r="M28" s="10"/>
      <c r="N28" s="106"/>
      <c r="O28" s="106"/>
      <c r="P28" s="106"/>
      <c r="Q28" s="106"/>
      <c r="R28" s="106"/>
      <c r="S28" s="106"/>
      <c r="T28" s="106"/>
      <c r="U28" s="106"/>
      <c r="V28" s="106"/>
      <c r="W28" s="89"/>
      <c r="X28" s="90"/>
      <c r="Y28" s="90"/>
      <c r="Z28" s="90"/>
    </row>
    <row r="29" spans="1:26" ht="23.25" customHeight="1">
      <c r="A29" s="29" t="s">
        <v>18</v>
      </c>
      <c r="B29" s="49">
        <v>2397.8040999999998</v>
      </c>
      <c r="C29" s="31">
        <f t="shared" si="0"/>
        <v>1.8000000000029104E-2</v>
      </c>
      <c r="D29" s="30">
        <f t="shared" si="1"/>
        <v>32.400000000052387</v>
      </c>
      <c r="E29" s="29"/>
      <c r="F29" s="49">
        <v>2666.2694000000001</v>
      </c>
      <c r="G29" s="28">
        <f t="shared" si="2"/>
        <v>2.4800000000141154E-2</v>
      </c>
      <c r="H29" s="30">
        <f t="shared" si="3"/>
        <v>44.640000000254076</v>
      </c>
      <c r="I29" s="33">
        <f t="shared" si="4"/>
        <v>1.3777777777833919</v>
      </c>
      <c r="J29" s="29"/>
      <c r="K29" s="50">
        <v>6.4</v>
      </c>
      <c r="L29" s="35"/>
      <c r="M29" s="97" t="s">
        <v>95</v>
      </c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23.25" customHeight="1">
      <c r="A30" s="29" t="s">
        <v>19</v>
      </c>
      <c r="B30" s="49">
        <v>2397.8219999999997</v>
      </c>
      <c r="C30" s="31">
        <f t="shared" si="0"/>
        <v>1.7899999999826832E-2</v>
      </c>
      <c r="D30" s="30">
        <f t="shared" si="1"/>
        <v>32.219999999688298</v>
      </c>
      <c r="E30" s="29"/>
      <c r="F30" s="49">
        <v>2666.2950000000001</v>
      </c>
      <c r="G30" s="28">
        <f t="shared" si="2"/>
        <v>2.5599999999940337E-2</v>
      </c>
      <c r="H30" s="30">
        <f t="shared" si="3"/>
        <v>46.079999999892607</v>
      </c>
      <c r="I30" s="33">
        <f t="shared" si="4"/>
        <v>1.4301675977758657</v>
      </c>
      <c r="J30" s="29"/>
      <c r="K30" s="50">
        <v>6.4</v>
      </c>
      <c r="L30" s="35"/>
      <c r="M30" s="91" t="s">
        <v>97</v>
      </c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 spans="1:26" ht="23.25" customHeight="1">
      <c r="A31" s="29" t="s">
        <v>20</v>
      </c>
      <c r="B31" s="49">
        <v>2397.8374999999996</v>
      </c>
      <c r="C31" s="31">
        <f t="shared" si="0"/>
        <v>1.5499999999974534E-2</v>
      </c>
      <c r="D31" s="30">
        <f t="shared" si="1"/>
        <v>27.899999999954161</v>
      </c>
      <c r="E31" s="29"/>
      <c r="F31" s="49">
        <v>2666.3205000000003</v>
      </c>
      <c r="G31" s="28">
        <f t="shared" si="2"/>
        <v>2.5500000000192813E-2</v>
      </c>
      <c r="H31" s="30">
        <f t="shared" si="3"/>
        <v>45.900000000347063</v>
      </c>
      <c r="I31" s="33">
        <f t="shared" si="4"/>
        <v>1.6451612903377231</v>
      </c>
      <c r="J31" s="29"/>
      <c r="K31" s="50">
        <v>6.4</v>
      </c>
      <c r="L31" s="35"/>
      <c r="M31" s="104" t="s">
        <v>79</v>
      </c>
      <c r="N31" s="98" t="s">
        <v>98</v>
      </c>
      <c r="O31" s="98"/>
      <c r="P31" s="98" t="s">
        <v>100</v>
      </c>
      <c r="Q31" s="98"/>
      <c r="R31" s="98" t="s">
        <v>93</v>
      </c>
      <c r="S31" s="98"/>
      <c r="T31" s="98" t="s">
        <v>103</v>
      </c>
      <c r="U31" s="98"/>
      <c r="V31" s="98" t="s">
        <v>187</v>
      </c>
      <c r="W31" s="98"/>
      <c r="X31" s="98"/>
      <c r="Y31" s="98" t="s">
        <v>91</v>
      </c>
      <c r="Z31" s="100"/>
    </row>
    <row r="32" spans="1:26" ht="23.25" customHeight="1">
      <c r="A32" s="29" t="s">
        <v>21</v>
      </c>
      <c r="B32" s="49">
        <v>2397.8523999999998</v>
      </c>
      <c r="C32" s="31">
        <f t="shared" si="0"/>
        <v>1.4900000000125146E-2</v>
      </c>
      <c r="D32" s="30">
        <f t="shared" si="1"/>
        <v>26.820000000225264</v>
      </c>
      <c r="E32" s="29"/>
      <c r="F32" s="49">
        <v>2666.3459000000003</v>
      </c>
      <c r="G32" s="28">
        <f t="shared" si="2"/>
        <v>2.5399999999990541E-2</v>
      </c>
      <c r="H32" s="30">
        <f t="shared" si="3"/>
        <v>45.719999999982974</v>
      </c>
      <c r="I32" s="33">
        <f t="shared" si="4"/>
        <v>1.7046979865622285</v>
      </c>
      <c r="J32" s="29"/>
      <c r="K32" s="50">
        <v>6.4</v>
      </c>
      <c r="L32" s="35"/>
      <c r="M32" s="95"/>
      <c r="N32" s="99"/>
      <c r="O32" s="99"/>
      <c r="P32" s="99" t="s">
        <v>83</v>
      </c>
      <c r="Q32" s="99"/>
      <c r="R32" s="99" t="s">
        <v>102</v>
      </c>
      <c r="S32" s="99"/>
      <c r="T32" s="99" t="s">
        <v>104</v>
      </c>
      <c r="U32" s="99"/>
      <c r="V32" s="99" t="s">
        <v>105</v>
      </c>
      <c r="W32" s="99"/>
      <c r="X32" s="99"/>
      <c r="Y32" s="99"/>
      <c r="Z32" s="101"/>
    </row>
    <row r="33" spans="1:26" ht="23.25" customHeight="1">
      <c r="A33" s="29" t="s">
        <v>22</v>
      </c>
      <c r="B33" s="49">
        <v>2397.8674999999998</v>
      </c>
      <c r="C33" s="31">
        <f t="shared" si="0"/>
        <v>1.5100000000074942E-2</v>
      </c>
      <c r="D33" s="30">
        <f t="shared" si="1"/>
        <v>27.180000000134896</v>
      </c>
      <c r="E33" s="29"/>
      <c r="F33" s="49">
        <v>2666.3706999999999</v>
      </c>
      <c r="G33" s="28">
        <f t="shared" si="2"/>
        <v>2.4799999999686406E-2</v>
      </c>
      <c r="H33" s="30">
        <f t="shared" si="3"/>
        <v>44.639999999435531</v>
      </c>
      <c r="I33" s="33">
        <f t="shared" si="4"/>
        <v>1.6423841059313458</v>
      </c>
      <c r="J33" s="29"/>
      <c r="K33" s="50">
        <v>6.4</v>
      </c>
      <c r="L33" s="35"/>
      <c r="M33" s="95" t="s">
        <v>80</v>
      </c>
      <c r="N33" s="99" t="s">
        <v>99</v>
      </c>
      <c r="O33" s="99"/>
      <c r="P33" s="99" t="s">
        <v>101</v>
      </c>
      <c r="Q33" s="99"/>
      <c r="R33" s="99" t="s">
        <v>69</v>
      </c>
      <c r="S33" s="99"/>
      <c r="T33" s="99" t="s">
        <v>69</v>
      </c>
      <c r="U33" s="99"/>
      <c r="V33" s="99" t="s">
        <v>106</v>
      </c>
      <c r="W33" s="99"/>
      <c r="X33" s="99"/>
      <c r="Y33" s="99"/>
      <c r="Z33" s="101"/>
    </row>
    <row r="34" spans="1:26" ht="23.25" customHeight="1">
      <c r="A34" s="29" t="s">
        <v>23</v>
      </c>
      <c r="B34" s="49">
        <v>2397.8818999999999</v>
      </c>
      <c r="C34" s="31">
        <f t="shared" si="0"/>
        <v>1.4400000000023283E-2</v>
      </c>
      <c r="D34" s="30">
        <f t="shared" si="1"/>
        <v>25.92000000004191</v>
      </c>
      <c r="E34" s="29"/>
      <c r="F34" s="49">
        <v>2666.395</v>
      </c>
      <c r="G34" s="28">
        <f t="shared" si="2"/>
        <v>2.430000000003929E-2</v>
      </c>
      <c r="H34" s="30">
        <f t="shared" si="3"/>
        <v>43.740000000070722</v>
      </c>
      <c r="I34" s="33">
        <f t="shared" si="4"/>
        <v>1.6875</v>
      </c>
      <c r="J34" s="29"/>
      <c r="K34" s="50">
        <v>6.4</v>
      </c>
      <c r="L34" s="35"/>
      <c r="M34" s="96"/>
      <c r="N34" s="102"/>
      <c r="O34" s="102"/>
      <c r="P34" s="102"/>
      <c r="Q34" s="102"/>
      <c r="R34" s="103"/>
      <c r="S34" s="96"/>
      <c r="T34" s="103"/>
      <c r="U34" s="96"/>
      <c r="V34" s="103"/>
      <c r="W34" s="111"/>
      <c r="X34" s="96"/>
      <c r="Y34" s="102"/>
      <c r="Z34" s="103"/>
    </row>
    <row r="35" spans="1:26" ht="23.25" customHeight="1">
      <c r="A35" s="29" t="s">
        <v>24</v>
      </c>
      <c r="B35" s="49">
        <v>2397.8955999999998</v>
      </c>
      <c r="C35" s="31">
        <f t="shared" si="0"/>
        <v>1.3699999999971624E-2</v>
      </c>
      <c r="D35" s="30">
        <f t="shared" si="1"/>
        <v>24.659999999948923</v>
      </c>
      <c r="E35" s="29"/>
      <c r="F35" s="49">
        <v>2666.4184</v>
      </c>
      <c r="G35" s="28">
        <f t="shared" si="2"/>
        <v>2.3400000000037835E-2</v>
      </c>
      <c r="H35" s="30">
        <f t="shared" si="3"/>
        <v>42.120000000068103</v>
      </c>
      <c r="I35" s="33">
        <f t="shared" si="4"/>
        <v>1.7080291970865915</v>
      </c>
      <c r="J35" s="29"/>
      <c r="K35" s="50">
        <v>6.4</v>
      </c>
      <c r="L35" s="35"/>
      <c r="M35" s="10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89"/>
    </row>
    <row r="36" spans="1:26" ht="23.25" customHeight="1">
      <c r="A36" s="29" t="s">
        <v>25</v>
      </c>
      <c r="B36" s="49">
        <v>2397.9070999999999</v>
      </c>
      <c r="C36" s="31">
        <f t="shared" si="0"/>
        <v>1.1500000000069122E-2</v>
      </c>
      <c r="D36" s="30">
        <f t="shared" si="1"/>
        <v>20.700000000124419</v>
      </c>
      <c r="E36" s="29"/>
      <c r="F36" s="49">
        <v>2666.4396999999999</v>
      </c>
      <c r="G36" s="28">
        <f t="shared" si="2"/>
        <v>2.1299999999882857E-2</v>
      </c>
      <c r="H36" s="30">
        <f t="shared" si="3"/>
        <v>38.339999999789143</v>
      </c>
      <c r="I36" s="33">
        <f t="shared" si="4"/>
        <v>1.8521739130221593</v>
      </c>
      <c r="J36" s="29"/>
      <c r="K36" s="50">
        <v>6.4</v>
      </c>
      <c r="L36" s="35"/>
      <c r="M36" s="10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89"/>
    </row>
    <row r="37" spans="1:26" ht="23.25" customHeight="1">
      <c r="A37" s="29" t="s">
        <v>26</v>
      </c>
      <c r="B37" s="49">
        <v>2397.9177</v>
      </c>
      <c r="C37" s="31">
        <f t="shared" si="0"/>
        <v>1.0600000000067666E-2</v>
      </c>
      <c r="D37" s="30">
        <f t="shared" si="1"/>
        <v>19.0800000001218</v>
      </c>
      <c r="E37" s="29"/>
      <c r="F37" s="49">
        <v>2666.4609</v>
      </c>
      <c r="G37" s="28">
        <f t="shared" si="2"/>
        <v>2.1200000000135333E-2</v>
      </c>
      <c r="H37" s="30">
        <f t="shared" si="3"/>
        <v>38.160000000243599</v>
      </c>
      <c r="I37" s="33">
        <f t="shared" si="4"/>
        <v>2</v>
      </c>
      <c r="J37" s="29"/>
      <c r="K37" s="50">
        <v>6.4</v>
      </c>
      <c r="L37" s="35"/>
      <c r="M37" s="10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89"/>
    </row>
    <row r="38" spans="1:26" ht="23.25" customHeight="1">
      <c r="A38" s="29" t="s">
        <v>27</v>
      </c>
      <c r="B38" s="49">
        <v>2397.9283999999998</v>
      </c>
      <c r="C38" s="31">
        <f t="shared" si="0"/>
        <v>1.0699999999815191E-2</v>
      </c>
      <c r="D38" s="30">
        <f t="shared" si="1"/>
        <v>19.259999999667343</v>
      </c>
      <c r="E38" s="29"/>
      <c r="F38" s="49">
        <v>2666.4821000000002</v>
      </c>
      <c r="G38" s="28">
        <f t="shared" si="2"/>
        <v>2.1200000000135333E-2</v>
      </c>
      <c r="H38" s="30">
        <f t="shared" si="3"/>
        <v>38.160000000243599</v>
      </c>
      <c r="I38" s="33">
        <f t="shared" si="4"/>
        <v>1.9813084112618222</v>
      </c>
      <c r="J38" s="29"/>
      <c r="K38" s="50">
        <v>6.4</v>
      </c>
      <c r="L38" s="35"/>
      <c r="M38" s="10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89"/>
    </row>
    <row r="39" spans="1:26" ht="23.25" customHeight="1">
      <c r="A39" s="29" t="s">
        <v>28</v>
      </c>
      <c r="B39" s="49">
        <v>2397.9395</v>
      </c>
      <c r="C39" s="31">
        <f t="shared" si="0"/>
        <v>1.110000000016953E-2</v>
      </c>
      <c r="D39" s="30">
        <f t="shared" si="1"/>
        <v>19.980000000305154</v>
      </c>
      <c r="E39" s="29"/>
      <c r="F39" s="49">
        <v>2666.5034000000001</v>
      </c>
      <c r="G39" s="28">
        <f t="shared" si="2"/>
        <v>2.1299999999882857E-2</v>
      </c>
      <c r="H39" s="30">
        <f t="shared" si="3"/>
        <v>38.339999999789143</v>
      </c>
      <c r="I39" s="33">
        <f t="shared" si="4"/>
        <v>1.9189189188790579</v>
      </c>
      <c r="J39" s="29"/>
      <c r="K39" s="50">
        <v>6.4</v>
      </c>
      <c r="L39" s="35"/>
      <c r="M39" s="10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89"/>
    </row>
    <row r="40" spans="1:26" ht="23.25" customHeight="1">
      <c r="A40" s="29" t="s">
        <v>29</v>
      </c>
      <c r="B40" s="49">
        <v>2397.9504999999999</v>
      </c>
      <c r="C40" s="31">
        <f t="shared" si="0"/>
        <v>1.0999999999967258E-2</v>
      </c>
      <c r="D40" s="30">
        <f t="shared" si="1"/>
        <v>19.799999999941065</v>
      </c>
      <c r="E40" s="29"/>
      <c r="F40" s="49">
        <v>2666.5250000000001</v>
      </c>
      <c r="G40" s="28">
        <f t="shared" si="2"/>
        <v>2.1600000000034925E-2</v>
      </c>
      <c r="H40" s="30">
        <f t="shared" si="3"/>
        <v>38.880000000062864</v>
      </c>
      <c r="I40" s="33">
        <f t="shared" si="4"/>
        <v>1.9636363636453835</v>
      </c>
      <c r="J40" s="29"/>
      <c r="K40" s="50">
        <v>6.4</v>
      </c>
      <c r="L40" s="35"/>
      <c r="M40" s="91" t="s">
        <v>109</v>
      </c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</row>
    <row r="41" spans="1:26" ht="23.25" customHeight="1">
      <c r="A41" s="29" t="s">
        <v>30</v>
      </c>
      <c r="B41" s="49">
        <v>2397.9616999999998</v>
      </c>
      <c r="C41" s="31">
        <f t="shared" si="0"/>
        <v>1.1199999999917054E-2</v>
      </c>
      <c r="D41" s="30">
        <f t="shared" si="1"/>
        <v>20.159999999850697</v>
      </c>
      <c r="E41" s="29"/>
      <c r="F41" s="49">
        <v>2666.5475000000001</v>
      </c>
      <c r="G41" s="28">
        <f t="shared" si="2"/>
        <v>2.250000000003638E-2</v>
      </c>
      <c r="H41" s="30">
        <f t="shared" si="3"/>
        <v>40.500000000065484</v>
      </c>
      <c r="I41" s="33">
        <f t="shared" si="4"/>
        <v>2.0089285714466976</v>
      </c>
      <c r="J41" s="29"/>
      <c r="K41" s="50">
        <v>6.4</v>
      </c>
      <c r="L41" s="35"/>
      <c r="M41" s="104" t="s">
        <v>79</v>
      </c>
      <c r="N41" s="98" t="s">
        <v>98</v>
      </c>
      <c r="O41" s="98"/>
      <c r="P41" s="98" t="s">
        <v>93</v>
      </c>
      <c r="Q41" s="98"/>
      <c r="R41" s="98"/>
      <c r="S41" s="98" t="s">
        <v>111</v>
      </c>
      <c r="T41" s="98" t="s">
        <v>81</v>
      </c>
      <c r="U41" s="98"/>
      <c r="V41" s="98"/>
      <c r="W41" s="98"/>
      <c r="X41" s="98" t="s">
        <v>93</v>
      </c>
      <c r="Y41" s="98"/>
      <c r="Z41" s="100"/>
    </row>
    <row r="42" spans="1:26" ht="23.25" customHeight="1">
      <c r="A42" s="29" t="s">
        <v>31</v>
      </c>
      <c r="B42" s="49">
        <v>2397.9721</v>
      </c>
      <c r="C42" s="31">
        <f t="shared" si="0"/>
        <v>1.0400000000117871E-2</v>
      </c>
      <c r="D42" s="30">
        <f t="shared" si="1"/>
        <v>18.720000000212167</v>
      </c>
      <c r="E42" s="29"/>
      <c r="F42" s="49">
        <v>2666.5689000000002</v>
      </c>
      <c r="G42" s="28">
        <f t="shared" si="2"/>
        <v>2.1400000000085129E-2</v>
      </c>
      <c r="H42" s="30">
        <f t="shared" si="3"/>
        <v>38.520000000153232</v>
      </c>
      <c r="I42" s="33">
        <f t="shared" si="4"/>
        <v>2.057692307677172</v>
      </c>
      <c r="J42" s="29"/>
      <c r="K42" s="50">
        <v>6.4</v>
      </c>
      <c r="L42" s="35"/>
      <c r="M42" s="95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101"/>
    </row>
    <row r="43" spans="1:26" ht="22.5" customHeight="1">
      <c r="A43" s="86" t="s">
        <v>70</v>
      </c>
      <c r="B43" s="86"/>
      <c r="C43" s="86"/>
      <c r="D43" s="30">
        <f>SUM(D18:D42)</f>
        <v>573.12000000019907</v>
      </c>
      <c r="E43" s="29"/>
      <c r="F43" s="36"/>
      <c r="G43" s="43"/>
      <c r="H43" s="30">
        <f>SUM(H18:H42)</f>
        <v>1013.4000000001834</v>
      </c>
      <c r="I43" s="33">
        <f>IF(AND(H43=0,D43=0),0,H43/D43)</f>
        <v>1.7682160804017157</v>
      </c>
      <c r="J43" s="29"/>
      <c r="K43" s="29"/>
      <c r="L43" s="35"/>
      <c r="M43" s="95" t="s">
        <v>80</v>
      </c>
      <c r="N43" s="99" t="s">
        <v>99</v>
      </c>
      <c r="O43" s="99"/>
      <c r="P43" s="99" t="s">
        <v>110</v>
      </c>
      <c r="Q43" s="99"/>
      <c r="R43" s="99"/>
      <c r="S43" s="99"/>
      <c r="T43" s="99"/>
      <c r="U43" s="99"/>
      <c r="V43" s="99"/>
      <c r="W43" s="99"/>
      <c r="X43" s="99" t="s">
        <v>110</v>
      </c>
      <c r="Y43" s="99"/>
      <c r="Z43" s="101"/>
    </row>
    <row r="44" spans="1:26" ht="22.5" customHeight="1">
      <c r="A44" s="76" t="s">
        <v>71</v>
      </c>
      <c r="B44" s="76"/>
      <c r="C44" s="76"/>
      <c r="D44" s="37"/>
      <c r="E44" s="37"/>
      <c r="F44" s="38"/>
      <c r="G44" s="29"/>
      <c r="H44" s="29"/>
      <c r="I44" s="29"/>
      <c r="J44" s="29"/>
      <c r="K44" s="29"/>
      <c r="L44" s="35"/>
      <c r="M44" s="96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3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89"/>
      <c r="O45" s="105"/>
      <c r="P45" s="89"/>
      <c r="Q45" s="90"/>
      <c r="R45" s="105"/>
      <c r="S45" s="8"/>
      <c r="T45" s="89"/>
      <c r="U45" s="90"/>
      <c r="V45" s="90"/>
      <c r="W45" s="105"/>
      <c r="X45" s="89"/>
      <c r="Y45" s="90"/>
      <c r="Z45" s="90"/>
    </row>
    <row r="46" spans="1:26" ht="22.5" customHeight="1">
      <c r="A46" s="54" t="s">
        <v>72</v>
      </c>
      <c r="B46" s="54"/>
      <c r="C46" s="54"/>
      <c r="D46" s="54"/>
      <c r="E46" s="54"/>
      <c r="F46" s="54"/>
      <c r="G46" s="77" t="s">
        <v>73</v>
      </c>
      <c r="H46" s="77"/>
      <c r="I46" s="77"/>
      <c r="J46" s="77"/>
      <c r="K46" s="77"/>
      <c r="L46" s="77"/>
      <c r="M46" s="10"/>
      <c r="N46" s="89"/>
      <c r="O46" s="105"/>
      <c r="P46" s="89"/>
      <c r="Q46" s="90"/>
      <c r="R46" s="105"/>
      <c r="S46" s="8"/>
      <c r="T46" s="89"/>
      <c r="U46" s="90"/>
      <c r="V46" s="90"/>
      <c r="W46" s="105"/>
      <c r="X46" s="89"/>
      <c r="Y46" s="90"/>
      <c r="Z46" s="90"/>
    </row>
    <row r="47" spans="1:26" ht="22.5" customHeight="1">
      <c r="A47" s="52" t="s">
        <v>388</v>
      </c>
      <c r="B47" s="52"/>
      <c r="C47" s="52"/>
      <c r="D47" s="54" t="s">
        <v>74</v>
      </c>
      <c r="E47" s="54"/>
      <c r="F47" s="54"/>
      <c r="G47" s="40"/>
      <c r="H47" s="40"/>
      <c r="I47" s="40"/>
      <c r="J47" s="40"/>
      <c r="K47" s="40"/>
      <c r="L47" s="40"/>
      <c r="M47" s="10"/>
      <c r="N47" s="89"/>
      <c r="O47" s="105"/>
      <c r="P47" s="89"/>
      <c r="Q47" s="90"/>
      <c r="R47" s="105"/>
      <c r="S47" s="8"/>
      <c r="T47" s="89"/>
      <c r="U47" s="90"/>
      <c r="V47" s="90"/>
      <c r="W47" s="105"/>
      <c r="X47" s="89"/>
      <c r="Y47" s="90"/>
      <c r="Z47" s="90"/>
    </row>
    <row r="48" spans="1:26" ht="22.5" customHeight="1">
      <c r="A48" s="55" t="s">
        <v>75</v>
      </c>
      <c r="B48" s="55"/>
      <c r="C48" s="55"/>
      <c r="D48" s="55" t="s">
        <v>76</v>
      </c>
      <c r="E48" s="55"/>
      <c r="F48" s="55"/>
      <c r="G48" s="39"/>
      <c r="H48" s="39"/>
      <c r="I48" s="39"/>
      <c r="J48" s="39"/>
      <c r="K48" s="39"/>
      <c r="L48" s="39"/>
    </row>
    <row r="49" spans="1:23" ht="22.5" customHeight="1">
      <c r="A49" s="52" t="s">
        <v>389</v>
      </c>
      <c r="B49" s="52"/>
      <c r="C49" s="52"/>
      <c r="D49" s="54" t="s">
        <v>74</v>
      </c>
      <c r="E49" s="54"/>
      <c r="F49" s="54"/>
      <c r="G49" s="39"/>
      <c r="H49" s="54" t="s">
        <v>191</v>
      </c>
      <c r="I49" s="54"/>
      <c r="J49" s="54"/>
      <c r="K49" s="54" t="s">
        <v>77</v>
      </c>
      <c r="L49" s="54"/>
      <c r="N49" s="57" t="s">
        <v>150</v>
      </c>
      <c r="O49" s="57"/>
      <c r="P49" s="57"/>
      <c r="Q49" s="56" t="s">
        <v>391</v>
      </c>
      <c r="R49" s="56"/>
      <c r="S49" s="56"/>
      <c r="T49" s="56"/>
      <c r="U49" s="56"/>
      <c r="V49" s="56"/>
      <c r="W49" s="1"/>
    </row>
    <row r="50" spans="1:23" ht="22.5" customHeight="1">
      <c r="A50" s="55" t="s">
        <v>75</v>
      </c>
      <c r="B50" s="55"/>
      <c r="C50" s="55"/>
      <c r="D50" s="55" t="s">
        <v>76</v>
      </c>
      <c r="E50" s="55"/>
      <c r="F50" s="55"/>
      <c r="G50" s="44"/>
      <c r="H50" s="55" t="s">
        <v>75</v>
      </c>
      <c r="I50" s="55"/>
      <c r="J50" s="55"/>
      <c r="K50" s="55" t="s">
        <v>76</v>
      </c>
      <c r="L50" s="55"/>
      <c r="S50" s="53" t="s">
        <v>76</v>
      </c>
      <c r="T50" s="53"/>
    </row>
    <row r="51" spans="1:23" ht="20.100000000000001" customHeight="1">
      <c r="A51" s="52" t="s">
        <v>390</v>
      </c>
      <c r="B51" s="52"/>
      <c r="C51" s="52"/>
      <c r="D51" s="54" t="s">
        <v>74</v>
      </c>
      <c r="E51" s="54"/>
      <c r="F51" s="54"/>
      <c r="G51" s="39"/>
      <c r="H51" s="39"/>
      <c r="I51" s="39"/>
      <c r="J51" s="39"/>
      <c r="K51" s="39"/>
      <c r="L51" s="39"/>
    </row>
    <row r="52" spans="1:23" ht="20.100000000000001" customHeight="1">
      <c r="A52" s="55" t="s">
        <v>75</v>
      </c>
      <c r="B52" s="55"/>
      <c r="C52" s="55"/>
      <c r="D52" s="55" t="s">
        <v>76</v>
      </c>
      <c r="E52" s="55"/>
      <c r="F52" s="55"/>
      <c r="G52" s="42"/>
      <c r="H52" s="42"/>
      <c r="I52" s="39"/>
      <c r="J52" s="39"/>
      <c r="K52" s="39"/>
      <c r="L52" s="39"/>
    </row>
  </sheetData>
  <sheetProtection sheet="1" objects="1" scenarios="1"/>
  <mergeCells count="258">
    <mergeCell ref="A51:C51"/>
    <mergeCell ref="D51:F51"/>
    <mergeCell ref="N46:O46"/>
    <mergeCell ref="N47:O47"/>
    <mergeCell ref="T45:W45"/>
    <mergeCell ref="T46:W46"/>
    <mergeCell ref="A52:C52"/>
    <mergeCell ref="D52:F52"/>
    <mergeCell ref="I1:L2"/>
    <mergeCell ref="G5:H6"/>
    <mergeCell ref="I5:L6"/>
    <mergeCell ref="H10:L10"/>
    <mergeCell ref="A48:C48"/>
    <mergeCell ref="A49:C49"/>
    <mergeCell ref="A50:C50"/>
    <mergeCell ref="D50:F50"/>
    <mergeCell ref="N39:O39"/>
    <mergeCell ref="P39:Q39"/>
    <mergeCell ref="N41:O42"/>
    <mergeCell ref="P41:R42"/>
    <mergeCell ref="M40:Z40"/>
    <mergeCell ref="M43:M44"/>
    <mergeCell ref="M41:M42"/>
    <mergeCell ref="Q49:V49"/>
    <mergeCell ref="N49:P49"/>
    <mergeCell ref="P45:R45"/>
    <mergeCell ref="N43:O44"/>
    <mergeCell ref="P43:R44"/>
    <mergeCell ref="P46:R46"/>
    <mergeCell ref="P47:R47"/>
    <mergeCell ref="N45:O45"/>
    <mergeCell ref="X45:Z45"/>
    <mergeCell ref="X46:Z46"/>
    <mergeCell ref="X47:Z47"/>
    <mergeCell ref="S50:T50"/>
    <mergeCell ref="X41:Z42"/>
    <mergeCell ref="X43:Z44"/>
    <mergeCell ref="R39:S39"/>
    <mergeCell ref="T39:U39"/>
    <mergeCell ref="V39:X39"/>
    <mergeCell ref="Y39:Z39"/>
    <mergeCell ref="S41:S44"/>
    <mergeCell ref="T41:W44"/>
    <mergeCell ref="T47:W47"/>
    <mergeCell ref="V38:X38"/>
    <mergeCell ref="Y38:Z38"/>
    <mergeCell ref="N38:O38"/>
    <mergeCell ref="P38:Q38"/>
    <mergeCell ref="R38:S38"/>
    <mergeCell ref="T38:U38"/>
    <mergeCell ref="N37:O37"/>
    <mergeCell ref="P37:Q37"/>
    <mergeCell ref="R37:S37"/>
    <mergeCell ref="T37:U37"/>
    <mergeCell ref="V37:X37"/>
    <mergeCell ref="R36:S36"/>
    <mergeCell ref="T36:U36"/>
    <mergeCell ref="V36:X36"/>
    <mergeCell ref="Y36:Z36"/>
    <mergeCell ref="N35:O35"/>
    <mergeCell ref="P35:Q35"/>
    <mergeCell ref="R35:S35"/>
    <mergeCell ref="T35:U35"/>
    <mergeCell ref="V35:X35"/>
    <mergeCell ref="X9:Z9"/>
    <mergeCell ref="X10:Z10"/>
    <mergeCell ref="X11:Z11"/>
    <mergeCell ref="X12:Z12"/>
    <mergeCell ref="X13:Z13"/>
    <mergeCell ref="Y35:Z35"/>
    <mergeCell ref="Y37:Z37"/>
    <mergeCell ref="X14:Z14"/>
    <mergeCell ref="X15:Z15"/>
    <mergeCell ref="X16:Z16"/>
    <mergeCell ref="W26:Z26"/>
    <mergeCell ref="W25:Z25"/>
    <mergeCell ref="W27:Z27"/>
    <mergeCell ref="N26:P26"/>
    <mergeCell ref="T18:V19"/>
    <mergeCell ref="T33:U33"/>
    <mergeCell ref="R31:S31"/>
    <mergeCell ref="R32:S32"/>
    <mergeCell ref="N31:O32"/>
    <mergeCell ref="N33:O34"/>
    <mergeCell ref="T34:U34"/>
    <mergeCell ref="P32:Q32"/>
    <mergeCell ref="P33:Q33"/>
    <mergeCell ref="P34:Q34"/>
    <mergeCell ref="P31:Q31"/>
    <mergeCell ref="R34:S34"/>
    <mergeCell ref="N18:P19"/>
    <mergeCell ref="W22:Z22"/>
    <mergeCell ref="T20:V21"/>
    <mergeCell ref="Q21:S21"/>
    <mergeCell ref="N22:P22"/>
    <mergeCell ref="T23:V23"/>
    <mergeCell ref="V34:X34"/>
    <mergeCell ref="W28:Z28"/>
    <mergeCell ref="W23:Z23"/>
    <mergeCell ref="Q19:S19"/>
    <mergeCell ref="R16:S16"/>
    <mergeCell ref="V15:W15"/>
    <mergeCell ref="V16:W16"/>
    <mergeCell ref="T22:V22"/>
    <mergeCell ref="Q18:S18"/>
    <mergeCell ref="N24:P24"/>
    <mergeCell ref="Q24:S24"/>
    <mergeCell ref="N23:P23"/>
    <mergeCell ref="W24:Z24"/>
    <mergeCell ref="Q23:S23"/>
    <mergeCell ref="T24:V24"/>
    <mergeCell ref="V14:W14"/>
    <mergeCell ref="T16:U16"/>
    <mergeCell ref="P14:Q14"/>
    <mergeCell ref="P15:Q15"/>
    <mergeCell ref="P16:Q16"/>
    <mergeCell ref="V13:W13"/>
    <mergeCell ref="T14:U14"/>
    <mergeCell ref="T15:U15"/>
    <mergeCell ref="N20:P21"/>
    <mergeCell ref="N16:O16"/>
    <mergeCell ref="Q20:S20"/>
    <mergeCell ref="R8:S8"/>
    <mergeCell ref="R9:S9"/>
    <mergeCell ref="R10:S10"/>
    <mergeCell ref="T8:U8"/>
    <mergeCell ref="P8:Q8"/>
    <mergeCell ref="P9:Q9"/>
    <mergeCell ref="P10:Q10"/>
    <mergeCell ref="N12:O12"/>
    <mergeCell ref="N28:P28"/>
    <mergeCell ref="Q28:S28"/>
    <mergeCell ref="T28:V28"/>
    <mergeCell ref="Q26:S26"/>
    <mergeCell ref="Q25:S25"/>
    <mergeCell ref="Q22:S22"/>
    <mergeCell ref="N25:P25"/>
    <mergeCell ref="T26:V26"/>
    <mergeCell ref="T25:V25"/>
    <mergeCell ref="N27:P27"/>
    <mergeCell ref="Q27:S27"/>
    <mergeCell ref="T27:V27"/>
    <mergeCell ref="N3:O6"/>
    <mergeCell ref="T3:U3"/>
    <mergeCell ref="T10:U10"/>
    <mergeCell ref="T9:U9"/>
    <mergeCell ref="N8:O8"/>
    <mergeCell ref="M1:Z1"/>
    <mergeCell ref="M2:Z2"/>
    <mergeCell ref="X3:Z6"/>
    <mergeCell ref="M5:M6"/>
    <mergeCell ref="M3:M4"/>
    <mergeCell ref="R3:S3"/>
    <mergeCell ref="R4:S4"/>
    <mergeCell ref="R5:S5"/>
    <mergeCell ref="R6:S6"/>
    <mergeCell ref="T4:U4"/>
    <mergeCell ref="T5:U5"/>
    <mergeCell ref="P3:Q4"/>
    <mergeCell ref="V3:W3"/>
    <mergeCell ref="V4:W4"/>
    <mergeCell ref="V5:W5"/>
    <mergeCell ref="V6:W6"/>
    <mergeCell ref="T6:U6"/>
    <mergeCell ref="P5:Q6"/>
    <mergeCell ref="P7:Q7"/>
    <mergeCell ref="N7:O7"/>
    <mergeCell ref="M17:Z17"/>
    <mergeCell ref="W18:Z21"/>
    <mergeCell ref="V11:W11"/>
    <mergeCell ref="V12:W12"/>
    <mergeCell ref="T7:U7"/>
    <mergeCell ref="V7:W7"/>
    <mergeCell ref="R11:S11"/>
    <mergeCell ref="R12:S12"/>
    <mergeCell ref="R13:S13"/>
    <mergeCell ref="R14:S14"/>
    <mergeCell ref="R15:S15"/>
    <mergeCell ref="R7:S7"/>
    <mergeCell ref="X7:Z7"/>
    <mergeCell ref="X8:Z8"/>
    <mergeCell ref="T11:U11"/>
    <mergeCell ref="T12:U12"/>
    <mergeCell ref="P13:Q13"/>
    <mergeCell ref="T13:U13"/>
    <mergeCell ref="N13:O13"/>
    <mergeCell ref="V8:W8"/>
    <mergeCell ref="V9:W9"/>
    <mergeCell ref="V10:W10"/>
    <mergeCell ref="N9:O9"/>
    <mergeCell ref="M20:M21"/>
    <mergeCell ref="M31:M32"/>
    <mergeCell ref="N10:O10"/>
    <mergeCell ref="N11:O11"/>
    <mergeCell ref="D48:F48"/>
    <mergeCell ref="F15:G15"/>
    <mergeCell ref="M18:M19"/>
    <mergeCell ref="P11:Q11"/>
    <mergeCell ref="P12:Q12"/>
    <mergeCell ref="N14:O14"/>
    <mergeCell ref="N15:O15"/>
    <mergeCell ref="N36:O36"/>
    <mergeCell ref="P36:Q36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A43:C43"/>
    <mergeCell ref="J13:K13"/>
    <mergeCell ref="A3:F3"/>
    <mergeCell ref="A4:F4"/>
    <mergeCell ref="A5:F5"/>
    <mergeCell ref="A6:F6"/>
    <mergeCell ref="A12:L12"/>
    <mergeCell ref="H50:J50"/>
    <mergeCell ref="K50:L50"/>
    <mergeCell ref="D49:F49"/>
    <mergeCell ref="A47:C47"/>
    <mergeCell ref="D47:F47"/>
    <mergeCell ref="A46:F46"/>
    <mergeCell ref="A44:C44"/>
    <mergeCell ref="I13:I17"/>
    <mergeCell ref="J14:K14"/>
    <mergeCell ref="J15:K15"/>
    <mergeCell ref="G46:L46"/>
    <mergeCell ref="H49:J49"/>
    <mergeCell ref="K49:L49"/>
    <mergeCell ref="A7:L7"/>
    <mergeCell ref="F13:G13"/>
    <mergeCell ref="I11:L11"/>
    <mergeCell ref="B14:C14"/>
    <mergeCell ref="G1:H2"/>
    <mergeCell ref="J16:J17"/>
    <mergeCell ref="K16:K17"/>
    <mergeCell ref="A13:A17"/>
    <mergeCell ref="E16:E17"/>
    <mergeCell ref="B15:C15"/>
    <mergeCell ref="D15:E15"/>
    <mergeCell ref="B13:C13"/>
    <mergeCell ref="D13:E13"/>
    <mergeCell ref="F14:G14"/>
    <mergeCell ref="A9:L9"/>
    <mergeCell ref="A1:F1"/>
    <mergeCell ref="A2:F2"/>
    <mergeCell ref="G3:H4"/>
    <mergeCell ref="I3:L4"/>
    <mergeCell ref="A11:D11"/>
    <mergeCell ref="E11:H11"/>
    <mergeCell ref="A10:D10"/>
    <mergeCell ref="E10:G10"/>
    <mergeCell ref="D14:E14"/>
    <mergeCell ref="A8:L8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 codeName="Лист8"/>
  <dimension ref="A1:Z52"/>
  <sheetViews>
    <sheetView view="pageBreakPreview" zoomScale="75" zoomScaleNormal="100" zoomScaleSheetLayoutView="75" workbookViewId="0">
      <selection activeCell="F37" sqref="F37"/>
    </sheetView>
  </sheetViews>
  <sheetFormatPr defaultRowHeight="18.75"/>
  <cols>
    <col min="1" max="1" width="11.140625" style="2" customWidth="1"/>
    <col min="2" max="2" width="15.140625" style="2" customWidth="1"/>
    <col min="3" max="3" width="13.5703125" style="2" customWidth="1"/>
    <col min="4" max="4" width="12.7109375" style="2" customWidth="1"/>
    <col min="5" max="5" width="5.42578125" style="2" customWidth="1"/>
    <col min="6" max="6" width="14.140625" style="2" customWidth="1"/>
    <col min="7" max="7" width="13.7109375" style="2" customWidth="1"/>
    <col min="8" max="8" width="16.42578125" style="2" customWidth="1"/>
    <col min="9" max="9" width="8.28515625" style="2" customWidth="1"/>
    <col min="10" max="11" width="8.85546875" style="2" customWidth="1"/>
    <col min="12" max="12" width="18.85546875" style="2" customWidth="1"/>
    <col min="13" max="26" width="10.28515625" style="2" customWidth="1"/>
    <col min="27" max="16384" width="9.140625" style="2"/>
  </cols>
  <sheetData>
    <row r="1" spans="1:26" ht="21.75" customHeight="1">
      <c r="A1" s="59" t="s">
        <v>157</v>
      </c>
      <c r="B1" s="59"/>
      <c r="C1" s="59"/>
      <c r="D1" s="59"/>
      <c r="E1" s="59"/>
      <c r="F1" s="59"/>
      <c r="G1" s="63" t="s">
        <v>154</v>
      </c>
      <c r="H1" s="63"/>
      <c r="I1" s="59" t="s">
        <v>160</v>
      </c>
      <c r="J1" s="59"/>
      <c r="K1" s="59"/>
      <c r="L1" s="59"/>
      <c r="M1" s="91" t="s">
        <v>96</v>
      </c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spans="1:26" ht="21.75" customHeight="1">
      <c r="A2" s="61" t="s">
        <v>45</v>
      </c>
      <c r="B2" s="61"/>
      <c r="C2" s="61"/>
      <c r="D2" s="61"/>
      <c r="E2" s="61"/>
      <c r="F2" s="61"/>
      <c r="G2" s="63"/>
      <c r="H2" s="63"/>
      <c r="I2" s="59"/>
      <c r="J2" s="59"/>
      <c r="K2" s="59"/>
      <c r="L2" s="59"/>
      <c r="M2" s="91" t="s">
        <v>78</v>
      </c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spans="1:26" ht="21.75" customHeight="1">
      <c r="A3" s="59" t="s">
        <v>158</v>
      </c>
      <c r="B3" s="60"/>
      <c r="C3" s="60"/>
      <c r="D3" s="60"/>
      <c r="E3" s="60"/>
      <c r="F3" s="60"/>
      <c r="G3" s="63" t="s">
        <v>155</v>
      </c>
      <c r="H3" s="63"/>
      <c r="I3" s="59" t="s">
        <v>267</v>
      </c>
      <c r="J3" s="59"/>
      <c r="K3" s="59"/>
      <c r="L3" s="59"/>
      <c r="M3" s="104" t="s">
        <v>79</v>
      </c>
      <c r="N3" s="100" t="s">
        <v>81</v>
      </c>
      <c r="O3" s="104"/>
      <c r="P3" s="100" t="s">
        <v>65</v>
      </c>
      <c r="Q3" s="104"/>
      <c r="R3" s="100" t="s">
        <v>82</v>
      </c>
      <c r="S3" s="104"/>
      <c r="T3" s="100" t="s">
        <v>85</v>
      </c>
      <c r="U3" s="104"/>
      <c r="V3" s="100" t="s">
        <v>87</v>
      </c>
      <c r="W3" s="104"/>
      <c r="X3" s="107" t="s">
        <v>91</v>
      </c>
      <c r="Y3" s="108"/>
      <c r="Z3" s="108"/>
    </row>
    <row r="4" spans="1:26" ht="29.25" customHeight="1">
      <c r="A4" s="61" t="s">
        <v>46</v>
      </c>
      <c r="B4" s="61"/>
      <c r="C4" s="61"/>
      <c r="D4" s="61"/>
      <c r="E4" s="61"/>
      <c r="F4" s="61"/>
      <c r="G4" s="63"/>
      <c r="H4" s="63"/>
      <c r="I4" s="59"/>
      <c r="J4" s="59"/>
      <c r="K4" s="59"/>
      <c r="L4" s="59"/>
      <c r="M4" s="95"/>
      <c r="N4" s="101"/>
      <c r="O4" s="95"/>
      <c r="P4" s="101"/>
      <c r="Q4" s="95"/>
      <c r="R4" s="101" t="s">
        <v>83</v>
      </c>
      <c r="S4" s="95"/>
      <c r="T4" s="101" t="s">
        <v>86</v>
      </c>
      <c r="U4" s="95"/>
      <c r="V4" s="101" t="s">
        <v>88</v>
      </c>
      <c r="W4" s="95"/>
      <c r="X4" s="107"/>
      <c r="Y4" s="108"/>
      <c r="Z4" s="108"/>
    </row>
    <row r="5" spans="1:26" ht="21.75" customHeight="1">
      <c r="A5" s="59" t="s">
        <v>185</v>
      </c>
      <c r="B5" s="60"/>
      <c r="C5" s="60"/>
      <c r="D5" s="60"/>
      <c r="E5" s="60"/>
      <c r="F5" s="60"/>
      <c r="G5" s="63" t="s">
        <v>156</v>
      </c>
      <c r="H5" s="63"/>
      <c r="I5" s="59" t="s">
        <v>269</v>
      </c>
      <c r="J5" s="59"/>
      <c r="K5" s="59"/>
      <c r="L5" s="59"/>
      <c r="M5" s="95" t="s">
        <v>80</v>
      </c>
      <c r="N5" s="101"/>
      <c r="O5" s="95"/>
      <c r="P5" s="101" t="s">
        <v>190</v>
      </c>
      <c r="Q5" s="95"/>
      <c r="R5" s="109" t="s">
        <v>84</v>
      </c>
      <c r="S5" s="110"/>
      <c r="T5" s="109" t="s">
        <v>84</v>
      </c>
      <c r="U5" s="110"/>
      <c r="V5" s="101" t="s">
        <v>89</v>
      </c>
      <c r="W5" s="95"/>
      <c r="X5" s="107"/>
      <c r="Y5" s="108"/>
      <c r="Z5" s="108"/>
    </row>
    <row r="6" spans="1:26" ht="21.75" customHeight="1">
      <c r="A6" s="61" t="s">
        <v>47</v>
      </c>
      <c r="B6" s="61"/>
      <c r="C6" s="61"/>
      <c r="D6" s="61"/>
      <c r="E6" s="61"/>
      <c r="F6" s="61"/>
      <c r="G6" s="63"/>
      <c r="H6" s="63"/>
      <c r="I6" s="59"/>
      <c r="J6" s="59"/>
      <c r="K6" s="59"/>
      <c r="L6" s="59"/>
      <c r="M6" s="96"/>
      <c r="N6" s="103"/>
      <c r="O6" s="96"/>
      <c r="P6" s="103"/>
      <c r="Q6" s="96"/>
      <c r="R6" s="103"/>
      <c r="S6" s="96"/>
      <c r="T6" s="103"/>
      <c r="U6" s="96"/>
      <c r="V6" s="103" t="s">
        <v>90</v>
      </c>
      <c r="W6" s="96"/>
      <c r="X6" s="107"/>
      <c r="Y6" s="108"/>
      <c r="Z6" s="108"/>
    </row>
    <row r="7" spans="1:26" ht="21.75" customHeight="1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10"/>
      <c r="N7" s="89"/>
      <c r="O7" s="105"/>
      <c r="P7" s="89"/>
      <c r="Q7" s="105"/>
      <c r="R7" s="89"/>
      <c r="S7" s="105"/>
      <c r="T7" s="89"/>
      <c r="U7" s="105"/>
      <c r="V7" s="89"/>
      <c r="W7" s="105"/>
      <c r="X7" s="89"/>
      <c r="Y7" s="90"/>
      <c r="Z7" s="90"/>
    </row>
    <row r="8" spans="1:26" ht="22.5" customHeight="1">
      <c r="A8" s="94" t="s">
        <v>48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10"/>
      <c r="N8" s="89"/>
      <c r="O8" s="105"/>
      <c r="P8" s="89"/>
      <c r="Q8" s="105"/>
      <c r="R8" s="89"/>
      <c r="S8" s="105"/>
      <c r="T8" s="89"/>
      <c r="U8" s="105"/>
      <c r="V8" s="89"/>
      <c r="W8" s="105"/>
      <c r="X8" s="89"/>
      <c r="Y8" s="90"/>
      <c r="Z8" s="90"/>
    </row>
    <row r="9" spans="1:26" ht="22.5" customHeight="1">
      <c r="A9" s="88" t="s">
        <v>49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10"/>
      <c r="N9" s="89"/>
      <c r="O9" s="105"/>
      <c r="P9" s="89"/>
      <c r="Q9" s="105"/>
      <c r="R9" s="89"/>
      <c r="S9" s="105"/>
      <c r="T9" s="89"/>
      <c r="U9" s="105"/>
      <c r="V9" s="89"/>
      <c r="W9" s="105"/>
      <c r="X9" s="89"/>
      <c r="Y9" s="90"/>
      <c r="Z9" s="90"/>
    </row>
    <row r="10" spans="1:26" ht="22.5" customHeight="1">
      <c r="A10" s="80" t="s">
        <v>112</v>
      </c>
      <c r="B10" s="80"/>
      <c r="C10" s="80"/>
      <c r="D10" s="80"/>
      <c r="E10" s="81" t="s">
        <v>383</v>
      </c>
      <c r="F10" s="81"/>
      <c r="G10" s="81"/>
      <c r="H10" s="62" t="s">
        <v>384</v>
      </c>
      <c r="I10" s="62"/>
      <c r="J10" s="62"/>
      <c r="K10" s="62"/>
      <c r="L10" s="62"/>
      <c r="M10" s="10"/>
      <c r="N10" s="89"/>
      <c r="O10" s="105"/>
      <c r="P10" s="89"/>
      <c r="Q10" s="105"/>
      <c r="R10" s="89"/>
      <c r="S10" s="105"/>
      <c r="T10" s="89"/>
      <c r="U10" s="105"/>
      <c r="V10" s="89"/>
      <c r="W10" s="105"/>
      <c r="X10" s="89"/>
      <c r="Y10" s="90"/>
      <c r="Z10" s="90"/>
    </row>
    <row r="11" spans="1:26" ht="22.5" customHeight="1">
      <c r="A11" s="80" t="s">
        <v>113</v>
      </c>
      <c r="B11" s="80"/>
      <c r="C11" s="80"/>
      <c r="D11" s="80"/>
      <c r="E11" s="79" t="s">
        <v>240</v>
      </c>
      <c r="F11" s="79"/>
      <c r="G11" s="79"/>
      <c r="H11" s="79"/>
      <c r="I11" s="62" t="s">
        <v>114</v>
      </c>
      <c r="J11" s="62"/>
      <c r="K11" s="62"/>
      <c r="L11" s="62"/>
      <c r="M11" s="10"/>
      <c r="N11" s="89"/>
      <c r="O11" s="105"/>
      <c r="P11" s="89"/>
      <c r="Q11" s="105"/>
      <c r="R11" s="89"/>
      <c r="S11" s="105"/>
      <c r="T11" s="89"/>
      <c r="U11" s="105"/>
      <c r="V11" s="89"/>
      <c r="W11" s="105"/>
      <c r="X11" s="89"/>
      <c r="Y11" s="90"/>
      <c r="Z11" s="90"/>
    </row>
    <row r="12" spans="1:26" ht="21.75" customHeight="1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10"/>
      <c r="N12" s="89"/>
      <c r="O12" s="105"/>
      <c r="P12" s="89"/>
      <c r="Q12" s="105"/>
      <c r="R12" s="89"/>
      <c r="S12" s="105"/>
      <c r="T12" s="89"/>
      <c r="U12" s="105"/>
      <c r="V12" s="89"/>
      <c r="W12" s="105"/>
      <c r="X12" s="89"/>
      <c r="Y12" s="90"/>
      <c r="Z12" s="90"/>
    </row>
    <row r="13" spans="1:26" ht="21.75" customHeight="1">
      <c r="A13" s="64" t="s">
        <v>50</v>
      </c>
      <c r="B13" s="72" t="s">
        <v>56</v>
      </c>
      <c r="C13" s="73"/>
      <c r="D13" s="74" t="s">
        <v>198</v>
      </c>
      <c r="E13" s="75"/>
      <c r="F13" s="72" t="s">
        <v>59</v>
      </c>
      <c r="G13" s="73"/>
      <c r="H13" s="18" t="s">
        <v>198</v>
      </c>
      <c r="I13" s="84" t="s">
        <v>5</v>
      </c>
      <c r="J13" s="72" t="s">
        <v>60</v>
      </c>
      <c r="K13" s="64"/>
      <c r="L13" s="17" t="s">
        <v>65</v>
      </c>
      <c r="M13" s="10"/>
      <c r="N13" s="89"/>
      <c r="O13" s="105"/>
      <c r="P13" s="89"/>
      <c r="Q13" s="105"/>
      <c r="R13" s="89"/>
      <c r="S13" s="105"/>
      <c r="T13" s="89"/>
      <c r="U13" s="105"/>
      <c r="V13" s="89"/>
      <c r="W13" s="105"/>
      <c r="X13" s="89"/>
      <c r="Y13" s="90"/>
      <c r="Z13" s="90"/>
    </row>
    <row r="14" spans="1:26" ht="21.75" customHeight="1">
      <c r="A14" s="65"/>
      <c r="B14" s="82" t="s">
        <v>57</v>
      </c>
      <c r="C14" s="83"/>
      <c r="D14" s="92" t="s">
        <v>279</v>
      </c>
      <c r="E14" s="93"/>
      <c r="F14" s="82" t="s">
        <v>57</v>
      </c>
      <c r="G14" s="83"/>
      <c r="H14" s="19" t="s">
        <v>280</v>
      </c>
      <c r="I14" s="85"/>
      <c r="J14" s="82" t="s">
        <v>61</v>
      </c>
      <c r="K14" s="65"/>
      <c r="L14" s="17" t="s">
        <v>66</v>
      </c>
      <c r="M14" s="10"/>
      <c r="N14" s="89"/>
      <c r="O14" s="105"/>
      <c r="P14" s="89"/>
      <c r="Q14" s="105"/>
      <c r="R14" s="89"/>
      <c r="S14" s="105"/>
      <c r="T14" s="89"/>
      <c r="U14" s="105"/>
      <c r="V14" s="89"/>
      <c r="W14" s="105"/>
      <c r="X14" s="89"/>
      <c r="Y14" s="90"/>
      <c r="Z14" s="90"/>
    </row>
    <row r="15" spans="1:26" ht="21.75" customHeight="1">
      <c r="A15" s="65"/>
      <c r="B15" s="68" t="s">
        <v>58</v>
      </c>
      <c r="C15" s="69"/>
      <c r="D15" s="70">
        <v>1800</v>
      </c>
      <c r="E15" s="71"/>
      <c r="F15" s="68" t="s">
        <v>58</v>
      </c>
      <c r="G15" s="69"/>
      <c r="H15" s="20">
        <v>1800</v>
      </c>
      <c r="I15" s="85"/>
      <c r="J15" s="68" t="s">
        <v>62</v>
      </c>
      <c r="K15" s="78"/>
      <c r="L15" s="17" t="s">
        <v>67</v>
      </c>
      <c r="M15" s="10"/>
      <c r="N15" s="89"/>
      <c r="O15" s="105"/>
      <c r="P15" s="89"/>
      <c r="Q15" s="105"/>
      <c r="R15" s="89"/>
      <c r="S15" s="105"/>
      <c r="T15" s="89"/>
      <c r="U15" s="105"/>
      <c r="V15" s="89"/>
      <c r="W15" s="105"/>
      <c r="X15" s="89"/>
      <c r="Y15" s="90"/>
      <c r="Z15" s="90"/>
    </row>
    <row r="16" spans="1:26" ht="21.75" customHeight="1">
      <c r="A16" s="65"/>
      <c r="B16" s="13" t="s">
        <v>51</v>
      </c>
      <c r="C16" s="13" t="s">
        <v>53</v>
      </c>
      <c r="D16" s="13" t="s">
        <v>54</v>
      </c>
      <c r="E16" s="66"/>
      <c r="F16" s="13" t="s">
        <v>51</v>
      </c>
      <c r="G16" s="13" t="s">
        <v>53</v>
      </c>
      <c r="H16" s="11" t="s">
        <v>54</v>
      </c>
      <c r="I16" s="85"/>
      <c r="J16" s="66" t="s">
        <v>63</v>
      </c>
      <c r="K16" s="66" t="s">
        <v>64</v>
      </c>
      <c r="L16" s="17" t="s">
        <v>68</v>
      </c>
      <c r="M16" s="10"/>
      <c r="N16" s="89"/>
      <c r="O16" s="105"/>
      <c r="P16" s="89"/>
      <c r="Q16" s="105"/>
      <c r="R16" s="89"/>
      <c r="S16" s="105"/>
      <c r="T16" s="89"/>
      <c r="U16" s="105"/>
      <c r="V16" s="89"/>
      <c r="W16" s="105"/>
      <c r="X16" s="89"/>
      <c r="Y16" s="90"/>
      <c r="Z16" s="90"/>
    </row>
    <row r="17" spans="1:26" ht="21.75" customHeight="1">
      <c r="A17" s="78"/>
      <c r="B17" s="26" t="s">
        <v>52</v>
      </c>
      <c r="C17" s="26" t="s">
        <v>51</v>
      </c>
      <c r="D17" s="26" t="s">
        <v>55</v>
      </c>
      <c r="E17" s="67"/>
      <c r="F17" s="26" t="s">
        <v>52</v>
      </c>
      <c r="G17" s="14" t="s">
        <v>51</v>
      </c>
      <c r="H17" s="12" t="s">
        <v>55</v>
      </c>
      <c r="I17" s="119"/>
      <c r="J17" s="120"/>
      <c r="K17" s="120"/>
      <c r="L17" s="17" t="s">
        <v>69</v>
      </c>
      <c r="M17" s="111" t="s">
        <v>92</v>
      </c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spans="1:26" ht="23.25" customHeight="1">
      <c r="A18" s="45" t="s">
        <v>7</v>
      </c>
      <c r="B18" s="49">
        <v>2680.721</v>
      </c>
      <c r="C18" s="31"/>
      <c r="D18" s="30"/>
      <c r="E18" s="29"/>
      <c r="F18" s="49">
        <v>1305.7822000000001</v>
      </c>
      <c r="G18" s="28"/>
      <c r="H18" s="30"/>
      <c r="I18" s="33"/>
      <c r="J18" s="29"/>
      <c r="K18" s="29">
        <v>6.5</v>
      </c>
      <c r="L18" s="35"/>
      <c r="M18" s="104" t="s">
        <v>79</v>
      </c>
      <c r="N18" s="98" t="s">
        <v>98</v>
      </c>
      <c r="O18" s="98"/>
      <c r="P18" s="98"/>
      <c r="Q18" s="98" t="s">
        <v>107</v>
      </c>
      <c r="R18" s="98"/>
      <c r="S18" s="98"/>
      <c r="T18" s="98" t="s">
        <v>93</v>
      </c>
      <c r="U18" s="98"/>
      <c r="V18" s="98"/>
      <c r="W18" s="100" t="s">
        <v>91</v>
      </c>
      <c r="X18" s="112"/>
      <c r="Y18" s="112"/>
      <c r="Z18" s="112"/>
    </row>
    <row r="19" spans="1:26" ht="23.25" customHeight="1">
      <c r="A19" s="45" t="s">
        <v>8</v>
      </c>
      <c r="B19" s="49">
        <v>2680.7264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5.4000000000087311E-3</v>
      </c>
      <c r="D19" s="30">
        <f t="shared" ref="D19:D42" si="1">IF(C19="","",C19*$D$15)</f>
        <v>9.7200000000157161</v>
      </c>
      <c r="E19" s="29"/>
      <c r="F19" s="49">
        <v>1305.7965000000002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1.4300000000048385E-2</v>
      </c>
      <c r="H19" s="30">
        <f t="shared" ref="H19:H42" si="3">IF(G19="","",G19*$H$15)</f>
        <v>25.740000000087093</v>
      </c>
      <c r="I19" s="33">
        <f t="shared" ref="I19:I42" si="4">IF(H19="","",IF(D19="","",IF(AND(H19=0,D19=0),0,H19/D19)))</f>
        <v>2.6481481481528264</v>
      </c>
      <c r="J19" s="29"/>
      <c r="K19" s="29">
        <v>6.5</v>
      </c>
      <c r="L19" s="35"/>
      <c r="M19" s="95"/>
      <c r="N19" s="99"/>
      <c r="O19" s="99"/>
      <c r="P19" s="99"/>
      <c r="Q19" s="99" t="s">
        <v>108</v>
      </c>
      <c r="R19" s="99"/>
      <c r="S19" s="99"/>
      <c r="T19" s="99"/>
      <c r="U19" s="99"/>
      <c r="V19" s="99"/>
      <c r="W19" s="101"/>
      <c r="X19" s="91"/>
      <c r="Y19" s="91"/>
      <c r="Z19" s="91"/>
    </row>
    <row r="20" spans="1:26" ht="23.25" customHeight="1">
      <c r="A20" s="45" t="s">
        <v>9</v>
      </c>
      <c r="B20" s="49">
        <v>2680.7305000000001</v>
      </c>
      <c r="C20" s="31">
        <f t="shared" si="0"/>
        <v>4.1000000001076842E-3</v>
      </c>
      <c r="D20" s="30">
        <f t="shared" si="1"/>
        <v>7.3800000001938315</v>
      </c>
      <c r="E20" s="29"/>
      <c r="F20" s="49">
        <v>1305.8076000000001</v>
      </c>
      <c r="G20" s="28">
        <f t="shared" si="2"/>
        <v>1.1099999999942156E-2</v>
      </c>
      <c r="H20" s="30">
        <f t="shared" si="3"/>
        <v>19.979999999895881</v>
      </c>
      <c r="I20" s="33">
        <f t="shared" si="4"/>
        <v>2.7073170730855174</v>
      </c>
      <c r="J20" s="29"/>
      <c r="K20" s="29">
        <v>6.5</v>
      </c>
      <c r="L20" s="35"/>
      <c r="M20" s="95" t="s">
        <v>80</v>
      </c>
      <c r="N20" s="99" t="s">
        <v>99</v>
      </c>
      <c r="O20" s="99"/>
      <c r="P20" s="99"/>
      <c r="Q20" s="99" t="s">
        <v>189</v>
      </c>
      <c r="R20" s="99"/>
      <c r="S20" s="99"/>
      <c r="T20" s="99" t="s">
        <v>94</v>
      </c>
      <c r="U20" s="99"/>
      <c r="V20" s="99"/>
      <c r="W20" s="101"/>
      <c r="X20" s="91"/>
      <c r="Y20" s="91"/>
      <c r="Z20" s="91"/>
    </row>
    <row r="21" spans="1:26" ht="23.25" customHeight="1">
      <c r="A21" s="45" t="s">
        <v>10</v>
      </c>
      <c r="B21" s="49">
        <v>2680.7347</v>
      </c>
      <c r="C21" s="31">
        <f t="shared" si="0"/>
        <v>4.1999999998552084E-3</v>
      </c>
      <c r="D21" s="30">
        <f t="shared" si="1"/>
        <v>7.5599999997393752</v>
      </c>
      <c r="E21" s="29"/>
      <c r="F21" s="49">
        <v>1305.8188</v>
      </c>
      <c r="G21" s="28">
        <f t="shared" si="2"/>
        <v>1.1199999999917054E-2</v>
      </c>
      <c r="H21" s="30">
        <f t="shared" si="3"/>
        <v>20.159999999850697</v>
      </c>
      <c r="I21" s="33">
        <f t="shared" si="4"/>
        <v>2.6666666667388488</v>
      </c>
      <c r="J21" s="29"/>
      <c r="K21" s="29">
        <v>6.5</v>
      </c>
      <c r="L21" s="35"/>
      <c r="M21" s="96"/>
      <c r="N21" s="102"/>
      <c r="O21" s="102"/>
      <c r="P21" s="102"/>
      <c r="Q21" s="102"/>
      <c r="R21" s="102"/>
      <c r="S21" s="102"/>
      <c r="T21" s="102"/>
      <c r="U21" s="102"/>
      <c r="V21" s="102"/>
      <c r="W21" s="103"/>
      <c r="X21" s="111"/>
      <c r="Y21" s="111"/>
      <c r="Z21" s="111"/>
    </row>
    <row r="22" spans="1:26" ht="23.25" customHeight="1">
      <c r="A22" s="45" t="s">
        <v>11</v>
      </c>
      <c r="B22" s="49">
        <v>2680.7388000000001</v>
      </c>
      <c r="C22" s="31">
        <f t="shared" si="0"/>
        <v>4.1000000001076842E-3</v>
      </c>
      <c r="D22" s="30">
        <f t="shared" si="1"/>
        <v>7.3800000001938315</v>
      </c>
      <c r="E22" s="29"/>
      <c r="F22" s="49">
        <v>1305.8300000000002</v>
      </c>
      <c r="G22" s="28">
        <f t="shared" si="2"/>
        <v>1.1200000000144428E-2</v>
      </c>
      <c r="H22" s="30">
        <f t="shared" si="3"/>
        <v>20.16000000025997</v>
      </c>
      <c r="I22" s="33">
        <f t="shared" si="4"/>
        <v>2.7317073170366504</v>
      </c>
      <c r="J22" s="29"/>
      <c r="K22" s="29">
        <v>6.5</v>
      </c>
      <c r="L22" s="35"/>
      <c r="M22" s="10"/>
      <c r="N22" s="106"/>
      <c r="O22" s="106"/>
      <c r="P22" s="106"/>
      <c r="Q22" s="106"/>
      <c r="R22" s="106"/>
      <c r="S22" s="106"/>
      <c r="T22" s="106"/>
      <c r="U22" s="106"/>
      <c r="V22" s="106"/>
      <c r="W22" s="89"/>
      <c r="X22" s="90"/>
      <c r="Y22" s="90"/>
      <c r="Z22" s="90"/>
    </row>
    <row r="23" spans="1:26" ht="23.25" customHeight="1">
      <c r="A23" s="45" t="s">
        <v>12</v>
      </c>
      <c r="B23" s="49">
        <v>2680.7446</v>
      </c>
      <c r="C23" s="31">
        <f t="shared" si="0"/>
        <v>5.7999999999083229E-3</v>
      </c>
      <c r="D23" s="30">
        <f t="shared" si="1"/>
        <v>10.439999999834981</v>
      </c>
      <c r="E23" s="29"/>
      <c r="F23" s="49">
        <v>1305.8455000000001</v>
      </c>
      <c r="G23" s="28">
        <f t="shared" si="2"/>
        <v>1.5499999999974534E-2</v>
      </c>
      <c r="H23" s="30">
        <f t="shared" si="3"/>
        <v>27.899999999954161</v>
      </c>
      <c r="I23" s="33">
        <f t="shared" si="4"/>
        <v>2.672413793141299</v>
      </c>
      <c r="J23" s="29"/>
      <c r="K23" s="29">
        <v>6.5</v>
      </c>
      <c r="L23" s="35"/>
      <c r="M23" s="10"/>
      <c r="N23" s="106"/>
      <c r="O23" s="106"/>
      <c r="P23" s="106"/>
      <c r="Q23" s="106"/>
      <c r="R23" s="106"/>
      <c r="S23" s="106"/>
      <c r="T23" s="106"/>
      <c r="U23" s="106"/>
      <c r="V23" s="106"/>
      <c r="W23" s="89"/>
      <c r="X23" s="90"/>
      <c r="Y23" s="90"/>
      <c r="Z23" s="90"/>
    </row>
    <row r="24" spans="1:26" ht="23.25" customHeight="1">
      <c r="A24" s="45" t="s">
        <v>13</v>
      </c>
      <c r="B24" s="49">
        <v>2680.7509</v>
      </c>
      <c r="C24" s="31">
        <f t="shared" si="0"/>
        <v>6.3000000000101863E-3</v>
      </c>
      <c r="D24" s="30">
        <f t="shared" si="1"/>
        <v>11.340000000018335</v>
      </c>
      <c r="E24" s="29"/>
      <c r="F24" s="49">
        <v>1305.8624000000002</v>
      </c>
      <c r="G24" s="28">
        <f t="shared" si="2"/>
        <v>1.6900000000077853E-2</v>
      </c>
      <c r="H24" s="30">
        <f t="shared" si="3"/>
        <v>30.420000000140135</v>
      </c>
      <c r="I24" s="33">
        <f t="shared" si="4"/>
        <v>2.6825396825477026</v>
      </c>
      <c r="J24" s="29"/>
      <c r="K24" s="29">
        <v>6.5</v>
      </c>
      <c r="L24" s="35"/>
      <c r="M24" s="10"/>
      <c r="N24" s="106"/>
      <c r="O24" s="106"/>
      <c r="P24" s="106"/>
      <c r="Q24" s="106"/>
      <c r="R24" s="106"/>
      <c r="S24" s="106"/>
      <c r="T24" s="106"/>
      <c r="U24" s="106"/>
      <c r="V24" s="106"/>
      <c r="W24" s="89"/>
      <c r="X24" s="90"/>
      <c r="Y24" s="90"/>
      <c r="Z24" s="90"/>
    </row>
    <row r="25" spans="1:26" ht="23.25" customHeight="1">
      <c r="A25" s="45" t="s">
        <v>14</v>
      </c>
      <c r="B25" s="49">
        <v>2680.7554</v>
      </c>
      <c r="C25" s="31">
        <f t="shared" si="0"/>
        <v>4.500000000007276E-3</v>
      </c>
      <c r="D25" s="30">
        <f t="shared" si="1"/>
        <v>8.1000000000130967</v>
      </c>
      <c r="E25" s="29"/>
      <c r="F25" s="49">
        <v>1305.8734000000002</v>
      </c>
      <c r="G25" s="28">
        <f t="shared" si="2"/>
        <v>1.0999999999967258E-2</v>
      </c>
      <c r="H25" s="30">
        <f t="shared" si="3"/>
        <v>19.799999999941065</v>
      </c>
      <c r="I25" s="33">
        <f t="shared" si="4"/>
        <v>2.4444444444332163</v>
      </c>
      <c r="J25" s="29"/>
      <c r="K25" s="29">
        <v>6.5</v>
      </c>
      <c r="L25" s="35"/>
      <c r="M25" s="10"/>
      <c r="N25" s="106"/>
      <c r="O25" s="106"/>
      <c r="P25" s="106"/>
      <c r="Q25" s="106"/>
      <c r="R25" s="106"/>
      <c r="S25" s="106"/>
      <c r="T25" s="106"/>
      <c r="U25" s="106"/>
      <c r="V25" s="106"/>
      <c r="W25" s="89"/>
      <c r="X25" s="90"/>
      <c r="Y25" s="90"/>
      <c r="Z25" s="90"/>
    </row>
    <row r="26" spans="1:26" ht="23.25" customHeight="1">
      <c r="A26" s="45" t="s">
        <v>15</v>
      </c>
      <c r="B26" s="49">
        <v>2680.7642999999998</v>
      </c>
      <c r="C26" s="31">
        <f t="shared" si="0"/>
        <v>8.8999999998122803E-3</v>
      </c>
      <c r="D26" s="30">
        <f t="shared" si="1"/>
        <v>16.019999999662105</v>
      </c>
      <c r="E26" s="29"/>
      <c r="F26" s="49">
        <v>1305.884</v>
      </c>
      <c r="G26" s="28">
        <f t="shared" si="2"/>
        <v>1.0599999999840293E-2</v>
      </c>
      <c r="H26" s="30">
        <f t="shared" si="3"/>
        <v>19.079999999712527</v>
      </c>
      <c r="I26" s="33">
        <f t="shared" si="4"/>
        <v>1.1910112359622325</v>
      </c>
      <c r="J26" s="29"/>
      <c r="K26" s="29">
        <v>6.5</v>
      </c>
      <c r="L26" s="35"/>
      <c r="M26" s="10"/>
      <c r="N26" s="106"/>
      <c r="O26" s="106"/>
      <c r="P26" s="106"/>
      <c r="Q26" s="106"/>
      <c r="R26" s="106"/>
      <c r="S26" s="106"/>
      <c r="T26" s="106"/>
      <c r="U26" s="106"/>
      <c r="V26" s="106"/>
      <c r="W26" s="89"/>
      <c r="X26" s="90"/>
      <c r="Y26" s="90"/>
      <c r="Z26" s="90"/>
    </row>
    <row r="27" spans="1:26" ht="23.25" customHeight="1">
      <c r="A27" s="45" t="s">
        <v>16</v>
      </c>
      <c r="B27" s="49">
        <v>2680.7718</v>
      </c>
      <c r="C27" s="31">
        <f t="shared" si="0"/>
        <v>7.500000000163709E-3</v>
      </c>
      <c r="D27" s="30">
        <f t="shared" si="1"/>
        <v>13.500000000294676</v>
      </c>
      <c r="E27" s="29"/>
      <c r="F27" s="49">
        <v>1305.8942000000002</v>
      </c>
      <c r="G27" s="28">
        <f t="shared" si="2"/>
        <v>1.0200000000168075E-2</v>
      </c>
      <c r="H27" s="30">
        <f t="shared" si="3"/>
        <v>18.360000000302534</v>
      </c>
      <c r="I27" s="33">
        <f t="shared" si="4"/>
        <v>1.3599999999927241</v>
      </c>
      <c r="J27" s="29"/>
      <c r="K27" s="29">
        <v>6.5</v>
      </c>
      <c r="L27" s="35"/>
      <c r="M27" s="10"/>
      <c r="N27" s="106"/>
      <c r="O27" s="106"/>
      <c r="P27" s="106"/>
      <c r="Q27" s="106"/>
      <c r="R27" s="106"/>
      <c r="S27" s="106"/>
      <c r="T27" s="106"/>
      <c r="U27" s="106"/>
      <c r="V27" s="106"/>
      <c r="W27" s="89"/>
      <c r="X27" s="90"/>
      <c r="Y27" s="90"/>
      <c r="Z27" s="90"/>
    </row>
    <row r="28" spans="1:26" ht="23.25" customHeight="1">
      <c r="A28" s="45" t="s">
        <v>17</v>
      </c>
      <c r="B28" s="49">
        <v>2680.7793999999999</v>
      </c>
      <c r="C28" s="31">
        <f t="shared" si="0"/>
        <v>7.5999999999112333E-3</v>
      </c>
      <c r="D28" s="30">
        <f t="shared" si="1"/>
        <v>13.67999999984022</v>
      </c>
      <c r="E28" s="29"/>
      <c r="F28" s="49">
        <v>1305.9059000000002</v>
      </c>
      <c r="G28" s="28">
        <f t="shared" si="2"/>
        <v>1.1700000000018917E-2</v>
      </c>
      <c r="H28" s="30">
        <f t="shared" si="3"/>
        <v>21.060000000034051</v>
      </c>
      <c r="I28" s="33">
        <f t="shared" si="4"/>
        <v>1.5394736842309962</v>
      </c>
      <c r="J28" s="29"/>
      <c r="K28" s="50">
        <v>6.5</v>
      </c>
      <c r="L28" s="35"/>
      <c r="M28" s="10"/>
      <c r="N28" s="106"/>
      <c r="O28" s="106"/>
      <c r="P28" s="106"/>
      <c r="Q28" s="106"/>
      <c r="R28" s="106"/>
      <c r="S28" s="106"/>
      <c r="T28" s="106"/>
      <c r="U28" s="106"/>
      <c r="V28" s="106"/>
      <c r="W28" s="89"/>
      <c r="X28" s="90"/>
      <c r="Y28" s="90"/>
      <c r="Z28" s="90"/>
    </row>
    <row r="29" spans="1:26" ht="23.25" customHeight="1">
      <c r="A29" s="45" t="s">
        <v>18</v>
      </c>
      <c r="B29" s="49">
        <v>2680.7885000000001</v>
      </c>
      <c r="C29" s="31">
        <f t="shared" si="0"/>
        <v>9.1000000002168235E-3</v>
      </c>
      <c r="D29" s="30">
        <f t="shared" si="1"/>
        <v>16.380000000390282</v>
      </c>
      <c r="E29" s="29"/>
      <c r="F29" s="49">
        <v>1305.9225000000001</v>
      </c>
      <c r="G29" s="28">
        <f t="shared" si="2"/>
        <v>1.6599999999925785E-2</v>
      </c>
      <c r="H29" s="30">
        <f t="shared" si="3"/>
        <v>29.879999999866413</v>
      </c>
      <c r="I29" s="33">
        <f t="shared" si="4"/>
        <v>1.8241758241242045</v>
      </c>
      <c r="J29" s="29"/>
      <c r="K29" s="50">
        <v>6.5</v>
      </c>
      <c r="L29" s="35"/>
      <c r="M29" s="97" t="s">
        <v>95</v>
      </c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23.25" customHeight="1">
      <c r="A30" s="45" t="s">
        <v>19</v>
      </c>
      <c r="B30" s="49">
        <v>2680.7943</v>
      </c>
      <c r="C30" s="31">
        <f t="shared" si="0"/>
        <v>5.7999999999083229E-3</v>
      </c>
      <c r="D30" s="30">
        <f t="shared" si="1"/>
        <v>10.439999999834981</v>
      </c>
      <c r="E30" s="29"/>
      <c r="F30" s="49">
        <v>1305.9333000000001</v>
      </c>
      <c r="G30" s="28">
        <f t="shared" si="2"/>
        <v>1.0800000000017462E-2</v>
      </c>
      <c r="H30" s="30">
        <f t="shared" si="3"/>
        <v>19.440000000031432</v>
      </c>
      <c r="I30" s="33">
        <f t="shared" si="4"/>
        <v>1.8620689655496847</v>
      </c>
      <c r="J30" s="29"/>
      <c r="K30" s="50">
        <v>6.5</v>
      </c>
      <c r="L30" s="35"/>
      <c r="M30" s="91" t="s">
        <v>97</v>
      </c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 spans="1:26" ht="23.25" customHeight="1">
      <c r="A31" s="45" t="s">
        <v>20</v>
      </c>
      <c r="B31" s="49">
        <v>2680.8006999999998</v>
      </c>
      <c r="C31" s="31">
        <f t="shared" si="0"/>
        <v>6.3999999997577106E-3</v>
      </c>
      <c r="D31" s="30">
        <f t="shared" si="1"/>
        <v>11.519999999563879</v>
      </c>
      <c r="E31" s="29"/>
      <c r="F31" s="49">
        <v>1305.9438</v>
      </c>
      <c r="G31" s="28">
        <f t="shared" si="2"/>
        <v>1.0499999999865395E-2</v>
      </c>
      <c r="H31" s="30">
        <f t="shared" si="3"/>
        <v>18.899999999757711</v>
      </c>
      <c r="I31" s="33">
        <f t="shared" si="4"/>
        <v>1.6406250000410783</v>
      </c>
      <c r="J31" s="29"/>
      <c r="K31" s="50">
        <v>6.5</v>
      </c>
      <c r="L31" s="35"/>
      <c r="M31" s="104" t="s">
        <v>79</v>
      </c>
      <c r="N31" s="98" t="s">
        <v>98</v>
      </c>
      <c r="O31" s="98"/>
      <c r="P31" s="98" t="s">
        <v>100</v>
      </c>
      <c r="Q31" s="98"/>
      <c r="R31" s="98" t="s">
        <v>93</v>
      </c>
      <c r="S31" s="98"/>
      <c r="T31" s="98" t="s">
        <v>103</v>
      </c>
      <c r="U31" s="98"/>
      <c r="V31" s="98" t="s">
        <v>187</v>
      </c>
      <c r="W31" s="98"/>
      <c r="X31" s="98"/>
      <c r="Y31" s="98" t="s">
        <v>91</v>
      </c>
      <c r="Z31" s="100"/>
    </row>
    <row r="32" spans="1:26" ht="23.25" customHeight="1">
      <c r="A32" s="45" t="s">
        <v>21</v>
      </c>
      <c r="B32" s="49">
        <v>2680.8045000000002</v>
      </c>
      <c r="C32" s="31">
        <f t="shared" si="0"/>
        <v>3.800000000410364E-3</v>
      </c>
      <c r="D32" s="30">
        <f t="shared" si="1"/>
        <v>6.8400000007386552</v>
      </c>
      <c r="E32" s="29"/>
      <c r="F32" s="49">
        <v>1305.9545000000001</v>
      </c>
      <c r="G32" s="28">
        <f t="shared" si="2"/>
        <v>1.0700000000042564E-2</v>
      </c>
      <c r="H32" s="30">
        <f t="shared" si="3"/>
        <v>19.260000000076616</v>
      </c>
      <c r="I32" s="33">
        <f t="shared" si="4"/>
        <v>2.8157894733913329</v>
      </c>
      <c r="J32" s="29"/>
      <c r="K32" s="50">
        <v>6.5</v>
      </c>
      <c r="L32" s="35"/>
      <c r="M32" s="95"/>
      <c r="N32" s="99"/>
      <c r="O32" s="99"/>
      <c r="P32" s="99" t="s">
        <v>83</v>
      </c>
      <c r="Q32" s="99"/>
      <c r="R32" s="99" t="s">
        <v>102</v>
      </c>
      <c r="S32" s="99"/>
      <c r="T32" s="99" t="s">
        <v>104</v>
      </c>
      <c r="U32" s="99"/>
      <c r="V32" s="99" t="s">
        <v>105</v>
      </c>
      <c r="W32" s="99"/>
      <c r="X32" s="99"/>
      <c r="Y32" s="99"/>
      <c r="Z32" s="101"/>
    </row>
    <row r="33" spans="1:26" ht="23.25" customHeight="1">
      <c r="A33" s="45" t="s">
        <v>22</v>
      </c>
      <c r="B33" s="49">
        <v>2680.8101999999999</v>
      </c>
      <c r="C33" s="31">
        <f t="shared" si="0"/>
        <v>5.6999999997060513E-3</v>
      </c>
      <c r="D33" s="30">
        <f t="shared" si="1"/>
        <v>10.259999999470892</v>
      </c>
      <c r="E33" s="29"/>
      <c r="F33" s="49">
        <v>1305.9662000000001</v>
      </c>
      <c r="G33" s="28">
        <f t="shared" si="2"/>
        <v>1.1700000000018917E-2</v>
      </c>
      <c r="H33" s="30">
        <f t="shared" si="3"/>
        <v>21.060000000034051</v>
      </c>
      <c r="I33" s="33">
        <f t="shared" si="4"/>
        <v>2.0526315790565413</v>
      </c>
      <c r="J33" s="29"/>
      <c r="K33" s="50">
        <v>6.5</v>
      </c>
      <c r="L33" s="35"/>
      <c r="M33" s="95" t="s">
        <v>80</v>
      </c>
      <c r="N33" s="99" t="s">
        <v>99</v>
      </c>
      <c r="O33" s="99"/>
      <c r="P33" s="99" t="s">
        <v>101</v>
      </c>
      <c r="Q33" s="99"/>
      <c r="R33" s="99" t="s">
        <v>69</v>
      </c>
      <c r="S33" s="99"/>
      <c r="T33" s="99" t="s">
        <v>69</v>
      </c>
      <c r="U33" s="99"/>
      <c r="V33" s="99" t="s">
        <v>106</v>
      </c>
      <c r="W33" s="99"/>
      <c r="X33" s="99"/>
      <c r="Y33" s="99"/>
      <c r="Z33" s="101"/>
    </row>
    <row r="34" spans="1:26" ht="23.25" customHeight="1">
      <c r="A34" s="45" t="s">
        <v>23</v>
      </c>
      <c r="B34" s="49">
        <v>2680.8189000000002</v>
      </c>
      <c r="C34" s="31">
        <f t="shared" si="0"/>
        <v>8.7000000003172318E-3</v>
      </c>
      <c r="D34" s="30">
        <f t="shared" si="1"/>
        <v>15.660000000571017</v>
      </c>
      <c r="E34" s="29"/>
      <c r="F34" s="49">
        <v>1305.9839000000002</v>
      </c>
      <c r="G34" s="28">
        <f t="shared" si="2"/>
        <v>1.770000000010441E-2</v>
      </c>
      <c r="H34" s="30">
        <f t="shared" si="3"/>
        <v>31.860000000187938</v>
      </c>
      <c r="I34" s="33">
        <f t="shared" si="4"/>
        <v>2.0344827585585068</v>
      </c>
      <c r="J34" s="29"/>
      <c r="K34" s="50">
        <v>6.5</v>
      </c>
      <c r="L34" s="35"/>
      <c r="M34" s="96"/>
      <c r="N34" s="102"/>
      <c r="O34" s="102"/>
      <c r="P34" s="102"/>
      <c r="Q34" s="102"/>
      <c r="R34" s="103"/>
      <c r="S34" s="96"/>
      <c r="T34" s="103"/>
      <c r="U34" s="96"/>
      <c r="V34" s="103"/>
      <c r="W34" s="111"/>
      <c r="X34" s="96"/>
      <c r="Y34" s="102"/>
      <c r="Z34" s="103"/>
    </row>
    <row r="35" spans="1:26" ht="23.25" customHeight="1">
      <c r="A35" s="45" t="s">
        <v>24</v>
      </c>
      <c r="B35" s="49">
        <v>2680.8236000000002</v>
      </c>
      <c r="C35" s="31">
        <f t="shared" si="0"/>
        <v>4.6999999999570719E-3</v>
      </c>
      <c r="D35" s="30">
        <f t="shared" si="1"/>
        <v>8.4599999999227293</v>
      </c>
      <c r="E35" s="29"/>
      <c r="F35" s="49">
        <v>1305.9959000000001</v>
      </c>
      <c r="G35" s="28">
        <f t="shared" si="2"/>
        <v>1.1999999999943611E-2</v>
      </c>
      <c r="H35" s="30">
        <f t="shared" si="3"/>
        <v>21.5999999998985</v>
      </c>
      <c r="I35" s="33">
        <f t="shared" si="4"/>
        <v>2.5531914893730243</v>
      </c>
      <c r="J35" s="29"/>
      <c r="K35" s="50">
        <v>6.5</v>
      </c>
      <c r="L35" s="35"/>
      <c r="M35" s="10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89"/>
    </row>
    <row r="36" spans="1:26" ht="23.25" customHeight="1">
      <c r="A36" s="45" t="s">
        <v>25</v>
      </c>
      <c r="B36" s="49">
        <v>2680.8287</v>
      </c>
      <c r="C36" s="31">
        <f t="shared" si="0"/>
        <v>5.0999999998566636E-3</v>
      </c>
      <c r="D36" s="30">
        <f t="shared" si="1"/>
        <v>9.1799999997419945</v>
      </c>
      <c r="E36" s="29"/>
      <c r="F36" s="49">
        <v>1306.0063</v>
      </c>
      <c r="G36" s="28">
        <f t="shared" si="2"/>
        <v>1.0399999999890497E-2</v>
      </c>
      <c r="H36" s="30">
        <f t="shared" si="3"/>
        <v>18.719999999802894</v>
      </c>
      <c r="I36" s="33">
        <f t="shared" si="4"/>
        <v>2.0392156863103512</v>
      </c>
      <c r="J36" s="29"/>
      <c r="K36" s="50">
        <v>6.5</v>
      </c>
      <c r="L36" s="35"/>
      <c r="M36" s="10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89"/>
    </row>
    <row r="37" spans="1:26" ht="23.25" customHeight="1">
      <c r="A37" s="45" t="s">
        <v>26</v>
      </c>
      <c r="B37" s="49">
        <v>2680.8330000000001</v>
      </c>
      <c r="C37" s="31">
        <f t="shared" si="0"/>
        <v>4.3000000000574801E-3</v>
      </c>
      <c r="D37" s="30">
        <f t="shared" si="1"/>
        <v>7.7400000001034641</v>
      </c>
      <c r="E37" s="29"/>
      <c r="F37" s="49">
        <v>1306.0167000000001</v>
      </c>
      <c r="G37" s="28">
        <f t="shared" si="2"/>
        <v>1.0400000000117871E-2</v>
      </c>
      <c r="H37" s="30">
        <f t="shared" si="3"/>
        <v>18.720000000212167</v>
      </c>
      <c r="I37" s="33">
        <f t="shared" si="4"/>
        <v>2.4186046511578718</v>
      </c>
      <c r="J37" s="29"/>
      <c r="K37" s="50">
        <v>6.5</v>
      </c>
      <c r="L37" s="35"/>
      <c r="M37" s="10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89"/>
    </row>
    <row r="38" spans="1:26" ht="23.25" customHeight="1">
      <c r="A38" s="45" t="s">
        <v>27</v>
      </c>
      <c r="B38" s="49">
        <v>2680.8373999999999</v>
      </c>
      <c r="C38" s="31">
        <f t="shared" si="0"/>
        <v>4.3999999998050043E-3</v>
      </c>
      <c r="D38" s="30">
        <f t="shared" si="1"/>
        <v>7.9199999996490078</v>
      </c>
      <c r="E38" s="29"/>
      <c r="F38" s="49">
        <v>1306.0273000000002</v>
      </c>
      <c r="G38" s="28">
        <f t="shared" si="2"/>
        <v>1.0600000000067666E-2</v>
      </c>
      <c r="H38" s="30">
        <f t="shared" si="3"/>
        <v>19.0800000001218</v>
      </c>
      <c r="I38" s="33">
        <f t="shared" si="4"/>
        <v>2.4090909092130519</v>
      </c>
      <c r="J38" s="29"/>
      <c r="K38" s="50">
        <v>6.5</v>
      </c>
      <c r="L38" s="35"/>
      <c r="M38" s="10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89"/>
    </row>
    <row r="39" spans="1:26" ht="23.25" customHeight="1">
      <c r="A39" s="45" t="s">
        <v>28</v>
      </c>
      <c r="B39" s="49">
        <v>2680.8449000000001</v>
      </c>
      <c r="C39" s="31">
        <f t="shared" si="0"/>
        <v>7.500000000163709E-3</v>
      </c>
      <c r="D39" s="30">
        <f t="shared" si="1"/>
        <v>13.500000000294676</v>
      </c>
      <c r="E39" s="29"/>
      <c r="F39" s="49">
        <v>1306.0468000000001</v>
      </c>
      <c r="G39" s="28">
        <f t="shared" si="2"/>
        <v>1.9499999999879947E-2</v>
      </c>
      <c r="H39" s="30">
        <f t="shared" si="3"/>
        <v>35.099999999783904</v>
      </c>
      <c r="I39" s="33">
        <f t="shared" si="4"/>
        <v>2.5999999999272405</v>
      </c>
      <c r="J39" s="29"/>
      <c r="K39" s="50">
        <v>6.5</v>
      </c>
      <c r="L39" s="35"/>
      <c r="M39" s="10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89"/>
    </row>
    <row r="40" spans="1:26" ht="23.25" customHeight="1">
      <c r="A40" s="45" t="s">
        <v>29</v>
      </c>
      <c r="B40" s="49">
        <v>2680.8508999999999</v>
      </c>
      <c r="C40" s="31">
        <f t="shared" si="0"/>
        <v>5.9999999998581188E-3</v>
      </c>
      <c r="D40" s="30">
        <f t="shared" si="1"/>
        <v>10.799999999744614</v>
      </c>
      <c r="E40" s="29"/>
      <c r="F40" s="49">
        <v>1306.0628000000002</v>
      </c>
      <c r="G40" s="28">
        <f t="shared" si="2"/>
        <v>1.6000000000076398E-2</v>
      </c>
      <c r="H40" s="30">
        <f t="shared" si="3"/>
        <v>28.800000000137516</v>
      </c>
      <c r="I40" s="33">
        <f t="shared" si="4"/>
        <v>2.6666666667424579</v>
      </c>
      <c r="J40" s="29"/>
      <c r="K40" s="50">
        <v>6.5</v>
      </c>
      <c r="L40" s="35"/>
      <c r="M40" s="91" t="s">
        <v>109</v>
      </c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</row>
    <row r="41" spans="1:26" ht="23.25" customHeight="1">
      <c r="A41" s="45" t="s">
        <v>30</v>
      </c>
      <c r="B41" s="49">
        <v>2680.8555000000001</v>
      </c>
      <c r="C41" s="31">
        <f t="shared" si="0"/>
        <v>4.6000000002095476E-3</v>
      </c>
      <c r="D41" s="30">
        <f t="shared" si="1"/>
        <v>8.2800000003771856</v>
      </c>
      <c r="E41" s="29"/>
      <c r="F41" s="49">
        <v>1306.0759</v>
      </c>
      <c r="G41" s="28">
        <f t="shared" si="2"/>
        <v>1.3099999999894862E-2</v>
      </c>
      <c r="H41" s="30">
        <f t="shared" si="3"/>
        <v>23.579999999810752</v>
      </c>
      <c r="I41" s="33">
        <f t="shared" si="4"/>
        <v>2.8478260868039365</v>
      </c>
      <c r="J41" s="29"/>
      <c r="K41" s="50">
        <v>6.5</v>
      </c>
      <c r="L41" s="35"/>
      <c r="M41" s="104" t="s">
        <v>79</v>
      </c>
      <c r="N41" s="98" t="s">
        <v>98</v>
      </c>
      <c r="O41" s="98"/>
      <c r="P41" s="98" t="s">
        <v>93</v>
      </c>
      <c r="Q41" s="98"/>
      <c r="R41" s="98"/>
      <c r="S41" s="98" t="s">
        <v>111</v>
      </c>
      <c r="T41" s="98" t="s">
        <v>81</v>
      </c>
      <c r="U41" s="98"/>
      <c r="V41" s="98"/>
      <c r="W41" s="98"/>
      <c r="X41" s="98" t="s">
        <v>93</v>
      </c>
      <c r="Y41" s="98"/>
      <c r="Z41" s="100"/>
    </row>
    <row r="42" spans="1:26" ht="23.25" customHeight="1">
      <c r="A42" s="45" t="s">
        <v>31</v>
      </c>
      <c r="B42" s="49">
        <v>2680.8602999999998</v>
      </c>
      <c r="C42" s="31">
        <f t="shared" si="0"/>
        <v>4.7999999997045961E-3</v>
      </c>
      <c r="D42" s="30">
        <f t="shared" si="1"/>
        <v>8.639999999468273</v>
      </c>
      <c r="E42" s="29"/>
      <c r="F42" s="49">
        <v>1306.0886</v>
      </c>
      <c r="G42" s="28">
        <f t="shared" si="2"/>
        <v>1.2699999999995271E-2</v>
      </c>
      <c r="H42" s="30">
        <f t="shared" si="3"/>
        <v>22.859999999991487</v>
      </c>
      <c r="I42" s="33">
        <f t="shared" si="4"/>
        <v>2.6458333334951791</v>
      </c>
      <c r="J42" s="29"/>
      <c r="K42" s="29">
        <v>6.5</v>
      </c>
      <c r="L42" s="35"/>
      <c r="M42" s="95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101"/>
    </row>
    <row r="43" spans="1:26" ht="22.5" customHeight="1">
      <c r="A43" s="121" t="s">
        <v>70</v>
      </c>
      <c r="B43" s="121"/>
      <c r="C43" s="121"/>
      <c r="D43" s="30">
        <f>SUM(D18:D42)</f>
        <v>250.73999999967782</v>
      </c>
      <c r="E43" s="29"/>
      <c r="F43" s="36"/>
      <c r="G43" s="29"/>
      <c r="H43" s="30">
        <f>SUM(H18:H42)</f>
        <v>551.5199999998913</v>
      </c>
      <c r="I43" s="33">
        <f>IF(AND(H43=0,D43=0),0,H43/D43)</f>
        <v>2.1995692749485523</v>
      </c>
      <c r="J43" s="29"/>
      <c r="K43" s="29"/>
      <c r="L43" s="35"/>
      <c r="M43" s="95" t="s">
        <v>80</v>
      </c>
      <c r="N43" s="99" t="s">
        <v>99</v>
      </c>
      <c r="O43" s="99"/>
      <c r="P43" s="99" t="s">
        <v>110</v>
      </c>
      <c r="Q43" s="99"/>
      <c r="R43" s="99"/>
      <c r="S43" s="99"/>
      <c r="T43" s="99"/>
      <c r="U43" s="99"/>
      <c r="V43" s="99"/>
      <c r="W43" s="99"/>
      <c r="X43" s="99" t="s">
        <v>110</v>
      </c>
      <c r="Y43" s="99"/>
      <c r="Z43" s="101"/>
    </row>
    <row r="44" spans="1:26" ht="22.5" customHeight="1">
      <c r="A44" s="76" t="s">
        <v>71</v>
      </c>
      <c r="B44" s="76"/>
      <c r="C44" s="76"/>
      <c r="D44" s="29"/>
      <c r="E44" s="29"/>
      <c r="F44" s="36"/>
      <c r="G44" s="29"/>
      <c r="H44" s="29"/>
      <c r="I44" s="29"/>
      <c r="J44" s="29"/>
      <c r="K44" s="29"/>
      <c r="L44" s="35"/>
      <c r="M44" s="96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3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89"/>
      <c r="O45" s="105"/>
      <c r="P45" s="89"/>
      <c r="Q45" s="90"/>
      <c r="R45" s="105"/>
      <c r="S45" s="8"/>
      <c r="T45" s="89"/>
      <c r="U45" s="90"/>
      <c r="V45" s="90"/>
      <c r="W45" s="105"/>
      <c r="X45" s="89"/>
      <c r="Y45" s="90"/>
      <c r="Z45" s="90"/>
    </row>
    <row r="46" spans="1:26" ht="22.5" customHeight="1">
      <c r="A46" s="54" t="s">
        <v>72</v>
      </c>
      <c r="B46" s="54"/>
      <c r="C46" s="54"/>
      <c r="D46" s="54"/>
      <c r="E46" s="54"/>
      <c r="F46" s="54"/>
      <c r="G46" s="77" t="s">
        <v>73</v>
      </c>
      <c r="H46" s="77"/>
      <c r="I46" s="77"/>
      <c r="J46" s="77"/>
      <c r="K46" s="77"/>
      <c r="L46" s="77"/>
      <c r="M46" s="10"/>
      <c r="N46" s="89"/>
      <c r="O46" s="105"/>
      <c r="P46" s="89"/>
      <c r="Q46" s="90"/>
      <c r="R46" s="105"/>
      <c r="S46" s="8"/>
      <c r="T46" s="89"/>
      <c r="U46" s="90"/>
      <c r="V46" s="90"/>
      <c r="W46" s="105"/>
      <c r="X46" s="89"/>
      <c r="Y46" s="90"/>
      <c r="Z46" s="90"/>
    </row>
    <row r="47" spans="1:26" ht="22.5" customHeight="1">
      <c r="A47" s="52" t="s">
        <v>388</v>
      </c>
      <c r="B47" s="52"/>
      <c r="C47" s="52"/>
      <c r="D47" s="54" t="s">
        <v>74</v>
      </c>
      <c r="E47" s="54"/>
      <c r="F47" s="54"/>
      <c r="G47" s="40"/>
      <c r="H47" s="40"/>
      <c r="I47" s="40"/>
      <c r="J47" s="40"/>
      <c r="K47" s="40"/>
      <c r="L47" s="40"/>
      <c r="M47" s="10"/>
      <c r="N47" s="89"/>
      <c r="O47" s="105"/>
      <c r="P47" s="89"/>
      <c r="Q47" s="90"/>
      <c r="R47" s="105"/>
      <c r="S47" s="8"/>
      <c r="T47" s="89"/>
      <c r="U47" s="90"/>
      <c r="V47" s="90"/>
      <c r="W47" s="105"/>
      <c r="X47" s="89"/>
      <c r="Y47" s="90"/>
      <c r="Z47" s="90"/>
    </row>
    <row r="48" spans="1:26" ht="22.5" customHeight="1">
      <c r="A48" s="55" t="s">
        <v>75</v>
      </c>
      <c r="B48" s="55"/>
      <c r="C48" s="55"/>
      <c r="D48" s="55" t="s">
        <v>76</v>
      </c>
      <c r="E48" s="55"/>
      <c r="F48" s="55"/>
      <c r="G48" s="39"/>
      <c r="H48" s="39"/>
      <c r="I48" s="39"/>
      <c r="J48" s="39"/>
      <c r="K48" s="39"/>
      <c r="L48" s="39"/>
    </row>
    <row r="49" spans="1:23" ht="22.5" customHeight="1">
      <c r="A49" s="52" t="s">
        <v>389</v>
      </c>
      <c r="B49" s="52"/>
      <c r="C49" s="52"/>
      <c r="D49" s="54" t="s">
        <v>74</v>
      </c>
      <c r="E49" s="54"/>
      <c r="F49" s="54"/>
      <c r="G49" s="39"/>
      <c r="H49" s="54" t="s">
        <v>191</v>
      </c>
      <c r="I49" s="54"/>
      <c r="J49" s="54"/>
      <c r="K49" s="54" t="s">
        <v>77</v>
      </c>
      <c r="L49" s="54"/>
      <c r="N49" s="57" t="s">
        <v>150</v>
      </c>
      <c r="O49" s="57"/>
      <c r="P49" s="57"/>
      <c r="Q49" s="56" t="s">
        <v>391</v>
      </c>
      <c r="R49" s="56"/>
      <c r="S49" s="56"/>
      <c r="T49" s="56"/>
      <c r="U49" s="56"/>
      <c r="V49" s="56"/>
      <c r="W49" s="1"/>
    </row>
    <row r="50" spans="1:23" ht="22.5" customHeight="1">
      <c r="A50" s="55" t="s">
        <v>75</v>
      </c>
      <c r="B50" s="55"/>
      <c r="C50" s="55"/>
      <c r="D50" s="55" t="s">
        <v>76</v>
      </c>
      <c r="E50" s="55"/>
      <c r="F50" s="55"/>
      <c r="G50" s="44"/>
      <c r="H50" s="55" t="s">
        <v>75</v>
      </c>
      <c r="I50" s="55"/>
      <c r="J50" s="55"/>
      <c r="K50" s="55" t="s">
        <v>76</v>
      </c>
      <c r="L50" s="55"/>
      <c r="S50" s="53" t="s">
        <v>76</v>
      </c>
      <c r="T50" s="53"/>
    </row>
    <row r="51" spans="1:23" ht="20.100000000000001" customHeight="1">
      <c r="A51" s="52" t="s">
        <v>390</v>
      </c>
      <c r="B51" s="52"/>
      <c r="C51" s="52"/>
      <c r="D51" s="54" t="s">
        <v>74</v>
      </c>
      <c r="E51" s="54"/>
      <c r="F51" s="54"/>
      <c r="G51" s="39"/>
      <c r="H51" s="39"/>
      <c r="I51" s="39"/>
      <c r="J51" s="39"/>
      <c r="K51" s="39"/>
      <c r="L51" s="39"/>
    </row>
    <row r="52" spans="1:23" ht="20.100000000000001" customHeight="1">
      <c r="A52" s="55" t="s">
        <v>75</v>
      </c>
      <c r="B52" s="55"/>
      <c r="C52" s="55"/>
      <c r="D52" s="55" t="s">
        <v>76</v>
      </c>
      <c r="E52" s="55"/>
      <c r="F52" s="55"/>
      <c r="G52" s="42"/>
      <c r="H52" s="42"/>
      <c r="I52" s="39"/>
      <c r="J52" s="39"/>
      <c r="K52" s="39"/>
      <c r="L52" s="39"/>
    </row>
  </sheetData>
  <sheetProtection sheet="1" objects="1" scenarios="1"/>
  <mergeCells count="258">
    <mergeCell ref="A10:D10"/>
    <mergeCell ref="E10:G10"/>
    <mergeCell ref="D13:E13"/>
    <mergeCell ref="A46:F46"/>
    <mergeCell ref="A44:C44"/>
    <mergeCell ref="G1:H2"/>
    <mergeCell ref="J16:J17"/>
    <mergeCell ref="K16:K17"/>
    <mergeCell ref="A13:A17"/>
    <mergeCell ref="E16:E17"/>
    <mergeCell ref="B15:C15"/>
    <mergeCell ref="D15:E15"/>
    <mergeCell ref="A43:C43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N14:O14"/>
    <mergeCell ref="N15:O15"/>
    <mergeCell ref="N16:O16"/>
    <mergeCell ref="N12:O12"/>
    <mergeCell ref="N13:O13"/>
    <mergeCell ref="I13:I17"/>
    <mergeCell ref="J13:K13"/>
    <mergeCell ref="J14:K14"/>
    <mergeCell ref="J15:K15"/>
    <mergeCell ref="A12:L12"/>
    <mergeCell ref="F13:G13"/>
    <mergeCell ref="B14:C14"/>
    <mergeCell ref="D14:E14"/>
    <mergeCell ref="B13:C13"/>
    <mergeCell ref="F14:G14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T27:V27"/>
    <mergeCell ref="W27:Z27"/>
    <mergeCell ref="N26:P26"/>
    <mergeCell ref="N25:P25"/>
    <mergeCell ref="Q25:S25"/>
    <mergeCell ref="T25:V25"/>
    <mergeCell ref="W25:Z25"/>
    <mergeCell ref="Q23:S23"/>
    <mergeCell ref="T23:V23"/>
    <mergeCell ref="Q26:S26"/>
    <mergeCell ref="T26:V26"/>
    <mergeCell ref="N24:P24"/>
    <mergeCell ref="Q24:S24"/>
    <mergeCell ref="T28:V28"/>
    <mergeCell ref="W28:Z28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T24:V24"/>
    <mergeCell ref="W24:Z24"/>
    <mergeCell ref="T18:V19"/>
    <mergeCell ref="V14:W14"/>
    <mergeCell ref="V11:W11"/>
    <mergeCell ref="V12:W12"/>
    <mergeCell ref="V13:W13"/>
    <mergeCell ref="T11:U11"/>
    <mergeCell ref="T12:U12"/>
    <mergeCell ref="T13:U13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X45:Z45"/>
    <mergeCell ref="X46:Z46"/>
    <mergeCell ref="X47:Z47"/>
    <mergeCell ref="S50:T50"/>
    <mergeCell ref="N39:O39"/>
    <mergeCell ref="P39:Q39"/>
    <mergeCell ref="N41:O42"/>
    <mergeCell ref="P41:R42"/>
    <mergeCell ref="M40:Z40"/>
    <mergeCell ref="M43:M44"/>
    <mergeCell ref="T47:W47"/>
    <mergeCell ref="N43:O44"/>
    <mergeCell ref="P43:R44"/>
    <mergeCell ref="P46:R46"/>
    <mergeCell ref="P47:R47"/>
    <mergeCell ref="N45:O45"/>
    <mergeCell ref="R39:S39"/>
    <mergeCell ref="T39:U39"/>
    <mergeCell ref="V39:X39"/>
    <mergeCell ref="Y39:Z39"/>
    <mergeCell ref="S41:S44"/>
    <mergeCell ref="T41:W44"/>
    <mergeCell ref="M41:M42"/>
    <mergeCell ref="Q49:V49"/>
    <mergeCell ref="N49:P49"/>
    <mergeCell ref="P45:R45"/>
    <mergeCell ref="A51:C51"/>
    <mergeCell ref="D51:F51"/>
    <mergeCell ref="N46:O46"/>
    <mergeCell ref="N47:O47"/>
    <mergeCell ref="T45:W45"/>
    <mergeCell ref="T46:W46"/>
    <mergeCell ref="H49:J49"/>
    <mergeCell ref="K49:L49"/>
    <mergeCell ref="A48:C48"/>
    <mergeCell ref="A49:C49"/>
    <mergeCell ref="A50:C50"/>
    <mergeCell ref="D50:F50"/>
    <mergeCell ref="D48:F48"/>
    <mergeCell ref="A47:C47"/>
    <mergeCell ref="D47:F47"/>
    <mergeCell ref="G46:L46"/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A7:L7"/>
    <mergeCell ref="I11:L11"/>
    <mergeCell ref="A8:L8"/>
    <mergeCell ref="A1:F1"/>
    <mergeCell ref="A2:F2"/>
    <mergeCell ref="A3:F3"/>
    <mergeCell ref="A4:F4"/>
    <mergeCell ref="A5:F5"/>
    <mergeCell ref="A6:F6"/>
    <mergeCell ref="A9:L9"/>
    <mergeCell ref="G3:H4"/>
    <mergeCell ref="I3:L4"/>
    <mergeCell ref="A11:D11"/>
    <mergeCell ref="E11:H11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>
  <sheetPr codeName="Лист9"/>
  <dimension ref="A1:Z52"/>
  <sheetViews>
    <sheetView view="pageBreakPreview" topLeftCell="A17" zoomScale="75" zoomScaleNormal="100" zoomScaleSheetLayoutView="75" workbookViewId="0">
      <selection activeCell="F37" sqref="F37"/>
    </sheetView>
  </sheetViews>
  <sheetFormatPr defaultRowHeight="18.75"/>
  <cols>
    <col min="1" max="1" width="11.140625" style="2" customWidth="1"/>
    <col min="2" max="2" width="14.140625" style="2" customWidth="1"/>
    <col min="3" max="3" width="12.140625" style="2" customWidth="1"/>
    <col min="4" max="4" width="13.42578125" style="2" customWidth="1"/>
    <col min="5" max="5" width="5.42578125" style="2" customWidth="1"/>
    <col min="6" max="6" width="13.7109375" style="2" customWidth="1"/>
    <col min="7" max="7" width="13.425781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.85546875" style="2" customWidth="1"/>
    <col min="13" max="26" width="10.28515625" style="2" customWidth="1"/>
    <col min="27" max="16384" width="9.140625" style="2"/>
  </cols>
  <sheetData>
    <row r="1" spans="1:26" ht="21.75" customHeight="1">
      <c r="A1" s="59" t="s">
        <v>157</v>
      </c>
      <c r="B1" s="59"/>
      <c r="C1" s="59"/>
      <c r="D1" s="59"/>
      <c r="E1" s="59"/>
      <c r="F1" s="59"/>
      <c r="G1" s="63" t="s">
        <v>154</v>
      </c>
      <c r="H1" s="63"/>
      <c r="I1" s="59" t="s">
        <v>160</v>
      </c>
      <c r="J1" s="59"/>
      <c r="K1" s="59"/>
      <c r="L1" s="59"/>
      <c r="M1" s="91" t="s">
        <v>96</v>
      </c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spans="1:26" ht="21.75" customHeight="1">
      <c r="A2" s="61" t="s">
        <v>45</v>
      </c>
      <c r="B2" s="61"/>
      <c r="C2" s="61"/>
      <c r="D2" s="61"/>
      <c r="E2" s="61"/>
      <c r="F2" s="61"/>
      <c r="G2" s="63"/>
      <c r="H2" s="63"/>
      <c r="I2" s="59"/>
      <c r="J2" s="59"/>
      <c r="K2" s="59"/>
      <c r="L2" s="59"/>
      <c r="M2" s="91" t="s">
        <v>78</v>
      </c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spans="1:26" ht="21.75" customHeight="1">
      <c r="A3" s="59" t="s">
        <v>158</v>
      </c>
      <c r="B3" s="60"/>
      <c r="C3" s="60"/>
      <c r="D3" s="60"/>
      <c r="E3" s="60"/>
      <c r="F3" s="60"/>
      <c r="G3" s="63" t="s">
        <v>155</v>
      </c>
      <c r="H3" s="63"/>
      <c r="I3" s="59" t="s">
        <v>208</v>
      </c>
      <c r="J3" s="59"/>
      <c r="K3" s="59"/>
      <c r="L3" s="59"/>
      <c r="M3" s="104" t="s">
        <v>79</v>
      </c>
      <c r="N3" s="100" t="s">
        <v>81</v>
      </c>
      <c r="O3" s="104"/>
      <c r="P3" s="100" t="s">
        <v>65</v>
      </c>
      <c r="Q3" s="104"/>
      <c r="R3" s="100" t="s">
        <v>82</v>
      </c>
      <c r="S3" s="104"/>
      <c r="T3" s="100" t="s">
        <v>85</v>
      </c>
      <c r="U3" s="104"/>
      <c r="V3" s="100" t="s">
        <v>87</v>
      </c>
      <c r="W3" s="104"/>
      <c r="X3" s="107" t="s">
        <v>91</v>
      </c>
      <c r="Y3" s="108"/>
      <c r="Z3" s="108"/>
    </row>
    <row r="4" spans="1:26" ht="29.25" customHeight="1">
      <c r="A4" s="61" t="s">
        <v>46</v>
      </c>
      <c r="B4" s="61"/>
      <c r="C4" s="61"/>
      <c r="D4" s="61"/>
      <c r="E4" s="61"/>
      <c r="F4" s="61"/>
      <c r="G4" s="63"/>
      <c r="H4" s="63"/>
      <c r="I4" s="59"/>
      <c r="J4" s="59"/>
      <c r="K4" s="59"/>
      <c r="L4" s="59"/>
      <c r="M4" s="95"/>
      <c r="N4" s="101"/>
      <c r="O4" s="95"/>
      <c r="P4" s="101"/>
      <c r="Q4" s="95"/>
      <c r="R4" s="101" t="s">
        <v>83</v>
      </c>
      <c r="S4" s="95"/>
      <c r="T4" s="101" t="s">
        <v>86</v>
      </c>
      <c r="U4" s="95"/>
      <c r="V4" s="101" t="s">
        <v>88</v>
      </c>
      <c r="W4" s="95"/>
      <c r="X4" s="107"/>
      <c r="Y4" s="108"/>
      <c r="Z4" s="108"/>
    </row>
    <row r="5" spans="1:26" ht="21.75" customHeight="1">
      <c r="A5" s="59" t="s">
        <v>186</v>
      </c>
      <c r="B5" s="60"/>
      <c r="C5" s="60"/>
      <c r="D5" s="60"/>
      <c r="E5" s="60"/>
      <c r="F5" s="60"/>
      <c r="G5" s="63" t="s">
        <v>156</v>
      </c>
      <c r="H5" s="63"/>
      <c r="I5" s="59" t="s">
        <v>209</v>
      </c>
      <c r="J5" s="59"/>
      <c r="K5" s="59"/>
      <c r="L5" s="59"/>
      <c r="M5" s="95" t="s">
        <v>80</v>
      </c>
      <c r="N5" s="101"/>
      <c r="O5" s="95"/>
      <c r="P5" s="101" t="s">
        <v>190</v>
      </c>
      <c r="Q5" s="95"/>
      <c r="R5" s="109" t="s">
        <v>84</v>
      </c>
      <c r="S5" s="110"/>
      <c r="T5" s="109" t="s">
        <v>84</v>
      </c>
      <c r="U5" s="110"/>
      <c r="V5" s="101" t="s">
        <v>89</v>
      </c>
      <c r="W5" s="95"/>
      <c r="X5" s="107"/>
      <c r="Y5" s="108"/>
      <c r="Z5" s="108"/>
    </row>
    <row r="6" spans="1:26" ht="21.75" customHeight="1">
      <c r="A6" s="61" t="s">
        <v>47</v>
      </c>
      <c r="B6" s="61"/>
      <c r="C6" s="61"/>
      <c r="D6" s="61"/>
      <c r="E6" s="61"/>
      <c r="F6" s="61"/>
      <c r="G6" s="63"/>
      <c r="H6" s="63"/>
      <c r="I6" s="59"/>
      <c r="J6" s="59"/>
      <c r="K6" s="59"/>
      <c r="L6" s="59"/>
      <c r="M6" s="96"/>
      <c r="N6" s="103"/>
      <c r="O6" s="96"/>
      <c r="P6" s="103"/>
      <c r="Q6" s="96"/>
      <c r="R6" s="103"/>
      <c r="S6" s="96"/>
      <c r="T6" s="103"/>
      <c r="U6" s="96"/>
      <c r="V6" s="103" t="s">
        <v>90</v>
      </c>
      <c r="W6" s="96"/>
      <c r="X6" s="107"/>
      <c r="Y6" s="108"/>
      <c r="Z6" s="108"/>
    </row>
    <row r="7" spans="1:26" ht="21.75" customHeight="1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10"/>
      <c r="N7" s="89"/>
      <c r="O7" s="105"/>
      <c r="P7" s="89"/>
      <c r="Q7" s="105"/>
      <c r="R7" s="89"/>
      <c r="S7" s="105"/>
      <c r="T7" s="89"/>
      <c r="U7" s="105"/>
      <c r="V7" s="89"/>
      <c r="W7" s="105"/>
      <c r="X7" s="89"/>
      <c r="Y7" s="90"/>
      <c r="Z7" s="90"/>
    </row>
    <row r="8" spans="1:26" ht="22.5" customHeight="1">
      <c r="A8" s="94" t="s">
        <v>48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10"/>
      <c r="N8" s="89"/>
      <c r="O8" s="105"/>
      <c r="P8" s="89"/>
      <c r="Q8" s="105"/>
      <c r="R8" s="89"/>
      <c r="S8" s="105"/>
      <c r="T8" s="89"/>
      <c r="U8" s="105"/>
      <c r="V8" s="89"/>
      <c r="W8" s="105"/>
      <c r="X8" s="89"/>
      <c r="Y8" s="90"/>
      <c r="Z8" s="90"/>
    </row>
    <row r="9" spans="1:26" ht="22.5" customHeight="1">
      <c r="A9" s="88" t="s">
        <v>49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10"/>
      <c r="N9" s="89"/>
      <c r="O9" s="105"/>
      <c r="P9" s="89"/>
      <c r="Q9" s="105"/>
      <c r="R9" s="89"/>
      <c r="S9" s="105"/>
      <c r="T9" s="89"/>
      <c r="U9" s="105"/>
      <c r="V9" s="89"/>
      <c r="W9" s="105"/>
      <c r="X9" s="89"/>
      <c r="Y9" s="90"/>
      <c r="Z9" s="90"/>
    </row>
    <row r="10" spans="1:26" ht="22.5" customHeight="1">
      <c r="A10" s="80" t="s">
        <v>112</v>
      </c>
      <c r="B10" s="80"/>
      <c r="C10" s="80"/>
      <c r="D10" s="80"/>
      <c r="E10" s="81" t="s">
        <v>383</v>
      </c>
      <c r="F10" s="81"/>
      <c r="G10" s="81"/>
      <c r="H10" s="62" t="s">
        <v>384</v>
      </c>
      <c r="I10" s="62"/>
      <c r="J10" s="62"/>
      <c r="K10" s="62"/>
      <c r="L10" s="62"/>
      <c r="M10" s="10"/>
      <c r="N10" s="89"/>
      <c r="O10" s="105"/>
      <c r="P10" s="89"/>
      <c r="Q10" s="105"/>
      <c r="R10" s="89"/>
      <c r="S10" s="105"/>
      <c r="T10" s="89"/>
      <c r="U10" s="105"/>
      <c r="V10" s="89"/>
      <c r="W10" s="105"/>
      <c r="X10" s="89"/>
      <c r="Y10" s="90"/>
      <c r="Z10" s="90"/>
    </row>
    <row r="11" spans="1:26" ht="22.5" customHeight="1">
      <c r="A11" s="80" t="s">
        <v>113</v>
      </c>
      <c r="B11" s="80"/>
      <c r="C11" s="80"/>
      <c r="D11" s="80"/>
      <c r="E11" s="79" t="s">
        <v>241</v>
      </c>
      <c r="F11" s="79"/>
      <c r="G11" s="79"/>
      <c r="H11" s="79"/>
      <c r="I11" s="62" t="s">
        <v>114</v>
      </c>
      <c r="J11" s="62"/>
      <c r="K11" s="62"/>
      <c r="L11" s="62"/>
      <c r="M11" s="10"/>
      <c r="N11" s="89"/>
      <c r="O11" s="105"/>
      <c r="P11" s="89"/>
      <c r="Q11" s="105"/>
      <c r="R11" s="89"/>
      <c r="S11" s="105"/>
      <c r="T11" s="89"/>
      <c r="U11" s="105"/>
      <c r="V11" s="89"/>
      <c r="W11" s="105"/>
      <c r="X11" s="89"/>
      <c r="Y11" s="90"/>
      <c r="Z11" s="90"/>
    </row>
    <row r="12" spans="1:26" ht="21.75" customHeight="1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10"/>
      <c r="N12" s="89"/>
      <c r="O12" s="105"/>
      <c r="P12" s="89"/>
      <c r="Q12" s="105"/>
      <c r="R12" s="89"/>
      <c r="S12" s="105"/>
      <c r="T12" s="89"/>
      <c r="U12" s="105"/>
      <c r="V12" s="89"/>
      <c r="W12" s="105"/>
      <c r="X12" s="89"/>
      <c r="Y12" s="90"/>
      <c r="Z12" s="90"/>
    </row>
    <row r="13" spans="1:26" ht="21.75" customHeight="1">
      <c r="A13" s="64" t="s">
        <v>50</v>
      </c>
      <c r="B13" s="72" t="s">
        <v>56</v>
      </c>
      <c r="C13" s="73"/>
      <c r="D13" s="74" t="s">
        <v>198</v>
      </c>
      <c r="E13" s="75"/>
      <c r="F13" s="72" t="s">
        <v>59</v>
      </c>
      <c r="G13" s="73"/>
      <c r="H13" s="18" t="s">
        <v>198</v>
      </c>
      <c r="I13" s="84" t="s">
        <v>5</v>
      </c>
      <c r="J13" s="72" t="s">
        <v>60</v>
      </c>
      <c r="K13" s="64"/>
      <c r="L13" s="17" t="s">
        <v>65</v>
      </c>
      <c r="M13" s="10"/>
      <c r="N13" s="89"/>
      <c r="O13" s="105"/>
      <c r="P13" s="89"/>
      <c r="Q13" s="105"/>
      <c r="R13" s="89"/>
      <c r="S13" s="105"/>
      <c r="T13" s="89"/>
      <c r="U13" s="105"/>
      <c r="V13" s="89"/>
      <c r="W13" s="105"/>
      <c r="X13" s="89"/>
      <c r="Y13" s="90"/>
      <c r="Z13" s="90"/>
    </row>
    <row r="14" spans="1:26" ht="21.75" customHeight="1">
      <c r="A14" s="65"/>
      <c r="B14" s="82" t="s">
        <v>57</v>
      </c>
      <c r="C14" s="83"/>
      <c r="D14" s="92" t="s">
        <v>200</v>
      </c>
      <c r="E14" s="93"/>
      <c r="F14" s="82" t="s">
        <v>57</v>
      </c>
      <c r="G14" s="83"/>
      <c r="H14" s="19" t="s">
        <v>200</v>
      </c>
      <c r="I14" s="85"/>
      <c r="J14" s="82" t="s">
        <v>61</v>
      </c>
      <c r="K14" s="65"/>
      <c r="L14" s="17" t="s">
        <v>66</v>
      </c>
      <c r="M14" s="10"/>
      <c r="N14" s="89"/>
      <c r="O14" s="105"/>
      <c r="P14" s="89"/>
      <c r="Q14" s="105"/>
      <c r="R14" s="89"/>
      <c r="S14" s="105"/>
      <c r="T14" s="89"/>
      <c r="U14" s="105"/>
      <c r="V14" s="89"/>
      <c r="W14" s="105"/>
      <c r="X14" s="89"/>
      <c r="Y14" s="90"/>
      <c r="Z14" s="90"/>
    </row>
    <row r="15" spans="1:26" ht="21.75" customHeight="1">
      <c r="A15" s="65"/>
      <c r="B15" s="68" t="s">
        <v>58</v>
      </c>
      <c r="C15" s="69"/>
      <c r="D15" s="70">
        <v>36000</v>
      </c>
      <c r="E15" s="71"/>
      <c r="F15" s="68" t="s">
        <v>58</v>
      </c>
      <c r="G15" s="69"/>
      <c r="H15" s="20">
        <v>36000</v>
      </c>
      <c r="I15" s="85"/>
      <c r="J15" s="68" t="s">
        <v>62</v>
      </c>
      <c r="K15" s="78"/>
      <c r="L15" s="17" t="s">
        <v>67</v>
      </c>
      <c r="M15" s="10"/>
      <c r="N15" s="89"/>
      <c r="O15" s="105"/>
      <c r="P15" s="89"/>
      <c r="Q15" s="105"/>
      <c r="R15" s="89"/>
      <c r="S15" s="105"/>
      <c r="T15" s="89"/>
      <c r="U15" s="105"/>
      <c r="V15" s="89"/>
      <c r="W15" s="105"/>
      <c r="X15" s="89"/>
      <c r="Y15" s="90"/>
      <c r="Z15" s="90"/>
    </row>
    <row r="16" spans="1:26" ht="21.75" customHeight="1">
      <c r="A16" s="65"/>
      <c r="B16" s="13" t="s">
        <v>51</v>
      </c>
      <c r="C16" s="13" t="s">
        <v>53</v>
      </c>
      <c r="D16" s="13" t="s">
        <v>54</v>
      </c>
      <c r="E16" s="66"/>
      <c r="F16" s="13" t="s">
        <v>51</v>
      </c>
      <c r="G16" s="13" t="s">
        <v>53</v>
      </c>
      <c r="H16" s="11" t="s">
        <v>54</v>
      </c>
      <c r="I16" s="85"/>
      <c r="J16" s="66" t="s">
        <v>63</v>
      </c>
      <c r="K16" s="66" t="s">
        <v>64</v>
      </c>
      <c r="L16" s="17" t="s">
        <v>68</v>
      </c>
      <c r="M16" s="10"/>
      <c r="N16" s="89"/>
      <c r="O16" s="105"/>
      <c r="P16" s="89"/>
      <c r="Q16" s="105"/>
      <c r="R16" s="89"/>
      <c r="S16" s="105"/>
      <c r="T16" s="89"/>
      <c r="U16" s="105"/>
      <c r="V16" s="89"/>
      <c r="W16" s="105"/>
      <c r="X16" s="89"/>
      <c r="Y16" s="90"/>
      <c r="Z16" s="90"/>
    </row>
    <row r="17" spans="1:26" ht="21.75" customHeight="1">
      <c r="A17" s="78"/>
      <c r="B17" s="13" t="s">
        <v>52</v>
      </c>
      <c r="C17" s="26" t="s">
        <v>51</v>
      </c>
      <c r="D17" s="26" t="s">
        <v>55</v>
      </c>
      <c r="E17" s="67"/>
      <c r="F17" s="26" t="s">
        <v>52</v>
      </c>
      <c r="G17" s="14" t="s">
        <v>51</v>
      </c>
      <c r="H17" s="12" t="s">
        <v>55</v>
      </c>
      <c r="I17" s="119"/>
      <c r="J17" s="120"/>
      <c r="K17" s="120"/>
      <c r="L17" s="17" t="s">
        <v>69</v>
      </c>
      <c r="M17" s="111" t="s">
        <v>92</v>
      </c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spans="1:26" ht="23.25" customHeight="1">
      <c r="A18" s="45" t="s">
        <v>7</v>
      </c>
      <c r="B18" s="49">
        <v>2548.3778000000002</v>
      </c>
      <c r="C18" s="31"/>
      <c r="D18" s="30"/>
      <c r="E18" s="29"/>
      <c r="F18" s="49">
        <v>1639.3594000000001</v>
      </c>
      <c r="G18" s="28"/>
      <c r="H18" s="30"/>
      <c r="I18" s="33"/>
      <c r="J18" s="29"/>
      <c r="K18" s="29">
        <v>6.3</v>
      </c>
      <c r="L18" s="35"/>
      <c r="M18" s="104" t="s">
        <v>79</v>
      </c>
      <c r="N18" s="98" t="s">
        <v>98</v>
      </c>
      <c r="O18" s="98"/>
      <c r="P18" s="98"/>
      <c r="Q18" s="98" t="s">
        <v>107</v>
      </c>
      <c r="R18" s="98"/>
      <c r="S18" s="98"/>
      <c r="T18" s="98" t="s">
        <v>93</v>
      </c>
      <c r="U18" s="98"/>
      <c r="V18" s="98"/>
      <c r="W18" s="100" t="s">
        <v>91</v>
      </c>
      <c r="X18" s="112"/>
      <c r="Y18" s="112"/>
      <c r="Z18" s="112"/>
    </row>
    <row r="19" spans="1:26" ht="23.25" customHeight="1">
      <c r="A19" s="45" t="s">
        <v>8</v>
      </c>
      <c r="B19" s="49">
        <v>2548.4112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3.3399999999801366E-2</v>
      </c>
      <c r="D19" s="30">
        <f t="shared" ref="D19:D42" si="1">IF(C19="","",C19*$D$15)</f>
        <v>1202.3999999928492</v>
      </c>
      <c r="E19" s="29"/>
      <c r="F19" s="49">
        <v>1639.3854000000001</v>
      </c>
      <c r="G19" s="28">
        <f t="shared" ref="G19:G24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2.6000000000067303E-2</v>
      </c>
      <c r="H19" s="30">
        <f t="shared" ref="H19:H42" si="3">IF(G19="","",G19*$H$15)</f>
        <v>936.00000000242289</v>
      </c>
      <c r="I19" s="33">
        <f t="shared" ref="I19:I42" si="4">IF(H19="","",IF(D19="","",IF(AND(H19=0,D19=0),0,H19/D19)))</f>
        <v>0.77844311377909958</v>
      </c>
      <c r="J19" s="29"/>
      <c r="K19" s="29">
        <v>6.3</v>
      </c>
      <c r="L19" s="35"/>
      <c r="M19" s="95"/>
      <c r="N19" s="99"/>
      <c r="O19" s="99"/>
      <c r="P19" s="99"/>
      <c r="Q19" s="99" t="s">
        <v>108</v>
      </c>
      <c r="R19" s="99"/>
      <c r="S19" s="99"/>
      <c r="T19" s="99"/>
      <c r="U19" s="99"/>
      <c r="V19" s="99"/>
      <c r="W19" s="101"/>
      <c r="X19" s="91"/>
      <c r="Y19" s="91"/>
      <c r="Z19" s="91"/>
    </row>
    <row r="20" spans="1:26" ht="23.25" customHeight="1">
      <c r="A20" s="45" t="s">
        <v>9</v>
      </c>
      <c r="B20" s="49">
        <v>2548.4434000000001</v>
      </c>
      <c r="C20" s="31">
        <f t="shared" si="0"/>
        <v>3.2200000000102591E-2</v>
      </c>
      <c r="D20" s="30">
        <f t="shared" si="1"/>
        <v>1159.2000000036933</v>
      </c>
      <c r="E20" s="29"/>
      <c r="F20" s="49">
        <v>1639.4107000000001</v>
      </c>
      <c r="G20" s="28">
        <f t="shared" si="2"/>
        <v>2.5300000000015643E-2</v>
      </c>
      <c r="H20" s="30">
        <f t="shared" si="3"/>
        <v>910.80000000056316</v>
      </c>
      <c r="I20" s="33">
        <f t="shared" si="4"/>
        <v>0.7857142857122682</v>
      </c>
      <c r="J20" s="29"/>
      <c r="K20" s="29">
        <v>6.3</v>
      </c>
      <c r="L20" s="35"/>
      <c r="M20" s="95" t="s">
        <v>80</v>
      </c>
      <c r="N20" s="99" t="s">
        <v>99</v>
      </c>
      <c r="O20" s="99"/>
      <c r="P20" s="99"/>
      <c r="Q20" s="99" t="s">
        <v>189</v>
      </c>
      <c r="R20" s="99"/>
      <c r="S20" s="99"/>
      <c r="T20" s="99" t="s">
        <v>94</v>
      </c>
      <c r="U20" s="99"/>
      <c r="V20" s="99"/>
      <c r="W20" s="101"/>
      <c r="X20" s="91"/>
      <c r="Y20" s="91"/>
      <c r="Z20" s="91"/>
    </row>
    <row r="21" spans="1:26" ht="23.25" customHeight="1">
      <c r="A21" s="45" t="s">
        <v>10</v>
      </c>
      <c r="B21" s="49">
        <v>2548.4755</v>
      </c>
      <c r="C21" s="31">
        <f t="shared" si="0"/>
        <v>3.2099999999900319E-2</v>
      </c>
      <c r="D21" s="30">
        <f t="shared" si="1"/>
        <v>1155.5999999964115</v>
      </c>
      <c r="E21" s="29"/>
      <c r="F21" s="49">
        <v>1639.4358999999999</v>
      </c>
      <c r="G21" s="28">
        <f t="shared" si="2"/>
        <v>2.5199999999813372E-2</v>
      </c>
      <c r="H21" s="30">
        <f t="shared" si="3"/>
        <v>907.19999999328138</v>
      </c>
      <c r="I21" s="33">
        <f t="shared" si="4"/>
        <v>0.78504672896858652</v>
      </c>
      <c r="J21" s="29"/>
      <c r="K21" s="29">
        <v>6.3</v>
      </c>
      <c r="L21" s="35"/>
      <c r="M21" s="96"/>
      <c r="N21" s="102"/>
      <c r="O21" s="102"/>
      <c r="P21" s="102"/>
      <c r="Q21" s="102"/>
      <c r="R21" s="102"/>
      <c r="S21" s="102"/>
      <c r="T21" s="102"/>
      <c r="U21" s="102"/>
      <c r="V21" s="102"/>
      <c r="W21" s="103"/>
      <c r="X21" s="111"/>
      <c r="Y21" s="111"/>
      <c r="Z21" s="111"/>
    </row>
    <row r="22" spans="1:26" ht="23.25" customHeight="1">
      <c r="A22" s="45" t="s">
        <v>11</v>
      </c>
      <c r="B22" s="49">
        <v>2548.5078000000003</v>
      </c>
      <c r="C22" s="31">
        <f t="shared" si="0"/>
        <v>3.2300000000304863E-2</v>
      </c>
      <c r="D22" s="30">
        <f t="shared" si="1"/>
        <v>1162.8000000109751</v>
      </c>
      <c r="E22" s="29"/>
      <c r="F22" s="49">
        <v>1639.4614000000001</v>
      </c>
      <c r="G22" s="28">
        <f t="shared" si="2"/>
        <v>2.5500000000192813E-2</v>
      </c>
      <c r="H22" s="30">
        <f t="shared" si="3"/>
        <v>918.00000000694126</v>
      </c>
      <c r="I22" s="33">
        <f t="shared" si="4"/>
        <v>0.78947368420904429</v>
      </c>
      <c r="J22" s="29"/>
      <c r="K22" s="29">
        <v>6.3</v>
      </c>
      <c r="L22" s="35"/>
      <c r="M22" s="10"/>
      <c r="N22" s="106"/>
      <c r="O22" s="106"/>
      <c r="P22" s="106"/>
      <c r="Q22" s="106"/>
      <c r="R22" s="106"/>
      <c r="S22" s="106"/>
      <c r="T22" s="106"/>
      <c r="U22" s="106"/>
      <c r="V22" s="106"/>
      <c r="W22" s="89"/>
      <c r="X22" s="90"/>
      <c r="Y22" s="90"/>
      <c r="Z22" s="90"/>
    </row>
    <row r="23" spans="1:26" ht="23.25" customHeight="1">
      <c r="A23" s="45" t="s">
        <v>12</v>
      </c>
      <c r="B23" s="49">
        <v>2548.5399000000002</v>
      </c>
      <c r="C23" s="31">
        <f t="shared" si="0"/>
        <v>3.2099999999900319E-2</v>
      </c>
      <c r="D23" s="30">
        <f t="shared" si="1"/>
        <v>1155.5999999964115</v>
      </c>
      <c r="E23" s="29"/>
      <c r="F23" s="49">
        <v>1639.4867000000002</v>
      </c>
      <c r="G23" s="28">
        <f t="shared" si="2"/>
        <v>2.5300000000015643E-2</v>
      </c>
      <c r="H23" s="30">
        <f t="shared" si="3"/>
        <v>910.80000000056316</v>
      </c>
      <c r="I23" s="33">
        <f t="shared" si="4"/>
        <v>0.78816199377240526</v>
      </c>
      <c r="J23" s="29"/>
      <c r="K23" s="50">
        <v>6.3</v>
      </c>
      <c r="L23" s="35"/>
      <c r="M23" s="10"/>
      <c r="N23" s="106"/>
      <c r="O23" s="106"/>
      <c r="P23" s="106"/>
      <c r="Q23" s="106"/>
      <c r="R23" s="106"/>
      <c r="S23" s="106"/>
      <c r="T23" s="106"/>
      <c r="U23" s="106"/>
      <c r="V23" s="106"/>
      <c r="W23" s="89"/>
      <c r="X23" s="90"/>
      <c r="Y23" s="90"/>
      <c r="Z23" s="90"/>
    </row>
    <row r="24" spans="1:26" ht="23.25" customHeight="1">
      <c r="A24" s="45" t="s">
        <v>13</v>
      </c>
      <c r="B24" s="49">
        <v>2548.5722000000001</v>
      </c>
      <c r="C24" s="31">
        <f t="shared" si="0"/>
        <v>3.2299999999850115E-2</v>
      </c>
      <c r="D24" s="30">
        <f t="shared" si="1"/>
        <v>1162.7999999946041</v>
      </c>
      <c r="E24" s="29"/>
      <c r="F24" s="49">
        <v>1639.5119999999999</v>
      </c>
      <c r="G24" s="28">
        <f t="shared" si="2"/>
        <v>2.529999999978827E-2</v>
      </c>
      <c r="H24" s="30">
        <f t="shared" si="3"/>
        <v>910.79999999237771</v>
      </c>
      <c r="I24" s="33">
        <f t="shared" si="4"/>
        <v>0.78328173374320964</v>
      </c>
      <c r="J24" s="29"/>
      <c r="K24" s="50">
        <v>6.3</v>
      </c>
      <c r="L24" s="35"/>
      <c r="M24" s="10"/>
      <c r="N24" s="106"/>
      <c r="O24" s="106"/>
      <c r="P24" s="106"/>
      <c r="Q24" s="106"/>
      <c r="R24" s="106"/>
      <c r="S24" s="106"/>
      <c r="T24" s="106"/>
      <c r="U24" s="106"/>
      <c r="V24" s="106"/>
      <c r="W24" s="89"/>
      <c r="X24" s="90"/>
      <c r="Y24" s="90"/>
      <c r="Z24" s="90"/>
    </row>
    <row r="25" spans="1:26" ht="23.25" customHeight="1">
      <c r="A25" s="45" t="s">
        <v>14</v>
      </c>
      <c r="B25" s="49">
        <v>2548.6046000000001</v>
      </c>
      <c r="C25" s="31">
        <f t="shared" si="0"/>
        <v>3.2400000000052387E-2</v>
      </c>
      <c r="D25" s="30">
        <f t="shared" si="1"/>
        <v>1166.4000000018859</v>
      </c>
      <c r="E25" s="29"/>
      <c r="F25" s="49">
        <v>1639.5372</v>
      </c>
      <c r="G25" s="28">
        <f t="shared" ref="G25:G42" si="5">IF(F25="","",IF(LEN(TRUNC(F24,0))-LEN(TRUNC(F25,0))=0,F25-F24,IF(LEN(TRUNC(F24,0))-LEN(TRUNC(F25,0))&gt;0,VALUE(LEFT(F24,LEN(TRUNC(F24,0))-LEN(TRUNC(F25,0))))*POWER(10,LEN(TRUNC(F25,0)))+F25-F24,F25-F24-VALUE(LEFT(F25,LEN(TRUNC(F25,0))-LEN(TRUNC(F24,0))))*POWER(10,LEN(TRUNC(F24,0))))))</f>
        <v>2.5200000000040745E-2</v>
      </c>
      <c r="H25" s="30">
        <f t="shared" si="3"/>
        <v>907.20000000146683</v>
      </c>
      <c r="I25" s="33">
        <f t="shared" si="4"/>
        <v>0.77777777777777779</v>
      </c>
      <c r="J25" s="29"/>
      <c r="K25" s="50">
        <v>6.3</v>
      </c>
      <c r="L25" s="35"/>
      <c r="M25" s="10"/>
      <c r="N25" s="106"/>
      <c r="O25" s="106"/>
      <c r="P25" s="106"/>
      <c r="Q25" s="106"/>
      <c r="R25" s="106"/>
      <c r="S25" s="106"/>
      <c r="T25" s="106"/>
      <c r="U25" s="106"/>
      <c r="V25" s="106"/>
      <c r="W25" s="89"/>
      <c r="X25" s="90"/>
      <c r="Y25" s="90"/>
      <c r="Z25" s="90"/>
    </row>
    <row r="26" spans="1:26" ht="23.25" customHeight="1">
      <c r="A26" s="45" t="s">
        <v>15</v>
      </c>
      <c r="B26" s="49">
        <v>2548.6376</v>
      </c>
      <c r="C26" s="31">
        <f t="shared" si="0"/>
        <v>3.2999999999901775E-2</v>
      </c>
      <c r="D26" s="30">
        <f t="shared" si="1"/>
        <v>1187.9999999964639</v>
      </c>
      <c r="E26" s="29"/>
      <c r="F26" s="49">
        <v>1639.5623000000001</v>
      </c>
      <c r="G26" s="28">
        <f t="shared" si="5"/>
        <v>2.5100000000065847E-2</v>
      </c>
      <c r="H26" s="30">
        <f t="shared" si="3"/>
        <v>903.60000000237051</v>
      </c>
      <c r="I26" s="33">
        <f t="shared" si="4"/>
        <v>0.76060606061031999</v>
      </c>
      <c r="J26" s="29"/>
      <c r="K26" s="29">
        <v>6.2</v>
      </c>
      <c r="L26" s="35"/>
      <c r="M26" s="10"/>
      <c r="N26" s="106"/>
      <c r="O26" s="106"/>
      <c r="P26" s="106"/>
      <c r="Q26" s="106"/>
      <c r="R26" s="106"/>
      <c r="S26" s="106"/>
      <c r="T26" s="106"/>
      <c r="U26" s="106"/>
      <c r="V26" s="106"/>
      <c r="W26" s="89"/>
      <c r="X26" s="90"/>
      <c r="Y26" s="90"/>
      <c r="Z26" s="90"/>
    </row>
    <row r="27" spans="1:26" ht="23.25" customHeight="1">
      <c r="A27" s="45" t="s">
        <v>16</v>
      </c>
      <c r="B27" s="49">
        <v>2548.6708000000003</v>
      </c>
      <c r="C27" s="31">
        <f t="shared" si="0"/>
        <v>3.3200000000306318E-2</v>
      </c>
      <c r="D27" s="30">
        <f t="shared" si="1"/>
        <v>1195.2000000110274</v>
      </c>
      <c r="E27" s="29"/>
      <c r="F27" s="49">
        <v>1639.5873000000001</v>
      </c>
      <c r="G27" s="28">
        <f t="shared" si="5"/>
        <v>2.5000000000090949E-2</v>
      </c>
      <c r="H27" s="30">
        <f t="shared" si="3"/>
        <v>900.00000000327418</v>
      </c>
      <c r="I27" s="33">
        <f t="shared" si="4"/>
        <v>0.75301204818856293</v>
      </c>
      <c r="J27" s="29"/>
      <c r="K27" s="50">
        <v>6.2</v>
      </c>
      <c r="L27" s="35"/>
      <c r="M27" s="10"/>
      <c r="N27" s="106"/>
      <c r="O27" s="106"/>
      <c r="P27" s="106"/>
      <c r="Q27" s="106"/>
      <c r="R27" s="106"/>
      <c r="S27" s="106"/>
      <c r="T27" s="106"/>
      <c r="U27" s="106"/>
      <c r="V27" s="106"/>
      <c r="W27" s="89"/>
      <c r="X27" s="90"/>
      <c r="Y27" s="90"/>
      <c r="Z27" s="90"/>
    </row>
    <row r="28" spans="1:26" ht="23.25" customHeight="1">
      <c r="A28" s="45" t="s">
        <v>17</v>
      </c>
      <c r="B28" s="49">
        <v>2548.7046</v>
      </c>
      <c r="C28" s="31">
        <f t="shared" si="0"/>
        <v>3.3799999999700958E-2</v>
      </c>
      <c r="D28" s="30">
        <f t="shared" si="1"/>
        <v>1216.7999999892345</v>
      </c>
      <c r="E28" s="29"/>
      <c r="F28" s="49">
        <v>1639.6124</v>
      </c>
      <c r="G28" s="28">
        <f t="shared" si="5"/>
        <v>2.5099999999838474E-2</v>
      </c>
      <c r="H28" s="30">
        <f t="shared" si="3"/>
        <v>903.59999999418505</v>
      </c>
      <c r="I28" s="33">
        <f t="shared" si="4"/>
        <v>0.74260355029764924</v>
      </c>
      <c r="J28" s="29"/>
      <c r="K28" s="50">
        <v>6.2</v>
      </c>
      <c r="L28" s="35"/>
      <c r="M28" s="10"/>
      <c r="N28" s="106"/>
      <c r="O28" s="106"/>
      <c r="P28" s="106"/>
      <c r="Q28" s="106"/>
      <c r="R28" s="106"/>
      <c r="S28" s="106"/>
      <c r="T28" s="106"/>
      <c r="U28" s="106"/>
      <c r="V28" s="106"/>
      <c r="W28" s="89"/>
      <c r="X28" s="90"/>
      <c r="Y28" s="90"/>
      <c r="Z28" s="90"/>
    </row>
    <row r="29" spans="1:26" ht="23.25" customHeight="1">
      <c r="A29" s="45" t="s">
        <v>18</v>
      </c>
      <c r="B29" s="49">
        <v>2548.7370000000001</v>
      </c>
      <c r="C29" s="31">
        <f t="shared" si="0"/>
        <v>3.2400000000052387E-2</v>
      </c>
      <c r="D29" s="30">
        <f t="shared" si="1"/>
        <v>1166.4000000018859</v>
      </c>
      <c r="E29" s="29"/>
      <c r="F29" s="49">
        <v>1639.6362000000001</v>
      </c>
      <c r="G29" s="28">
        <f t="shared" si="5"/>
        <v>2.38000000001648E-2</v>
      </c>
      <c r="H29" s="30">
        <f t="shared" si="3"/>
        <v>856.80000000593282</v>
      </c>
      <c r="I29" s="33">
        <f t="shared" si="4"/>
        <v>0.7345679012384666</v>
      </c>
      <c r="J29" s="29"/>
      <c r="K29" s="50">
        <v>6.2</v>
      </c>
      <c r="L29" s="35"/>
      <c r="M29" s="97" t="s">
        <v>95</v>
      </c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23.25" customHeight="1">
      <c r="A30" s="45" t="s">
        <v>19</v>
      </c>
      <c r="B30" s="49">
        <v>2548.768</v>
      </c>
      <c r="C30" s="31">
        <f t="shared" si="0"/>
        <v>3.0999999999949068E-2</v>
      </c>
      <c r="D30" s="30">
        <f t="shared" si="1"/>
        <v>1115.9999999981665</v>
      </c>
      <c r="E30" s="29"/>
      <c r="F30" s="49">
        <v>1639.6594</v>
      </c>
      <c r="G30" s="28">
        <f t="shared" si="5"/>
        <v>2.3199999999860665E-2</v>
      </c>
      <c r="H30" s="30">
        <f t="shared" si="3"/>
        <v>835.19999999498395</v>
      </c>
      <c r="I30" s="33">
        <f t="shared" si="4"/>
        <v>0.74838709677092841</v>
      </c>
      <c r="J30" s="29"/>
      <c r="K30" s="50">
        <v>6.2</v>
      </c>
      <c r="L30" s="35"/>
      <c r="M30" s="91" t="s">
        <v>97</v>
      </c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 spans="1:26" ht="23.25" customHeight="1">
      <c r="A31" s="45" t="s">
        <v>20</v>
      </c>
      <c r="B31" s="49">
        <v>2548.7995000000001</v>
      </c>
      <c r="C31" s="31">
        <f t="shared" si="0"/>
        <v>3.1500000000050932E-2</v>
      </c>
      <c r="D31" s="30">
        <f t="shared" si="1"/>
        <v>1134.0000000018335</v>
      </c>
      <c r="E31" s="29"/>
      <c r="F31" s="49">
        <v>1639.6836000000001</v>
      </c>
      <c r="G31" s="28">
        <f t="shared" si="5"/>
        <v>2.4200000000064392E-2</v>
      </c>
      <c r="H31" s="30">
        <f t="shared" si="3"/>
        <v>871.20000000231812</v>
      </c>
      <c r="I31" s="33">
        <f t="shared" si="4"/>
        <v>0.76825396825477033</v>
      </c>
      <c r="J31" s="29"/>
      <c r="K31" s="50">
        <v>6.2</v>
      </c>
      <c r="L31" s="35"/>
      <c r="M31" s="104" t="s">
        <v>79</v>
      </c>
      <c r="N31" s="98" t="s">
        <v>98</v>
      </c>
      <c r="O31" s="98"/>
      <c r="P31" s="98" t="s">
        <v>100</v>
      </c>
      <c r="Q31" s="98"/>
      <c r="R31" s="98" t="s">
        <v>93</v>
      </c>
      <c r="S31" s="98"/>
      <c r="T31" s="98" t="s">
        <v>103</v>
      </c>
      <c r="U31" s="98"/>
      <c r="V31" s="98" t="s">
        <v>187</v>
      </c>
      <c r="W31" s="98"/>
      <c r="X31" s="98"/>
      <c r="Y31" s="98" t="s">
        <v>91</v>
      </c>
      <c r="Z31" s="100"/>
    </row>
    <row r="32" spans="1:26" ht="23.25" customHeight="1">
      <c r="A32" s="45" t="s">
        <v>21</v>
      </c>
      <c r="B32" s="49">
        <v>2548.8303000000001</v>
      </c>
      <c r="C32" s="31">
        <f t="shared" si="0"/>
        <v>3.0799999999999272E-2</v>
      </c>
      <c r="D32" s="30">
        <f t="shared" si="1"/>
        <v>1108.7999999999738</v>
      </c>
      <c r="E32" s="29"/>
      <c r="F32" s="49">
        <v>1639.7074</v>
      </c>
      <c r="G32" s="28">
        <f t="shared" si="5"/>
        <v>2.3799999999937427E-2</v>
      </c>
      <c r="H32" s="30">
        <f t="shared" si="3"/>
        <v>856.79999999774736</v>
      </c>
      <c r="I32" s="33">
        <f t="shared" si="4"/>
        <v>0.77272727272525943</v>
      </c>
      <c r="J32" s="29"/>
      <c r="K32" s="50">
        <v>6.2</v>
      </c>
      <c r="L32" s="35"/>
      <c r="M32" s="95"/>
      <c r="N32" s="99"/>
      <c r="O32" s="99"/>
      <c r="P32" s="99" t="s">
        <v>83</v>
      </c>
      <c r="Q32" s="99"/>
      <c r="R32" s="99" t="s">
        <v>102</v>
      </c>
      <c r="S32" s="99"/>
      <c r="T32" s="99" t="s">
        <v>104</v>
      </c>
      <c r="U32" s="99"/>
      <c r="V32" s="99" t="s">
        <v>105</v>
      </c>
      <c r="W32" s="99"/>
      <c r="X32" s="99"/>
      <c r="Y32" s="99"/>
      <c r="Z32" s="101"/>
    </row>
    <row r="33" spans="1:26" ht="23.25" customHeight="1">
      <c r="A33" s="45" t="s">
        <v>22</v>
      </c>
      <c r="B33" s="49">
        <v>2548.8619000000003</v>
      </c>
      <c r="C33" s="31">
        <f t="shared" si="0"/>
        <v>3.1600000000253203E-2</v>
      </c>
      <c r="D33" s="30">
        <f t="shared" si="1"/>
        <v>1137.6000000091153</v>
      </c>
      <c r="E33" s="29"/>
      <c r="F33" s="49">
        <v>1639.7318</v>
      </c>
      <c r="G33" s="28">
        <f t="shared" si="5"/>
        <v>2.4400000000014188E-2</v>
      </c>
      <c r="H33" s="30">
        <f t="shared" si="3"/>
        <v>878.40000000051077</v>
      </c>
      <c r="I33" s="33">
        <f t="shared" si="4"/>
        <v>0.77215189872843915</v>
      </c>
      <c r="J33" s="29"/>
      <c r="K33" s="50">
        <v>6.2</v>
      </c>
      <c r="L33" s="35"/>
      <c r="M33" s="95" t="s">
        <v>80</v>
      </c>
      <c r="N33" s="99" t="s">
        <v>99</v>
      </c>
      <c r="O33" s="99"/>
      <c r="P33" s="99" t="s">
        <v>101</v>
      </c>
      <c r="Q33" s="99"/>
      <c r="R33" s="99" t="s">
        <v>69</v>
      </c>
      <c r="S33" s="99"/>
      <c r="T33" s="99" t="s">
        <v>69</v>
      </c>
      <c r="U33" s="99"/>
      <c r="V33" s="99" t="s">
        <v>106</v>
      </c>
      <c r="W33" s="99"/>
      <c r="X33" s="99"/>
      <c r="Y33" s="99"/>
      <c r="Z33" s="101"/>
    </row>
    <row r="34" spans="1:26" ht="23.25" customHeight="1">
      <c r="A34" s="45" t="s">
        <v>23</v>
      </c>
      <c r="B34" s="49">
        <v>2548.8944000000001</v>
      </c>
      <c r="C34" s="31">
        <f t="shared" si="0"/>
        <v>3.2499999999799911E-2</v>
      </c>
      <c r="D34" s="30">
        <f t="shared" si="1"/>
        <v>1169.9999999927968</v>
      </c>
      <c r="E34" s="29"/>
      <c r="F34" s="49">
        <v>1639.7567000000001</v>
      </c>
      <c r="G34" s="28">
        <f t="shared" si="5"/>
        <v>2.4900000000116052E-2</v>
      </c>
      <c r="H34" s="30">
        <f t="shared" si="3"/>
        <v>896.40000000417785</v>
      </c>
      <c r="I34" s="33">
        <f t="shared" si="4"/>
        <v>0.76615384616213389</v>
      </c>
      <c r="J34" s="29"/>
      <c r="K34" s="29">
        <v>6.3</v>
      </c>
      <c r="L34" s="35"/>
      <c r="M34" s="96"/>
      <c r="N34" s="102"/>
      <c r="O34" s="102"/>
      <c r="P34" s="102"/>
      <c r="Q34" s="102"/>
      <c r="R34" s="103"/>
      <c r="S34" s="96"/>
      <c r="T34" s="103"/>
      <c r="U34" s="96"/>
      <c r="V34" s="103"/>
      <c r="W34" s="111"/>
      <c r="X34" s="96"/>
      <c r="Y34" s="102"/>
      <c r="Z34" s="103"/>
    </row>
    <row r="35" spans="1:26" ht="23.25" customHeight="1">
      <c r="A35" s="45" t="s">
        <v>24</v>
      </c>
      <c r="B35" s="49">
        <v>2548.9272000000001</v>
      </c>
      <c r="C35" s="31">
        <f t="shared" si="0"/>
        <v>3.2799999999951979E-2</v>
      </c>
      <c r="D35" s="30">
        <f t="shared" si="1"/>
        <v>1180.7999999982712</v>
      </c>
      <c r="E35" s="29"/>
      <c r="F35" s="49">
        <v>1639.7821000000001</v>
      </c>
      <c r="G35" s="28">
        <f t="shared" si="5"/>
        <v>2.5399999999990541E-2</v>
      </c>
      <c r="H35" s="30">
        <f t="shared" si="3"/>
        <v>914.39999999965949</v>
      </c>
      <c r="I35" s="33">
        <f t="shared" si="4"/>
        <v>0.77439024390328437</v>
      </c>
      <c r="J35" s="29"/>
      <c r="K35" s="50">
        <v>6.3</v>
      </c>
      <c r="L35" s="35"/>
      <c r="M35" s="10"/>
      <c r="N35" s="106" t="s">
        <v>170</v>
      </c>
      <c r="O35" s="106"/>
      <c r="P35" s="106">
        <v>0.4</v>
      </c>
      <c r="Q35" s="106"/>
      <c r="R35" s="106">
        <v>380</v>
      </c>
      <c r="S35" s="106"/>
      <c r="T35" s="106"/>
      <c r="U35" s="106"/>
      <c r="V35" s="106"/>
      <c r="W35" s="106"/>
      <c r="X35" s="106"/>
      <c r="Y35" s="106"/>
      <c r="Z35" s="89"/>
    </row>
    <row r="36" spans="1:26" ht="23.25" customHeight="1">
      <c r="A36" s="45" t="s">
        <v>25</v>
      </c>
      <c r="B36" s="49">
        <v>2548.9610000000002</v>
      </c>
      <c r="C36" s="31">
        <f t="shared" si="0"/>
        <v>3.3800000000155705E-2</v>
      </c>
      <c r="D36" s="30">
        <f t="shared" si="1"/>
        <v>1216.8000000056054</v>
      </c>
      <c r="E36" s="29"/>
      <c r="F36" s="49">
        <v>1639.808</v>
      </c>
      <c r="G36" s="28">
        <f t="shared" si="5"/>
        <v>2.5899999999865031E-2</v>
      </c>
      <c r="H36" s="30">
        <f t="shared" si="3"/>
        <v>932.39999999514112</v>
      </c>
      <c r="I36" s="33">
        <f t="shared" si="4"/>
        <v>0.76627218934158925</v>
      </c>
      <c r="J36" s="29"/>
      <c r="K36" s="50">
        <v>6.3</v>
      </c>
      <c r="L36" s="35"/>
      <c r="M36" s="10"/>
      <c r="N36" s="106" t="s">
        <v>171</v>
      </c>
      <c r="O36" s="106"/>
      <c r="P36" s="113">
        <v>6</v>
      </c>
      <c r="Q36" s="113"/>
      <c r="R36" s="106">
        <v>250</v>
      </c>
      <c r="S36" s="106"/>
      <c r="T36" s="106"/>
      <c r="U36" s="106"/>
      <c r="V36" s="106"/>
      <c r="W36" s="106"/>
      <c r="X36" s="106"/>
      <c r="Y36" s="106"/>
      <c r="Z36" s="89"/>
    </row>
    <row r="37" spans="1:26" ht="23.25" customHeight="1">
      <c r="A37" s="45" t="s">
        <v>26</v>
      </c>
      <c r="B37" s="49">
        <v>2548.9944</v>
      </c>
      <c r="C37" s="31">
        <f t="shared" si="0"/>
        <v>3.3399999999801366E-2</v>
      </c>
      <c r="D37" s="30">
        <f t="shared" si="1"/>
        <v>1202.3999999928492</v>
      </c>
      <c r="E37" s="29"/>
      <c r="F37" s="49">
        <v>1639.8335</v>
      </c>
      <c r="G37" s="28">
        <f t="shared" si="5"/>
        <v>2.5499999999965439E-2</v>
      </c>
      <c r="H37" s="30">
        <f t="shared" si="3"/>
        <v>917.99999999875581</v>
      </c>
      <c r="I37" s="33">
        <f t="shared" si="4"/>
        <v>0.76347305389572129</v>
      </c>
      <c r="J37" s="29"/>
      <c r="K37" s="50">
        <v>6.3</v>
      </c>
      <c r="L37" s="35"/>
      <c r="M37" s="10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89"/>
    </row>
    <row r="38" spans="1:26" ht="23.25" customHeight="1">
      <c r="A38" s="45" t="s">
        <v>27</v>
      </c>
      <c r="B38" s="49">
        <v>2549.027</v>
      </c>
      <c r="C38" s="31">
        <f t="shared" si="0"/>
        <v>3.2600000000002183E-2</v>
      </c>
      <c r="D38" s="30">
        <f t="shared" si="1"/>
        <v>1173.6000000000786</v>
      </c>
      <c r="E38" s="29"/>
      <c r="F38" s="49">
        <v>1639.8588</v>
      </c>
      <c r="G38" s="28">
        <f t="shared" si="5"/>
        <v>2.5300000000015643E-2</v>
      </c>
      <c r="H38" s="30">
        <f t="shared" si="3"/>
        <v>910.80000000056316</v>
      </c>
      <c r="I38" s="33">
        <f t="shared" si="4"/>
        <v>0.77607361963232968</v>
      </c>
      <c r="J38" s="29"/>
      <c r="K38" s="50">
        <v>6.3</v>
      </c>
      <c r="L38" s="35"/>
      <c r="M38" s="10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89"/>
    </row>
    <row r="39" spans="1:26" ht="23.25" customHeight="1">
      <c r="A39" s="45" t="s">
        <v>28</v>
      </c>
      <c r="B39" s="49">
        <v>2549.0587</v>
      </c>
      <c r="C39" s="31">
        <f t="shared" si="0"/>
        <v>3.1700000000000728E-2</v>
      </c>
      <c r="D39" s="30">
        <f t="shared" si="1"/>
        <v>1141.2000000000262</v>
      </c>
      <c r="E39" s="29"/>
      <c r="F39" s="49">
        <v>1639.8837000000001</v>
      </c>
      <c r="G39" s="28">
        <f t="shared" si="5"/>
        <v>2.4900000000116052E-2</v>
      </c>
      <c r="H39" s="30">
        <f t="shared" si="3"/>
        <v>896.40000000417785</v>
      </c>
      <c r="I39" s="33">
        <f t="shared" si="4"/>
        <v>0.78548895899417914</v>
      </c>
      <c r="J39" s="29"/>
      <c r="K39" s="50">
        <v>6.3</v>
      </c>
      <c r="L39" s="35"/>
      <c r="M39" s="10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89"/>
    </row>
    <row r="40" spans="1:26" ht="23.25" customHeight="1">
      <c r="A40" s="45" t="s">
        <v>29</v>
      </c>
      <c r="B40" s="49">
        <v>2549.0899000000004</v>
      </c>
      <c r="C40" s="31">
        <f t="shared" si="0"/>
        <v>3.1200000000353612E-2</v>
      </c>
      <c r="D40" s="30">
        <f t="shared" si="1"/>
        <v>1123.20000001273</v>
      </c>
      <c r="E40" s="29"/>
      <c r="F40" s="49">
        <v>1639.9084</v>
      </c>
      <c r="G40" s="28">
        <f t="shared" si="5"/>
        <v>2.4699999999938882E-2</v>
      </c>
      <c r="H40" s="30">
        <f t="shared" si="3"/>
        <v>889.19999999779975</v>
      </c>
      <c r="I40" s="33">
        <f t="shared" si="4"/>
        <v>0.79166666665573526</v>
      </c>
      <c r="J40" s="29"/>
      <c r="K40" s="50">
        <v>6.3</v>
      </c>
      <c r="L40" s="35"/>
      <c r="M40" s="91" t="s">
        <v>109</v>
      </c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</row>
    <row r="41" spans="1:26" ht="23.25" customHeight="1">
      <c r="A41" s="45" t="s">
        <v>30</v>
      </c>
      <c r="B41" s="49">
        <v>2549.1225000000004</v>
      </c>
      <c r="C41" s="31">
        <f t="shared" si="0"/>
        <v>3.2600000000002183E-2</v>
      </c>
      <c r="D41" s="30">
        <f t="shared" si="1"/>
        <v>1173.6000000000786</v>
      </c>
      <c r="E41" s="29"/>
      <c r="F41" s="49">
        <v>1639.9343000000001</v>
      </c>
      <c r="G41" s="28">
        <f t="shared" si="5"/>
        <v>2.5900000000092405E-2</v>
      </c>
      <c r="H41" s="30">
        <f t="shared" si="3"/>
        <v>932.40000000332657</v>
      </c>
      <c r="I41" s="33">
        <f t="shared" si="4"/>
        <v>0.79447852761014326</v>
      </c>
      <c r="J41" s="29"/>
      <c r="K41" s="50">
        <v>6.3</v>
      </c>
      <c r="L41" s="35"/>
      <c r="M41" s="104" t="s">
        <v>79</v>
      </c>
      <c r="N41" s="98" t="s">
        <v>98</v>
      </c>
      <c r="O41" s="98"/>
      <c r="P41" s="98" t="s">
        <v>93</v>
      </c>
      <c r="Q41" s="98"/>
      <c r="R41" s="98"/>
      <c r="S41" s="98" t="s">
        <v>111</v>
      </c>
      <c r="T41" s="98" t="s">
        <v>81</v>
      </c>
      <c r="U41" s="98"/>
      <c r="V41" s="98"/>
      <c r="W41" s="98"/>
      <c r="X41" s="98" t="s">
        <v>93</v>
      </c>
      <c r="Y41" s="98"/>
      <c r="Z41" s="100"/>
    </row>
    <row r="42" spans="1:26" ht="23.25" customHeight="1">
      <c r="A42" s="45" t="s">
        <v>31</v>
      </c>
      <c r="B42" s="49">
        <v>2549.1554000000001</v>
      </c>
      <c r="C42" s="31">
        <f t="shared" si="0"/>
        <v>3.2899999999699503E-2</v>
      </c>
      <c r="D42" s="30">
        <f t="shared" si="1"/>
        <v>1184.3999999891821</v>
      </c>
      <c r="E42" s="29"/>
      <c r="F42" s="49">
        <v>1639.9598000000001</v>
      </c>
      <c r="G42" s="28">
        <f t="shared" si="5"/>
        <v>2.5499999999965439E-2</v>
      </c>
      <c r="H42" s="30">
        <f t="shared" si="3"/>
        <v>917.99999999875581</v>
      </c>
      <c r="I42" s="33">
        <f t="shared" si="4"/>
        <v>0.77507598784797405</v>
      </c>
      <c r="J42" s="29"/>
      <c r="K42" s="50">
        <v>6.3</v>
      </c>
      <c r="L42" s="35"/>
      <c r="M42" s="95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101"/>
    </row>
    <row r="43" spans="1:26" ht="22.5" customHeight="1">
      <c r="A43" s="121" t="s">
        <v>195</v>
      </c>
      <c r="B43" s="121"/>
      <c r="C43" s="121"/>
      <c r="D43" s="30">
        <f>SUM(D18:D42)</f>
        <v>27993.59999999615</v>
      </c>
      <c r="E43" s="29"/>
      <c r="F43" s="46"/>
      <c r="G43" s="29"/>
      <c r="H43" s="30">
        <f>SUM(H18:H42)</f>
        <v>21614.400000001297</v>
      </c>
      <c r="I43" s="33">
        <f>IF(AND(H43=0,D43=0),0,H43/D43)</f>
        <v>0.77211934156393858</v>
      </c>
      <c r="J43" s="29"/>
      <c r="K43" s="29"/>
      <c r="L43" s="35"/>
      <c r="M43" s="95" t="s">
        <v>80</v>
      </c>
      <c r="N43" s="99" t="s">
        <v>99</v>
      </c>
      <c r="O43" s="99"/>
      <c r="P43" s="99" t="s">
        <v>110</v>
      </c>
      <c r="Q43" s="99"/>
      <c r="R43" s="99"/>
      <c r="S43" s="99"/>
      <c r="T43" s="99"/>
      <c r="U43" s="99"/>
      <c r="V43" s="99"/>
      <c r="W43" s="99"/>
      <c r="X43" s="99" t="s">
        <v>110</v>
      </c>
      <c r="Y43" s="99"/>
      <c r="Z43" s="101"/>
    </row>
    <row r="44" spans="1:26" ht="22.5" customHeight="1">
      <c r="A44" s="76" t="s">
        <v>71</v>
      </c>
      <c r="B44" s="76"/>
      <c r="C44" s="76"/>
      <c r="D44" s="29"/>
      <c r="E44" s="29"/>
      <c r="F44" s="46"/>
      <c r="G44" s="29"/>
      <c r="H44" s="29"/>
      <c r="I44" s="29"/>
      <c r="J44" s="29"/>
      <c r="K44" s="29"/>
      <c r="L44" s="35"/>
      <c r="M44" s="96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3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89"/>
      <c r="O45" s="105"/>
      <c r="P45" s="89"/>
      <c r="Q45" s="90"/>
      <c r="R45" s="105"/>
      <c r="S45" s="8"/>
      <c r="T45" s="89"/>
      <c r="U45" s="90"/>
      <c r="V45" s="90"/>
      <c r="W45" s="105"/>
      <c r="X45" s="89"/>
      <c r="Y45" s="90"/>
      <c r="Z45" s="90"/>
    </row>
    <row r="46" spans="1:26" ht="22.5" customHeight="1">
      <c r="A46" s="54" t="s">
        <v>72</v>
      </c>
      <c r="B46" s="54"/>
      <c r="C46" s="54"/>
      <c r="D46" s="54"/>
      <c r="E46" s="54"/>
      <c r="F46" s="54"/>
      <c r="G46" s="77" t="s">
        <v>73</v>
      </c>
      <c r="H46" s="77"/>
      <c r="I46" s="77"/>
      <c r="J46" s="77"/>
      <c r="K46" s="77"/>
      <c r="L46" s="77"/>
      <c r="M46" s="10"/>
      <c r="N46" s="89"/>
      <c r="O46" s="105"/>
      <c r="P46" s="89"/>
      <c r="Q46" s="90"/>
      <c r="R46" s="105"/>
      <c r="S46" s="8"/>
      <c r="T46" s="89"/>
      <c r="U46" s="90"/>
      <c r="V46" s="90"/>
      <c r="W46" s="105"/>
      <c r="X46" s="89"/>
      <c r="Y46" s="90"/>
      <c r="Z46" s="90"/>
    </row>
    <row r="47" spans="1:26" ht="22.5" customHeight="1">
      <c r="A47" s="52" t="s">
        <v>388</v>
      </c>
      <c r="B47" s="52"/>
      <c r="C47" s="52"/>
      <c r="D47" s="54" t="s">
        <v>74</v>
      </c>
      <c r="E47" s="54"/>
      <c r="F47" s="54"/>
      <c r="G47" s="40"/>
      <c r="H47" s="40"/>
      <c r="I47" s="40"/>
      <c r="J47" s="40"/>
      <c r="K47" s="40"/>
      <c r="L47" s="40"/>
      <c r="M47" s="10"/>
      <c r="N47" s="89"/>
      <c r="O47" s="105"/>
      <c r="P47" s="89"/>
      <c r="Q47" s="90"/>
      <c r="R47" s="105"/>
      <c r="S47" s="8"/>
      <c r="T47" s="89"/>
      <c r="U47" s="90"/>
      <c r="V47" s="90"/>
      <c r="W47" s="105"/>
      <c r="X47" s="89"/>
      <c r="Y47" s="90"/>
      <c r="Z47" s="90"/>
    </row>
    <row r="48" spans="1:26" ht="22.5" customHeight="1">
      <c r="A48" s="55" t="s">
        <v>75</v>
      </c>
      <c r="B48" s="55"/>
      <c r="C48" s="55"/>
      <c r="D48" s="55" t="s">
        <v>76</v>
      </c>
      <c r="E48" s="55"/>
      <c r="F48" s="55"/>
      <c r="G48" s="39"/>
      <c r="H48" s="39"/>
      <c r="I48" s="39"/>
      <c r="J48" s="39"/>
      <c r="K48" s="39"/>
      <c r="L48" s="39"/>
    </row>
    <row r="49" spans="1:23" ht="22.5" customHeight="1">
      <c r="A49" s="52" t="s">
        <v>389</v>
      </c>
      <c r="B49" s="52"/>
      <c r="C49" s="52"/>
      <c r="D49" s="54" t="s">
        <v>74</v>
      </c>
      <c r="E49" s="54"/>
      <c r="F49" s="54"/>
      <c r="G49" s="39"/>
      <c r="H49" s="54" t="s">
        <v>191</v>
      </c>
      <c r="I49" s="54"/>
      <c r="J49" s="54"/>
      <c r="K49" s="54" t="s">
        <v>77</v>
      </c>
      <c r="L49" s="54"/>
      <c r="N49" s="57" t="s">
        <v>150</v>
      </c>
      <c r="O49" s="57"/>
      <c r="P49" s="57"/>
      <c r="Q49" s="56" t="s">
        <v>391</v>
      </c>
      <c r="R49" s="56"/>
      <c r="S49" s="56"/>
      <c r="T49" s="56"/>
      <c r="U49" s="56"/>
      <c r="V49" s="56"/>
      <c r="W49" s="1"/>
    </row>
    <row r="50" spans="1:23" ht="22.5" customHeight="1">
      <c r="A50" s="55" t="s">
        <v>75</v>
      </c>
      <c r="B50" s="55"/>
      <c r="C50" s="55"/>
      <c r="D50" s="55" t="s">
        <v>76</v>
      </c>
      <c r="E50" s="55"/>
      <c r="F50" s="55"/>
      <c r="G50" s="44"/>
      <c r="H50" s="55" t="s">
        <v>75</v>
      </c>
      <c r="I50" s="55"/>
      <c r="J50" s="55"/>
      <c r="K50" s="55" t="s">
        <v>76</v>
      </c>
      <c r="L50" s="55"/>
      <c r="S50" s="53" t="s">
        <v>76</v>
      </c>
      <c r="T50" s="53"/>
    </row>
    <row r="51" spans="1:23" ht="20.100000000000001" customHeight="1">
      <c r="A51" s="52" t="s">
        <v>390</v>
      </c>
      <c r="B51" s="52"/>
      <c r="C51" s="52"/>
      <c r="D51" s="54" t="s">
        <v>74</v>
      </c>
      <c r="E51" s="54"/>
      <c r="F51" s="54"/>
      <c r="G51" s="39"/>
      <c r="H51" s="39"/>
      <c r="I51" s="39"/>
      <c r="J51" s="39"/>
      <c r="K51" s="39"/>
      <c r="L51" s="39"/>
    </row>
    <row r="52" spans="1:23" ht="20.100000000000001" customHeight="1">
      <c r="A52" s="55" t="s">
        <v>75</v>
      </c>
      <c r="B52" s="55"/>
      <c r="C52" s="55"/>
      <c r="D52" s="55" t="s">
        <v>76</v>
      </c>
      <c r="E52" s="55"/>
      <c r="F52" s="55"/>
      <c r="G52" s="42"/>
      <c r="H52" s="42"/>
      <c r="I52" s="39"/>
      <c r="J52" s="39"/>
      <c r="K52" s="39"/>
      <c r="L52" s="39"/>
    </row>
  </sheetData>
  <sheetProtection sheet="1" objects="1" scenarios="1"/>
  <mergeCells count="258">
    <mergeCell ref="E10:G10"/>
    <mergeCell ref="A1:F1"/>
    <mergeCell ref="A46:F46"/>
    <mergeCell ref="A44:C44"/>
    <mergeCell ref="G1:H2"/>
    <mergeCell ref="A43:C43"/>
    <mergeCell ref="D13:E13"/>
    <mergeCell ref="J16:J17"/>
    <mergeCell ref="K16:K17"/>
    <mergeCell ref="A13:A17"/>
    <mergeCell ref="E16:E17"/>
    <mergeCell ref="B15:C15"/>
    <mergeCell ref="D15:E15"/>
    <mergeCell ref="B13:C13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N14:O14"/>
    <mergeCell ref="N15:O15"/>
    <mergeCell ref="N16:O16"/>
    <mergeCell ref="N12:O12"/>
    <mergeCell ref="N13:O13"/>
    <mergeCell ref="I13:I17"/>
    <mergeCell ref="J13:K13"/>
    <mergeCell ref="J14:K14"/>
    <mergeCell ref="J15:K15"/>
    <mergeCell ref="A12:L12"/>
    <mergeCell ref="F13:G13"/>
    <mergeCell ref="F14:G14"/>
    <mergeCell ref="B14:C14"/>
    <mergeCell ref="D14:E14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T27:V27"/>
    <mergeCell ref="W27:Z27"/>
    <mergeCell ref="N26:P26"/>
    <mergeCell ref="N25:P25"/>
    <mergeCell ref="Q25:S25"/>
    <mergeCell ref="T25:V25"/>
    <mergeCell ref="W25:Z25"/>
    <mergeCell ref="Q23:S23"/>
    <mergeCell ref="T23:V23"/>
    <mergeCell ref="Q26:S26"/>
    <mergeCell ref="T26:V26"/>
    <mergeCell ref="N24:P24"/>
    <mergeCell ref="Q24:S24"/>
    <mergeCell ref="T28:V28"/>
    <mergeCell ref="W28:Z28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T24:V24"/>
    <mergeCell ref="W24:Z24"/>
    <mergeCell ref="T18:V19"/>
    <mergeCell ref="V14:W14"/>
    <mergeCell ref="V11:W11"/>
    <mergeCell ref="V12:W12"/>
    <mergeCell ref="V13:W13"/>
    <mergeCell ref="T11:U11"/>
    <mergeCell ref="T12:U12"/>
    <mergeCell ref="T13:U13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X45:Z45"/>
    <mergeCell ref="X46:Z46"/>
    <mergeCell ref="X47:Z47"/>
    <mergeCell ref="S50:T50"/>
    <mergeCell ref="N39:O39"/>
    <mergeCell ref="P39:Q39"/>
    <mergeCell ref="N41:O42"/>
    <mergeCell ref="P41:R42"/>
    <mergeCell ref="M40:Z40"/>
    <mergeCell ref="M43:M44"/>
    <mergeCell ref="T47:W47"/>
    <mergeCell ref="N43:O44"/>
    <mergeCell ref="P43:R44"/>
    <mergeCell ref="P46:R46"/>
    <mergeCell ref="P47:R47"/>
    <mergeCell ref="N45:O45"/>
    <mergeCell ref="R39:S39"/>
    <mergeCell ref="T39:U39"/>
    <mergeCell ref="V39:X39"/>
    <mergeCell ref="Y39:Z39"/>
    <mergeCell ref="S41:S44"/>
    <mergeCell ref="T41:W44"/>
    <mergeCell ref="M41:M42"/>
    <mergeCell ref="Q49:V49"/>
    <mergeCell ref="N49:P49"/>
    <mergeCell ref="P45:R45"/>
    <mergeCell ref="A51:C51"/>
    <mergeCell ref="D51:F51"/>
    <mergeCell ref="N46:O46"/>
    <mergeCell ref="N47:O47"/>
    <mergeCell ref="T45:W45"/>
    <mergeCell ref="T46:W46"/>
    <mergeCell ref="A50:C50"/>
    <mergeCell ref="D50:F50"/>
    <mergeCell ref="D48:F48"/>
    <mergeCell ref="A49:C49"/>
    <mergeCell ref="H49:J49"/>
    <mergeCell ref="K49:L49"/>
    <mergeCell ref="D47:F47"/>
    <mergeCell ref="G46:L46"/>
    <mergeCell ref="A48:C48"/>
    <mergeCell ref="A47:C47"/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A7:L7"/>
    <mergeCell ref="A9:L9"/>
    <mergeCell ref="G3:H4"/>
    <mergeCell ref="I11:L11"/>
    <mergeCell ref="A2:F2"/>
    <mergeCell ref="A3:F3"/>
    <mergeCell ref="A4:F4"/>
    <mergeCell ref="A5:F5"/>
    <mergeCell ref="A6:F6"/>
    <mergeCell ref="A8:L8"/>
    <mergeCell ref="I3:L4"/>
    <mergeCell ref="A11:D11"/>
    <mergeCell ref="E11:H11"/>
    <mergeCell ref="A10:D10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>
  <sheetPr codeName="Лист10"/>
  <dimension ref="A1:Z52"/>
  <sheetViews>
    <sheetView view="pageBreakPreview" topLeftCell="A13" zoomScale="75" zoomScaleNormal="75" zoomScaleSheetLayoutView="50" workbookViewId="0">
      <selection activeCell="F37" sqref="F37"/>
    </sheetView>
  </sheetViews>
  <sheetFormatPr defaultRowHeight="18.75"/>
  <cols>
    <col min="1" max="1" width="11.140625" style="2" customWidth="1"/>
    <col min="2" max="2" width="14.7109375" style="2" customWidth="1"/>
    <col min="3" max="3" width="12.140625" style="2" customWidth="1"/>
    <col min="4" max="4" width="13.140625" style="2" customWidth="1"/>
    <col min="5" max="5" width="5.42578125" style="2" customWidth="1"/>
    <col min="6" max="6" width="13.5703125" style="2" customWidth="1"/>
    <col min="7" max="7" width="12.285156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6.85546875" style="2" customWidth="1"/>
    <col min="13" max="26" width="10.28515625" style="2" customWidth="1"/>
    <col min="27" max="16384" width="9.140625" style="2"/>
  </cols>
  <sheetData>
    <row r="1" spans="1:26" ht="21.75" customHeight="1">
      <c r="A1" s="59" t="s">
        <v>157</v>
      </c>
      <c r="B1" s="59"/>
      <c r="C1" s="59"/>
      <c r="D1" s="59"/>
      <c r="E1" s="59"/>
      <c r="F1" s="59"/>
      <c r="G1" s="63" t="s">
        <v>154</v>
      </c>
      <c r="H1" s="63"/>
      <c r="I1" s="59" t="s">
        <v>160</v>
      </c>
      <c r="J1" s="59"/>
      <c r="K1" s="59"/>
      <c r="L1" s="59"/>
      <c r="M1" s="91" t="s">
        <v>96</v>
      </c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spans="1:26" ht="21.75" customHeight="1">
      <c r="A2" s="61" t="s">
        <v>45</v>
      </c>
      <c r="B2" s="61"/>
      <c r="C2" s="61"/>
      <c r="D2" s="61"/>
      <c r="E2" s="61"/>
      <c r="F2" s="61"/>
      <c r="G2" s="63"/>
      <c r="H2" s="63"/>
      <c r="I2" s="59"/>
      <c r="J2" s="59"/>
      <c r="K2" s="59"/>
      <c r="L2" s="59"/>
      <c r="M2" s="91" t="s">
        <v>78</v>
      </c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spans="1:26" ht="21.75" customHeight="1">
      <c r="A3" s="59" t="s">
        <v>158</v>
      </c>
      <c r="B3" s="60"/>
      <c r="C3" s="60"/>
      <c r="D3" s="60"/>
      <c r="E3" s="60"/>
      <c r="F3" s="60"/>
      <c r="G3" s="63" t="s">
        <v>155</v>
      </c>
      <c r="H3" s="63"/>
      <c r="I3" s="59" t="s">
        <v>213</v>
      </c>
      <c r="J3" s="59"/>
      <c r="K3" s="59"/>
      <c r="L3" s="59"/>
      <c r="M3" s="104" t="s">
        <v>79</v>
      </c>
      <c r="N3" s="100" t="s">
        <v>81</v>
      </c>
      <c r="O3" s="104"/>
      <c r="P3" s="100" t="s">
        <v>65</v>
      </c>
      <c r="Q3" s="104"/>
      <c r="R3" s="100" t="s">
        <v>82</v>
      </c>
      <c r="S3" s="104"/>
      <c r="T3" s="100" t="s">
        <v>85</v>
      </c>
      <c r="U3" s="104"/>
      <c r="V3" s="100" t="s">
        <v>87</v>
      </c>
      <c r="W3" s="104"/>
      <c r="X3" s="107" t="s">
        <v>91</v>
      </c>
      <c r="Y3" s="108"/>
      <c r="Z3" s="108"/>
    </row>
    <row r="4" spans="1:26" ht="29.25" customHeight="1">
      <c r="A4" s="61" t="s">
        <v>46</v>
      </c>
      <c r="B4" s="61"/>
      <c r="C4" s="61"/>
      <c r="D4" s="61"/>
      <c r="E4" s="61"/>
      <c r="F4" s="61"/>
      <c r="G4" s="63"/>
      <c r="H4" s="63"/>
      <c r="I4" s="59"/>
      <c r="J4" s="59"/>
      <c r="K4" s="59"/>
      <c r="L4" s="59"/>
      <c r="M4" s="95"/>
      <c r="N4" s="101"/>
      <c r="O4" s="95"/>
      <c r="P4" s="101"/>
      <c r="Q4" s="95"/>
      <c r="R4" s="101" t="s">
        <v>83</v>
      </c>
      <c r="S4" s="95"/>
      <c r="T4" s="101" t="s">
        <v>86</v>
      </c>
      <c r="U4" s="95"/>
      <c r="V4" s="101" t="s">
        <v>88</v>
      </c>
      <c r="W4" s="95"/>
      <c r="X4" s="107"/>
      <c r="Y4" s="108"/>
      <c r="Z4" s="108"/>
    </row>
    <row r="5" spans="1:26" ht="21.75" customHeight="1">
      <c r="A5" s="59" t="s">
        <v>185</v>
      </c>
      <c r="B5" s="60"/>
      <c r="C5" s="60"/>
      <c r="D5" s="60"/>
      <c r="E5" s="60"/>
      <c r="F5" s="60"/>
      <c r="G5" s="63" t="s">
        <v>156</v>
      </c>
      <c r="H5" s="63"/>
      <c r="I5" s="59" t="s">
        <v>214</v>
      </c>
      <c r="J5" s="59"/>
      <c r="K5" s="59"/>
      <c r="L5" s="59"/>
      <c r="M5" s="95" t="s">
        <v>80</v>
      </c>
      <c r="N5" s="101"/>
      <c r="O5" s="95"/>
      <c r="P5" s="101" t="s">
        <v>190</v>
      </c>
      <c r="Q5" s="95"/>
      <c r="R5" s="109" t="s">
        <v>84</v>
      </c>
      <c r="S5" s="110"/>
      <c r="T5" s="109" t="s">
        <v>84</v>
      </c>
      <c r="U5" s="110"/>
      <c r="V5" s="101" t="s">
        <v>89</v>
      </c>
      <c r="W5" s="95"/>
      <c r="X5" s="107"/>
      <c r="Y5" s="108"/>
      <c r="Z5" s="108"/>
    </row>
    <row r="6" spans="1:26" ht="21.75" customHeight="1">
      <c r="A6" s="61" t="s">
        <v>47</v>
      </c>
      <c r="B6" s="61"/>
      <c r="C6" s="61"/>
      <c r="D6" s="61"/>
      <c r="E6" s="61"/>
      <c r="F6" s="61"/>
      <c r="G6" s="63"/>
      <c r="H6" s="63"/>
      <c r="I6" s="59"/>
      <c r="J6" s="59"/>
      <c r="K6" s="59"/>
      <c r="L6" s="59"/>
      <c r="M6" s="96"/>
      <c r="N6" s="103"/>
      <c r="O6" s="96"/>
      <c r="P6" s="103"/>
      <c r="Q6" s="96"/>
      <c r="R6" s="103"/>
      <c r="S6" s="96"/>
      <c r="T6" s="103"/>
      <c r="U6" s="96"/>
      <c r="V6" s="103" t="s">
        <v>90</v>
      </c>
      <c r="W6" s="96"/>
      <c r="X6" s="107"/>
      <c r="Y6" s="108"/>
      <c r="Z6" s="108"/>
    </row>
    <row r="7" spans="1:26" ht="21.75" customHeight="1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10"/>
      <c r="N7" s="89"/>
      <c r="O7" s="105"/>
      <c r="P7" s="89"/>
      <c r="Q7" s="105"/>
      <c r="R7" s="89"/>
      <c r="S7" s="105"/>
      <c r="T7" s="89"/>
      <c r="U7" s="105"/>
      <c r="V7" s="89"/>
      <c r="W7" s="105"/>
      <c r="X7" s="89"/>
      <c r="Y7" s="90"/>
      <c r="Z7" s="90"/>
    </row>
    <row r="8" spans="1:26" ht="22.5" customHeight="1">
      <c r="A8" s="94" t="s">
        <v>48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10"/>
      <c r="N8" s="89"/>
      <c r="O8" s="105"/>
      <c r="P8" s="89"/>
      <c r="Q8" s="105"/>
      <c r="R8" s="89"/>
      <c r="S8" s="105"/>
      <c r="T8" s="89"/>
      <c r="U8" s="105"/>
      <c r="V8" s="89"/>
      <c r="W8" s="105"/>
      <c r="X8" s="89"/>
      <c r="Y8" s="90"/>
      <c r="Z8" s="90"/>
    </row>
    <row r="9" spans="1:26" ht="22.5" customHeight="1">
      <c r="A9" s="88" t="s">
        <v>49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10"/>
      <c r="N9" s="89"/>
      <c r="O9" s="105"/>
      <c r="P9" s="89"/>
      <c r="Q9" s="105"/>
      <c r="R9" s="89"/>
      <c r="S9" s="105"/>
      <c r="T9" s="89"/>
      <c r="U9" s="105"/>
      <c r="V9" s="89"/>
      <c r="W9" s="105"/>
      <c r="X9" s="89"/>
      <c r="Y9" s="90"/>
      <c r="Z9" s="90"/>
    </row>
    <row r="10" spans="1:26" ht="22.5" customHeight="1">
      <c r="A10" s="80" t="s">
        <v>112</v>
      </c>
      <c r="B10" s="80"/>
      <c r="C10" s="80"/>
      <c r="D10" s="80"/>
      <c r="E10" s="81" t="s">
        <v>383</v>
      </c>
      <c r="F10" s="81"/>
      <c r="G10" s="81"/>
      <c r="H10" s="62" t="s">
        <v>384</v>
      </c>
      <c r="I10" s="62"/>
      <c r="J10" s="62"/>
      <c r="K10" s="62"/>
      <c r="L10" s="62"/>
      <c r="M10" s="10"/>
      <c r="N10" s="89"/>
      <c r="O10" s="105"/>
      <c r="P10" s="89"/>
      <c r="Q10" s="105"/>
      <c r="R10" s="89"/>
      <c r="S10" s="105"/>
      <c r="T10" s="89"/>
      <c r="U10" s="105"/>
      <c r="V10" s="89"/>
      <c r="W10" s="105"/>
      <c r="X10" s="89"/>
      <c r="Y10" s="90"/>
      <c r="Z10" s="90"/>
    </row>
    <row r="11" spans="1:26" ht="22.5" customHeight="1">
      <c r="A11" s="80" t="s">
        <v>113</v>
      </c>
      <c r="B11" s="80"/>
      <c r="C11" s="80"/>
      <c r="D11" s="80"/>
      <c r="E11" s="79" t="s">
        <v>227</v>
      </c>
      <c r="F11" s="79"/>
      <c r="G11" s="79"/>
      <c r="H11" s="79"/>
      <c r="I11" s="62" t="s">
        <v>114</v>
      </c>
      <c r="J11" s="62"/>
      <c r="K11" s="62"/>
      <c r="L11" s="62"/>
      <c r="M11" s="10"/>
      <c r="N11" s="89"/>
      <c r="O11" s="105"/>
      <c r="P11" s="89"/>
      <c r="Q11" s="105"/>
      <c r="R11" s="89"/>
      <c r="S11" s="105"/>
      <c r="T11" s="89"/>
      <c r="U11" s="105"/>
      <c r="V11" s="89"/>
      <c r="W11" s="105"/>
      <c r="X11" s="89"/>
      <c r="Y11" s="90"/>
      <c r="Z11" s="90"/>
    </row>
    <row r="12" spans="1:26" ht="21.75" customHeight="1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10"/>
      <c r="N12" s="89"/>
      <c r="O12" s="105"/>
      <c r="P12" s="89"/>
      <c r="Q12" s="105"/>
      <c r="R12" s="89"/>
      <c r="S12" s="105"/>
      <c r="T12" s="89"/>
      <c r="U12" s="105"/>
      <c r="V12" s="89"/>
      <c r="W12" s="105"/>
      <c r="X12" s="89"/>
      <c r="Y12" s="90"/>
      <c r="Z12" s="90"/>
    </row>
    <row r="13" spans="1:26" ht="21.75" customHeight="1">
      <c r="A13" s="64" t="s">
        <v>50</v>
      </c>
      <c r="B13" s="72" t="s">
        <v>56</v>
      </c>
      <c r="C13" s="73"/>
      <c r="D13" s="74" t="s">
        <v>198</v>
      </c>
      <c r="E13" s="75"/>
      <c r="F13" s="72" t="s">
        <v>59</v>
      </c>
      <c r="G13" s="73"/>
      <c r="H13" s="18" t="s">
        <v>198</v>
      </c>
      <c r="I13" s="84" t="s">
        <v>5</v>
      </c>
      <c r="J13" s="72" t="s">
        <v>60</v>
      </c>
      <c r="K13" s="64"/>
      <c r="L13" s="17" t="s">
        <v>65</v>
      </c>
      <c r="M13" s="10"/>
      <c r="N13" s="89"/>
      <c r="O13" s="105"/>
      <c r="P13" s="89"/>
      <c r="Q13" s="105"/>
      <c r="R13" s="89"/>
      <c r="S13" s="105"/>
      <c r="T13" s="89"/>
      <c r="U13" s="105"/>
      <c r="V13" s="89"/>
      <c r="W13" s="105"/>
      <c r="X13" s="89"/>
      <c r="Y13" s="90"/>
      <c r="Z13" s="90"/>
    </row>
    <row r="14" spans="1:26" ht="21.75" customHeight="1">
      <c r="A14" s="65"/>
      <c r="B14" s="82" t="s">
        <v>57</v>
      </c>
      <c r="C14" s="83"/>
      <c r="D14" s="92" t="s">
        <v>201</v>
      </c>
      <c r="E14" s="93"/>
      <c r="F14" s="82" t="s">
        <v>57</v>
      </c>
      <c r="G14" s="83"/>
      <c r="H14" s="19" t="s">
        <v>201</v>
      </c>
      <c r="I14" s="85"/>
      <c r="J14" s="82" t="s">
        <v>61</v>
      </c>
      <c r="K14" s="65"/>
      <c r="L14" s="17" t="s">
        <v>66</v>
      </c>
      <c r="M14" s="10"/>
      <c r="N14" s="89"/>
      <c r="O14" s="105"/>
      <c r="P14" s="89"/>
      <c r="Q14" s="105"/>
      <c r="R14" s="89"/>
      <c r="S14" s="105"/>
      <c r="T14" s="89"/>
      <c r="U14" s="105"/>
      <c r="V14" s="89"/>
      <c r="W14" s="105"/>
      <c r="X14" s="89"/>
      <c r="Y14" s="90"/>
      <c r="Z14" s="90"/>
    </row>
    <row r="15" spans="1:26" ht="21.75" customHeight="1">
      <c r="A15" s="65"/>
      <c r="B15" s="68" t="s">
        <v>58</v>
      </c>
      <c r="C15" s="69"/>
      <c r="D15" s="70">
        <v>36000</v>
      </c>
      <c r="E15" s="71"/>
      <c r="F15" s="68" t="s">
        <v>58</v>
      </c>
      <c r="G15" s="69"/>
      <c r="H15" s="20">
        <v>36000</v>
      </c>
      <c r="I15" s="85"/>
      <c r="J15" s="68" t="s">
        <v>62</v>
      </c>
      <c r="K15" s="78"/>
      <c r="L15" s="17" t="s">
        <v>67</v>
      </c>
      <c r="M15" s="10"/>
      <c r="N15" s="89"/>
      <c r="O15" s="105"/>
      <c r="P15" s="89"/>
      <c r="Q15" s="105"/>
      <c r="R15" s="89"/>
      <c r="S15" s="105"/>
      <c r="T15" s="89"/>
      <c r="U15" s="105"/>
      <c r="V15" s="89"/>
      <c r="W15" s="105"/>
      <c r="X15" s="89"/>
      <c r="Y15" s="90"/>
      <c r="Z15" s="90"/>
    </row>
    <row r="16" spans="1:26" ht="21.75" customHeight="1">
      <c r="A16" s="65"/>
      <c r="B16" s="13" t="s">
        <v>51</v>
      </c>
      <c r="C16" s="13" t="s">
        <v>53</v>
      </c>
      <c r="D16" s="13" t="s">
        <v>54</v>
      </c>
      <c r="E16" s="66"/>
      <c r="F16" s="13" t="s">
        <v>51</v>
      </c>
      <c r="G16" s="13" t="s">
        <v>53</v>
      </c>
      <c r="H16" s="11" t="s">
        <v>54</v>
      </c>
      <c r="I16" s="85"/>
      <c r="J16" s="66" t="s">
        <v>63</v>
      </c>
      <c r="K16" s="66" t="s">
        <v>64</v>
      </c>
      <c r="L16" s="17" t="s">
        <v>68</v>
      </c>
      <c r="M16" s="10"/>
      <c r="N16" s="89"/>
      <c r="O16" s="105"/>
      <c r="P16" s="89"/>
      <c r="Q16" s="105"/>
      <c r="R16" s="89"/>
      <c r="S16" s="105"/>
      <c r="T16" s="89"/>
      <c r="U16" s="105"/>
      <c r="V16" s="89"/>
      <c r="W16" s="105"/>
      <c r="X16" s="89"/>
      <c r="Y16" s="90"/>
      <c r="Z16" s="90"/>
    </row>
    <row r="17" spans="1:26" ht="21.75" customHeight="1">
      <c r="A17" s="78"/>
      <c r="B17" s="13" t="s">
        <v>52</v>
      </c>
      <c r="C17" s="26" t="s">
        <v>51</v>
      </c>
      <c r="D17" s="26" t="s">
        <v>55</v>
      </c>
      <c r="E17" s="67"/>
      <c r="F17" s="26" t="s">
        <v>52</v>
      </c>
      <c r="G17" s="14" t="s">
        <v>51</v>
      </c>
      <c r="H17" s="12" t="s">
        <v>55</v>
      </c>
      <c r="I17" s="119"/>
      <c r="J17" s="120"/>
      <c r="K17" s="120"/>
      <c r="L17" s="17" t="s">
        <v>69</v>
      </c>
      <c r="M17" s="111" t="s">
        <v>92</v>
      </c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spans="1:26" ht="23.25" customHeight="1">
      <c r="A18" s="45" t="s">
        <v>7</v>
      </c>
      <c r="B18" s="49">
        <v>4383.2700000000004</v>
      </c>
      <c r="C18" s="31"/>
      <c r="D18" s="30"/>
      <c r="E18" s="29"/>
      <c r="F18" s="49">
        <v>2737.5927000000001</v>
      </c>
      <c r="G18" s="28"/>
      <c r="H18" s="30"/>
      <c r="I18" s="33"/>
      <c r="J18" s="29"/>
      <c r="K18" s="29">
        <v>6.4</v>
      </c>
      <c r="L18" s="35"/>
      <c r="M18" s="104" t="s">
        <v>79</v>
      </c>
      <c r="N18" s="98" t="s">
        <v>98</v>
      </c>
      <c r="O18" s="98"/>
      <c r="P18" s="98"/>
      <c r="Q18" s="98" t="s">
        <v>107</v>
      </c>
      <c r="R18" s="98"/>
      <c r="S18" s="98"/>
      <c r="T18" s="98" t="s">
        <v>93</v>
      </c>
      <c r="U18" s="98"/>
      <c r="V18" s="98"/>
      <c r="W18" s="100" t="s">
        <v>91</v>
      </c>
      <c r="X18" s="112"/>
      <c r="Y18" s="112"/>
      <c r="Z18" s="112"/>
    </row>
    <row r="19" spans="1:26" ht="23.25" customHeight="1">
      <c r="A19" s="45" t="s">
        <v>8</v>
      </c>
      <c r="B19" s="49">
        <v>4383.3301000000001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6.0099999999692955E-2</v>
      </c>
      <c r="D19" s="30">
        <f t="shared" ref="D19:D42" si="1">IF(C19="","",C19*$D$15)</f>
        <v>2163.5999999889464</v>
      </c>
      <c r="E19" s="29"/>
      <c r="F19" s="49">
        <v>2737.6266000000001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3.389999999990323E-2</v>
      </c>
      <c r="H19" s="30">
        <f t="shared" ref="H19:H42" si="3">IF(G19="","",G19*$H$15)</f>
        <v>1220.3999999965163</v>
      </c>
      <c r="I19" s="33">
        <f t="shared" ref="I19:I42" si="4">IF(H19="","",IF(D19="","",IF(AND(H19=0,D19=0),0,H19/D19)))</f>
        <v>0.56405990016766094</v>
      </c>
      <c r="J19" s="29"/>
      <c r="K19" s="29">
        <v>6.4</v>
      </c>
      <c r="L19" s="35"/>
      <c r="M19" s="95"/>
      <c r="N19" s="99"/>
      <c r="O19" s="99"/>
      <c r="P19" s="99"/>
      <c r="Q19" s="99" t="s">
        <v>108</v>
      </c>
      <c r="R19" s="99"/>
      <c r="S19" s="99"/>
      <c r="T19" s="99"/>
      <c r="U19" s="99"/>
      <c r="V19" s="99"/>
      <c r="W19" s="101"/>
      <c r="X19" s="91"/>
      <c r="Y19" s="91"/>
      <c r="Z19" s="91"/>
    </row>
    <row r="20" spans="1:26" ht="23.25" customHeight="1">
      <c r="A20" s="45" t="s">
        <v>9</v>
      </c>
      <c r="B20" s="49">
        <v>4383.3909000000003</v>
      </c>
      <c r="C20" s="31">
        <f t="shared" si="0"/>
        <v>6.0800000000199361E-2</v>
      </c>
      <c r="D20" s="30">
        <f t="shared" si="1"/>
        <v>2188.800000007177</v>
      </c>
      <c r="E20" s="29"/>
      <c r="F20" s="49">
        <v>2737.6611000000003</v>
      </c>
      <c r="G20" s="28">
        <f t="shared" si="2"/>
        <v>3.4500000000207365E-2</v>
      </c>
      <c r="H20" s="30">
        <f t="shared" si="3"/>
        <v>1242.0000000074651</v>
      </c>
      <c r="I20" s="33">
        <f t="shared" si="4"/>
        <v>0.5674342105278658</v>
      </c>
      <c r="J20" s="29"/>
      <c r="K20" s="29">
        <v>6.4</v>
      </c>
      <c r="L20" s="35"/>
      <c r="M20" s="95" t="s">
        <v>80</v>
      </c>
      <c r="N20" s="99" t="s">
        <v>99</v>
      </c>
      <c r="O20" s="99"/>
      <c r="P20" s="99"/>
      <c r="Q20" s="99" t="s">
        <v>189</v>
      </c>
      <c r="R20" s="99"/>
      <c r="S20" s="99"/>
      <c r="T20" s="99" t="s">
        <v>94</v>
      </c>
      <c r="U20" s="99"/>
      <c r="V20" s="99"/>
      <c r="W20" s="101"/>
      <c r="X20" s="91"/>
      <c r="Y20" s="91"/>
      <c r="Z20" s="91"/>
    </row>
    <row r="21" spans="1:26" ht="23.25" customHeight="1">
      <c r="A21" s="45" t="s">
        <v>10</v>
      </c>
      <c r="B21" s="49">
        <v>4383.4549000000006</v>
      </c>
      <c r="C21" s="31">
        <f t="shared" si="0"/>
        <v>6.400000000030559E-2</v>
      </c>
      <c r="D21" s="30">
        <f t="shared" si="1"/>
        <v>2304.0000000110012</v>
      </c>
      <c r="E21" s="29"/>
      <c r="F21" s="49">
        <v>2737.6972000000001</v>
      </c>
      <c r="G21" s="28">
        <f t="shared" si="2"/>
        <v>3.6099999999805732E-2</v>
      </c>
      <c r="H21" s="30">
        <f t="shared" si="3"/>
        <v>1299.5999999930063</v>
      </c>
      <c r="I21" s="33">
        <f t="shared" si="4"/>
        <v>0.56406249999427127</v>
      </c>
      <c r="J21" s="29"/>
      <c r="K21" s="29">
        <v>6.4</v>
      </c>
      <c r="L21" s="35"/>
      <c r="M21" s="96"/>
      <c r="N21" s="102"/>
      <c r="O21" s="102"/>
      <c r="P21" s="102"/>
      <c r="Q21" s="102"/>
      <c r="R21" s="102"/>
      <c r="S21" s="102"/>
      <c r="T21" s="102"/>
      <c r="U21" s="102"/>
      <c r="V21" s="102"/>
      <c r="W21" s="103"/>
      <c r="X21" s="111"/>
      <c r="Y21" s="111"/>
      <c r="Z21" s="111"/>
    </row>
    <row r="22" spans="1:26" ht="23.25" customHeight="1">
      <c r="A22" s="45" t="s">
        <v>11</v>
      </c>
      <c r="B22" s="49">
        <v>4383.5168000000003</v>
      </c>
      <c r="C22" s="31">
        <f t="shared" si="0"/>
        <v>6.1899999999695865E-2</v>
      </c>
      <c r="D22" s="30">
        <f t="shared" si="1"/>
        <v>2228.3999999890511</v>
      </c>
      <c r="E22" s="29"/>
      <c r="F22" s="49">
        <v>2737.7330000000002</v>
      </c>
      <c r="G22" s="28">
        <f t="shared" si="2"/>
        <v>3.5800000000108412E-2</v>
      </c>
      <c r="H22" s="30">
        <f t="shared" si="3"/>
        <v>1288.8000000039028</v>
      </c>
      <c r="I22" s="33">
        <f t="shared" si="4"/>
        <v>0.57835218094158813</v>
      </c>
      <c r="J22" s="29"/>
      <c r="K22" s="29">
        <v>6.4</v>
      </c>
      <c r="L22" s="35"/>
      <c r="M22" s="10"/>
      <c r="N22" s="106"/>
      <c r="O22" s="106"/>
      <c r="P22" s="106"/>
      <c r="Q22" s="106"/>
      <c r="R22" s="106"/>
      <c r="S22" s="106"/>
      <c r="T22" s="106"/>
      <c r="U22" s="106"/>
      <c r="V22" s="106"/>
      <c r="W22" s="89"/>
      <c r="X22" s="90"/>
      <c r="Y22" s="90"/>
      <c r="Z22" s="90"/>
    </row>
    <row r="23" spans="1:26" ht="23.25" customHeight="1">
      <c r="A23" s="45" t="s">
        <v>12</v>
      </c>
      <c r="B23" s="49">
        <v>4383.5758000000005</v>
      </c>
      <c r="C23" s="31">
        <f t="shared" si="0"/>
        <v>5.9000000000196451E-2</v>
      </c>
      <c r="D23" s="30">
        <f t="shared" si="1"/>
        <v>2124.0000000070722</v>
      </c>
      <c r="E23" s="29"/>
      <c r="F23" s="49">
        <v>2737.7671</v>
      </c>
      <c r="G23" s="28">
        <f t="shared" si="2"/>
        <v>3.4099999999853026E-2</v>
      </c>
      <c r="H23" s="30">
        <f t="shared" si="3"/>
        <v>1227.5999999947089</v>
      </c>
      <c r="I23" s="33">
        <f t="shared" si="4"/>
        <v>0.57796610169049978</v>
      </c>
      <c r="J23" s="29"/>
      <c r="K23" s="50">
        <v>6.4</v>
      </c>
      <c r="L23" s="35"/>
      <c r="M23" s="10"/>
      <c r="N23" s="106"/>
      <c r="O23" s="106"/>
      <c r="P23" s="106"/>
      <c r="Q23" s="106"/>
      <c r="R23" s="106"/>
      <c r="S23" s="106"/>
      <c r="T23" s="106"/>
      <c r="U23" s="106"/>
      <c r="V23" s="106"/>
      <c r="W23" s="89"/>
      <c r="X23" s="90"/>
      <c r="Y23" s="90"/>
      <c r="Z23" s="90"/>
    </row>
    <row r="24" spans="1:26" ht="23.25" customHeight="1">
      <c r="A24" s="45" t="s">
        <v>13</v>
      </c>
      <c r="B24" s="49">
        <v>4383.6352000000006</v>
      </c>
      <c r="C24" s="31">
        <f t="shared" si="0"/>
        <v>5.9400000000096043E-2</v>
      </c>
      <c r="D24" s="30">
        <f t="shared" si="1"/>
        <v>2138.4000000034575</v>
      </c>
      <c r="E24" s="29"/>
      <c r="F24" s="49">
        <v>2737.8012000000003</v>
      </c>
      <c r="G24" s="28">
        <f t="shared" si="2"/>
        <v>3.4100000000307773E-2</v>
      </c>
      <c r="H24" s="30">
        <f t="shared" si="3"/>
        <v>1227.6000000110798</v>
      </c>
      <c r="I24" s="33">
        <f t="shared" si="4"/>
        <v>0.57407407407832722</v>
      </c>
      <c r="J24" s="29"/>
      <c r="K24" s="50">
        <v>6.4</v>
      </c>
      <c r="L24" s="35"/>
      <c r="M24" s="10"/>
      <c r="N24" s="106"/>
      <c r="O24" s="106"/>
      <c r="P24" s="106"/>
      <c r="Q24" s="106"/>
      <c r="R24" s="106"/>
      <c r="S24" s="106"/>
      <c r="T24" s="106"/>
      <c r="U24" s="106"/>
      <c r="V24" s="106"/>
      <c r="W24" s="89"/>
      <c r="X24" s="90"/>
      <c r="Y24" s="90"/>
      <c r="Z24" s="90"/>
    </row>
    <row r="25" spans="1:26" ht="23.25" customHeight="1">
      <c r="A25" s="45" t="s">
        <v>14</v>
      </c>
      <c r="B25" s="49">
        <v>4383.6944000000003</v>
      </c>
      <c r="C25" s="31">
        <f t="shared" si="0"/>
        <v>5.9199999999691499E-2</v>
      </c>
      <c r="D25" s="30">
        <f t="shared" si="1"/>
        <v>2131.199999988894</v>
      </c>
      <c r="E25" s="29"/>
      <c r="F25" s="49">
        <v>2737.8344999999999</v>
      </c>
      <c r="G25" s="28">
        <f t="shared" si="2"/>
        <v>3.3299999999599095E-2</v>
      </c>
      <c r="H25" s="30">
        <f t="shared" si="3"/>
        <v>1198.7999999855674</v>
      </c>
      <c r="I25" s="33">
        <f t="shared" si="4"/>
        <v>0.56249999999615918</v>
      </c>
      <c r="J25" s="29"/>
      <c r="K25" s="50">
        <v>6.4</v>
      </c>
      <c r="L25" s="35"/>
      <c r="M25" s="10"/>
      <c r="N25" s="106"/>
      <c r="O25" s="106"/>
      <c r="P25" s="106"/>
      <c r="Q25" s="106"/>
      <c r="R25" s="106"/>
      <c r="S25" s="106"/>
      <c r="T25" s="106"/>
      <c r="U25" s="106"/>
      <c r="V25" s="106"/>
      <c r="W25" s="89"/>
      <c r="X25" s="90"/>
      <c r="Y25" s="90"/>
      <c r="Z25" s="90"/>
    </row>
    <row r="26" spans="1:26" ht="23.25" customHeight="1">
      <c r="A26" s="45" t="s">
        <v>15</v>
      </c>
      <c r="B26" s="49">
        <v>4383.7575000000006</v>
      </c>
      <c r="C26" s="31">
        <f t="shared" si="0"/>
        <v>6.3100000000304135E-2</v>
      </c>
      <c r="D26" s="30">
        <f t="shared" si="1"/>
        <v>2271.6000000109489</v>
      </c>
      <c r="E26" s="29"/>
      <c r="F26" s="49">
        <v>2737.8701000000001</v>
      </c>
      <c r="G26" s="28">
        <f t="shared" si="2"/>
        <v>3.5600000000158616E-2</v>
      </c>
      <c r="H26" s="30">
        <f t="shared" si="3"/>
        <v>1281.6000000057102</v>
      </c>
      <c r="I26" s="33">
        <f t="shared" si="4"/>
        <v>0.56418383518204485</v>
      </c>
      <c r="J26" s="29"/>
      <c r="K26" s="29">
        <v>6.3</v>
      </c>
      <c r="L26" s="35"/>
      <c r="M26" s="10"/>
      <c r="N26" s="106"/>
      <c r="O26" s="106"/>
      <c r="P26" s="106"/>
      <c r="Q26" s="106"/>
      <c r="R26" s="106"/>
      <c r="S26" s="106"/>
      <c r="T26" s="106"/>
      <c r="U26" s="106"/>
      <c r="V26" s="106"/>
      <c r="W26" s="89"/>
      <c r="X26" s="90"/>
      <c r="Y26" s="90"/>
      <c r="Z26" s="90"/>
    </row>
    <row r="27" spans="1:26" ht="23.25" customHeight="1">
      <c r="A27" s="45" t="s">
        <v>16</v>
      </c>
      <c r="B27" s="49">
        <v>4383.8240000000005</v>
      </c>
      <c r="C27" s="31">
        <f t="shared" si="0"/>
        <v>6.6499999999905413E-2</v>
      </c>
      <c r="D27" s="30">
        <f t="shared" si="1"/>
        <v>2393.9999999965949</v>
      </c>
      <c r="E27" s="29"/>
      <c r="F27" s="49">
        <v>2737.9080000000004</v>
      </c>
      <c r="G27" s="28">
        <f t="shared" si="2"/>
        <v>3.790000000026339E-2</v>
      </c>
      <c r="H27" s="30">
        <f t="shared" si="3"/>
        <v>1364.400000009482</v>
      </c>
      <c r="I27" s="33">
        <f t="shared" si="4"/>
        <v>0.56992481203484657</v>
      </c>
      <c r="J27" s="29"/>
      <c r="K27" s="50">
        <v>6.3</v>
      </c>
      <c r="L27" s="35"/>
      <c r="M27" s="10"/>
      <c r="N27" s="106"/>
      <c r="O27" s="106"/>
      <c r="P27" s="106"/>
      <c r="Q27" s="106"/>
      <c r="R27" s="106"/>
      <c r="S27" s="106"/>
      <c r="T27" s="106"/>
      <c r="U27" s="106"/>
      <c r="V27" s="106"/>
      <c r="W27" s="89"/>
      <c r="X27" s="90"/>
      <c r="Y27" s="90"/>
      <c r="Z27" s="90"/>
    </row>
    <row r="28" spans="1:26" ht="23.25" customHeight="1">
      <c r="A28" s="45" t="s">
        <v>17</v>
      </c>
      <c r="B28" s="49">
        <v>4383.8905000000004</v>
      </c>
      <c r="C28" s="31">
        <f t="shared" si="0"/>
        <v>6.6499999999905413E-2</v>
      </c>
      <c r="D28" s="30">
        <f t="shared" si="1"/>
        <v>2393.9999999965949</v>
      </c>
      <c r="E28" s="29"/>
      <c r="F28" s="49">
        <v>2737.9446000000003</v>
      </c>
      <c r="G28" s="28">
        <f t="shared" si="2"/>
        <v>3.6599999999907595E-2</v>
      </c>
      <c r="H28" s="30">
        <f t="shared" si="3"/>
        <v>1317.5999999966734</v>
      </c>
      <c r="I28" s="33">
        <f t="shared" si="4"/>
        <v>0.55037593984901734</v>
      </c>
      <c r="J28" s="29"/>
      <c r="K28" s="50">
        <v>6.3</v>
      </c>
      <c r="L28" s="35"/>
      <c r="M28" s="10"/>
      <c r="N28" s="106"/>
      <c r="O28" s="106"/>
      <c r="P28" s="106"/>
      <c r="Q28" s="106"/>
      <c r="R28" s="106"/>
      <c r="S28" s="106"/>
      <c r="T28" s="106"/>
      <c r="U28" s="106"/>
      <c r="V28" s="106"/>
      <c r="W28" s="89"/>
      <c r="X28" s="90"/>
      <c r="Y28" s="90"/>
      <c r="Z28" s="90"/>
    </row>
    <row r="29" spans="1:26" ht="23.25" customHeight="1">
      <c r="A29" s="45" t="s">
        <v>18</v>
      </c>
      <c r="B29" s="49">
        <v>4383.9580000000005</v>
      </c>
      <c r="C29" s="31">
        <f t="shared" si="0"/>
        <v>6.7500000000109139E-2</v>
      </c>
      <c r="D29" s="30">
        <f t="shared" si="1"/>
        <v>2430.000000003929</v>
      </c>
      <c r="E29" s="29"/>
      <c r="F29" s="49">
        <v>2737.9808000000003</v>
      </c>
      <c r="G29" s="28">
        <f t="shared" si="2"/>
        <v>3.6200000000008004E-2</v>
      </c>
      <c r="H29" s="30">
        <f t="shared" si="3"/>
        <v>1303.2000000002881</v>
      </c>
      <c r="I29" s="33">
        <f t="shared" si="4"/>
        <v>0.53629629629554776</v>
      </c>
      <c r="J29" s="29"/>
      <c r="K29" s="50">
        <v>6.3</v>
      </c>
      <c r="L29" s="35"/>
      <c r="M29" s="97" t="s">
        <v>95</v>
      </c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23.25" customHeight="1">
      <c r="A30" s="45" t="s">
        <v>19</v>
      </c>
      <c r="B30" s="49">
        <v>4384.0274000000009</v>
      </c>
      <c r="C30" s="31">
        <f t="shared" si="0"/>
        <v>6.9400000000314321E-2</v>
      </c>
      <c r="D30" s="30">
        <f t="shared" si="1"/>
        <v>2498.4000000113156</v>
      </c>
      <c r="E30" s="29"/>
      <c r="F30" s="49">
        <v>2738.0181000000002</v>
      </c>
      <c r="G30" s="28">
        <f t="shared" si="2"/>
        <v>3.7299999999959255E-2</v>
      </c>
      <c r="H30" s="30">
        <f t="shared" si="3"/>
        <v>1342.7999999985332</v>
      </c>
      <c r="I30" s="33">
        <f t="shared" si="4"/>
        <v>0.53746397694222359</v>
      </c>
      <c r="J30" s="29"/>
      <c r="K30" s="50">
        <v>6.3</v>
      </c>
      <c r="L30" s="35"/>
      <c r="M30" s="91" t="s">
        <v>97</v>
      </c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 spans="1:26" ht="23.25" customHeight="1">
      <c r="A31" s="45" t="s">
        <v>20</v>
      </c>
      <c r="B31" s="49">
        <v>4384.0978000000005</v>
      </c>
      <c r="C31" s="31">
        <f t="shared" si="0"/>
        <v>7.0399999999608553E-2</v>
      </c>
      <c r="D31" s="30">
        <f t="shared" si="1"/>
        <v>2534.3999999859079</v>
      </c>
      <c r="E31" s="29"/>
      <c r="F31" s="49">
        <v>2738.0558000000001</v>
      </c>
      <c r="G31" s="28">
        <f t="shared" si="2"/>
        <v>3.7699999999858846E-2</v>
      </c>
      <c r="H31" s="30">
        <f t="shared" si="3"/>
        <v>1357.1999999949185</v>
      </c>
      <c r="I31" s="33">
        <f t="shared" si="4"/>
        <v>0.5355113636373362</v>
      </c>
      <c r="J31" s="29"/>
      <c r="K31" s="50">
        <v>6.3</v>
      </c>
      <c r="L31" s="35"/>
      <c r="M31" s="104" t="s">
        <v>79</v>
      </c>
      <c r="N31" s="98" t="s">
        <v>98</v>
      </c>
      <c r="O31" s="98"/>
      <c r="P31" s="98" t="s">
        <v>100</v>
      </c>
      <c r="Q31" s="98"/>
      <c r="R31" s="98" t="s">
        <v>93</v>
      </c>
      <c r="S31" s="98"/>
      <c r="T31" s="98" t="s">
        <v>103</v>
      </c>
      <c r="U31" s="98"/>
      <c r="V31" s="98" t="s">
        <v>187</v>
      </c>
      <c r="W31" s="98"/>
      <c r="X31" s="98"/>
      <c r="Y31" s="98" t="s">
        <v>91</v>
      </c>
      <c r="Z31" s="100"/>
    </row>
    <row r="32" spans="1:26" ht="23.25" customHeight="1">
      <c r="A32" s="45" t="s">
        <v>21</v>
      </c>
      <c r="B32" s="49">
        <v>4384.1635000000006</v>
      </c>
      <c r="C32" s="31">
        <f t="shared" si="0"/>
        <v>6.5700000000106229E-2</v>
      </c>
      <c r="D32" s="30">
        <f t="shared" si="1"/>
        <v>2365.2000000038242</v>
      </c>
      <c r="E32" s="29"/>
      <c r="F32" s="49">
        <v>2738.0925999999999</v>
      </c>
      <c r="G32" s="28">
        <f t="shared" si="2"/>
        <v>3.6799999999857391E-2</v>
      </c>
      <c r="H32" s="30">
        <f t="shared" si="3"/>
        <v>1324.7999999948661</v>
      </c>
      <c r="I32" s="33">
        <f t="shared" si="4"/>
        <v>0.56012176559814142</v>
      </c>
      <c r="J32" s="29"/>
      <c r="K32" s="50">
        <v>6.3</v>
      </c>
      <c r="L32" s="35"/>
      <c r="M32" s="95"/>
      <c r="N32" s="99"/>
      <c r="O32" s="99"/>
      <c r="P32" s="99" t="s">
        <v>83</v>
      </c>
      <c r="Q32" s="99"/>
      <c r="R32" s="99" t="s">
        <v>102</v>
      </c>
      <c r="S32" s="99"/>
      <c r="T32" s="99" t="s">
        <v>104</v>
      </c>
      <c r="U32" s="99"/>
      <c r="V32" s="99" t="s">
        <v>105</v>
      </c>
      <c r="W32" s="99"/>
      <c r="X32" s="99"/>
      <c r="Y32" s="99"/>
      <c r="Z32" s="101"/>
    </row>
    <row r="33" spans="1:26" ht="23.25" customHeight="1">
      <c r="A33" s="45" t="s">
        <v>22</v>
      </c>
      <c r="B33" s="49">
        <v>4384.2296000000006</v>
      </c>
      <c r="C33" s="31">
        <f t="shared" si="0"/>
        <v>6.6100000000005821E-2</v>
      </c>
      <c r="D33" s="30">
        <f t="shared" si="1"/>
        <v>2379.6000000002095</v>
      </c>
      <c r="E33" s="29"/>
      <c r="F33" s="49">
        <v>2738.13</v>
      </c>
      <c r="G33" s="28">
        <f t="shared" si="2"/>
        <v>3.7400000000161526E-2</v>
      </c>
      <c r="H33" s="30">
        <f t="shared" si="3"/>
        <v>1346.4000000058149</v>
      </c>
      <c r="I33" s="33">
        <f t="shared" si="4"/>
        <v>0.56580937973007916</v>
      </c>
      <c r="J33" s="29"/>
      <c r="K33" s="50">
        <v>6.3</v>
      </c>
      <c r="L33" s="35"/>
      <c r="M33" s="95" t="s">
        <v>80</v>
      </c>
      <c r="N33" s="99" t="s">
        <v>99</v>
      </c>
      <c r="O33" s="99"/>
      <c r="P33" s="99" t="s">
        <v>101</v>
      </c>
      <c r="Q33" s="99"/>
      <c r="R33" s="99" t="s">
        <v>69</v>
      </c>
      <c r="S33" s="99"/>
      <c r="T33" s="99" t="s">
        <v>69</v>
      </c>
      <c r="U33" s="99"/>
      <c r="V33" s="99" t="s">
        <v>106</v>
      </c>
      <c r="W33" s="99"/>
      <c r="X33" s="99"/>
      <c r="Y33" s="99"/>
      <c r="Z33" s="101"/>
    </row>
    <row r="34" spans="1:26" ht="23.25" customHeight="1">
      <c r="A34" s="45" t="s">
        <v>23</v>
      </c>
      <c r="B34" s="49">
        <v>4384.2956000000004</v>
      </c>
      <c r="C34" s="31">
        <f t="shared" si="0"/>
        <v>6.5999999999803549E-2</v>
      </c>
      <c r="D34" s="30">
        <f t="shared" si="1"/>
        <v>2375.9999999929278</v>
      </c>
      <c r="E34" s="29"/>
      <c r="F34" s="49">
        <v>2738.1672000000003</v>
      </c>
      <c r="G34" s="28">
        <f t="shared" si="2"/>
        <v>3.720000000021173E-2</v>
      </c>
      <c r="H34" s="30">
        <f t="shared" si="3"/>
        <v>1339.2000000076223</v>
      </c>
      <c r="I34" s="33">
        <f t="shared" si="4"/>
        <v>0.56363636364124936</v>
      </c>
      <c r="J34" s="29"/>
      <c r="K34" s="29">
        <v>6.4</v>
      </c>
      <c r="L34" s="35"/>
      <c r="M34" s="96"/>
      <c r="N34" s="102"/>
      <c r="O34" s="102"/>
      <c r="P34" s="102"/>
      <c r="Q34" s="102"/>
      <c r="R34" s="103"/>
      <c r="S34" s="96"/>
      <c r="T34" s="103"/>
      <c r="U34" s="96"/>
      <c r="V34" s="103"/>
      <c r="W34" s="111"/>
      <c r="X34" s="96"/>
      <c r="Y34" s="102"/>
      <c r="Z34" s="103"/>
    </row>
    <row r="35" spans="1:26" ht="23.25" customHeight="1">
      <c r="A35" s="45" t="s">
        <v>24</v>
      </c>
      <c r="B35" s="49">
        <v>4384.3611000000001</v>
      </c>
      <c r="C35" s="31">
        <f t="shared" si="0"/>
        <v>6.5499999999701686E-2</v>
      </c>
      <c r="D35" s="30">
        <f t="shared" si="1"/>
        <v>2357.9999999892607</v>
      </c>
      <c r="E35" s="29"/>
      <c r="F35" s="49">
        <v>2738.2029000000002</v>
      </c>
      <c r="G35" s="28">
        <f t="shared" si="2"/>
        <v>3.569999999990614E-2</v>
      </c>
      <c r="H35" s="30">
        <f t="shared" si="3"/>
        <v>1285.199999996621</v>
      </c>
      <c r="I35" s="33">
        <f t="shared" si="4"/>
        <v>0.54503816793998061</v>
      </c>
      <c r="J35" s="29"/>
      <c r="K35" s="29">
        <v>6.4</v>
      </c>
      <c r="L35" s="35"/>
      <c r="M35" s="10"/>
      <c r="N35" s="106" t="s">
        <v>174</v>
      </c>
      <c r="O35" s="106"/>
      <c r="P35" s="114">
        <v>0.4</v>
      </c>
      <c r="Q35" s="115"/>
      <c r="R35" s="114">
        <v>720</v>
      </c>
      <c r="S35" s="115"/>
      <c r="T35" s="106"/>
      <c r="U35" s="106"/>
      <c r="V35" s="106"/>
      <c r="W35" s="106"/>
      <c r="X35" s="106"/>
      <c r="Y35" s="106"/>
      <c r="Z35" s="89"/>
    </row>
    <row r="36" spans="1:26" ht="23.25" customHeight="1">
      <c r="A36" s="45" t="s">
        <v>25</v>
      </c>
      <c r="B36" s="49">
        <v>4384.4276</v>
      </c>
      <c r="C36" s="31">
        <f t="shared" si="0"/>
        <v>6.6499999999905413E-2</v>
      </c>
      <c r="D36" s="30">
        <f t="shared" si="1"/>
        <v>2393.9999999965949</v>
      </c>
      <c r="E36" s="29"/>
      <c r="F36" s="49">
        <v>2738.2378000000003</v>
      </c>
      <c r="G36" s="28">
        <f t="shared" si="2"/>
        <v>3.4900000000106957E-2</v>
      </c>
      <c r="H36" s="30">
        <f t="shared" si="3"/>
        <v>1256.4000000038504</v>
      </c>
      <c r="I36" s="33">
        <f t="shared" si="4"/>
        <v>0.52481203007754285</v>
      </c>
      <c r="J36" s="29"/>
      <c r="K36" s="29">
        <v>6.4</v>
      </c>
      <c r="L36" s="35"/>
      <c r="M36" s="10"/>
      <c r="N36" s="106" t="s">
        <v>175</v>
      </c>
      <c r="O36" s="106"/>
      <c r="P36" s="116"/>
      <c r="Q36" s="117"/>
      <c r="R36" s="116"/>
      <c r="S36" s="117"/>
      <c r="T36" s="106"/>
      <c r="U36" s="106"/>
      <c r="V36" s="106"/>
      <c r="W36" s="106"/>
      <c r="X36" s="106"/>
      <c r="Y36" s="106"/>
      <c r="Z36" s="89"/>
    </row>
    <row r="37" spans="1:26" ht="23.25" customHeight="1">
      <c r="A37" s="45" t="s">
        <v>26</v>
      </c>
      <c r="B37" s="49">
        <v>4384.4935000000005</v>
      </c>
      <c r="C37" s="31">
        <f t="shared" si="0"/>
        <v>6.5900000000510772E-2</v>
      </c>
      <c r="D37" s="30">
        <f t="shared" si="1"/>
        <v>2372.4000000183878</v>
      </c>
      <c r="E37" s="29"/>
      <c r="F37" s="49">
        <v>2738.2721000000001</v>
      </c>
      <c r="G37" s="28">
        <f t="shared" si="2"/>
        <v>3.4299999999802822E-2</v>
      </c>
      <c r="H37" s="30">
        <f t="shared" si="3"/>
        <v>1234.7999999929016</v>
      </c>
      <c r="I37" s="33">
        <f t="shared" si="4"/>
        <v>0.52048558421148672</v>
      </c>
      <c r="J37" s="29"/>
      <c r="K37" s="29">
        <v>6.4</v>
      </c>
      <c r="L37" s="35"/>
      <c r="M37" s="10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89"/>
    </row>
    <row r="38" spans="1:26" ht="23.25" customHeight="1">
      <c r="A38" s="45" t="s">
        <v>27</v>
      </c>
      <c r="B38" s="49">
        <v>4384.5608000000002</v>
      </c>
      <c r="C38" s="31">
        <f t="shared" si="0"/>
        <v>6.7299999999704596E-2</v>
      </c>
      <c r="D38" s="30">
        <f t="shared" si="1"/>
        <v>2422.7999999893655</v>
      </c>
      <c r="E38" s="29"/>
      <c r="F38" s="49">
        <v>2738.3068000000003</v>
      </c>
      <c r="G38" s="28">
        <f t="shared" si="2"/>
        <v>3.4700000000157161E-2</v>
      </c>
      <c r="H38" s="30">
        <f t="shared" si="3"/>
        <v>1249.2000000056578</v>
      </c>
      <c r="I38" s="33">
        <f t="shared" si="4"/>
        <v>0.51560178306551963</v>
      </c>
      <c r="J38" s="29"/>
      <c r="K38" s="29">
        <v>6.4</v>
      </c>
      <c r="L38" s="35"/>
      <c r="M38" s="10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89"/>
    </row>
    <row r="39" spans="1:26" ht="23.25" customHeight="1">
      <c r="A39" s="45" t="s">
        <v>28</v>
      </c>
      <c r="B39" s="49">
        <v>4384.6282000000001</v>
      </c>
      <c r="C39" s="31">
        <f t="shared" si="0"/>
        <v>6.7399999999906868E-2</v>
      </c>
      <c r="D39" s="30">
        <f t="shared" si="1"/>
        <v>2426.3999999966472</v>
      </c>
      <c r="E39" s="29"/>
      <c r="F39" s="49">
        <v>2738.3422</v>
      </c>
      <c r="G39" s="28">
        <f t="shared" si="2"/>
        <v>3.5399999999754073E-2</v>
      </c>
      <c r="H39" s="30">
        <f t="shared" si="3"/>
        <v>1274.3999999911466</v>
      </c>
      <c r="I39" s="33">
        <f t="shared" si="4"/>
        <v>0.52522255192586031</v>
      </c>
      <c r="J39" s="29"/>
      <c r="K39" s="29">
        <v>6.4</v>
      </c>
      <c r="L39" s="35"/>
      <c r="M39" s="10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89"/>
    </row>
    <row r="40" spans="1:26" ht="23.25" customHeight="1">
      <c r="A40" s="45" t="s">
        <v>29</v>
      </c>
      <c r="B40" s="49">
        <v>4384.6961000000001</v>
      </c>
      <c r="C40" s="31">
        <f t="shared" si="0"/>
        <v>6.7900000000008731E-2</v>
      </c>
      <c r="D40" s="30">
        <f t="shared" si="1"/>
        <v>2444.4000000003143</v>
      </c>
      <c r="E40" s="29"/>
      <c r="F40" s="49">
        <v>2738.3785000000003</v>
      </c>
      <c r="G40" s="28">
        <f t="shared" si="2"/>
        <v>3.6300000000210275E-2</v>
      </c>
      <c r="H40" s="30">
        <f t="shared" si="3"/>
        <v>1306.8000000075699</v>
      </c>
      <c r="I40" s="33">
        <f t="shared" si="4"/>
        <v>0.53460972017975861</v>
      </c>
      <c r="J40" s="29"/>
      <c r="K40" s="29">
        <v>6.4</v>
      </c>
      <c r="L40" s="35"/>
      <c r="M40" s="91" t="s">
        <v>109</v>
      </c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</row>
    <row r="41" spans="1:26" ht="23.25" customHeight="1">
      <c r="A41" s="45" t="s">
        <v>30</v>
      </c>
      <c r="B41" s="49">
        <v>4384.7636000000002</v>
      </c>
      <c r="C41" s="31">
        <f t="shared" si="0"/>
        <v>6.7500000000109139E-2</v>
      </c>
      <c r="D41" s="30">
        <f t="shared" si="1"/>
        <v>2430.000000003929</v>
      </c>
      <c r="E41" s="29"/>
      <c r="F41" s="49">
        <v>2738.4146000000001</v>
      </c>
      <c r="G41" s="28">
        <f t="shared" si="2"/>
        <v>3.6099999999805732E-2</v>
      </c>
      <c r="H41" s="30">
        <f t="shared" si="3"/>
        <v>1299.5999999930063</v>
      </c>
      <c r="I41" s="33">
        <f t="shared" si="4"/>
        <v>0.53481481481107207</v>
      </c>
      <c r="J41" s="29"/>
      <c r="K41" s="29">
        <v>6.4</v>
      </c>
      <c r="L41" s="35"/>
      <c r="M41" s="104" t="s">
        <v>79</v>
      </c>
      <c r="N41" s="98" t="s">
        <v>98</v>
      </c>
      <c r="O41" s="98"/>
      <c r="P41" s="98" t="s">
        <v>93</v>
      </c>
      <c r="Q41" s="98"/>
      <c r="R41" s="98"/>
      <c r="S41" s="98" t="s">
        <v>111</v>
      </c>
      <c r="T41" s="98" t="s">
        <v>81</v>
      </c>
      <c r="U41" s="98"/>
      <c r="V41" s="98"/>
      <c r="W41" s="98"/>
      <c r="X41" s="98" t="s">
        <v>93</v>
      </c>
      <c r="Y41" s="98"/>
      <c r="Z41" s="100"/>
    </row>
    <row r="42" spans="1:26" ht="23.25" customHeight="1">
      <c r="A42" s="45" t="s">
        <v>31</v>
      </c>
      <c r="B42" s="49">
        <v>4384.8293999999996</v>
      </c>
      <c r="C42" s="31">
        <f t="shared" si="0"/>
        <v>6.5799999999399006E-2</v>
      </c>
      <c r="D42" s="30">
        <f t="shared" si="1"/>
        <v>2368.7999999783642</v>
      </c>
      <c r="E42" s="29"/>
      <c r="F42" s="49">
        <v>2738.4501</v>
      </c>
      <c r="G42" s="28">
        <f t="shared" si="2"/>
        <v>3.5499999999956344E-2</v>
      </c>
      <c r="H42" s="30">
        <f t="shared" si="3"/>
        <v>1277.9999999984284</v>
      </c>
      <c r="I42" s="33">
        <f t="shared" si="4"/>
        <v>0.53951367781581439</v>
      </c>
      <c r="J42" s="29"/>
      <c r="K42" s="29">
        <v>6.4</v>
      </c>
      <c r="L42" s="35"/>
      <c r="M42" s="95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101"/>
    </row>
    <row r="43" spans="1:26" ht="22.5" customHeight="1">
      <c r="A43" s="121" t="s">
        <v>70</v>
      </c>
      <c r="B43" s="121"/>
      <c r="C43" s="121"/>
      <c r="D43" s="30">
        <f>SUM(D18:D42)</f>
        <v>56138.399999970716</v>
      </c>
      <c r="E43" s="29"/>
      <c r="F43" s="36" t="s">
        <v>196</v>
      </c>
      <c r="G43" s="29" t="s">
        <v>197</v>
      </c>
      <c r="H43" s="30">
        <f>SUM(H18:H42)</f>
        <v>30866.399999995338</v>
      </c>
      <c r="I43" s="33">
        <f>IF(AND(H43=0,D43=0),0,H43/D43)</f>
        <v>0.54982685648346652</v>
      </c>
      <c r="J43" s="29"/>
      <c r="K43" s="29"/>
      <c r="L43" s="35"/>
      <c r="M43" s="95" t="s">
        <v>80</v>
      </c>
      <c r="N43" s="99" t="s">
        <v>99</v>
      </c>
      <c r="O43" s="99"/>
      <c r="P43" s="99" t="s">
        <v>110</v>
      </c>
      <c r="Q43" s="99"/>
      <c r="R43" s="99"/>
      <c r="S43" s="99"/>
      <c r="T43" s="99"/>
      <c r="U43" s="99"/>
      <c r="V43" s="99"/>
      <c r="W43" s="99"/>
      <c r="X43" s="99" t="s">
        <v>110</v>
      </c>
      <c r="Y43" s="99"/>
      <c r="Z43" s="101"/>
    </row>
    <row r="44" spans="1:26" ht="22.5" customHeight="1">
      <c r="A44" s="76" t="s">
        <v>71</v>
      </c>
      <c r="B44" s="76"/>
      <c r="C44" s="76"/>
      <c r="D44" s="29"/>
      <c r="E44" s="29"/>
      <c r="F44" s="36"/>
      <c r="G44" s="29"/>
      <c r="H44" s="29"/>
      <c r="I44" s="29"/>
      <c r="J44" s="29"/>
      <c r="K44" s="29"/>
      <c r="L44" s="35"/>
      <c r="M44" s="96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3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89"/>
      <c r="O45" s="105"/>
      <c r="P45" s="89"/>
      <c r="Q45" s="90"/>
      <c r="R45" s="105"/>
      <c r="S45" s="8"/>
      <c r="T45" s="89"/>
      <c r="U45" s="90"/>
      <c r="V45" s="90"/>
      <c r="W45" s="105"/>
      <c r="X45" s="89"/>
      <c r="Y45" s="90"/>
      <c r="Z45" s="90"/>
    </row>
    <row r="46" spans="1:26" ht="22.5" customHeight="1">
      <c r="A46" s="54" t="s">
        <v>72</v>
      </c>
      <c r="B46" s="54"/>
      <c r="C46" s="54"/>
      <c r="D46" s="54"/>
      <c r="E46" s="54"/>
      <c r="F46" s="54"/>
      <c r="G46" s="77" t="s">
        <v>73</v>
      </c>
      <c r="H46" s="77"/>
      <c r="I46" s="77"/>
      <c r="J46" s="77"/>
      <c r="K46" s="77"/>
      <c r="L46" s="77"/>
      <c r="M46" s="10"/>
      <c r="N46" s="89"/>
      <c r="O46" s="105"/>
      <c r="P46" s="89"/>
      <c r="Q46" s="90"/>
      <c r="R46" s="105"/>
      <c r="S46" s="8"/>
      <c r="T46" s="89"/>
      <c r="U46" s="90"/>
      <c r="V46" s="90"/>
      <c r="W46" s="105"/>
      <c r="X46" s="89"/>
      <c r="Y46" s="90"/>
      <c r="Z46" s="90"/>
    </row>
    <row r="47" spans="1:26" ht="22.5" customHeight="1">
      <c r="A47" s="52" t="s">
        <v>388</v>
      </c>
      <c r="B47" s="52"/>
      <c r="C47" s="52"/>
      <c r="D47" s="54" t="s">
        <v>74</v>
      </c>
      <c r="E47" s="54"/>
      <c r="F47" s="54"/>
      <c r="G47" s="40"/>
      <c r="H47" s="40"/>
      <c r="I47" s="40"/>
      <c r="J47" s="40"/>
      <c r="K47" s="40"/>
      <c r="L47" s="40"/>
      <c r="M47" s="10"/>
      <c r="N47" s="89"/>
      <c r="O47" s="105"/>
      <c r="P47" s="89"/>
      <c r="Q47" s="90"/>
      <c r="R47" s="105"/>
      <c r="S47" s="8"/>
      <c r="T47" s="89"/>
      <c r="U47" s="90"/>
      <c r="V47" s="90"/>
      <c r="W47" s="105"/>
      <c r="X47" s="89"/>
      <c r="Y47" s="90"/>
      <c r="Z47" s="90"/>
    </row>
    <row r="48" spans="1:26" ht="22.5" customHeight="1">
      <c r="A48" s="55" t="s">
        <v>75</v>
      </c>
      <c r="B48" s="55"/>
      <c r="C48" s="55"/>
      <c r="D48" s="55" t="s">
        <v>76</v>
      </c>
      <c r="E48" s="55"/>
      <c r="F48" s="55"/>
      <c r="G48" s="39"/>
      <c r="H48" s="39"/>
      <c r="I48" s="39"/>
      <c r="J48" s="39"/>
      <c r="K48" s="39"/>
      <c r="L48" s="39"/>
    </row>
    <row r="49" spans="1:23" ht="22.5" customHeight="1">
      <c r="A49" s="52" t="s">
        <v>389</v>
      </c>
      <c r="B49" s="52"/>
      <c r="C49" s="52"/>
      <c r="D49" s="54" t="s">
        <v>74</v>
      </c>
      <c r="E49" s="54"/>
      <c r="F49" s="54"/>
      <c r="G49" s="39"/>
      <c r="H49" s="54" t="s">
        <v>191</v>
      </c>
      <c r="I49" s="54"/>
      <c r="J49" s="54"/>
      <c r="K49" s="54" t="s">
        <v>77</v>
      </c>
      <c r="L49" s="54"/>
      <c r="N49" s="57" t="s">
        <v>150</v>
      </c>
      <c r="O49" s="57"/>
      <c r="P49" s="57"/>
      <c r="Q49" s="56" t="s">
        <v>391</v>
      </c>
      <c r="R49" s="56"/>
      <c r="S49" s="56"/>
      <c r="T49" s="56"/>
      <c r="U49" s="56"/>
      <c r="V49" s="56"/>
      <c r="W49" s="1"/>
    </row>
    <row r="50" spans="1:23" ht="22.5" customHeight="1">
      <c r="A50" s="55" t="s">
        <v>75</v>
      </c>
      <c r="B50" s="55"/>
      <c r="C50" s="55"/>
      <c r="D50" s="55" t="s">
        <v>76</v>
      </c>
      <c r="E50" s="55"/>
      <c r="F50" s="55"/>
      <c r="G50" s="44"/>
      <c r="H50" s="55" t="s">
        <v>75</v>
      </c>
      <c r="I50" s="55"/>
      <c r="J50" s="55"/>
      <c r="K50" s="55" t="s">
        <v>76</v>
      </c>
      <c r="L50" s="55"/>
      <c r="S50" s="53" t="s">
        <v>76</v>
      </c>
      <c r="T50" s="53"/>
    </row>
    <row r="51" spans="1:23" ht="20.100000000000001" customHeight="1">
      <c r="A51" s="52" t="s">
        <v>390</v>
      </c>
      <c r="B51" s="52"/>
      <c r="C51" s="52"/>
      <c r="D51" s="54" t="s">
        <v>74</v>
      </c>
      <c r="E51" s="54"/>
      <c r="F51" s="54"/>
      <c r="G51" s="39"/>
      <c r="H51" s="39"/>
      <c r="I51" s="39"/>
      <c r="J51" s="39"/>
      <c r="K51" s="39"/>
      <c r="L51" s="39"/>
    </row>
    <row r="52" spans="1:23" ht="20.100000000000001" customHeight="1">
      <c r="A52" s="53" t="s">
        <v>75</v>
      </c>
      <c r="B52" s="53"/>
      <c r="C52" s="53"/>
      <c r="D52" s="53" t="s">
        <v>76</v>
      </c>
      <c r="E52" s="53"/>
      <c r="F52" s="53"/>
      <c r="G52" s="1"/>
      <c r="H52" s="1"/>
    </row>
  </sheetData>
  <sheetProtection sheet="1" objects="1" scenarios="1"/>
  <mergeCells count="256"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  <mergeCell ref="T41:W44"/>
    <mergeCell ref="I1:L2"/>
    <mergeCell ref="I5:L6"/>
    <mergeCell ref="X45:Z45"/>
    <mergeCell ref="X46:Z46"/>
    <mergeCell ref="X47:Z47"/>
    <mergeCell ref="M43:M44"/>
    <mergeCell ref="N47:O47"/>
    <mergeCell ref="T45:W45"/>
    <mergeCell ref="T46:W46"/>
    <mergeCell ref="T47:W47"/>
    <mergeCell ref="N37:O37"/>
    <mergeCell ref="N43:O44"/>
    <mergeCell ref="P43:R44"/>
    <mergeCell ref="X41:Z42"/>
    <mergeCell ref="X43:Z44"/>
    <mergeCell ref="R39:S39"/>
    <mergeCell ref="T39:U39"/>
    <mergeCell ref="V39:X39"/>
    <mergeCell ref="Y39:Z39"/>
    <mergeCell ref="S41:S44"/>
    <mergeCell ref="V38:X38"/>
    <mergeCell ref="V37:X37"/>
    <mergeCell ref="Y37:Z37"/>
    <mergeCell ref="T23:V23"/>
    <mergeCell ref="V34:X34"/>
    <mergeCell ref="N25:P25"/>
    <mergeCell ref="Y38:Z38"/>
    <mergeCell ref="N38:O38"/>
    <mergeCell ref="P38:Q38"/>
    <mergeCell ref="R38:S38"/>
    <mergeCell ref="T38:U38"/>
    <mergeCell ref="W26:Z26"/>
    <mergeCell ref="N27:P27"/>
    <mergeCell ref="T37:U37"/>
    <mergeCell ref="Y35:Z35"/>
    <mergeCell ref="N36:O36"/>
    <mergeCell ref="P37:Q37"/>
    <mergeCell ref="R37:S37"/>
    <mergeCell ref="X9:Z9"/>
    <mergeCell ref="X10:Z10"/>
    <mergeCell ref="X11:Z11"/>
    <mergeCell ref="X12:Z12"/>
    <mergeCell ref="X13:Z13"/>
    <mergeCell ref="X14:Z14"/>
    <mergeCell ref="N35:O35"/>
    <mergeCell ref="T35:U35"/>
    <mergeCell ref="V35:X35"/>
    <mergeCell ref="R35:S36"/>
    <mergeCell ref="P34:Q34"/>
    <mergeCell ref="N23:P23"/>
    <mergeCell ref="T27:V27"/>
    <mergeCell ref="W27:Z27"/>
    <mergeCell ref="N26:P26"/>
    <mergeCell ref="W24:Z24"/>
    <mergeCell ref="T36:U36"/>
    <mergeCell ref="V36:X36"/>
    <mergeCell ref="Y36:Z36"/>
    <mergeCell ref="P35:Q36"/>
    <mergeCell ref="W23:Z23"/>
    <mergeCell ref="Q20:S20"/>
    <mergeCell ref="Q23:S23"/>
    <mergeCell ref="W28:Z28"/>
    <mergeCell ref="W25:Z25"/>
    <mergeCell ref="T25:V25"/>
    <mergeCell ref="Q24:S24"/>
    <mergeCell ref="Q27:S27"/>
    <mergeCell ref="T13:U13"/>
    <mergeCell ref="Q19:S19"/>
    <mergeCell ref="V16:W16"/>
    <mergeCell ref="V14:W14"/>
    <mergeCell ref="W22:Z22"/>
    <mergeCell ref="T14:U14"/>
    <mergeCell ref="R14:S14"/>
    <mergeCell ref="R15:S15"/>
    <mergeCell ref="P32:Q32"/>
    <mergeCell ref="P33:Q33"/>
    <mergeCell ref="N24:P24"/>
    <mergeCell ref="T33:U33"/>
    <mergeCell ref="R31:S31"/>
    <mergeCell ref="R32:S32"/>
    <mergeCell ref="N31:O32"/>
    <mergeCell ref="N33:O34"/>
    <mergeCell ref="P31:Q31"/>
    <mergeCell ref="T16:U16"/>
    <mergeCell ref="T20:V21"/>
    <mergeCell ref="Q21:S21"/>
    <mergeCell ref="N22:P22"/>
    <mergeCell ref="T18:V19"/>
    <mergeCell ref="Q18:S18"/>
    <mergeCell ref="P15:Q15"/>
    <mergeCell ref="T22:V22"/>
    <mergeCell ref="T24:V24"/>
    <mergeCell ref="T28:V28"/>
    <mergeCell ref="Q26:S26"/>
    <mergeCell ref="T26:V26"/>
    <mergeCell ref="R34:S34"/>
    <mergeCell ref="T34:U34"/>
    <mergeCell ref="T10:U10"/>
    <mergeCell ref="V13:W13"/>
    <mergeCell ref="R11:S11"/>
    <mergeCell ref="R12:S12"/>
    <mergeCell ref="R13:S13"/>
    <mergeCell ref="T11:U11"/>
    <mergeCell ref="V11:W11"/>
    <mergeCell ref="T12:U12"/>
    <mergeCell ref="V9:W9"/>
    <mergeCell ref="V10:W10"/>
    <mergeCell ref="N8:O8"/>
    <mergeCell ref="N9:O9"/>
    <mergeCell ref="P5:Q6"/>
    <mergeCell ref="N3:O6"/>
    <mergeCell ref="T3:U3"/>
    <mergeCell ref="T4:U4"/>
    <mergeCell ref="T5:U5"/>
    <mergeCell ref="T7:U7"/>
    <mergeCell ref="V12:W12"/>
    <mergeCell ref="T8:U8"/>
    <mergeCell ref="V8:W8"/>
    <mergeCell ref="V3:W3"/>
    <mergeCell ref="V4:W4"/>
    <mergeCell ref="V5:W5"/>
    <mergeCell ref="V6:W6"/>
    <mergeCell ref="V7:W7"/>
    <mergeCell ref="P12:Q12"/>
    <mergeCell ref="R8:S8"/>
    <mergeCell ref="R9:S9"/>
    <mergeCell ref="R10:S10"/>
    <mergeCell ref="P9:Q9"/>
    <mergeCell ref="P10:Q10"/>
    <mergeCell ref="P11:Q11"/>
    <mergeCell ref="T9:U9"/>
    <mergeCell ref="M1:Z1"/>
    <mergeCell ref="M2:Z2"/>
    <mergeCell ref="X3:Z6"/>
    <mergeCell ref="M5:M6"/>
    <mergeCell ref="M3:M4"/>
    <mergeCell ref="T6:U6"/>
    <mergeCell ref="N7:O7"/>
    <mergeCell ref="P3:Q4"/>
    <mergeCell ref="R3:S3"/>
    <mergeCell ref="R4:S4"/>
    <mergeCell ref="R5:S5"/>
    <mergeCell ref="R6:S6"/>
    <mergeCell ref="R7:S7"/>
    <mergeCell ref="X7:Z7"/>
    <mergeCell ref="M31:M32"/>
    <mergeCell ref="N16:O16"/>
    <mergeCell ref="N12:O12"/>
    <mergeCell ref="N13:O13"/>
    <mergeCell ref="M18:M19"/>
    <mergeCell ref="N20:P21"/>
    <mergeCell ref="P13:Q13"/>
    <mergeCell ref="P14:Q14"/>
    <mergeCell ref="Q22:S22"/>
    <mergeCell ref="M20:M21"/>
    <mergeCell ref="N28:P28"/>
    <mergeCell ref="Q28:S28"/>
    <mergeCell ref="P16:Q16"/>
    <mergeCell ref="M17:Z17"/>
    <mergeCell ref="W18:Z21"/>
    <mergeCell ref="N14:O14"/>
    <mergeCell ref="T15:U15"/>
    <mergeCell ref="X15:Z15"/>
    <mergeCell ref="X16:Z16"/>
    <mergeCell ref="R16:S16"/>
    <mergeCell ref="V15:W15"/>
    <mergeCell ref="N18:P19"/>
    <mergeCell ref="N15:O15"/>
    <mergeCell ref="Q25:S25"/>
    <mergeCell ref="X8:Z8"/>
    <mergeCell ref="H49:J49"/>
    <mergeCell ref="K49:L49"/>
    <mergeCell ref="A7:L7"/>
    <mergeCell ref="F13:G13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N10:O10"/>
    <mergeCell ref="N11:O11"/>
    <mergeCell ref="P7:Q7"/>
    <mergeCell ref="P8:Q8"/>
    <mergeCell ref="A12:L12"/>
    <mergeCell ref="A3:F3"/>
    <mergeCell ref="A5:F5"/>
    <mergeCell ref="A48:C48"/>
    <mergeCell ref="A49:C49"/>
    <mergeCell ref="A50:C50"/>
    <mergeCell ref="D50:F50"/>
    <mergeCell ref="D48:F48"/>
    <mergeCell ref="F15:G15"/>
    <mergeCell ref="A46:F46"/>
    <mergeCell ref="A44:C44"/>
    <mergeCell ref="A9:L9"/>
    <mergeCell ref="G5:H6"/>
    <mergeCell ref="G1:H2"/>
    <mergeCell ref="G3:H4"/>
    <mergeCell ref="A1:F1"/>
    <mergeCell ref="A2:F2"/>
    <mergeCell ref="A4:F4"/>
    <mergeCell ref="A51:C51"/>
    <mergeCell ref="D51:F51"/>
    <mergeCell ref="A6:F6"/>
    <mergeCell ref="D47:F47"/>
    <mergeCell ref="F14:G14"/>
    <mergeCell ref="H10:L10"/>
    <mergeCell ref="D13:E13"/>
    <mergeCell ref="E10:G10"/>
    <mergeCell ref="A43:C43"/>
    <mergeCell ref="I13:I17"/>
    <mergeCell ref="J13:K13"/>
    <mergeCell ref="J14:K14"/>
    <mergeCell ref="J15:K15"/>
    <mergeCell ref="I3:L4"/>
    <mergeCell ref="A11:D11"/>
    <mergeCell ref="E11:H11"/>
    <mergeCell ref="A10:D10"/>
    <mergeCell ref="H50:J50"/>
    <mergeCell ref="K50:L50"/>
    <mergeCell ref="A52:C52"/>
    <mergeCell ref="D52:F52"/>
    <mergeCell ref="K16:K17"/>
    <mergeCell ref="A13:A17"/>
    <mergeCell ref="E16:E17"/>
    <mergeCell ref="B15:C15"/>
    <mergeCell ref="D15:E15"/>
    <mergeCell ref="B13:C13"/>
    <mergeCell ref="J16:J17"/>
    <mergeCell ref="G46:L46"/>
    <mergeCell ref="D49:F49"/>
    <mergeCell ref="A47:C47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>
  <sheetPr codeName="Лист11"/>
  <dimension ref="A1:Z52"/>
  <sheetViews>
    <sheetView view="pageBreakPreview" topLeftCell="A10" zoomScale="75" zoomScaleNormal="75" zoomScaleSheetLayoutView="50" workbookViewId="0">
      <selection activeCell="Q26" sqref="Q26:S26"/>
    </sheetView>
  </sheetViews>
  <sheetFormatPr defaultRowHeight="18.75"/>
  <cols>
    <col min="1" max="1" width="11.140625" style="2" customWidth="1"/>
    <col min="2" max="2" width="14.140625" style="2" customWidth="1"/>
    <col min="3" max="3" width="12.140625" style="2" customWidth="1"/>
    <col min="4" max="4" width="14.28515625" style="2" customWidth="1"/>
    <col min="5" max="5" width="5.42578125" style="2" customWidth="1"/>
    <col min="6" max="6" width="13.42578125" style="2" customWidth="1"/>
    <col min="7" max="7" width="14.1406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.7109375" style="2" customWidth="1"/>
    <col min="13" max="20" width="10.28515625" style="2" customWidth="1"/>
    <col min="21" max="21" width="12.7109375" style="2" customWidth="1"/>
    <col min="22" max="26" width="10.28515625" style="2" customWidth="1"/>
    <col min="27" max="16384" width="9.140625" style="2"/>
  </cols>
  <sheetData>
    <row r="1" spans="1:26" ht="21.75" customHeight="1">
      <c r="A1" s="59" t="s">
        <v>157</v>
      </c>
      <c r="B1" s="59"/>
      <c r="C1" s="59"/>
      <c r="D1" s="59"/>
      <c r="E1" s="59"/>
      <c r="F1" s="59"/>
      <c r="G1" s="63" t="s">
        <v>154</v>
      </c>
      <c r="H1" s="63"/>
      <c r="I1" s="59" t="s">
        <v>160</v>
      </c>
      <c r="J1" s="59"/>
      <c r="K1" s="59"/>
      <c r="L1" s="59"/>
      <c r="M1" s="91" t="s">
        <v>96</v>
      </c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spans="1:26" ht="21.75" customHeight="1">
      <c r="A2" s="61" t="s">
        <v>45</v>
      </c>
      <c r="B2" s="61"/>
      <c r="C2" s="61"/>
      <c r="D2" s="61"/>
      <c r="E2" s="61"/>
      <c r="F2" s="61"/>
      <c r="G2" s="63"/>
      <c r="H2" s="63"/>
      <c r="I2" s="59"/>
      <c r="J2" s="59"/>
      <c r="K2" s="59"/>
      <c r="L2" s="59"/>
      <c r="M2" s="91" t="s">
        <v>78</v>
      </c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spans="1:26" ht="21.75" customHeight="1">
      <c r="A3" s="59" t="s">
        <v>158</v>
      </c>
      <c r="B3" s="60"/>
      <c r="C3" s="60"/>
      <c r="D3" s="60"/>
      <c r="E3" s="60"/>
      <c r="F3" s="60"/>
      <c r="G3" s="63" t="s">
        <v>155</v>
      </c>
      <c r="H3" s="63"/>
      <c r="I3" s="59" t="s">
        <v>213</v>
      </c>
      <c r="J3" s="59"/>
      <c r="K3" s="59"/>
      <c r="L3" s="59"/>
      <c r="M3" s="104" t="s">
        <v>79</v>
      </c>
      <c r="N3" s="100" t="s">
        <v>81</v>
      </c>
      <c r="O3" s="104"/>
      <c r="P3" s="100" t="s">
        <v>65</v>
      </c>
      <c r="Q3" s="104"/>
      <c r="R3" s="100" t="s">
        <v>82</v>
      </c>
      <c r="S3" s="104"/>
      <c r="T3" s="100" t="s">
        <v>85</v>
      </c>
      <c r="U3" s="104"/>
      <c r="V3" s="100" t="s">
        <v>87</v>
      </c>
      <c r="W3" s="104"/>
      <c r="X3" s="107" t="s">
        <v>91</v>
      </c>
      <c r="Y3" s="108"/>
      <c r="Z3" s="108"/>
    </row>
    <row r="4" spans="1:26" ht="29.25" customHeight="1">
      <c r="A4" s="61" t="s">
        <v>46</v>
      </c>
      <c r="B4" s="61"/>
      <c r="C4" s="61"/>
      <c r="D4" s="61"/>
      <c r="E4" s="61"/>
      <c r="F4" s="61"/>
      <c r="G4" s="63"/>
      <c r="H4" s="63"/>
      <c r="I4" s="59"/>
      <c r="J4" s="59"/>
      <c r="K4" s="59"/>
      <c r="L4" s="59"/>
      <c r="M4" s="95"/>
      <c r="N4" s="101"/>
      <c r="O4" s="95"/>
      <c r="P4" s="101"/>
      <c r="Q4" s="95"/>
      <c r="R4" s="101" t="s">
        <v>83</v>
      </c>
      <c r="S4" s="95"/>
      <c r="T4" s="101" t="s">
        <v>86</v>
      </c>
      <c r="U4" s="95"/>
      <c r="V4" s="101" t="s">
        <v>88</v>
      </c>
      <c r="W4" s="95"/>
      <c r="X4" s="107"/>
      <c r="Y4" s="108"/>
      <c r="Z4" s="108"/>
    </row>
    <row r="5" spans="1:26" ht="21.75" customHeight="1">
      <c r="A5" s="59" t="s">
        <v>185</v>
      </c>
      <c r="B5" s="60"/>
      <c r="C5" s="60"/>
      <c r="D5" s="60"/>
      <c r="E5" s="60"/>
      <c r="F5" s="60"/>
      <c r="G5" s="63" t="s">
        <v>156</v>
      </c>
      <c r="H5" s="63"/>
      <c r="I5" s="59" t="s">
        <v>215</v>
      </c>
      <c r="J5" s="59"/>
      <c r="K5" s="59"/>
      <c r="L5" s="59"/>
      <c r="M5" s="95" t="s">
        <v>80</v>
      </c>
      <c r="N5" s="101"/>
      <c r="O5" s="95"/>
      <c r="P5" s="101" t="s">
        <v>190</v>
      </c>
      <c r="Q5" s="95"/>
      <c r="R5" s="109" t="s">
        <v>84</v>
      </c>
      <c r="S5" s="110"/>
      <c r="T5" s="109" t="s">
        <v>84</v>
      </c>
      <c r="U5" s="110"/>
      <c r="V5" s="101" t="s">
        <v>89</v>
      </c>
      <c r="W5" s="95"/>
      <c r="X5" s="107"/>
      <c r="Y5" s="108"/>
      <c r="Z5" s="108"/>
    </row>
    <row r="6" spans="1:26" ht="21.75" customHeight="1">
      <c r="A6" s="61" t="s">
        <v>47</v>
      </c>
      <c r="B6" s="61"/>
      <c r="C6" s="61"/>
      <c r="D6" s="61"/>
      <c r="E6" s="61"/>
      <c r="F6" s="61"/>
      <c r="G6" s="63"/>
      <c r="H6" s="63"/>
      <c r="I6" s="59"/>
      <c r="J6" s="59"/>
      <c r="K6" s="59"/>
      <c r="L6" s="59"/>
      <c r="M6" s="96"/>
      <c r="N6" s="103"/>
      <c r="O6" s="96"/>
      <c r="P6" s="103"/>
      <c r="Q6" s="96"/>
      <c r="R6" s="103"/>
      <c r="S6" s="96"/>
      <c r="T6" s="103"/>
      <c r="U6" s="96"/>
      <c r="V6" s="103" t="s">
        <v>90</v>
      </c>
      <c r="W6" s="96"/>
      <c r="X6" s="107"/>
      <c r="Y6" s="108"/>
      <c r="Z6" s="108"/>
    </row>
    <row r="7" spans="1:26" ht="21.75" customHeight="1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10"/>
      <c r="N7" s="89"/>
      <c r="O7" s="105"/>
      <c r="P7" s="89"/>
      <c r="Q7" s="105"/>
      <c r="R7" s="89"/>
      <c r="S7" s="105"/>
      <c r="T7" s="89"/>
      <c r="U7" s="105"/>
      <c r="V7" s="89"/>
      <c r="W7" s="105"/>
      <c r="X7" s="89"/>
      <c r="Y7" s="90"/>
      <c r="Z7" s="90"/>
    </row>
    <row r="8" spans="1:26" ht="22.5" customHeight="1">
      <c r="A8" s="94" t="s">
        <v>48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10"/>
      <c r="N8" s="89"/>
      <c r="O8" s="105"/>
      <c r="P8" s="89"/>
      <c r="Q8" s="105"/>
      <c r="R8" s="89"/>
      <c r="S8" s="105"/>
      <c r="T8" s="89"/>
      <c r="U8" s="105"/>
      <c r="V8" s="89"/>
      <c r="W8" s="105"/>
      <c r="X8" s="89"/>
      <c r="Y8" s="90"/>
      <c r="Z8" s="90"/>
    </row>
    <row r="9" spans="1:26" ht="22.5" customHeight="1">
      <c r="A9" s="88" t="s">
        <v>49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10"/>
      <c r="N9" s="89"/>
      <c r="O9" s="105"/>
      <c r="P9" s="89"/>
      <c r="Q9" s="105"/>
      <c r="R9" s="89"/>
      <c r="S9" s="105"/>
      <c r="T9" s="89"/>
      <c r="U9" s="105"/>
      <c r="V9" s="89"/>
      <c r="W9" s="105"/>
      <c r="X9" s="89"/>
      <c r="Y9" s="90"/>
      <c r="Z9" s="90"/>
    </row>
    <row r="10" spans="1:26" ht="22.5" customHeight="1">
      <c r="A10" s="80" t="s">
        <v>112</v>
      </c>
      <c r="B10" s="80"/>
      <c r="C10" s="80"/>
      <c r="D10" s="80"/>
      <c r="E10" s="81" t="s">
        <v>383</v>
      </c>
      <c r="F10" s="81"/>
      <c r="G10" s="81"/>
      <c r="H10" s="62" t="s">
        <v>384</v>
      </c>
      <c r="I10" s="62"/>
      <c r="J10" s="62"/>
      <c r="K10" s="62"/>
      <c r="L10" s="62"/>
      <c r="M10" s="10"/>
      <c r="N10" s="89"/>
      <c r="O10" s="105"/>
      <c r="P10" s="89"/>
      <c r="Q10" s="105"/>
      <c r="R10" s="89"/>
      <c r="S10" s="105"/>
      <c r="T10" s="89"/>
      <c r="U10" s="105"/>
      <c r="V10" s="89"/>
      <c r="W10" s="105"/>
      <c r="X10" s="89"/>
      <c r="Y10" s="90"/>
      <c r="Z10" s="90"/>
    </row>
    <row r="11" spans="1:26" ht="22.5" customHeight="1">
      <c r="A11" s="80" t="s">
        <v>113</v>
      </c>
      <c r="B11" s="80"/>
      <c r="C11" s="80"/>
      <c r="D11" s="80"/>
      <c r="E11" s="79" t="s">
        <v>228</v>
      </c>
      <c r="F11" s="79"/>
      <c r="G11" s="79"/>
      <c r="H11" s="79"/>
      <c r="I11" s="62" t="s">
        <v>114</v>
      </c>
      <c r="J11" s="62"/>
      <c r="K11" s="62"/>
      <c r="L11" s="62"/>
      <c r="M11" s="10"/>
      <c r="N11" s="89"/>
      <c r="O11" s="105"/>
      <c r="P11" s="89"/>
      <c r="Q11" s="105"/>
      <c r="R11" s="89"/>
      <c r="S11" s="105"/>
      <c r="T11" s="89"/>
      <c r="U11" s="105"/>
      <c r="V11" s="89"/>
      <c r="W11" s="105"/>
      <c r="X11" s="89"/>
      <c r="Y11" s="90"/>
      <c r="Z11" s="90"/>
    </row>
    <row r="12" spans="1:26" ht="21.75" customHeight="1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10"/>
      <c r="N12" s="89"/>
      <c r="O12" s="105"/>
      <c r="P12" s="89"/>
      <c r="Q12" s="105"/>
      <c r="R12" s="89"/>
      <c r="S12" s="105"/>
      <c r="T12" s="89"/>
      <c r="U12" s="105"/>
      <c r="V12" s="89"/>
      <c r="W12" s="105"/>
      <c r="X12" s="89"/>
      <c r="Y12" s="90"/>
      <c r="Z12" s="90"/>
    </row>
    <row r="13" spans="1:26" ht="21.75" customHeight="1">
      <c r="A13" s="64" t="s">
        <v>50</v>
      </c>
      <c r="B13" s="72" t="s">
        <v>56</v>
      </c>
      <c r="C13" s="73"/>
      <c r="D13" s="74" t="s">
        <v>198</v>
      </c>
      <c r="E13" s="75"/>
      <c r="F13" s="72" t="s">
        <v>59</v>
      </c>
      <c r="G13" s="73"/>
      <c r="H13" s="18" t="s">
        <v>198</v>
      </c>
      <c r="I13" s="84" t="s">
        <v>5</v>
      </c>
      <c r="J13" s="72" t="s">
        <v>60</v>
      </c>
      <c r="K13" s="64"/>
      <c r="L13" s="17" t="s">
        <v>65</v>
      </c>
      <c r="M13" s="10"/>
      <c r="N13" s="89"/>
      <c r="O13" s="105"/>
      <c r="P13" s="89"/>
      <c r="Q13" s="105"/>
      <c r="R13" s="89"/>
      <c r="S13" s="105"/>
      <c r="T13" s="89"/>
      <c r="U13" s="105"/>
      <c r="V13" s="89"/>
      <c r="W13" s="105"/>
      <c r="X13" s="89"/>
      <c r="Y13" s="90"/>
      <c r="Z13" s="90"/>
    </row>
    <row r="14" spans="1:26" ht="21.75" customHeight="1">
      <c r="A14" s="65"/>
      <c r="B14" s="82" t="s">
        <v>57</v>
      </c>
      <c r="C14" s="83"/>
      <c r="D14" s="92" t="s">
        <v>202</v>
      </c>
      <c r="E14" s="93"/>
      <c r="F14" s="82" t="s">
        <v>57</v>
      </c>
      <c r="G14" s="83"/>
      <c r="H14" s="19" t="s">
        <v>202</v>
      </c>
      <c r="I14" s="85"/>
      <c r="J14" s="82" t="s">
        <v>61</v>
      </c>
      <c r="K14" s="65"/>
      <c r="L14" s="17" t="s">
        <v>66</v>
      </c>
      <c r="M14" s="10"/>
      <c r="N14" s="89"/>
      <c r="O14" s="105"/>
      <c r="P14" s="89"/>
      <c r="Q14" s="105"/>
      <c r="R14" s="89"/>
      <c r="S14" s="105"/>
      <c r="T14" s="89"/>
      <c r="U14" s="105"/>
      <c r="V14" s="89"/>
      <c r="W14" s="105"/>
      <c r="X14" s="89"/>
      <c r="Y14" s="90"/>
      <c r="Z14" s="90"/>
    </row>
    <row r="15" spans="1:26" ht="21.75" customHeight="1">
      <c r="A15" s="65"/>
      <c r="B15" s="68" t="s">
        <v>58</v>
      </c>
      <c r="C15" s="69"/>
      <c r="D15" s="70">
        <v>36000</v>
      </c>
      <c r="E15" s="71"/>
      <c r="F15" s="68" t="s">
        <v>58</v>
      </c>
      <c r="G15" s="69"/>
      <c r="H15" s="20">
        <v>36000</v>
      </c>
      <c r="I15" s="85"/>
      <c r="J15" s="68" t="s">
        <v>62</v>
      </c>
      <c r="K15" s="78"/>
      <c r="L15" s="17" t="s">
        <v>67</v>
      </c>
      <c r="M15" s="10"/>
      <c r="N15" s="89"/>
      <c r="O15" s="105"/>
      <c r="P15" s="89"/>
      <c r="Q15" s="105"/>
      <c r="R15" s="89"/>
      <c r="S15" s="105"/>
      <c r="T15" s="89"/>
      <c r="U15" s="105"/>
      <c r="V15" s="89"/>
      <c r="W15" s="105"/>
      <c r="X15" s="89"/>
      <c r="Y15" s="90"/>
      <c r="Z15" s="90"/>
    </row>
    <row r="16" spans="1:26" ht="21.75" customHeight="1">
      <c r="A16" s="65"/>
      <c r="B16" s="13" t="s">
        <v>51</v>
      </c>
      <c r="C16" s="13" t="s">
        <v>53</v>
      </c>
      <c r="D16" s="13" t="s">
        <v>54</v>
      </c>
      <c r="E16" s="66"/>
      <c r="F16" s="13" t="s">
        <v>51</v>
      </c>
      <c r="G16" s="13" t="s">
        <v>53</v>
      </c>
      <c r="H16" s="11" t="s">
        <v>54</v>
      </c>
      <c r="I16" s="85"/>
      <c r="J16" s="66" t="s">
        <v>63</v>
      </c>
      <c r="K16" s="66" t="s">
        <v>64</v>
      </c>
      <c r="L16" s="17" t="s">
        <v>68</v>
      </c>
      <c r="M16" s="10"/>
      <c r="N16" s="89"/>
      <c r="O16" s="105"/>
      <c r="P16" s="89"/>
      <c r="Q16" s="105"/>
      <c r="R16" s="89"/>
      <c r="S16" s="105"/>
      <c r="T16" s="89"/>
      <c r="U16" s="105"/>
      <c r="V16" s="89"/>
      <c r="W16" s="105"/>
      <c r="X16" s="89"/>
      <c r="Y16" s="90"/>
      <c r="Z16" s="90"/>
    </row>
    <row r="17" spans="1:26" ht="21.75" customHeight="1">
      <c r="A17" s="78"/>
      <c r="B17" s="13" t="s">
        <v>52</v>
      </c>
      <c r="C17" s="26" t="s">
        <v>51</v>
      </c>
      <c r="D17" s="26" t="s">
        <v>55</v>
      </c>
      <c r="E17" s="67"/>
      <c r="F17" s="26" t="s">
        <v>52</v>
      </c>
      <c r="G17" s="26" t="s">
        <v>51</v>
      </c>
      <c r="H17" s="12" t="s">
        <v>55</v>
      </c>
      <c r="I17" s="119"/>
      <c r="J17" s="120"/>
      <c r="K17" s="120"/>
      <c r="L17" s="17" t="s">
        <v>69</v>
      </c>
      <c r="M17" s="111" t="s">
        <v>92</v>
      </c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spans="1:26" ht="23.25" customHeight="1">
      <c r="A18" s="45" t="s">
        <v>7</v>
      </c>
      <c r="B18" s="49">
        <v>2503.6296000000002</v>
      </c>
      <c r="C18" s="31"/>
      <c r="D18" s="30"/>
      <c r="E18" s="29"/>
      <c r="F18" s="49">
        <v>1307.6266000000001</v>
      </c>
      <c r="G18" s="28"/>
      <c r="H18" s="30"/>
      <c r="I18" s="33"/>
      <c r="J18" s="29"/>
      <c r="K18" s="29">
        <v>6.3</v>
      </c>
      <c r="L18" s="6"/>
      <c r="M18" s="104" t="s">
        <v>79</v>
      </c>
      <c r="N18" s="98" t="s">
        <v>98</v>
      </c>
      <c r="O18" s="98"/>
      <c r="P18" s="98"/>
      <c r="Q18" s="98" t="s">
        <v>107</v>
      </c>
      <c r="R18" s="98"/>
      <c r="S18" s="98"/>
      <c r="T18" s="98" t="s">
        <v>93</v>
      </c>
      <c r="U18" s="98"/>
      <c r="V18" s="98"/>
      <c r="W18" s="100" t="s">
        <v>91</v>
      </c>
      <c r="X18" s="112"/>
      <c r="Y18" s="112"/>
      <c r="Z18" s="112"/>
    </row>
    <row r="19" spans="1:26" ht="23.25" customHeight="1">
      <c r="A19" s="45" t="s">
        <v>8</v>
      </c>
      <c r="B19" s="49">
        <v>2503.6636000000003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3.4000000000105501E-2</v>
      </c>
      <c r="D19" s="30">
        <f t="shared" ref="D19:D42" si="1">IF(C19="","",C19*$D$15)</f>
        <v>1224.000000003798</v>
      </c>
      <c r="E19" s="29"/>
      <c r="F19" s="49">
        <v>1307.6495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2.2899999999935972E-2</v>
      </c>
      <c r="H19" s="30">
        <f t="shared" ref="H19:H42" si="3">IF(G19="","",G19*$H$15)</f>
        <v>824.39999999769498</v>
      </c>
      <c r="I19" s="33">
        <f t="shared" ref="I19:I42" si="4">IF(H19="","",IF(D19="","",IF(AND(H19=0,D19=0),0,H19/D19)))</f>
        <v>0.67352941176073278</v>
      </c>
      <c r="J19" s="29"/>
      <c r="K19" s="50">
        <v>6.3</v>
      </c>
      <c r="L19" s="6"/>
      <c r="M19" s="95"/>
      <c r="N19" s="99"/>
      <c r="O19" s="99"/>
      <c r="P19" s="99"/>
      <c r="Q19" s="99" t="s">
        <v>108</v>
      </c>
      <c r="R19" s="99"/>
      <c r="S19" s="99"/>
      <c r="T19" s="99"/>
      <c r="U19" s="99"/>
      <c r="V19" s="99"/>
      <c r="W19" s="101"/>
      <c r="X19" s="91"/>
      <c r="Y19" s="91"/>
      <c r="Z19" s="91"/>
    </row>
    <row r="20" spans="1:26" ht="23.25" customHeight="1">
      <c r="A20" s="45" t="s">
        <v>9</v>
      </c>
      <c r="B20" s="49">
        <v>2503.6942000000004</v>
      </c>
      <c r="C20" s="31">
        <f t="shared" si="0"/>
        <v>3.0600000000049477E-2</v>
      </c>
      <c r="D20" s="30">
        <f t="shared" si="1"/>
        <v>1101.6000000017812</v>
      </c>
      <c r="E20" s="29"/>
      <c r="F20" s="49">
        <v>1307.6704999999999</v>
      </c>
      <c r="G20" s="28">
        <f t="shared" si="2"/>
        <v>2.0999999999958163E-2</v>
      </c>
      <c r="H20" s="30">
        <f t="shared" si="3"/>
        <v>755.99999999849388</v>
      </c>
      <c r="I20" s="33">
        <f t="shared" si="4"/>
        <v>0.68627450980144478</v>
      </c>
      <c r="J20" s="29"/>
      <c r="K20" s="50">
        <v>6.3</v>
      </c>
      <c r="L20" s="6"/>
      <c r="M20" s="95" t="s">
        <v>80</v>
      </c>
      <c r="N20" s="99" t="s">
        <v>99</v>
      </c>
      <c r="O20" s="99"/>
      <c r="P20" s="99"/>
      <c r="Q20" s="99" t="s">
        <v>189</v>
      </c>
      <c r="R20" s="99"/>
      <c r="S20" s="99"/>
      <c r="T20" s="99" t="s">
        <v>94</v>
      </c>
      <c r="U20" s="99"/>
      <c r="V20" s="99"/>
      <c r="W20" s="101"/>
      <c r="X20" s="91"/>
      <c r="Y20" s="91"/>
      <c r="Z20" s="91"/>
    </row>
    <row r="21" spans="1:26" ht="23.25" customHeight="1">
      <c r="A21" s="45" t="s">
        <v>10</v>
      </c>
      <c r="B21" s="49">
        <v>2503.7250000000004</v>
      </c>
      <c r="C21" s="31">
        <f t="shared" si="0"/>
        <v>3.0799999999999272E-2</v>
      </c>
      <c r="D21" s="30">
        <f t="shared" si="1"/>
        <v>1108.7999999999738</v>
      </c>
      <c r="E21" s="29"/>
      <c r="F21" s="49">
        <v>1307.6915000000001</v>
      </c>
      <c r="G21" s="28">
        <f t="shared" si="2"/>
        <v>2.1000000000185537E-2</v>
      </c>
      <c r="H21" s="30">
        <f t="shared" si="3"/>
        <v>756.00000000667933</v>
      </c>
      <c r="I21" s="33">
        <f t="shared" si="4"/>
        <v>0.68181818182422183</v>
      </c>
      <c r="J21" s="29"/>
      <c r="K21" s="50">
        <v>6.3</v>
      </c>
      <c r="L21" s="6"/>
      <c r="M21" s="96"/>
      <c r="N21" s="102"/>
      <c r="O21" s="102"/>
      <c r="P21" s="102"/>
      <c r="Q21" s="102"/>
      <c r="R21" s="102"/>
      <c r="S21" s="102"/>
      <c r="T21" s="102"/>
      <c r="U21" s="102"/>
      <c r="V21" s="102"/>
      <c r="W21" s="103"/>
      <c r="X21" s="111"/>
      <c r="Y21" s="111"/>
      <c r="Z21" s="111"/>
    </row>
    <row r="22" spans="1:26" ht="23.25" customHeight="1">
      <c r="A22" s="45" t="s">
        <v>11</v>
      </c>
      <c r="B22" s="49">
        <v>2503.7586000000001</v>
      </c>
      <c r="C22" s="31">
        <f t="shared" si="0"/>
        <v>3.3599999999751162E-2</v>
      </c>
      <c r="D22" s="30">
        <f t="shared" si="1"/>
        <v>1209.5999999910418</v>
      </c>
      <c r="E22" s="29"/>
      <c r="F22" s="49">
        <v>1307.7141000000001</v>
      </c>
      <c r="G22" s="28">
        <f t="shared" si="2"/>
        <v>2.2600000000011278E-2</v>
      </c>
      <c r="H22" s="30">
        <f t="shared" si="3"/>
        <v>813.600000000406</v>
      </c>
      <c r="I22" s="33">
        <f t="shared" si="4"/>
        <v>0.67261904762436464</v>
      </c>
      <c r="J22" s="29"/>
      <c r="K22" s="50">
        <v>6.3</v>
      </c>
      <c r="L22" s="6"/>
      <c r="M22" s="10"/>
      <c r="N22" s="106" t="s">
        <v>176</v>
      </c>
      <c r="O22" s="106"/>
      <c r="P22" s="106"/>
      <c r="Q22" s="106" t="s">
        <v>177</v>
      </c>
      <c r="R22" s="106"/>
      <c r="S22" s="106"/>
      <c r="T22" s="106" t="s">
        <v>178</v>
      </c>
      <c r="U22" s="106"/>
      <c r="V22" s="106"/>
      <c r="W22" s="89"/>
      <c r="X22" s="90"/>
      <c r="Y22" s="90"/>
      <c r="Z22" s="90"/>
    </row>
    <row r="23" spans="1:26" ht="23.25" customHeight="1">
      <c r="A23" s="45" t="s">
        <v>12</v>
      </c>
      <c r="B23" s="49">
        <v>2503.7922000000003</v>
      </c>
      <c r="C23" s="31">
        <f t="shared" si="0"/>
        <v>3.360000000020591E-2</v>
      </c>
      <c r="D23" s="30">
        <f t="shared" si="1"/>
        <v>1209.6000000074127</v>
      </c>
      <c r="E23" s="29"/>
      <c r="F23" s="49">
        <v>1307.7368000000001</v>
      </c>
      <c r="G23" s="28">
        <f t="shared" si="2"/>
        <v>2.2699999999986176E-2</v>
      </c>
      <c r="H23" s="30">
        <f t="shared" si="3"/>
        <v>817.19999999950232</v>
      </c>
      <c r="I23" s="33">
        <f t="shared" si="4"/>
        <v>0.67559523809068645</v>
      </c>
      <c r="J23" s="29"/>
      <c r="K23" s="50">
        <v>6.3</v>
      </c>
      <c r="L23" s="6"/>
      <c r="M23" s="10"/>
      <c r="N23" s="106"/>
      <c r="O23" s="106"/>
      <c r="P23" s="106"/>
      <c r="Q23" s="113"/>
      <c r="R23" s="113"/>
      <c r="S23" s="113"/>
      <c r="T23" s="106"/>
      <c r="U23" s="106"/>
      <c r="V23" s="106"/>
      <c r="W23" s="89"/>
      <c r="X23" s="90"/>
      <c r="Y23" s="90"/>
      <c r="Z23" s="90"/>
    </row>
    <row r="24" spans="1:26" ht="23.25" customHeight="1">
      <c r="A24" s="45" t="s">
        <v>13</v>
      </c>
      <c r="B24" s="49">
        <v>2503.8257000000003</v>
      </c>
      <c r="C24" s="31">
        <f t="shared" si="0"/>
        <v>3.3500000000003638E-2</v>
      </c>
      <c r="D24" s="30">
        <f t="shared" si="1"/>
        <v>1206.000000000131</v>
      </c>
      <c r="E24" s="29"/>
      <c r="F24" s="49">
        <v>1307.7593000000002</v>
      </c>
      <c r="G24" s="28">
        <f t="shared" si="2"/>
        <v>2.250000000003638E-2</v>
      </c>
      <c r="H24" s="30">
        <f t="shared" si="3"/>
        <v>810.00000000130967</v>
      </c>
      <c r="I24" s="33">
        <f t="shared" si="4"/>
        <v>0.67164179104578914</v>
      </c>
      <c r="J24" s="29"/>
      <c r="K24" s="50">
        <v>6.3</v>
      </c>
      <c r="L24" s="6"/>
      <c r="M24" s="10"/>
      <c r="N24" s="106"/>
      <c r="O24" s="106"/>
      <c r="P24" s="106"/>
      <c r="Q24" s="106"/>
      <c r="R24" s="106"/>
      <c r="S24" s="106"/>
      <c r="T24" s="106"/>
      <c r="U24" s="106"/>
      <c r="V24" s="106"/>
      <c r="W24" s="89"/>
      <c r="X24" s="90"/>
      <c r="Y24" s="90"/>
      <c r="Z24" s="90"/>
    </row>
    <row r="25" spans="1:26" ht="23.25" customHeight="1">
      <c r="A25" s="45" t="s">
        <v>14</v>
      </c>
      <c r="B25" s="49">
        <v>2503.8594000000003</v>
      </c>
      <c r="C25" s="31">
        <f t="shared" si="0"/>
        <v>3.3699999999953434E-2</v>
      </c>
      <c r="D25" s="30">
        <f t="shared" si="1"/>
        <v>1213.1999999983236</v>
      </c>
      <c r="E25" s="29"/>
      <c r="F25" s="49">
        <v>1307.7821000000001</v>
      </c>
      <c r="G25" s="28">
        <f t="shared" si="2"/>
        <v>2.2799999999961074E-2</v>
      </c>
      <c r="H25" s="30">
        <f t="shared" si="3"/>
        <v>820.79999999859865</v>
      </c>
      <c r="I25" s="33">
        <f t="shared" si="4"/>
        <v>0.67655786350126346</v>
      </c>
      <c r="J25" s="29"/>
      <c r="K25" s="50">
        <v>6.3</v>
      </c>
      <c r="L25" s="6"/>
      <c r="M25" s="10"/>
      <c r="N25" s="106"/>
      <c r="O25" s="106"/>
      <c r="P25" s="106"/>
      <c r="Q25" s="106"/>
      <c r="R25" s="106"/>
      <c r="S25" s="106"/>
      <c r="T25" s="106"/>
      <c r="U25" s="106"/>
      <c r="V25" s="106"/>
      <c r="W25" s="89"/>
      <c r="X25" s="90"/>
      <c r="Y25" s="90"/>
      <c r="Z25" s="90"/>
    </row>
    <row r="26" spans="1:26" ht="23.25" customHeight="1">
      <c r="A26" s="45" t="s">
        <v>15</v>
      </c>
      <c r="B26" s="49">
        <v>2503.8932000000004</v>
      </c>
      <c r="C26" s="31">
        <f t="shared" si="0"/>
        <v>3.3800000000155705E-2</v>
      </c>
      <c r="D26" s="30">
        <f t="shared" si="1"/>
        <v>1216.8000000056054</v>
      </c>
      <c r="E26" s="29"/>
      <c r="F26" s="49">
        <v>1307.8049000000001</v>
      </c>
      <c r="G26" s="28">
        <f t="shared" si="2"/>
        <v>2.2799999999961074E-2</v>
      </c>
      <c r="H26" s="30">
        <f t="shared" si="3"/>
        <v>820.79999999859865</v>
      </c>
      <c r="I26" s="33">
        <f t="shared" si="4"/>
        <v>0.67455621301349233</v>
      </c>
      <c r="J26" s="29"/>
      <c r="K26" s="29">
        <v>6.2</v>
      </c>
      <c r="L26" s="6"/>
      <c r="M26" s="10"/>
      <c r="N26" s="106"/>
      <c r="O26" s="106"/>
      <c r="P26" s="106"/>
      <c r="Q26" s="106"/>
      <c r="R26" s="106"/>
      <c r="S26" s="106"/>
      <c r="T26" s="106"/>
      <c r="U26" s="106"/>
      <c r="V26" s="106"/>
      <c r="W26" s="89"/>
      <c r="X26" s="90"/>
      <c r="Y26" s="90"/>
      <c r="Z26" s="90"/>
    </row>
    <row r="27" spans="1:26" ht="23.25" customHeight="1">
      <c r="A27" s="45" t="s">
        <v>16</v>
      </c>
      <c r="B27" s="49">
        <v>2503.9270000000001</v>
      </c>
      <c r="C27" s="31">
        <f t="shared" si="0"/>
        <v>3.3799999999700958E-2</v>
      </c>
      <c r="D27" s="30">
        <f t="shared" si="1"/>
        <v>1216.7999999892345</v>
      </c>
      <c r="E27" s="29"/>
      <c r="F27" s="49">
        <v>1307.8274000000001</v>
      </c>
      <c r="G27" s="28">
        <f t="shared" si="2"/>
        <v>2.250000000003638E-2</v>
      </c>
      <c r="H27" s="30">
        <f t="shared" si="3"/>
        <v>810.00000000130967</v>
      </c>
      <c r="I27" s="33">
        <f t="shared" si="4"/>
        <v>0.6656804733797469</v>
      </c>
      <c r="J27" s="29"/>
      <c r="K27" s="50">
        <v>6.2</v>
      </c>
      <c r="L27" s="6"/>
      <c r="M27" s="10"/>
      <c r="N27" s="106"/>
      <c r="O27" s="106"/>
      <c r="P27" s="106"/>
      <c r="Q27" s="106"/>
      <c r="R27" s="106"/>
      <c r="S27" s="106"/>
      <c r="T27" s="106"/>
      <c r="U27" s="106"/>
      <c r="V27" s="106"/>
      <c r="W27" s="89"/>
      <c r="X27" s="90"/>
      <c r="Y27" s="90"/>
      <c r="Z27" s="90"/>
    </row>
    <row r="28" spans="1:26" ht="23.25" customHeight="1">
      <c r="A28" s="45" t="s">
        <v>17</v>
      </c>
      <c r="B28" s="49">
        <v>2503.9583000000002</v>
      </c>
      <c r="C28" s="31">
        <f t="shared" si="0"/>
        <v>3.1300000000101136E-2</v>
      </c>
      <c r="D28" s="30">
        <f t="shared" si="1"/>
        <v>1126.8000000036409</v>
      </c>
      <c r="E28" s="29"/>
      <c r="F28" s="49">
        <v>1307.8481000000002</v>
      </c>
      <c r="G28" s="28">
        <f t="shared" si="2"/>
        <v>2.0700000000033469E-2</v>
      </c>
      <c r="H28" s="30">
        <f t="shared" si="3"/>
        <v>745.2000000012049</v>
      </c>
      <c r="I28" s="33">
        <f t="shared" si="4"/>
        <v>0.66134185303407622</v>
      </c>
      <c r="J28" s="29"/>
      <c r="K28" s="50">
        <v>6.2</v>
      </c>
      <c r="L28" s="6"/>
      <c r="M28" s="10"/>
      <c r="N28" s="106"/>
      <c r="O28" s="106"/>
      <c r="P28" s="106"/>
      <c r="Q28" s="106"/>
      <c r="R28" s="106"/>
      <c r="S28" s="106"/>
      <c r="T28" s="106"/>
      <c r="U28" s="106"/>
      <c r="V28" s="106"/>
      <c r="W28" s="89"/>
      <c r="X28" s="90"/>
      <c r="Y28" s="90"/>
      <c r="Z28" s="90"/>
    </row>
    <row r="29" spans="1:26" ht="23.25" customHeight="1">
      <c r="A29" s="45" t="s">
        <v>18</v>
      </c>
      <c r="B29" s="49">
        <v>2503.9895000000001</v>
      </c>
      <c r="C29" s="31">
        <f t="shared" si="0"/>
        <v>3.1199999999898864E-2</v>
      </c>
      <c r="D29" s="30">
        <f t="shared" si="1"/>
        <v>1123.1999999963591</v>
      </c>
      <c r="E29" s="29"/>
      <c r="F29" s="49">
        <v>1307.8688999999999</v>
      </c>
      <c r="G29" s="28">
        <f t="shared" si="2"/>
        <v>2.0799999999780994E-2</v>
      </c>
      <c r="H29" s="30">
        <f t="shared" si="3"/>
        <v>748.79999999211577</v>
      </c>
      <c r="I29" s="33">
        <f t="shared" si="4"/>
        <v>0.66666666666180829</v>
      </c>
      <c r="J29" s="29"/>
      <c r="K29" s="50">
        <v>6.2</v>
      </c>
      <c r="L29" s="6"/>
      <c r="M29" s="97" t="s">
        <v>95</v>
      </c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23.25" customHeight="1">
      <c r="A30" s="45" t="s">
        <v>19</v>
      </c>
      <c r="B30" s="49">
        <v>2504.0247000000004</v>
      </c>
      <c r="C30" s="31">
        <f t="shared" si="0"/>
        <v>3.5200000000259024E-2</v>
      </c>
      <c r="D30" s="30">
        <f t="shared" si="1"/>
        <v>1267.2000000093249</v>
      </c>
      <c r="E30" s="29"/>
      <c r="F30" s="49">
        <v>1307.8924</v>
      </c>
      <c r="G30" s="28">
        <f t="shared" si="2"/>
        <v>2.3500000000012733E-2</v>
      </c>
      <c r="H30" s="30">
        <f t="shared" si="3"/>
        <v>846.00000000045839</v>
      </c>
      <c r="I30" s="33">
        <f t="shared" si="4"/>
        <v>0.66761363635908533</v>
      </c>
      <c r="J30" s="29"/>
      <c r="K30" s="50">
        <v>6.2</v>
      </c>
      <c r="L30" s="6"/>
      <c r="M30" s="91" t="s">
        <v>97</v>
      </c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 spans="1:26" ht="23.25" customHeight="1">
      <c r="A31" s="45" t="s">
        <v>20</v>
      </c>
      <c r="B31" s="49">
        <v>2504.0599000000002</v>
      </c>
      <c r="C31" s="31">
        <f t="shared" si="0"/>
        <v>3.5199999999804277E-2</v>
      </c>
      <c r="D31" s="30">
        <f t="shared" si="1"/>
        <v>1267.199999992954</v>
      </c>
      <c r="E31" s="29"/>
      <c r="F31" s="49">
        <v>1307.9163000000001</v>
      </c>
      <c r="G31" s="28">
        <f t="shared" si="2"/>
        <v>2.3900000000139698E-2</v>
      </c>
      <c r="H31" s="30">
        <f t="shared" si="3"/>
        <v>860.40000000502914</v>
      </c>
      <c r="I31" s="33">
        <f t="shared" si="4"/>
        <v>0.67897727273501673</v>
      </c>
      <c r="J31" s="29"/>
      <c r="K31" s="50">
        <v>6.2</v>
      </c>
      <c r="L31" s="6"/>
      <c r="M31" s="104" t="s">
        <v>79</v>
      </c>
      <c r="N31" s="98" t="s">
        <v>98</v>
      </c>
      <c r="O31" s="98"/>
      <c r="P31" s="98" t="s">
        <v>100</v>
      </c>
      <c r="Q31" s="98"/>
      <c r="R31" s="98" t="s">
        <v>93</v>
      </c>
      <c r="S31" s="98"/>
      <c r="T31" s="98" t="s">
        <v>103</v>
      </c>
      <c r="U31" s="98"/>
      <c r="V31" s="98" t="s">
        <v>187</v>
      </c>
      <c r="W31" s="98"/>
      <c r="X31" s="98"/>
      <c r="Y31" s="98" t="s">
        <v>91</v>
      </c>
      <c r="Z31" s="100"/>
    </row>
    <row r="32" spans="1:26" ht="23.25" customHeight="1">
      <c r="A32" s="45" t="s">
        <v>21</v>
      </c>
      <c r="B32" s="49">
        <v>2504.0946000000004</v>
      </c>
      <c r="C32" s="31">
        <f t="shared" si="0"/>
        <v>3.4700000000157161E-2</v>
      </c>
      <c r="D32" s="30">
        <f t="shared" si="1"/>
        <v>1249.2000000056578</v>
      </c>
      <c r="E32" s="29"/>
      <c r="F32" s="49">
        <v>1307.9401</v>
      </c>
      <c r="G32" s="28">
        <f t="shared" si="2"/>
        <v>2.3799999999937427E-2</v>
      </c>
      <c r="H32" s="30">
        <f t="shared" si="3"/>
        <v>856.79999999774736</v>
      </c>
      <c r="I32" s="33">
        <f t="shared" si="4"/>
        <v>0.68587896253111336</v>
      </c>
      <c r="J32" s="29"/>
      <c r="K32" s="50">
        <v>6.2</v>
      </c>
      <c r="L32" s="6"/>
      <c r="M32" s="95"/>
      <c r="N32" s="99"/>
      <c r="O32" s="99"/>
      <c r="P32" s="99" t="s">
        <v>83</v>
      </c>
      <c r="Q32" s="99"/>
      <c r="R32" s="99" t="s">
        <v>102</v>
      </c>
      <c r="S32" s="99"/>
      <c r="T32" s="99" t="s">
        <v>104</v>
      </c>
      <c r="U32" s="99"/>
      <c r="V32" s="99" t="s">
        <v>105</v>
      </c>
      <c r="W32" s="99"/>
      <c r="X32" s="99"/>
      <c r="Y32" s="99"/>
      <c r="Z32" s="101"/>
    </row>
    <row r="33" spans="1:26" ht="23.25" customHeight="1">
      <c r="A33" s="45" t="s">
        <v>22</v>
      </c>
      <c r="B33" s="49">
        <v>2504.1292000000003</v>
      </c>
      <c r="C33" s="31">
        <f t="shared" si="0"/>
        <v>3.4599999999954889E-2</v>
      </c>
      <c r="D33" s="30">
        <f t="shared" si="1"/>
        <v>1245.599999998376</v>
      </c>
      <c r="E33" s="29"/>
      <c r="F33" s="49">
        <v>1307.9637</v>
      </c>
      <c r="G33" s="28">
        <f t="shared" si="2"/>
        <v>2.3599999999987631E-2</v>
      </c>
      <c r="H33" s="30">
        <f t="shared" si="3"/>
        <v>849.59999999955471</v>
      </c>
      <c r="I33" s="33">
        <f t="shared" si="4"/>
        <v>0.68208092485602312</v>
      </c>
      <c r="J33" s="29"/>
      <c r="K33" s="50">
        <v>6.2</v>
      </c>
      <c r="L33" s="6"/>
      <c r="M33" s="95" t="s">
        <v>80</v>
      </c>
      <c r="N33" s="99" t="s">
        <v>99</v>
      </c>
      <c r="O33" s="99"/>
      <c r="P33" s="99" t="s">
        <v>101</v>
      </c>
      <c r="Q33" s="99"/>
      <c r="R33" s="99" t="s">
        <v>69</v>
      </c>
      <c r="S33" s="99"/>
      <c r="T33" s="99" t="s">
        <v>69</v>
      </c>
      <c r="U33" s="99"/>
      <c r="V33" s="99" t="s">
        <v>106</v>
      </c>
      <c r="W33" s="99"/>
      <c r="X33" s="99"/>
      <c r="Y33" s="99"/>
      <c r="Z33" s="101"/>
    </row>
    <row r="34" spans="1:26" ht="23.25" customHeight="1">
      <c r="A34" s="45" t="s">
        <v>23</v>
      </c>
      <c r="B34" s="49">
        <v>2504.1596000000004</v>
      </c>
      <c r="C34" s="31">
        <f t="shared" si="0"/>
        <v>3.0400000000099681E-2</v>
      </c>
      <c r="D34" s="30">
        <f t="shared" si="1"/>
        <v>1094.4000000035885</v>
      </c>
      <c r="E34" s="29"/>
      <c r="F34" s="49">
        <v>1307.9843000000001</v>
      </c>
      <c r="G34" s="28">
        <f t="shared" si="2"/>
        <v>2.0600000000058571E-2</v>
      </c>
      <c r="H34" s="30">
        <f t="shared" si="3"/>
        <v>741.60000000210857</v>
      </c>
      <c r="I34" s="33">
        <f t="shared" si="4"/>
        <v>0.67763157894707315</v>
      </c>
      <c r="J34" s="29"/>
      <c r="K34" s="50">
        <v>6.2</v>
      </c>
      <c r="L34" s="6"/>
      <c r="M34" s="96"/>
      <c r="N34" s="102"/>
      <c r="O34" s="102"/>
      <c r="P34" s="102"/>
      <c r="Q34" s="102"/>
      <c r="R34" s="103"/>
      <c r="S34" s="96"/>
      <c r="T34" s="103"/>
      <c r="U34" s="96"/>
      <c r="V34" s="103"/>
      <c r="W34" s="111"/>
      <c r="X34" s="96"/>
      <c r="Y34" s="102"/>
      <c r="Z34" s="103"/>
    </row>
    <row r="35" spans="1:26" ht="23.25" customHeight="1">
      <c r="A35" s="45" t="s">
        <v>24</v>
      </c>
      <c r="B35" s="49">
        <v>2504.1885000000002</v>
      </c>
      <c r="C35" s="31">
        <f t="shared" si="0"/>
        <v>2.889999999979409E-2</v>
      </c>
      <c r="D35" s="30">
        <f t="shared" si="1"/>
        <v>1040.3999999925873</v>
      </c>
      <c r="E35" s="29"/>
      <c r="F35" s="49">
        <v>1308.0039000000002</v>
      </c>
      <c r="G35" s="28">
        <f t="shared" si="2"/>
        <v>1.9600000000082218E-2</v>
      </c>
      <c r="H35" s="30">
        <f t="shared" si="3"/>
        <v>705.60000000295986</v>
      </c>
      <c r="I35" s="33">
        <f t="shared" si="4"/>
        <v>0.67820069204919953</v>
      </c>
      <c r="J35" s="29"/>
      <c r="K35" s="50">
        <v>6.2</v>
      </c>
      <c r="L35" s="6"/>
      <c r="M35" s="10"/>
      <c r="N35" s="106" t="s">
        <v>172</v>
      </c>
      <c r="O35" s="106"/>
      <c r="P35" s="106">
        <v>0.4</v>
      </c>
      <c r="Q35" s="106"/>
      <c r="R35" s="106">
        <v>270</v>
      </c>
      <c r="S35" s="106"/>
      <c r="T35" s="106"/>
      <c r="U35" s="106"/>
      <c r="V35" s="106"/>
      <c r="W35" s="106"/>
      <c r="X35" s="106"/>
      <c r="Y35" s="106"/>
      <c r="Z35" s="89"/>
    </row>
    <row r="36" spans="1:26" ht="23.25" customHeight="1">
      <c r="A36" s="45" t="s">
        <v>25</v>
      </c>
      <c r="B36" s="49">
        <v>2504.2206000000001</v>
      </c>
      <c r="C36" s="31">
        <f t="shared" si="0"/>
        <v>3.2099999999900319E-2</v>
      </c>
      <c r="D36" s="30">
        <f t="shared" si="1"/>
        <v>1155.5999999964115</v>
      </c>
      <c r="E36" s="29"/>
      <c r="F36" s="49">
        <v>1308.0251000000001</v>
      </c>
      <c r="G36" s="28">
        <f t="shared" si="2"/>
        <v>2.1199999999907959E-2</v>
      </c>
      <c r="H36" s="30">
        <f t="shared" si="3"/>
        <v>763.19999999668653</v>
      </c>
      <c r="I36" s="33">
        <f t="shared" si="4"/>
        <v>0.66043613707083459</v>
      </c>
      <c r="J36" s="29"/>
      <c r="K36" s="50">
        <v>6.2</v>
      </c>
      <c r="L36" s="6"/>
      <c r="M36" s="10"/>
      <c r="N36" s="106" t="s">
        <v>173</v>
      </c>
      <c r="O36" s="106"/>
      <c r="P36" s="113">
        <v>6</v>
      </c>
      <c r="Q36" s="113"/>
      <c r="R36" s="106">
        <v>250</v>
      </c>
      <c r="S36" s="106"/>
      <c r="T36" s="106"/>
      <c r="U36" s="106"/>
      <c r="V36" s="106"/>
      <c r="W36" s="106"/>
      <c r="X36" s="106"/>
      <c r="Y36" s="106"/>
      <c r="Z36" s="89"/>
    </row>
    <row r="37" spans="1:26" ht="23.25" customHeight="1">
      <c r="A37" s="45" t="s">
        <v>26</v>
      </c>
      <c r="B37" s="49">
        <v>2504.2536</v>
      </c>
      <c r="C37" s="31">
        <f t="shared" si="0"/>
        <v>3.2999999999901775E-2</v>
      </c>
      <c r="D37" s="30">
        <f t="shared" si="1"/>
        <v>1187.9999999964639</v>
      </c>
      <c r="E37" s="29"/>
      <c r="F37" s="49">
        <v>1308.0468000000001</v>
      </c>
      <c r="G37" s="28">
        <f t="shared" si="2"/>
        <v>2.1700000000009823E-2</v>
      </c>
      <c r="H37" s="30">
        <f t="shared" si="3"/>
        <v>781.20000000035361</v>
      </c>
      <c r="I37" s="33">
        <f t="shared" si="4"/>
        <v>0.65757575757801257</v>
      </c>
      <c r="J37" s="29"/>
      <c r="K37" s="50">
        <v>6.2</v>
      </c>
      <c r="L37" s="6"/>
      <c r="M37" s="10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89"/>
    </row>
    <row r="38" spans="1:26" ht="23.25" customHeight="1">
      <c r="A38" s="45" t="s">
        <v>27</v>
      </c>
      <c r="B38" s="49">
        <v>2504.2878000000001</v>
      </c>
      <c r="C38" s="31">
        <f t="shared" si="0"/>
        <v>3.4200000000055297E-2</v>
      </c>
      <c r="D38" s="30">
        <f t="shared" si="1"/>
        <v>1231.2000000019907</v>
      </c>
      <c r="E38" s="29"/>
      <c r="F38" s="49">
        <v>1308.0696</v>
      </c>
      <c r="G38" s="28">
        <f t="shared" si="2"/>
        <v>2.2799999999961074E-2</v>
      </c>
      <c r="H38" s="30">
        <f t="shared" si="3"/>
        <v>820.79999999859865</v>
      </c>
      <c r="I38" s="33">
        <f t="shared" si="4"/>
        <v>0.66666666666445051</v>
      </c>
      <c r="J38" s="29"/>
      <c r="K38" s="50">
        <v>6.2</v>
      </c>
      <c r="L38" s="6"/>
      <c r="M38" s="10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89"/>
    </row>
    <row r="39" spans="1:26" ht="23.25" customHeight="1">
      <c r="A39" s="45" t="s">
        <v>28</v>
      </c>
      <c r="B39" s="49">
        <v>2504.3197</v>
      </c>
      <c r="C39" s="31">
        <f t="shared" si="0"/>
        <v>3.1899999999950523E-2</v>
      </c>
      <c r="D39" s="30">
        <f t="shared" si="1"/>
        <v>1148.3999999982188</v>
      </c>
      <c r="E39" s="29"/>
      <c r="F39" s="49">
        <v>1308.0912000000001</v>
      </c>
      <c r="G39" s="28">
        <f t="shared" si="2"/>
        <v>2.1600000000034925E-2</v>
      </c>
      <c r="H39" s="30">
        <f t="shared" si="3"/>
        <v>777.60000000125729</v>
      </c>
      <c r="I39" s="33">
        <f t="shared" si="4"/>
        <v>0.67711598746296009</v>
      </c>
      <c r="J39" s="29"/>
      <c r="K39" s="50">
        <v>6.2</v>
      </c>
      <c r="L39" s="6"/>
      <c r="M39" s="10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89"/>
    </row>
    <row r="40" spans="1:26" ht="23.25" customHeight="1">
      <c r="A40" s="45" t="s">
        <v>29</v>
      </c>
      <c r="B40" s="49">
        <v>2504.3504000000003</v>
      </c>
      <c r="C40" s="31">
        <f t="shared" si="0"/>
        <v>3.0700000000251748E-2</v>
      </c>
      <c r="D40" s="30">
        <f t="shared" si="1"/>
        <v>1105.2000000090629</v>
      </c>
      <c r="E40" s="29"/>
      <c r="F40" s="49">
        <v>1308.1120000000001</v>
      </c>
      <c r="G40" s="28">
        <f t="shared" si="2"/>
        <v>2.0800000000008367E-2</v>
      </c>
      <c r="H40" s="30">
        <f t="shared" si="3"/>
        <v>748.80000000030122</v>
      </c>
      <c r="I40" s="33">
        <f t="shared" si="4"/>
        <v>0.67752442996214335</v>
      </c>
      <c r="J40" s="29"/>
      <c r="K40" s="50">
        <v>6.2</v>
      </c>
      <c r="L40" s="6"/>
      <c r="M40" s="91" t="s">
        <v>109</v>
      </c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</row>
    <row r="41" spans="1:26" ht="23.25" customHeight="1">
      <c r="A41" s="45" t="s">
        <v>30</v>
      </c>
      <c r="B41" s="49">
        <v>2504.3820000000001</v>
      </c>
      <c r="C41" s="31">
        <f t="shared" si="0"/>
        <v>3.1599999999798456E-2</v>
      </c>
      <c r="D41" s="30">
        <f t="shared" si="1"/>
        <v>1137.5999999927444</v>
      </c>
      <c r="E41" s="29"/>
      <c r="F41" s="49">
        <v>1308.1334000000002</v>
      </c>
      <c r="G41" s="28">
        <f t="shared" si="2"/>
        <v>2.1400000000085129E-2</v>
      </c>
      <c r="H41" s="30">
        <f t="shared" si="3"/>
        <v>770.40000000306463</v>
      </c>
      <c r="I41" s="33">
        <f t="shared" si="4"/>
        <v>0.67721518988043095</v>
      </c>
      <c r="J41" s="29"/>
      <c r="K41" s="50">
        <v>6.2</v>
      </c>
      <c r="L41" s="6"/>
      <c r="M41" s="104" t="s">
        <v>79</v>
      </c>
      <c r="N41" s="98" t="s">
        <v>98</v>
      </c>
      <c r="O41" s="98"/>
      <c r="P41" s="98" t="s">
        <v>93</v>
      </c>
      <c r="Q41" s="98"/>
      <c r="R41" s="98"/>
      <c r="S41" s="98" t="s">
        <v>111</v>
      </c>
      <c r="T41" s="98" t="s">
        <v>81</v>
      </c>
      <c r="U41" s="98"/>
      <c r="V41" s="98"/>
      <c r="W41" s="98"/>
      <c r="X41" s="98" t="s">
        <v>93</v>
      </c>
      <c r="Y41" s="98"/>
      <c r="Z41" s="100"/>
    </row>
    <row r="42" spans="1:26" ht="23.25" customHeight="1">
      <c r="A42" s="45" t="s">
        <v>31</v>
      </c>
      <c r="B42" s="49">
        <v>2504.4157</v>
      </c>
      <c r="C42" s="31">
        <f t="shared" si="0"/>
        <v>3.3699999999953434E-2</v>
      </c>
      <c r="D42" s="30">
        <f t="shared" si="1"/>
        <v>1213.1999999983236</v>
      </c>
      <c r="E42" s="29"/>
      <c r="F42" s="49">
        <v>1308.1560999999999</v>
      </c>
      <c r="G42" s="28">
        <f t="shared" si="2"/>
        <v>2.2699999999758802E-2</v>
      </c>
      <c r="H42" s="30">
        <f t="shared" si="3"/>
        <v>817.19999999131687</v>
      </c>
      <c r="I42" s="33">
        <f t="shared" si="4"/>
        <v>0.67359050444481217</v>
      </c>
      <c r="J42" s="29"/>
      <c r="K42" s="50">
        <v>6.2</v>
      </c>
      <c r="L42" s="6"/>
      <c r="M42" s="95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101"/>
    </row>
    <row r="43" spans="1:26" ht="22.5" customHeight="1">
      <c r="A43" s="121" t="s">
        <v>70</v>
      </c>
      <c r="B43" s="121"/>
      <c r="C43" s="121"/>
      <c r="D43" s="30">
        <f>SUM(D18:D42)</f>
        <v>28299.599999993006</v>
      </c>
      <c r="E43" s="29"/>
      <c r="F43" s="36"/>
      <c r="G43" s="43"/>
      <c r="H43" s="30">
        <f>SUM(H18:H42)</f>
        <v>19061.999999995351</v>
      </c>
      <c r="I43" s="33">
        <f>IF(AND(H43=0,D43=0),0,H43/D43)</f>
        <v>0.67357842513675326</v>
      </c>
      <c r="J43" s="29"/>
      <c r="K43" s="29"/>
      <c r="L43" s="6"/>
      <c r="M43" s="95" t="s">
        <v>80</v>
      </c>
      <c r="N43" s="99" t="s">
        <v>99</v>
      </c>
      <c r="O43" s="99"/>
      <c r="P43" s="99" t="s">
        <v>110</v>
      </c>
      <c r="Q43" s="99"/>
      <c r="R43" s="99"/>
      <c r="S43" s="99"/>
      <c r="T43" s="99"/>
      <c r="U43" s="99"/>
      <c r="V43" s="99"/>
      <c r="W43" s="99"/>
      <c r="X43" s="99" t="s">
        <v>110</v>
      </c>
      <c r="Y43" s="99"/>
      <c r="Z43" s="101"/>
    </row>
    <row r="44" spans="1:26" ht="22.5" customHeight="1">
      <c r="A44" s="76" t="s">
        <v>71</v>
      </c>
      <c r="B44" s="76"/>
      <c r="C44" s="76"/>
      <c r="D44" s="29"/>
      <c r="E44" s="29"/>
      <c r="F44" s="36"/>
      <c r="G44" s="29"/>
      <c r="H44" s="29"/>
      <c r="I44" s="29"/>
      <c r="J44" s="29"/>
      <c r="K44" s="29"/>
      <c r="L44" s="6"/>
      <c r="M44" s="96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3"/>
    </row>
    <row r="45" spans="1:26" ht="22.5" customHeight="1">
      <c r="B45" s="15"/>
      <c r="C45" s="15"/>
      <c r="D45" s="15"/>
      <c r="E45" s="15"/>
      <c r="F45" s="15"/>
      <c r="G45" s="15"/>
      <c r="H45" s="15"/>
      <c r="I45" s="15"/>
      <c r="J45" s="16"/>
      <c r="K45" s="16"/>
      <c r="L45" s="16"/>
      <c r="M45" s="10"/>
      <c r="N45" s="89"/>
      <c r="O45" s="105"/>
      <c r="P45" s="89"/>
      <c r="Q45" s="90"/>
      <c r="R45" s="105"/>
      <c r="S45" s="8"/>
      <c r="T45" s="89"/>
      <c r="U45" s="90"/>
      <c r="V45" s="90"/>
      <c r="W45" s="105"/>
      <c r="X45" s="89"/>
      <c r="Y45" s="90"/>
      <c r="Z45" s="90"/>
    </row>
    <row r="46" spans="1:26" ht="22.5" customHeight="1">
      <c r="A46" s="91" t="s">
        <v>72</v>
      </c>
      <c r="B46" s="91"/>
      <c r="C46" s="91"/>
      <c r="D46" s="91"/>
      <c r="E46" s="91"/>
      <c r="F46" s="91"/>
      <c r="G46" s="122" t="s">
        <v>73</v>
      </c>
      <c r="H46" s="122"/>
      <c r="I46" s="122"/>
      <c r="J46" s="122"/>
      <c r="K46" s="122"/>
      <c r="L46" s="122"/>
      <c r="M46" s="10"/>
      <c r="N46" s="89"/>
      <c r="O46" s="105"/>
      <c r="P46" s="89"/>
      <c r="Q46" s="90"/>
      <c r="R46" s="105"/>
      <c r="S46" s="8"/>
      <c r="T46" s="89"/>
      <c r="U46" s="90"/>
      <c r="V46" s="90"/>
      <c r="W46" s="105"/>
      <c r="X46" s="89"/>
      <c r="Y46" s="90"/>
      <c r="Z46" s="90"/>
    </row>
    <row r="47" spans="1:26" ht="22.5" customHeight="1">
      <c r="A47" s="52" t="s">
        <v>388</v>
      </c>
      <c r="B47" s="52"/>
      <c r="C47" s="52"/>
      <c r="D47" s="91" t="s">
        <v>74</v>
      </c>
      <c r="E47" s="91"/>
      <c r="F47" s="91"/>
      <c r="G47" s="15"/>
      <c r="H47" s="15"/>
      <c r="I47" s="15"/>
      <c r="J47" s="15"/>
      <c r="K47" s="15"/>
      <c r="L47" s="15"/>
      <c r="M47" s="10"/>
      <c r="N47" s="89"/>
      <c r="O47" s="105"/>
      <c r="P47" s="89"/>
      <c r="Q47" s="90"/>
      <c r="R47" s="105"/>
      <c r="S47" s="8"/>
      <c r="T47" s="89"/>
      <c r="U47" s="90"/>
      <c r="V47" s="90"/>
      <c r="W47" s="105"/>
      <c r="X47" s="89"/>
      <c r="Y47" s="90"/>
      <c r="Z47" s="90"/>
    </row>
    <row r="48" spans="1:26" ht="22.5" customHeight="1">
      <c r="A48" s="55" t="s">
        <v>75</v>
      </c>
      <c r="B48" s="55"/>
      <c r="C48" s="55"/>
      <c r="D48" s="53" t="s">
        <v>76</v>
      </c>
      <c r="E48" s="53"/>
      <c r="F48" s="53"/>
    </row>
    <row r="49" spans="1:23" ht="22.5" customHeight="1">
      <c r="A49" s="52" t="s">
        <v>389</v>
      </c>
      <c r="B49" s="52"/>
      <c r="C49" s="52"/>
      <c r="D49" s="91" t="s">
        <v>74</v>
      </c>
      <c r="E49" s="91"/>
      <c r="F49" s="91"/>
      <c r="H49" s="91" t="s">
        <v>191</v>
      </c>
      <c r="I49" s="91"/>
      <c r="J49" s="91"/>
      <c r="K49" s="91" t="s">
        <v>77</v>
      </c>
      <c r="L49" s="91"/>
      <c r="N49" s="57" t="s">
        <v>150</v>
      </c>
      <c r="O49" s="57"/>
      <c r="P49" s="57"/>
      <c r="Q49" s="56" t="s">
        <v>391</v>
      </c>
      <c r="R49" s="56"/>
      <c r="S49" s="56"/>
      <c r="T49" s="56"/>
      <c r="U49" s="56"/>
      <c r="V49" s="56"/>
      <c r="W49" s="1"/>
    </row>
    <row r="50" spans="1:23" ht="22.5" customHeight="1">
      <c r="A50" s="55" t="s">
        <v>75</v>
      </c>
      <c r="B50" s="55"/>
      <c r="C50" s="55"/>
      <c r="D50" s="53" t="s">
        <v>76</v>
      </c>
      <c r="E50" s="53"/>
      <c r="F50" s="53"/>
      <c r="H50" s="53" t="s">
        <v>75</v>
      </c>
      <c r="I50" s="53"/>
      <c r="J50" s="53"/>
      <c r="K50" s="53" t="s">
        <v>76</v>
      </c>
      <c r="L50" s="53"/>
      <c r="S50" s="53" t="s">
        <v>76</v>
      </c>
      <c r="T50" s="53"/>
    </row>
    <row r="51" spans="1:23" ht="20.100000000000001" customHeight="1">
      <c r="A51" s="52" t="s">
        <v>390</v>
      </c>
      <c r="B51" s="52"/>
      <c r="C51" s="52"/>
      <c r="D51" s="91" t="s">
        <v>74</v>
      </c>
      <c r="E51" s="91"/>
      <c r="F51" s="91"/>
    </row>
    <row r="52" spans="1:23" ht="20.100000000000001" customHeight="1">
      <c r="A52" s="53" t="s">
        <v>75</v>
      </c>
      <c r="B52" s="53"/>
      <c r="C52" s="53"/>
      <c r="D52" s="53" t="s">
        <v>76</v>
      </c>
      <c r="E52" s="53"/>
      <c r="F52" s="53"/>
      <c r="G52" s="1"/>
      <c r="H52" s="1"/>
    </row>
  </sheetData>
  <sheetProtection sheet="1" objects="1" scenarios="1"/>
  <mergeCells count="258">
    <mergeCell ref="A10:D10"/>
    <mergeCell ref="E10:G10"/>
    <mergeCell ref="D13:E13"/>
    <mergeCell ref="A46:F46"/>
    <mergeCell ref="A44:C44"/>
    <mergeCell ref="G1:H2"/>
    <mergeCell ref="J16:J17"/>
    <mergeCell ref="K16:K17"/>
    <mergeCell ref="A13:A17"/>
    <mergeCell ref="E16:E17"/>
    <mergeCell ref="B15:C15"/>
    <mergeCell ref="D15:E15"/>
    <mergeCell ref="A43:C43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N14:O14"/>
    <mergeCell ref="N15:O15"/>
    <mergeCell ref="N16:O16"/>
    <mergeCell ref="N12:O12"/>
    <mergeCell ref="N13:O13"/>
    <mergeCell ref="I13:I17"/>
    <mergeCell ref="J13:K13"/>
    <mergeCell ref="J14:K14"/>
    <mergeCell ref="J15:K15"/>
    <mergeCell ref="A12:L12"/>
    <mergeCell ref="F13:G13"/>
    <mergeCell ref="B14:C14"/>
    <mergeCell ref="D14:E14"/>
    <mergeCell ref="B13:C13"/>
    <mergeCell ref="F14:G14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T27:V27"/>
    <mergeCell ref="W27:Z27"/>
    <mergeCell ref="N26:P26"/>
    <mergeCell ref="N25:P25"/>
    <mergeCell ref="Q25:S25"/>
    <mergeCell ref="T25:V25"/>
    <mergeCell ref="W25:Z25"/>
    <mergeCell ref="Q23:S23"/>
    <mergeCell ref="T23:V23"/>
    <mergeCell ref="Q26:S26"/>
    <mergeCell ref="T26:V26"/>
    <mergeCell ref="N24:P24"/>
    <mergeCell ref="Q24:S24"/>
    <mergeCell ref="T28:V28"/>
    <mergeCell ref="W28:Z28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T24:V24"/>
    <mergeCell ref="W24:Z24"/>
    <mergeCell ref="T18:V19"/>
    <mergeCell ref="V14:W14"/>
    <mergeCell ref="V11:W11"/>
    <mergeCell ref="V12:W12"/>
    <mergeCell ref="V13:W13"/>
    <mergeCell ref="T11:U11"/>
    <mergeCell ref="T12:U12"/>
    <mergeCell ref="T13:U13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X45:Z45"/>
    <mergeCell ref="X46:Z46"/>
    <mergeCell ref="X47:Z47"/>
    <mergeCell ref="S50:T50"/>
    <mergeCell ref="N39:O39"/>
    <mergeCell ref="P39:Q39"/>
    <mergeCell ref="N41:O42"/>
    <mergeCell ref="P41:R42"/>
    <mergeCell ref="M40:Z40"/>
    <mergeCell ref="M43:M44"/>
    <mergeCell ref="T47:W47"/>
    <mergeCell ref="N43:O44"/>
    <mergeCell ref="P43:R44"/>
    <mergeCell ref="P46:R46"/>
    <mergeCell ref="P47:R47"/>
    <mergeCell ref="N45:O45"/>
    <mergeCell ref="R39:S39"/>
    <mergeCell ref="T39:U39"/>
    <mergeCell ref="V39:X39"/>
    <mergeCell ref="Y39:Z39"/>
    <mergeCell ref="S41:S44"/>
    <mergeCell ref="T41:W44"/>
    <mergeCell ref="M41:M42"/>
    <mergeCell ref="Q49:V49"/>
    <mergeCell ref="N49:P49"/>
    <mergeCell ref="P45:R45"/>
    <mergeCell ref="A51:C51"/>
    <mergeCell ref="D51:F51"/>
    <mergeCell ref="N46:O46"/>
    <mergeCell ref="N47:O47"/>
    <mergeCell ref="T45:W45"/>
    <mergeCell ref="T46:W46"/>
    <mergeCell ref="H49:J49"/>
    <mergeCell ref="K49:L49"/>
    <mergeCell ref="A48:C48"/>
    <mergeCell ref="A49:C49"/>
    <mergeCell ref="A50:C50"/>
    <mergeCell ref="D50:F50"/>
    <mergeCell ref="D48:F48"/>
    <mergeCell ref="A47:C47"/>
    <mergeCell ref="D47:F47"/>
    <mergeCell ref="G46:L46"/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A7:L7"/>
    <mergeCell ref="I11:L11"/>
    <mergeCell ref="A8:L8"/>
    <mergeCell ref="A1:F1"/>
    <mergeCell ref="A2:F2"/>
    <mergeCell ref="A3:F3"/>
    <mergeCell ref="A4:F4"/>
    <mergeCell ref="A5:F5"/>
    <mergeCell ref="A6:F6"/>
    <mergeCell ref="A9:L9"/>
    <mergeCell ref="G3:H4"/>
    <mergeCell ref="I3:L4"/>
    <mergeCell ref="A11:D11"/>
    <mergeCell ref="E11:H11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>
  <sheetPr codeName="Лист12"/>
  <dimension ref="A1:Z52"/>
  <sheetViews>
    <sheetView view="pageBreakPreview" topLeftCell="A10" zoomScale="75" zoomScaleNormal="50" zoomScaleSheetLayoutView="75" workbookViewId="0">
      <selection activeCell="L38" sqref="L38"/>
    </sheetView>
  </sheetViews>
  <sheetFormatPr defaultRowHeight="18.75"/>
  <cols>
    <col min="1" max="1" width="11.140625" style="2" customWidth="1"/>
    <col min="2" max="2" width="13.7109375" style="2" customWidth="1"/>
    <col min="3" max="3" width="12.140625" style="2" customWidth="1"/>
    <col min="4" max="4" width="13.85546875" style="2" customWidth="1"/>
    <col min="5" max="5" width="5.42578125" style="2" customWidth="1"/>
    <col min="6" max="6" width="12.5703125" style="2" customWidth="1"/>
    <col min="7" max="7" width="13.425781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6.42578125" style="2" customWidth="1"/>
    <col min="13" max="26" width="10.28515625" style="2" customWidth="1"/>
    <col min="27" max="16384" width="9.140625" style="2"/>
  </cols>
  <sheetData>
    <row r="1" spans="1:26" ht="21.75" customHeight="1">
      <c r="A1" s="59" t="s">
        <v>157</v>
      </c>
      <c r="B1" s="59"/>
      <c r="C1" s="59"/>
      <c r="D1" s="59"/>
      <c r="E1" s="59"/>
      <c r="F1" s="59"/>
      <c r="G1" s="63" t="s">
        <v>154</v>
      </c>
      <c r="H1" s="63"/>
      <c r="I1" s="59" t="s">
        <v>160</v>
      </c>
      <c r="J1" s="59"/>
      <c r="K1" s="59"/>
      <c r="L1" s="59"/>
      <c r="M1" s="91" t="s">
        <v>96</v>
      </c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spans="1:26" ht="21.75" customHeight="1">
      <c r="A2" s="61" t="s">
        <v>45</v>
      </c>
      <c r="B2" s="61"/>
      <c r="C2" s="61"/>
      <c r="D2" s="61"/>
      <c r="E2" s="61"/>
      <c r="F2" s="61"/>
      <c r="G2" s="63"/>
      <c r="H2" s="63"/>
      <c r="I2" s="59"/>
      <c r="J2" s="59"/>
      <c r="K2" s="59"/>
      <c r="L2" s="59"/>
      <c r="M2" s="91" t="s">
        <v>78</v>
      </c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spans="1:26" ht="21.75" customHeight="1">
      <c r="A3" s="59" t="s">
        <v>158</v>
      </c>
      <c r="B3" s="60"/>
      <c r="C3" s="60"/>
      <c r="D3" s="60"/>
      <c r="E3" s="60"/>
      <c r="F3" s="60"/>
      <c r="G3" s="63" t="s">
        <v>155</v>
      </c>
      <c r="H3" s="63"/>
      <c r="I3" s="59" t="s">
        <v>216</v>
      </c>
      <c r="J3" s="59"/>
      <c r="K3" s="59"/>
      <c r="L3" s="59"/>
      <c r="M3" s="104" t="s">
        <v>79</v>
      </c>
      <c r="N3" s="100" t="s">
        <v>81</v>
      </c>
      <c r="O3" s="104"/>
      <c r="P3" s="100" t="s">
        <v>65</v>
      </c>
      <c r="Q3" s="104"/>
      <c r="R3" s="100" t="s">
        <v>82</v>
      </c>
      <c r="S3" s="104"/>
      <c r="T3" s="100" t="s">
        <v>85</v>
      </c>
      <c r="U3" s="104"/>
      <c r="V3" s="100" t="s">
        <v>87</v>
      </c>
      <c r="W3" s="104"/>
      <c r="X3" s="107" t="s">
        <v>91</v>
      </c>
      <c r="Y3" s="108"/>
      <c r="Z3" s="108"/>
    </row>
    <row r="4" spans="1:26" ht="29.25" customHeight="1">
      <c r="A4" s="61" t="s">
        <v>46</v>
      </c>
      <c r="B4" s="61"/>
      <c r="C4" s="61"/>
      <c r="D4" s="61"/>
      <c r="E4" s="61"/>
      <c r="F4" s="61"/>
      <c r="G4" s="63"/>
      <c r="H4" s="63"/>
      <c r="I4" s="59"/>
      <c r="J4" s="59"/>
      <c r="K4" s="59"/>
      <c r="L4" s="59"/>
      <c r="M4" s="95"/>
      <c r="N4" s="101"/>
      <c r="O4" s="95"/>
      <c r="P4" s="101"/>
      <c r="Q4" s="95"/>
      <c r="R4" s="101" t="s">
        <v>83</v>
      </c>
      <c r="S4" s="95"/>
      <c r="T4" s="101" t="s">
        <v>86</v>
      </c>
      <c r="U4" s="95"/>
      <c r="V4" s="101" t="s">
        <v>88</v>
      </c>
      <c r="W4" s="95"/>
      <c r="X4" s="107"/>
      <c r="Y4" s="108"/>
      <c r="Z4" s="108"/>
    </row>
    <row r="5" spans="1:26" ht="21.75" customHeight="1">
      <c r="A5" s="59" t="s">
        <v>186</v>
      </c>
      <c r="B5" s="60"/>
      <c r="C5" s="60"/>
      <c r="D5" s="60"/>
      <c r="E5" s="60"/>
      <c r="F5" s="60"/>
      <c r="G5" s="63" t="s">
        <v>156</v>
      </c>
      <c r="H5" s="63"/>
      <c r="I5" s="59" t="s">
        <v>217</v>
      </c>
      <c r="J5" s="59"/>
      <c r="K5" s="59"/>
      <c r="L5" s="59"/>
      <c r="M5" s="95" t="s">
        <v>80</v>
      </c>
      <c r="N5" s="101"/>
      <c r="O5" s="95"/>
      <c r="P5" s="101" t="s">
        <v>190</v>
      </c>
      <c r="Q5" s="95"/>
      <c r="R5" s="109" t="s">
        <v>84</v>
      </c>
      <c r="S5" s="110"/>
      <c r="T5" s="109" t="s">
        <v>84</v>
      </c>
      <c r="U5" s="110"/>
      <c r="V5" s="101" t="s">
        <v>89</v>
      </c>
      <c r="W5" s="95"/>
      <c r="X5" s="107"/>
      <c r="Y5" s="108"/>
      <c r="Z5" s="108"/>
    </row>
    <row r="6" spans="1:26" ht="21.75" customHeight="1">
      <c r="A6" s="61" t="s">
        <v>47</v>
      </c>
      <c r="B6" s="61"/>
      <c r="C6" s="61"/>
      <c r="D6" s="61"/>
      <c r="E6" s="61"/>
      <c r="F6" s="61"/>
      <c r="G6" s="63"/>
      <c r="H6" s="63"/>
      <c r="I6" s="59"/>
      <c r="J6" s="59"/>
      <c r="K6" s="59"/>
      <c r="L6" s="59"/>
      <c r="M6" s="96"/>
      <c r="N6" s="103"/>
      <c r="O6" s="96"/>
      <c r="P6" s="103"/>
      <c r="Q6" s="96"/>
      <c r="R6" s="103"/>
      <c r="S6" s="96"/>
      <c r="T6" s="103"/>
      <c r="U6" s="96"/>
      <c r="V6" s="103" t="s">
        <v>90</v>
      </c>
      <c r="W6" s="96"/>
      <c r="X6" s="107"/>
      <c r="Y6" s="108"/>
      <c r="Z6" s="108"/>
    </row>
    <row r="7" spans="1:26" ht="21.75" customHeight="1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10"/>
      <c r="N7" s="89"/>
      <c r="O7" s="105"/>
      <c r="P7" s="89"/>
      <c r="Q7" s="105"/>
      <c r="R7" s="89"/>
      <c r="S7" s="105"/>
      <c r="T7" s="89"/>
      <c r="U7" s="105"/>
      <c r="V7" s="89"/>
      <c r="W7" s="105"/>
      <c r="X7" s="89"/>
      <c r="Y7" s="90"/>
      <c r="Z7" s="90"/>
    </row>
    <row r="8" spans="1:26" ht="22.5" customHeight="1">
      <c r="A8" s="94" t="s">
        <v>48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10"/>
      <c r="N8" s="89"/>
      <c r="O8" s="105"/>
      <c r="P8" s="89"/>
      <c r="Q8" s="105"/>
      <c r="R8" s="89"/>
      <c r="S8" s="105"/>
      <c r="T8" s="89"/>
      <c r="U8" s="105"/>
      <c r="V8" s="89"/>
      <c r="W8" s="105"/>
      <c r="X8" s="89"/>
      <c r="Y8" s="90"/>
      <c r="Z8" s="90"/>
    </row>
    <row r="9" spans="1:26" ht="22.5" customHeight="1">
      <c r="A9" s="88" t="s">
        <v>49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10"/>
      <c r="N9" s="89"/>
      <c r="O9" s="105"/>
      <c r="P9" s="89"/>
      <c r="Q9" s="105"/>
      <c r="R9" s="89"/>
      <c r="S9" s="105"/>
      <c r="T9" s="89"/>
      <c r="U9" s="105"/>
      <c r="V9" s="89"/>
      <c r="W9" s="105"/>
      <c r="X9" s="89"/>
      <c r="Y9" s="90"/>
      <c r="Z9" s="90"/>
    </row>
    <row r="10" spans="1:26" ht="22.5" customHeight="1">
      <c r="A10" s="80" t="s">
        <v>112</v>
      </c>
      <c r="B10" s="80"/>
      <c r="C10" s="80"/>
      <c r="D10" s="80"/>
      <c r="E10" s="81" t="s">
        <v>383</v>
      </c>
      <c r="F10" s="81"/>
      <c r="G10" s="81"/>
      <c r="H10" s="62" t="s">
        <v>384</v>
      </c>
      <c r="I10" s="62"/>
      <c r="J10" s="62"/>
      <c r="K10" s="62"/>
      <c r="L10" s="62"/>
      <c r="M10" s="10"/>
      <c r="N10" s="89"/>
      <c r="O10" s="105"/>
      <c r="P10" s="89"/>
      <c r="Q10" s="105"/>
      <c r="R10" s="89"/>
      <c r="S10" s="105"/>
      <c r="T10" s="89"/>
      <c r="U10" s="105"/>
      <c r="V10" s="89"/>
      <c r="W10" s="105"/>
      <c r="X10" s="89"/>
      <c r="Y10" s="90"/>
      <c r="Z10" s="90"/>
    </row>
    <row r="11" spans="1:26" ht="22.5" customHeight="1">
      <c r="A11" s="80" t="s">
        <v>113</v>
      </c>
      <c r="B11" s="80"/>
      <c r="C11" s="80"/>
      <c r="D11" s="80"/>
      <c r="E11" s="79" t="s">
        <v>229</v>
      </c>
      <c r="F11" s="79"/>
      <c r="G11" s="79"/>
      <c r="H11" s="79"/>
      <c r="I11" s="62" t="s">
        <v>114</v>
      </c>
      <c r="J11" s="62"/>
      <c r="K11" s="62"/>
      <c r="L11" s="62"/>
      <c r="M11" s="10"/>
      <c r="N11" s="89"/>
      <c r="O11" s="105"/>
      <c r="P11" s="89"/>
      <c r="Q11" s="105"/>
      <c r="R11" s="89"/>
      <c r="S11" s="105"/>
      <c r="T11" s="89"/>
      <c r="U11" s="105"/>
      <c r="V11" s="89"/>
      <c r="W11" s="105"/>
      <c r="X11" s="89"/>
      <c r="Y11" s="90"/>
      <c r="Z11" s="90"/>
    </row>
    <row r="12" spans="1:26" ht="21.75" customHeight="1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10"/>
      <c r="N12" s="89"/>
      <c r="O12" s="105"/>
      <c r="P12" s="89"/>
      <c r="Q12" s="105"/>
      <c r="R12" s="89"/>
      <c r="S12" s="105"/>
      <c r="T12" s="89"/>
      <c r="U12" s="105"/>
      <c r="V12" s="89"/>
      <c r="W12" s="105"/>
      <c r="X12" s="89"/>
      <c r="Y12" s="90"/>
      <c r="Z12" s="90"/>
    </row>
    <row r="13" spans="1:26" ht="21.75" customHeight="1">
      <c r="A13" s="64" t="s">
        <v>50</v>
      </c>
      <c r="B13" s="72" t="s">
        <v>56</v>
      </c>
      <c r="C13" s="73"/>
      <c r="D13" s="74" t="s">
        <v>198</v>
      </c>
      <c r="E13" s="75"/>
      <c r="F13" s="72" t="s">
        <v>59</v>
      </c>
      <c r="G13" s="73"/>
      <c r="H13" s="18" t="s">
        <v>198</v>
      </c>
      <c r="I13" s="84" t="s">
        <v>5</v>
      </c>
      <c r="J13" s="72" t="s">
        <v>60</v>
      </c>
      <c r="K13" s="64"/>
      <c r="L13" s="17" t="s">
        <v>65</v>
      </c>
      <c r="M13" s="10"/>
      <c r="N13" s="89"/>
      <c r="O13" s="105"/>
      <c r="P13" s="89"/>
      <c r="Q13" s="105"/>
      <c r="R13" s="89"/>
      <c r="S13" s="105"/>
      <c r="T13" s="89"/>
      <c r="U13" s="105"/>
      <c r="V13" s="89"/>
      <c r="W13" s="105"/>
      <c r="X13" s="89"/>
      <c r="Y13" s="90"/>
      <c r="Z13" s="90"/>
    </row>
    <row r="14" spans="1:26" ht="21.75" customHeight="1">
      <c r="A14" s="65"/>
      <c r="B14" s="82" t="s">
        <v>57</v>
      </c>
      <c r="C14" s="83"/>
      <c r="D14" s="92" t="s">
        <v>203</v>
      </c>
      <c r="E14" s="93"/>
      <c r="F14" s="82" t="s">
        <v>57</v>
      </c>
      <c r="G14" s="83"/>
      <c r="H14" s="19" t="s">
        <v>203</v>
      </c>
      <c r="I14" s="85"/>
      <c r="J14" s="82" t="s">
        <v>61</v>
      </c>
      <c r="K14" s="65"/>
      <c r="L14" s="17" t="s">
        <v>66</v>
      </c>
      <c r="M14" s="10"/>
      <c r="N14" s="89"/>
      <c r="O14" s="105"/>
      <c r="P14" s="89"/>
      <c r="Q14" s="105"/>
      <c r="R14" s="89"/>
      <c r="S14" s="105"/>
      <c r="T14" s="89"/>
      <c r="U14" s="105"/>
      <c r="V14" s="89"/>
      <c r="W14" s="105"/>
      <c r="X14" s="89"/>
      <c r="Y14" s="90"/>
      <c r="Z14" s="90"/>
    </row>
    <row r="15" spans="1:26" ht="21.75" customHeight="1">
      <c r="A15" s="65"/>
      <c r="B15" s="68" t="s">
        <v>58</v>
      </c>
      <c r="C15" s="69"/>
      <c r="D15" s="70">
        <v>36000</v>
      </c>
      <c r="E15" s="71"/>
      <c r="F15" s="68" t="s">
        <v>58</v>
      </c>
      <c r="G15" s="69"/>
      <c r="H15" s="20">
        <v>36000</v>
      </c>
      <c r="I15" s="85"/>
      <c r="J15" s="68" t="s">
        <v>62</v>
      </c>
      <c r="K15" s="78"/>
      <c r="L15" s="17" t="s">
        <v>67</v>
      </c>
      <c r="M15" s="10"/>
      <c r="N15" s="89"/>
      <c r="O15" s="105"/>
      <c r="P15" s="89"/>
      <c r="Q15" s="105"/>
      <c r="R15" s="89"/>
      <c r="S15" s="105"/>
      <c r="T15" s="89"/>
      <c r="U15" s="105"/>
      <c r="V15" s="89"/>
      <c r="W15" s="105"/>
      <c r="X15" s="89"/>
      <c r="Y15" s="90"/>
      <c r="Z15" s="90"/>
    </row>
    <row r="16" spans="1:26" ht="21.75" customHeight="1">
      <c r="A16" s="65"/>
      <c r="B16" s="5" t="s">
        <v>51</v>
      </c>
      <c r="C16" s="5" t="s">
        <v>53</v>
      </c>
      <c r="D16" s="5" t="s">
        <v>54</v>
      </c>
      <c r="E16" s="123"/>
      <c r="F16" s="5" t="s">
        <v>51</v>
      </c>
      <c r="G16" s="5" t="s">
        <v>53</v>
      </c>
      <c r="H16" s="11" t="s">
        <v>54</v>
      </c>
      <c r="I16" s="85"/>
      <c r="J16" s="66" t="s">
        <v>63</v>
      </c>
      <c r="K16" s="66" t="s">
        <v>64</v>
      </c>
      <c r="L16" s="17" t="s">
        <v>68</v>
      </c>
      <c r="M16" s="10"/>
      <c r="N16" s="89"/>
      <c r="O16" s="105"/>
      <c r="P16" s="89"/>
      <c r="Q16" s="105"/>
      <c r="R16" s="89"/>
      <c r="S16" s="105"/>
      <c r="T16" s="89"/>
      <c r="U16" s="105"/>
      <c r="V16" s="89"/>
      <c r="W16" s="105"/>
      <c r="X16" s="89"/>
      <c r="Y16" s="90"/>
      <c r="Z16" s="90"/>
    </row>
    <row r="17" spans="1:26" ht="21.75" customHeight="1">
      <c r="A17" s="78"/>
      <c r="B17" s="32" t="s">
        <v>52</v>
      </c>
      <c r="C17" s="32" t="s">
        <v>51</v>
      </c>
      <c r="D17" s="32" t="s">
        <v>55</v>
      </c>
      <c r="E17" s="98"/>
      <c r="F17" s="32" t="s">
        <v>52</v>
      </c>
      <c r="G17" s="5" t="s">
        <v>51</v>
      </c>
      <c r="H17" s="12" t="s">
        <v>55</v>
      </c>
      <c r="I17" s="119"/>
      <c r="J17" s="120"/>
      <c r="K17" s="120"/>
      <c r="L17" s="17" t="s">
        <v>69</v>
      </c>
      <c r="M17" s="111" t="s">
        <v>92</v>
      </c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spans="1:26" ht="23.25" customHeight="1">
      <c r="A18" s="45" t="s">
        <v>7</v>
      </c>
      <c r="B18" s="49">
        <v>2419.8420999999998</v>
      </c>
      <c r="C18" s="31"/>
      <c r="D18" s="30"/>
      <c r="E18" s="29"/>
      <c r="F18" s="49">
        <v>1475.4299000000001</v>
      </c>
      <c r="G18" s="28"/>
      <c r="H18" s="30"/>
      <c r="I18" s="33"/>
      <c r="J18" s="29"/>
      <c r="K18" s="29">
        <v>6.1</v>
      </c>
      <c r="L18" s="35"/>
      <c r="M18" s="104" t="s">
        <v>79</v>
      </c>
      <c r="N18" s="98" t="s">
        <v>98</v>
      </c>
      <c r="O18" s="98"/>
      <c r="P18" s="98"/>
      <c r="Q18" s="98" t="s">
        <v>107</v>
      </c>
      <c r="R18" s="98"/>
      <c r="S18" s="98"/>
      <c r="T18" s="98" t="s">
        <v>93</v>
      </c>
      <c r="U18" s="98"/>
      <c r="V18" s="98"/>
      <c r="W18" s="100" t="s">
        <v>91</v>
      </c>
      <c r="X18" s="112"/>
      <c r="Y18" s="112"/>
      <c r="Z18" s="112"/>
    </row>
    <row r="19" spans="1:26" ht="23.25" customHeight="1">
      <c r="A19" s="45" t="s">
        <v>8</v>
      </c>
      <c r="B19" s="49">
        <v>2419.8793000000001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3.720000000021173E-2</v>
      </c>
      <c r="D19" s="30">
        <f t="shared" ref="D19:D42" si="1">IF(C19="","",C19*$D$15)</f>
        <v>1339.2000000076223</v>
      </c>
      <c r="E19" s="29"/>
      <c r="F19" s="49">
        <v>1475.4598000000001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2.9899999999997817E-2</v>
      </c>
      <c r="H19" s="30">
        <f t="shared" ref="H19:H42" si="3">IF(G19="","",G19*$H$15)</f>
        <v>1076.3999999999214</v>
      </c>
      <c r="I19" s="33">
        <f t="shared" ref="I19:I42" si="4">IF(H19="","",IF(D19="","",IF(AND(H19=0,D19=0),0,H19/D19)))</f>
        <v>0.8037634408555816</v>
      </c>
      <c r="J19" s="29"/>
      <c r="K19" s="50">
        <v>6.1</v>
      </c>
      <c r="L19" s="35"/>
      <c r="M19" s="95"/>
      <c r="N19" s="99"/>
      <c r="O19" s="99"/>
      <c r="P19" s="99"/>
      <c r="Q19" s="99" t="s">
        <v>108</v>
      </c>
      <c r="R19" s="99"/>
      <c r="S19" s="99"/>
      <c r="T19" s="99"/>
      <c r="U19" s="99"/>
      <c r="V19" s="99"/>
      <c r="W19" s="101"/>
      <c r="X19" s="91"/>
      <c r="Y19" s="91"/>
      <c r="Z19" s="91"/>
    </row>
    <row r="20" spans="1:26" ht="23.25" customHeight="1">
      <c r="A20" s="45" t="s">
        <v>9</v>
      </c>
      <c r="B20" s="49">
        <v>2419.9173999999998</v>
      </c>
      <c r="C20" s="31">
        <f t="shared" si="0"/>
        <v>3.8099999999758438E-2</v>
      </c>
      <c r="D20" s="30">
        <f t="shared" si="1"/>
        <v>1371.5999999913038</v>
      </c>
      <c r="E20" s="29"/>
      <c r="F20" s="49">
        <v>1475.4901</v>
      </c>
      <c r="G20" s="28">
        <f t="shared" si="2"/>
        <v>3.0299999999897409E-2</v>
      </c>
      <c r="H20" s="30">
        <f t="shared" si="3"/>
        <v>1090.7999999963067</v>
      </c>
      <c r="I20" s="33">
        <f t="shared" si="4"/>
        <v>0.79527559055353059</v>
      </c>
      <c r="J20" s="29"/>
      <c r="K20" s="50">
        <v>6.1</v>
      </c>
      <c r="L20" s="35"/>
      <c r="M20" s="95" t="s">
        <v>80</v>
      </c>
      <c r="N20" s="99" t="s">
        <v>99</v>
      </c>
      <c r="O20" s="99"/>
      <c r="P20" s="99"/>
      <c r="Q20" s="99" t="s">
        <v>189</v>
      </c>
      <c r="R20" s="99"/>
      <c r="S20" s="99"/>
      <c r="T20" s="99" t="s">
        <v>94</v>
      </c>
      <c r="U20" s="99"/>
      <c r="V20" s="99"/>
      <c r="W20" s="101"/>
      <c r="X20" s="91"/>
      <c r="Y20" s="91"/>
      <c r="Z20" s="91"/>
    </row>
    <row r="21" spans="1:26" ht="23.25" customHeight="1">
      <c r="A21" s="45" t="s">
        <v>10</v>
      </c>
      <c r="B21" s="49">
        <v>2419.9550999999997</v>
      </c>
      <c r="C21" s="31">
        <f t="shared" si="0"/>
        <v>3.7699999999858846E-2</v>
      </c>
      <c r="D21" s="30">
        <f t="shared" si="1"/>
        <v>1357.1999999949185</v>
      </c>
      <c r="E21" s="29"/>
      <c r="F21" s="49">
        <v>1475.5203000000001</v>
      </c>
      <c r="G21" s="28">
        <f t="shared" si="2"/>
        <v>3.0200000000149885E-2</v>
      </c>
      <c r="H21" s="30">
        <f t="shared" si="3"/>
        <v>1087.2000000053959</v>
      </c>
      <c r="I21" s="33">
        <f t="shared" si="4"/>
        <v>0.80106100796453472</v>
      </c>
      <c r="J21" s="29"/>
      <c r="K21" s="50">
        <v>6.1</v>
      </c>
      <c r="L21" s="35"/>
      <c r="M21" s="96"/>
      <c r="N21" s="102"/>
      <c r="O21" s="102"/>
      <c r="P21" s="102"/>
      <c r="Q21" s="102"/>
      <c r="R21" s="102"/>
      <c r="S21" s="102"/>
      <c r="T21" s="102"/>
      <c r="U21" s="102"/>
      <c r="V21" s="102"/>
      <c r="W21" s="103"/>
      <c r="X21" s="111"/>
      <c r="Y21" s="111"/>
      <c r="Z21" s="111"/>
    </row>
    <row r="22" spans="1:26" ht="23.25" customHeight="1">
      <c r="A22" s="45" t="s">
        <v>11</v>
      </c>
      <c r="B22" s="49">
        <v>2419.9926999999998</v>
      </c>
      <c r="C22" s="31">
        <f t="shared" si="0"/>
        <v>3.7600000000111322E-2</v>
      </c>
      <c r="D22" s="30">
        <f t="shared" si="1"/>
        <v>1353.6000000040076</v>
      </c>
      <c r="E22" s="29"/>
      <c r="F22" s="49">
        <v>1475.5503000000001</v>
      </c>
      <c r="G22" s="28">
        <f t="shared" si="2"/>
        <v>2.9999999999972715E-2</v>
      </c>
      <c r="H22" s="30">
        <f t="shared" si="3"/>
        <v>1079.9999999990177</v>
      </c>
      <c r="I22" s="33">
        <f t="shared" si="4"/>
        <v>0.79787234042244404</v>
      </c>
      <c r="J22" s="29"/>
      <c r="K22" s="50">
        <v>6.1</v>
      </c>
      <c r="L22" s="35"/>
      <c r="M22" s="10"/>
      <c r="N22" s="106" t="s">
        <v>179</v>
      </c>
      <c r="O22" s="106"/>
      <c r="P22" s="106"/>
      <c r="Q22" s="106" t="s">
        <v>180</v>
      </c>
      <c r="R22" s="106"/>
      <c r="S22" s="106"/>
      <c r="T22" s="106" t="s">
        <v>178</v>
      </c>
      <c r="U22" s="106"/>
      <c r="V22" s="106"/>
      <c r="W22" s="89"/>
      <c r="X22" s="90"/>
      <c r="Y22" s="90"/>
      <c r="Z22" s="90"/>
    </row>
    <row r="23" spans="1:26" ht="23.25" customHeight="1">
      <c r="A23" s="45" t="s">
        <v>12</v>
      </c>
      <c r="B23" s="49">
        <v>2420.0304999999998</v>
      </c>
      <c r="C23" s="31">
        <f t="shared" si="0"/>
        <v>3.7800000000061118E-2</v>
      </c>
      <c r="D23" s="30">
        <f t="shared" si="1"/>
        <v>1360.8000000022002</v>
      </c>
      <c r="E23" s="29"/>
      <c r="F23" s="49">
        <v>1475.5809000000002</v>
      </c>
      <c r="G23" s="28">
        <f t="shared" si="2"/>
        <v>3.0600000000049477E-2</v>
      </c>
      <c r="H23" s="30">
        <f t="shared" si="3"/>
        <v>1101.6000000017812</v>
      </c>
      <c r="I23" s="33">
        <f t="shared" si="4"/>
        <v>0.80952380952380953</v>
      </c>
      <c r="J23" s="29"/>
      <c r="K23" s="50">
        <v>6.1</v>
      </c>
      <c r="L23" s="35"/>
      <c r="M23" s="10"/>
      <c r="N23" s="106"/>
      <c r="O23" s="106"/>
      <c r="P23" s="106"/>
      <c r="Q23" s="106"/>
      <c r="R23" s="106"/>
      <c r="S23" s="106"/>
      <c r="T23" s="106"/>
      <c r="U23" s="106"/>
      <c r="V23" s="106"/>
      <c r="W23" s="89"/>
      <c r="X23" s="90"/>
      <c r="Y23" s="90"/>
      <c r="Z23" s="90"/>
    </row>
    <row r="24" spans="1:26" ht="23.25" customHeight="1">
      <c r="A24" s="45" t="s">
        <v>13</v>
      </c>
      <c r="B24" s="49">
        <v>2420.0681</v>
      </c>
      <c r="C24" s="31">
        <f t="shared" si="0"/>
        <v>3.7600000000111322E-2</v>
      </c>
      <c r="D24" s="30">
        <f t="shared" si="1"/>
        <v>1353.6000000040076</v>
      </c>
      <c r="E24" s="29"/>
      <c r="F24" s="49">
        <v>1475.6112000000001</v>
      </c>
      <c r="G24" s="28">
        <f t="shared" si="2"/>
        <v>3.0299999999897409E-2</v>
      </c>
      <c r="H24" s="30">
        <f t="shared" si="3"/>
        <v>1090.7999999963067</v>
      </c>
      <c r="I24" s="33">
        <f t="shared" si="4"/>
        <v>0.80585106382467286</v>
      </c>
      <c r="J24" s="29"/>
      <c r="K24" s="50">
        <v>6.1</v>
      </c>
      <c r="L24" s="35"/>
      <c r="M24" s="10"/>
      <c r="N24" s="106"/>
      <c r="O24" s="106"/>
      <c r="P24" s="106"/>
      <c r="Q24" s="106"/>
      <c r="R24" s="106"/>
      <c r="S24" s="106"/>
      <c r="T24" s="106"/>
      <c r="U24" s="106"/>
      <c r="V24" s="106"/>
      <c r="W24" s="89"/>
      <c r="X24" s="90"/>
      <c r="Y24" s="90"/>
      <c r="Z24" s="90"/>
    </row>
    <row r="25" spans="1:26" ht="23.25" customHeight="1">
      <c r="A25" s="45" t="s">
        <v>14</v>
      </c>
      <c r="B25" s="49">
        <v>2420.1057999999998</v>
      </c>
      <c r="C25" s="31">
        <f t="shared" si="0"/>
        <v>3.7699999999858846E-2</v>
      </c>
      <c r="D25" s="30">
        <f t="shared" si="1"/>
        <v>1357.1999999949185</v>
      </c>
      <c r="E25" s="29"/>
      <c r="F25" s="49">
        <v>1475.6414</v>
      </c>
      <c r="G25" s="28">
        <f t="shared" si="2"/>
        <v>3.0199999999922511E-2</v>
      </c>
      <c r="H25" s="30">
        <f t="shared" si="3"/>
        <v>1087.1999999972104</v>
      </c>
      <c r="I25" s="33">
        <f t="shared" si="4"/>
        <v>0.80106100795850355</v>
      </c>
      <c r="J25" s="29"/>
      <c r="K25" s="50">
        <v>6.1</v>
      </c>
      <c r="L25" s="35"/>
      <c r="M25" s="10"/>
      <c r="N25" s="106"/>
      <c r="O25" s="106"/>
      <c r="P25" s="106"/>
      <c r="Q25" s="106"/>
      <c r="R25" s="106"/>
      <c r="S25" s="106"/>
      <c r="T25" s="106"/>
      <c r="U25" s="106"/>
      <c r="V25" s="106"/>
      <c r="W25" s="89"/>
      <c r="X25" s="90"/>
      <c r="Y25" s="90"/>
      <c r="Z25" s="90"/>
    </row>
    <row r="26" spans="1:26" ht="23.25" customHeight="1">
      <c r="A26" s="45" t="s">
        <v>15</v>
      </c>
      <c r="B26" s="49">
        <v>2420.1433999999999</v>
      </c>
      <c r="C26" s="31">
        <f t="shared" si="0"/>
        <v>3.7600000000111322E-2</v>
      </c>
      <c r="D26" s="30">
        <f t="shared" si="1"/>
        <v>1353.6000000040076</v>
      </c>
      <c r="E26" s="29"/>
      <c r="F26" s="49">
        <v>1475.6714000000002</v>
      </c>
      <c r="G26" s="28">
        <f t="shared" si="2"/>
        <v>3.0000000000200089E-2</v>
      </c>
      <c r="H26" s="30">
        <f t="shared" si="3"/>
        <v>1080.0000000072032</v>
      </c>
      <c r="I26" s="33">
        <f t="shared" si="4"/>
        <v>0.7978723404284912</v>
      </c>
      <c r="J26" s="29"/>
      <c r="K26" s="29">
        <v>6</v>
      </c>
      <c r="L26" s="35"/>
      <c r="M26" s="10"/>
      <c r="N26" s="106"/>
      <c r="O26" s="106"/>
      <c r="P26" s="106"/>
      <c r="Q26" s="106"/>
      <c r="R26" s="106"/>
      <c r="S26" s="106"/>
      <c r="T26" s="106"/>
      <c r="U26" s="106"/>
      <c r="V26" s="106"/>
      <c r="W26" s="89"/>
      <c r="X26" s="90"/>
      <c r="Y26" s="90"/>
      <c r="Z26" s="90"/>
    </row>
    <row r="27" spans="1:26" ht="23.25" customHeight="1">
      <c r="A27" s="45" t="s">
        <v>16</v>
      </c>
      <c r="B27" s="49">
        <v>2420.1823999999997</v>
      </c>
      <c r="C27" s="31">
        <f t="shared" si="0"/>
        <v>3.8999999999759893E-2</v>
      </c>
      <c r="D27" s="30">
        <f t="shared" si="1"/>
        <v>1403.9999999913562</v>
      </c>
      <c r="E27" s="29"/>
      <c r="F27" s="49">
        <v>1475.7014000000001</v>
      </c>
      <c r="G27" s="28">
        <f t="shared" si="2"/>
        <v>2.9999999999972715E-2</v>
      </c>
      <c r="H27" s="30">
        <f t="shared" si="3"/>
        <v>1079.9999999990177</v>
      </c>
      <c r="I27" s="33">
        <f t="shared" si="4"/>
        <v>0.76923076923480549</v>
      </c>
      <c r="J27" s="29"/>
      <c r="K27" s="50">
        <v>6</v>
      </c>
      <c r="L27" s="35"/>
      <c r="M27" s="10"/>
      <c r="N27" s="106"/>
      <c r="O27" s="106"/>
      <c r="P27" s="106"/>
      <c r="Q27" s="106"/>
      <c r="R27" s="106"/>
      <c r="S27" s="106"/>
      <c r="T27" s="106"/>
      <c r="U27" s="106"/>
      <c r="V27" s="106"/>
      <c r="W27" s="89"/>
      <c r="X27" s="90"/>
      <c r="Y27" s="90"/>
      <c r="Z27" s="90"/>
    </row>
    <row r="28" spans="1:26" ht="23.25" customHeight="1">
      <c r="A28" s="45" t="s">
        <v>17</v>
      </c>
      <c r="B28" s="49">
        <v>2420.2206999999999</v>
      </c>
      <c r="C28" s="31">
        <f t="shared" si="0"/>
        <v>3.8300000000162981E-2</v>
      </c>
      <c r="D28" s="30">
        <f t="shared" si="1"/>
        <v>1378.8000000058673</v>
      </c>
      <c r="E28" s="29"/>
      <c r="F28" s="49">
        <v>1475.7315000000001</v>
      </c>
      <c r="G28" s="28">
        <f t="shared" si="2"/>
        <v>3.0099999999947613E-2</v>
      </c>
      <c r="H28" s="30">
        <f t="shared" si="3"/>
        <v>1083.5999999981141</v>
      </c>
      <c r="I28" s="33">
        <f t="shared" si="4"/>
        <v>0.78590078328510515</v>
      </c>
      <c r="J28" s="29"/>
      <c r="K28" s="50">
        <v>6</v>
      </c>
      <c r="L28" s="35"/>
      <c r="M28" s="10"/>
      <c r="N28" s="106"/>
      <c r="O28" s="106"/>
      <c r="P28" s="106"/>
      <c r="Q28" s="106"/>
      <c r="R28" s="106"/>
      <c r="S28" s="106"/>
      <c r="T28" s="106"/>
      <c r="U28" s="106"/>
      <c r="V28" s="106"/>
      <c r="W28" s="89"/>
      <c r="X28" s="90"/>
      <c r="Y28" s="90"/>
      <c r="Z28" s="90"/>
    </row>
    <row r="29" spans="1:26" ht="23.25" customHeight="1">
      <c r="A29" s="45" t="s">
        <v>18</v>
      </c>
      <c r="B29" s="49">
        <v>2420.2590999999998</v>
      </c>
      <c r="C29" s="31">
        <f t="shared" si="0"/>
        <v>3.8399999999910506E-2</v>
      </c>
      <c r="D29" s="30">
        <f t="shared" si="1"/>
        <v>1382.3999999967782</v>
      </c>
      <c r="E29" s="29"/>
      <c r="F29" s="49">
        <v>1475.7610000000002</v>
      </c>
      <c r="G29" s="28">
        <f t="shared" si="2"/>
        <v>2.9500000000098225E-2</v>
      </c>
      <c r="H29" s="30">
        <f t="shared" si="3"/>
        <v>1062.0000000035361</v>
      </c>
      <c r="I29" s="33">
        <f t="shared" si="4"/>
        <v>0.76822916667101504</v>
      </c>
      <c r="J29" s="29"/>
      <c r="K29" s="50">
        <v>6</v>
      </c>
      <c r="L29" s="35"/>
      <c r="M29" s="97" t="s">
        <v>95</v>
      </c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23.25" customHeight="1">
      <c r="A30" s="45" t="s">
        <v>19</v>
      </c>
      <c r="B30" s="49">
        <v>2420.2954</v>
      </c>
      <c r="C30" s="31">
        <f t="shared" si="0"/>
        <v>3.6300000000210275E-2</v>
      </c>
      <c r="D30" s="30">
        <f t="shared" si="1"/>
        <v>1306.8000000075699</v>
      </c>
      <c r="E30" s="29"/>
      <c r="F30" s="49">
        <v>1475.789</v>
      </c>
      <c r="G30" s="28">
        <f t="shared" si="2"/>
        <v>2.7999999999792635E-2</v>
      </c>
      <c r="H30" s="30">
        <f t="shared" si="3"/>
        <v>1007.9999999925349</v>
      </c>
      <c r="I30" s="33">
        <f t="shared" si="4"/>
        <v>0.77134986224877244</v>
      </c>
      <c r="J30" s="29"/>
      <c r="K30" s="50">
        <v>6</v>
      </c>
      <c r="L30" s="35"/>
      <c r="M30" s="91" t="s">
        <v>97</v>
      </c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 spans="1:26" ht="23.25" customHeight="1">
      <c r="A31" s="45" t="s">
        <v>20</v>
      </c>
      <c r="B31" s="49">
        <v>2420.3323999999998</v>
      </c>
      <c r="C31" s="31">
        <f t="shared" si="0"/>
        <v>3.6999999999807187E-2</v>
      </c>
      <c r="D31" s="30">
        <f t="shared" si="1"/>
        <v>1331.9999999930587</v>
      </c>
      <c r="E31" s="29"/>
      <c r="F31" s="49">
        <v>1475.8173000000002</v>
      </c>
      <c r="G31" s="28">
        <f t="shared" si="2"/>
        <v>2.8300000000172076E-2</v>
      </c>
      <c r="H31" s="30">
        <f t="shared" si="3"/>
        <v>1018.8000000061948</v>
      </c>
      <c r="I31" s="33">
        <f t="shared" si="4"/>
        <v>0.76486486487350136</v>
      </c>
      <c r="J31" s="29"/>
      <c r="K31" s="50">
        <v>6</v>
      </c>
      <c r="L31" s="35"/>
      <c r="M31" s="104" t="s">
        <v>79</v>
      </c>
      <c r="N31" s="98" t="s">
        <v>98</v>
      </c>
      <c r="O31" s="98"/>
      <c r="P31" s="98" t="s">
        <v>100</v>
      </c>
      <c r="Q31" s="98"/>
      <c r="R31" s="98" t="s">
        <v>93</v>
      </c>
      <c r="S31" s="98"/>
      <c r="T31" s="98" t="s">
        <v>103</v>
      </c>
      <c r="U31" s="98"/>
      <c r="V31" s="98" t="s">
        <v>187</v>
      </c>
      <c r="W31" s="98"/>
      <c r="X31" s="98"/>
      <c r="Y31" s="98" t="s">
        <v>91</v>
      </c>
      <c r="Z31" s="100"/>
    </row>
    <row r="32" spans="1:26" ht="23.25" customHeight="1">
      <c r="A32" s="45" t="s">
        <v>21</v>
      </c>
      <c r="B32" s="49">
        <v>2420.3694</v>
      </c>
      <c r="C32" s="31">
        <f t="shared" si="0"/>
        <v>3.7000000000261934E-2</v>
      </c>
      <c r="D32" s="30">
        <f t="shared" si="1"/>
        <v>1332.0000000094296</v>
      </c>
      <c r="E32" s="29"/>
      <c r="F32" s="49">
        <v>1475.8454000000002</v>
      </c>
      <c r="G32" s="28">
        <f t="shared" si="2"/>
        <v>2.8099999999994907E-2</v>
      </c>
      <c r="H32" s="30">
        <f t="shared" si="3"/>
        <v>1011.5999999998166</v>
      </c>
      <c r="I32" s="33">
        <f t="shared" si="4"/>
        <v>0.75945945945394533</v>
      </c>
      <c r="J32" s="29"/>
      <c r="K32" s="50">
        <v>6</v>
      </c>
      <c r="L32" s="35"/>
      <c r="M32" s="95"/>
      <c r="N32" s="99"/>
      <c r="O32" s="99"/>
      <c r="P32" s="99" t="s">
        <v>83</v>
      </c>
      <c r="Q32" s="99"/>
      <c r="R32" s="99" t="s">
        <v>102</v>
      </c>
      <c r="S32" s="99"/>
      <c r="T32" s="99" t="s">
        <v>104</v>
      </c>
      <c r="U32" s="99"/>
      <c r="V32" s="99" t="s">
        <v>105</v>
      </c>
      <c r="W32" s="99"/>
      <c r="X32" s="99"/>
      <c r="Y32" s="99"/>
      <c r="Z32" s="101"/>
    </row>
    <row r="33" spans="1:26" ht="23.25" customHeight="1">
      <c r="A33" s="45" t="s">
        <v>22</v>
      </c>
      <c r="B33" s="49">
        <v>2420.4065999999998</v>
      </c>
      <c r="C33" s="31">
        <f t="shared" si="0"/>
        <v>3.7199999999756983E-2</v>
      </c>
      <c r="D33" s="30">
        <f t="shared" si="1"/>
        <v>1339.1999999912514</v>
      </c>
      <c r="E33" s="29"/>
      <c r="F33" s="49">
        <v>1475.8737000000001</v>
      </c>
      <c r="G33" s="28">
        <f t="shared" si="2"/>
        <v>2.8299999999944703E-2</v>
      </c>
      <c r="H33" s="30">
        <f t="shared" si="3"/>
        <v>1018.7999999980093</v>
      </c>
      <c r="I33" s="33">
        <f t="shared" si="4"/>
        <v>0.76075268817552633</v>
      </c>
      <c r="J33" s="29"/>
      <c r="K33" s="50">
        <v>6</v>
      </c>
      <c r="L33" s="35"/>
      <c r="M33" s="95" t="s">
        <v>80</v>
      </c>
      <c r="N33" s="99" t="s">
        <v>99</v>
      </c>
      <c r="O33" s="99"/>
      <c r="P33" s="99" t="s">
        <v>101</v>
      </c>
      <c r="Q33" s="99"/>
      <c r="R33" s="99" t="s">
        <v>69</v>
      </c>
      <c r="S33" s="99"/>
      <c r="T33" s="99" t="s">
        <v>69</v>
      </c>
      <c r="U33" s="99"/>
      <c r="V33" s="99" t="s">
        <v>106</v>
      </c>
      <c r="W33" s="99"/>
      <c r="X33" s="99"/>
      <c r="Y33" s="99"/>
      <c r="Z33" s="101"/>
    </row>
    <row r="34" spans="1:26" ht="23.25" customHeight="1">
      <c r="A34" s="45" t="s">
        <v>23</v>
      </c>
      <c r="B34" s="49">
        <v>2420.4443999999999</v>
      </c>
      <c r="C34" s="31">
        <f t="shared" si="0"/>
        <v>3.7800000000061118E-2</v>
      </c>
      <c r="D34" s="30">
        <f t="shared" si="1"/>
        <v>1360.8000000022002</v>
      </c>
      <c r="E34" s="29"/>
      <c r="F34" s="49">
        <v>1475.9025000000001</v>
      </c>
      <c r="G34" s="28">
        <f t="shared" si="2"/>
        <v>2.8800000000046566E-2</v>
      </c>
      <c r="H34" s="30">
        <f t="shared" si="3"/>
        <v>1036.8000000016764</v>
      </c>
      <c r="I34" s="33">
        <f t="shared" si="4"/>
        <v>0.76190476190476186</v>
      </c>
      <c r="J34" s="29"/>
      <c r="K34" s="50">
        <v>6</v>
      </c>
      <c r="L34" s="35"/>
      <c r="M34" s="96"/>
      <c r="N34" s="102"/>
      <c r="O34" s="102"/>
      <c r="P34" s="102"/>
      <c r="Q34" s="102"/>
      <c r="R34" s="103"/>
      <c r="S34" s="96"/>
      <c r="T34" s="103"/>
      <c r="U34" s="96"/>
      <c r="V34" s="103"/>
      <c r="W34" s="111"/>
      <c r="X34" s="96"/>
      <c r="Y34" s="102"/>
      <c r="Z34" s="103"/>
    </row>
    <row r="35" spans="1:26" ht="23.25" customHeight="1">
      <c r="A35" s="45" t="s">
        <v>24</v>
      </c>
      <c r="B35" s="49">
        <v>2420.4839999999999</v>
      </c>
      <c r="C35" s="31">
        <f t="shared" si="0"/>
        <v>3.9600000000064028E-2</v>
      </c>
      <c r="D35" s="30">
        <f t="shared" si="1"/>
        <v>1425.600000002305</v>
      </c>
      <c r="E35" s="29"/>
      <c r="F35" s="49">
        <v>1475.9321</v>
      </c>
      <c r="G35" s="28">
        <f t="shared" si="2"/>
        <v>2.959999999984575E-2</v>
      </c>
      <c r="H35" s="30">
        <f t="shared" si="3"/>
        <v>1065.599999994447</v>
      </c>
      <c r="I35" s="33">
        <f t="shared" si="4"/>
        <v>0.74747474746964371</v>
      </c>
      <c r="J35" s="29"/>
      <c r="K35" s="50">
        <v>6</v>
      </c>
      <c r="L35" s="35"/>
      <c r="M35" s="10"/>
      <c r="N35" s="106" t="s">
        <v>174</v>
      </c>
      <c r="O35" s="106"/>
      <c r="P35" s="114">
        <v>0.4</v>
      </c>
      <c r="Q35" s="115"/>
      <c r="R35" s="114">
        <v>720</v>
      </c>
      <c r="S35" s="115"/>
      <c r="T35" s="106"/>
      <c r="U35" s="106"/>
      <c r="V35" s="106"/>
      <c r="W35" s="106"/>
      <c r="X35" s="106"/>
      <c r="Y35" s="106"/>
      <c r="Z35" s="89"/>
    </row>
    <row r="36" spans="1:26" ht="23.25" customHeight="1">
      <c r="A36" s="45" t="s">
        <v>25</v>
      </c>
      <c r="B36" s="49">
        <v>2420.5236</v>
      </c>
      <c r="C36" s="31">
        <f t="shared" si="0"/>
        <v>3.9600000000064028E-2</v>
      </c>
      <c r="D36" s="30">
        <f t="shared" si="1"/>
        <v>1425.600000002305</v>
      </c>
      <c r="E36" s="29"/>
      <c r="F36" s="49">
        <v>1475.9616000000001</v>
      </c>
      <c r="G36" s="28">
        <f t="shared" si="2"/>
        <v>2.9500000000098225E-2</v>
      </c>
      <c r="H36" s="30">
        <f t="shared" si="3"/>
        <v>1062.0000000035361</v>
      </c>
      <c r="I36" s="33">
        <f t="shared" si="4"/>
        <v>0.7449494949507709</v>
      </c>
      <c r="J36" s="29"/>
      <c r="K36" s="50">
        <v>6</v>
      </c>
      <c r="L36" s="35"/>
      <c r="M36" s="10"/>
      <c r="N36" s="106" t="s">
        <v>175</v>
      </c>
      <c r="O36" s="106"/>
      <c r="P36" s="116"/>
      <c r="Q36" s="117"/>
      <c r="R36" s="116"/>
      <c r="S36" s="117"/>
      <c r="T36" s="106"/>
      <c r="U36" s="106"/>
      <c r="V36" s="106"/>
      <c r="W36" s="106"/>
      <c r="X36" s="106"/>
      <c r="Y36" s="106"/>
      <c r="Z36" s="89"/>
    </row>
    <row r="37" spans="1:26" ht="23.25" customHeight="1">
      <c r="A37" s="45" t="s">
        <v>26</v>
      </c>
      <c r="B37" s="49">
        <v>2420.5629999999996</v>
      </c>
      <c r="C37" s="31">
        <f t="shared" si="0"/>
        <v>3.9399999999659485E-2</v>
      </c>
      <c r="D37" s="30">
        <f t="shared" si="1"/>
        <v>1418.3999999877415</v>
      </c>
      <c r="E37" s="29"/>
      <c r="F37" s="49">
        <v>1475.9912000000002</v>
      </c>
      <c r="G37" s="28">
        <f t="shared" si="2"/>
        <v>2.9600000000073123E-2</v>
      </c>
      <c r="H37" s="30">
        <f t="shared" si="3"/>
        <v>1065.6000000026324</v>
      </c>
      <c r="I37" s="33">
        <f t="shared" si="4"/>
        <v>0.75126903554134372</v>
      </c>
      <c r="J37" s="29"/>
      <c r="K37" s="50">
        <v>6</v>
      </c>
      <c r="L37" s="35"/>
      <c r="M37" s="10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89"/>
    </row>
    <row r="38" spans="1:26" ht="23.25" customHeight="1">
      <c r="A38" s="45" t="s">
        <v>27</v>
      </c>
      <c r="B38" s="49">
        <v>2420.6016999999997</v>
      </c>
      <c r="C38" s="31">
        <f t="shared" si="0"/>
        <v>3.8700000000062573E-2</v>
      </c>
      <c r="D38" s="30">
        <f t="shared" si="1"/>
        <v>1393.2000000022526</v>
      </c>
      <c r="E38" s="29"/>
      <c r="F38" s="49">
        <v>1476.0210000000002</v>
      </c>
      <c r="G38" s="28">
        <f t="shared" si="2"/>
        <v>2.9800000000022919E-2</v>
      </c>
      <c r="H38" s="30">
        <f t="shared" si="3"/>
        <v>1072.8000000008251</v>
      </c>
      <c r="I38" s="33">
        <f t="shared" si="4"/>
        <v>0.77002583979262884</v>
      </c>
      <c r="J38" s="29"/>
      <c r="K38" s="29">
        <v>6.1</v>
      </c>
      <c r="L38" s="35"/>
      <c r="M38" s="10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89"/>
    </row>
    <row r="39" spans="1:26" ht="23.25" customHeight="1">
      <c r="A39" s="45" t="s">
        <v>28</v>
      </c>
      <c r="B39" s="49">
        <v>2420.6403999999998</v>
      </c>
      <c r="C39" s="31">
        <f t="shared" si="0"/>
        <v>3.8700000000062573E-2</v>
      </c>
      <c r="D39" s="30">
        <f t="shared" si="1"/>
        <v>1393.2000000022526</v>
      </c>
      <c r="E39" s="29"/>
      <c r="F39" s="49">
        <v>1476.0510000000002</v>
      </c>
      <c r="G39" s="28">
        <f t="shared" si="2"/>
        <v>2.9999999999972715E-2</v>
      </c>
      <c r="H39" s="30">
        <f t="shared" si="3"/>
        <v>1079.9999999990177</v>
      </c>
      <c r="I39" s="33">
        <f t="shared" si="4"/>
        <v>0.77519379844765401</v>
      </c>
      <c r="J39" s="29"/>
      <c r="K39" s="50">
        <v>6.1</v>
      </c>
      <c r="L39" s="35"/>
      <c r="M39" s="10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89"/>
    </row>
    <row r="40" spans="1:26" ht="23.25" customHeight="1">
      <c r="A40" s="45" t="s">
        <v>29</v>
      </c>
      <c r="B40" s="49">
        <v>2420.6794999999997</v>
      </c>
      <c r="C40" s="31">
        <f t="shared" si="0"/>
        <v>3.9099999999962165E-2</v>
      </c>
      <c r="D40" s="30">
        <f t="shared" si="1"/>
        <v>1407.5999999986379</v>
      </c>
      <c r="E40" s="29"/>
      <c r="F40" s="49">
        <v>1476.0814</v>
      </c>
      <c r="G40" s="28">
        <f t="shared" si="2"/>
        <v>3.0399999999872307E-2</v>
      </c>
      <c r="H40" s="30">
        <f t="shared" si="3"/>
        <v>1094.399999995403</v>
      </c>
      <c r="I40" s="33">
        <f t="shared" si="4"/>
        <v>0.77749360613559393</v>
      </c>
      <c r="J40" s="29"/>
      <c r="K40" s="50">
        <v>6.1</v>
      </c>
      <c r="L40" s="35"/>
      <c r="M40" s="91" t="s">
        <v>109</v>
      </c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</row>
    <row r="41" spans="1:26" ht="23.25" customHeight="1">
      <c r="A41" s="45" t="s">
        <v>30</v>
      </c>
      <c r="B41" s="49">
        <v>2420.7188999999998</v>
      </c>
      <c r="C41" s="31">
        <f t="shared" si="0"/>
        <v>3.9400000000114233E-2</v>
      </c>
      <c r="D41" s="30">
        <f t="shared" si="1"/>
        <v>1418.4000000041124</v>
      </c>
      <c r="E41" s="29"/>
      <c r="F41" s="49">
        <v>1476.1120000000001</v>
      </c>
      <c r="G41" s="28">
        <f t="shared" si="2"/>
        <v>3.0600000000049477E-2</v>
      </c>
      <c r="H41" s="30">
        <f t="shared" si="3"/>
        <v>1101.6000000017812</v>
      </c>
      <c r="I41" s="33">
        <f t="shared" si="4"/>
        <v>0.77664974619189742</v>
      </c>
      <c r="J41" s="29"/>
      <c r="K41" s="50">
        <v>6.1</v>
      </c>
      <c r="L41" s="35"/>
      <c r="M41" s="104" t="s">
        <v>79</v>
      </c>
      <c r="N41" s="98" t="s">
        <v>98</v>
      </c>
      <c r="O41" s="98"/>
      <c r="P41" s="98" t="s">
        <v>93</v>
      </c>
      <c r="Q41" s="98"/>
      <c r="R41" s="98"/>
      <c r="S41" s="98" t="s">
        <v>111</v>
      </c>
      <c r="T41" s="98" t="s">
        <v>81</v>
      </c>
      <c r="U41" s="98"/>
      <c r="V41" s="98"/>
      <c r="W41" s="98"/>
      <c r="X41" s="98" t="s">
        <v>93</v>
      </c>
      <c r="Y41" s="98"/>
      <c r="Z41" s="100"/>
    </row>
    <row r="42" spans="1:26" ht="23.25" customHeight="1">
      <c r="A42" s="45" t="s">
        <v>31</v>
      </c>
      <c r="B42" s="49">
        <v>2420.759</v>
      </c>
      <c r="C42" s="31">
        <f t="shared" si="0"/>
        <v>4.0100000000165892E-2</v>
      </c>
      <c r="D42" s="30">
        <f t="shared" si="1"/>
        <v>1443.6000000059721</v>
      </c>
      <c r="E42" s="29"/>
      <c r="F42" s="49">
        <v>1476.1422</v>
      </c>
      <c r="G42" s="28">
        <f t="shared" si="2"/>
        <v>3.0199999999922511E-2</v>
      </c>
      <c r="H42" s="30">
        <f t="shared" si="3"/>
        <v>1087.1999999972104</v>
      </c>
      <c r="I42" s="33">
        <f t="shared" si="4"/>
        <v>0.75311720697749562</v>
      </c>
      <c r="J42" s="29"/>
      <c r="K42" s="50">
        <v>6.1</v>
      </c>
      <c r="L42" s="35"/>
      <c r="M42" s="95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101"/>
    </row>
    <row r="43" spans="1:26" ht="22.5" customHeight="1">
      <c r="A43" s="121" t="s">
        <v>70</v>
      </c>
      <c r="B43" s="121"/>
      <c r="C43" s="121"/>
      <c r="D43" s="30">
        <f>SUM(D18:D42)</f>
        <v>33008.400000006077</v>
      </c>
      <c r="E43" s="29"/>
      <c r="F43" s="36"/>
      <c r="G43" s="29"/>
      <c r="H43" s="30">
        <f>SUM(H18:H42)</f>
        <v>25642.799999996896</v>
      </c>
      <c r="I43" s="33">
        <f>IF(AND(H43=0,D43=0),0,H43/D43)</f>
        <v>0.77685680008701341</v>
      </c>
      <c r="J43" s="29"/>
      <c r="K43" s="29"/>
      <c r="L43" s="35"/>
      <c r="M43" s="95" t="s">
        <v>80</v>
      </c>
      <c r="N43" s="99" t="s">
        <v>99</v>
      </c>
      <c r="O43" s="99"/>
      <c r="P43" s="99" t="s">
        <v>110</v>
      </c>
      <c r="Q43" s="99"/>
      <c r="R43" s="99"/>
      <c r="S43" s="99"/>
      <c r="T43" s="99"/>
      <c r="U43" s="99"/>
      <c r="V43" s="99"/>
      <c r="W43" s="99"/>
      <c r="X43" s="99" t="s">
        <v>110</v>
      </c>
      <c r="Y43" s="99"/>
      <c r="Z43" s="101"/>
    </row>
    <row r="44" spans="1:26" ht="22.5" customHeight="1">
      <c r="A44" s="76" t="s">
        <v>71</v>
      </c>
      <c r="B44" s="76"/>
      <c r="C44" s="76"/>
      <c r="D44" s="29"/>
      <c r="E44" s="29"/>
      <c r="F44" s="36"/>
      <c r="G44" s="29"/>
      <c r="H44" s="29"/>
      <c r="I44" s="29"/>
      <c r="J44" s="29"/>
      <c r="K44" s="29"/>
      <c r="L44" s="35"/>
      <c r="M44" s="96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3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89"/>
      <c r="O45" s="105"/>
      <c r="P45" s="89"/>
      <c r="Q45" s="90"/>
      <c r="R45" s="105"/>
      <c r="S45" s="8"/>
      <c r="T45" s="89"/>
      <c r="U45" s="90"/>
      <c r="V45" s="90"/>
      <c r="W45" s="105"/>
      <c r="X45" s="89"/>
      <c r="Y45" s="90"/>
      <c r="Z45" s="90"/>
    </row>
    <row r="46" spans="1:26" ht="22.5" customHeight="1">
      <c r="A46" s="54" t="s">
        <v>72</v>
      </c>
      <c r="B46" s="54"/>
      <c r="C46" s="54"/>
      <c r="D46" s="54"/>
      <c r="E46" s="54"/>
      <c r="F46" s="54"/>
      <c r="G46" s="77" t="s">
        <v>73</v>
      </c>
      <c r="H46" s="77"/>
      <c r="I46" s="77"/>
      <c r="J46" s="77"/>
      <c r="K46" s="77"/>
      <c r="L46" s="77"/>
      <c r="M46" s="10"/>
      <c r="N46" s="89"/>
      <c r="O46" s="105"/>
      <c r="P46" s="89"/>
      <c r="Q46" s="90"/>
      <c r="R46" s="105"/>
      <c r="S46" s="8"/>
      <c r="T46" s="89"/>
      <c r="U46" s="90"/>
      <c r="V46" s="90"/>
      <c r="W46" s="105"/>
      <c r="X46" s="89"/>
      <c r="Y46" s="90"/>
      <c r="Z46" s="90"/>
    </row>
    <row r="47" spans="1:26" ht="22.5" customHeight="1">
      <c r="A47" s="52" t="s">
        <v>388</v>
      </c>
      <c r="B47" s="52"/>
      <c r="C47" s="52"/>
      <c r="D47" s="54" t="s">
        <v>74</v>
      </c>
      <c r="E47" s="54"/>
      <c r="F47" s="54"/>
      <c r="G47" s="40"/>
      <c r="H47" s="40"/>
      <c r="I47" s="40"/>
      <c r="J47" s="40"/>
      <c r="K47" s="40"/>
      <c r="L47" s="40"/>
      <c r="M47" s="10"/>
      <c r="N47" s="89"/>
      <c r="O47" s="105"/>
      <c r="P47" s="89"/>
      <c r="Q47" s="90"/>
      <c r="R47" s="105"/>
      <c r="S47" s="8"/>
      <c r="T47" s="89"/>
      <c r="U47" s="90"/>
      <c r="V47" s="90"/>
      <c r="W47" s="105"/>
      <c r="X47" s="89"/>
      <c r="Y47" s="90"/>
      <c r="Z47" s="90"/>
    </row>
    <row r="48" spans="1:26" ht="22.5" customHeight="1">
      <c r="A48" s="55" t="s">
        <v>75</v>
      </c>
      <c r="B48" s="55"/>
      <c r="C48" s="55"/>
      <c r="D48" s="55" t="s">
        <v>76</v>
      </c>
      <c r="E48" s="55"/>
      <c r="F48" s="55"/>
      <c r="G48" s="39"/>
      <c r="H48" s="39"/>
      <c r="I48" s="39"/>
      <c r="J48" s="39"/>
      <c r="K48" s="39"/>
      <c r="L48" s="39"/>
    </row>
    <row r="49" spans="1:23" ht="22.5" customHeight="1">
      <c r="A49" s="52" t="s">
        <v>389</v>
      </c>
      <c r="B49" s="52"/>
      <c r="C49" s="52"/>
      <c r="D49" s="54" t="s">
        <v>74</v>
      </c>
      <c r="E49" s="54"/>
      <c r="F49" s="54"/>
      <c r="G49" s="39"/>
      <c r="H49" s="54" t="s">
        <v>191</v>
      </c>
      <c r="I49" s="54"/>
      <c r="J49" s="54"/>
      <c r="K49" s="54" t="s">
        <v>77</v>
      </c>
      <c r="L49" s="54"/>
      <c r="N49" s="57" t="s">
        <v>150</v>
      </c>
      <c r="O49" s="57"/>
      <c r="P49" s="57"/>
      <c r="Q49" s="56" t="s">
        <v>391</v>
      </c>
      <c r="R49" s="56"/>
      <c r="S49" s="56"/>
      <c r="T49" s="56"/>
      <c r="U49" s="56"/>
      <c r="V49" s="56"/>
      <c r="W49" s="1"/>
    </row>
    <row r="50" spans="1:23" ht="22.5" customHeight="1">
      <c r="A50" s="55" t="s">
        <v>75</v>
      </c>
      <c r="B50" s="55"/>
      <c r="C50" s="55"/>
      <c r="D50" s="55" t="s">
        <v>76</v>
      </c>
      <c r="E50" s="55"/>
      <c r="F50" s="55"/>
      <c r="G50" s="44"/>
      <c r="H50" s="55" t="s">
        <v>75</v>
      </c>
      <c r="I50" s="55"/>
      <c r="J50" s="55"/>
      <c r="K50" s="55" t="s">
        <v>76</v>
      </c>
      <c r="L50" s="55"/>
      <c r="S50" s="53" t="s">
        <v>76</v>
      </c>
      <c r="T50" s="53"/>
    </row>
    <row r="51" spans="1:23" ht="20.100000000000001" customHeight="1">
      <c r="A51" s="52" t="s">
        <v>390</v>
      </c>
      <c r="B51" s="52"/>
      <c r="C51" s="52"/>
      <c r="D51" s="54" t="s">
        <v>74</v>
      </c>
      <c r="E51" s="54"/>
      <c r="F51" s="54"/>
      <c r="G51" s="39"/>
      <c r="H51" s="39"/>
      <c r="I51" s="39"/>
      <c r="J51" s="39"/>
      <c r="K51" s="39"/>
      <c r="L51" s="39"/>
    </row>
    <row r="52" spans="1:23" ht="20.100000000000001" customHeight="1">
      <c r="A52" s="53" t="s">
        <v>75</v>
      </c>
      <c r="B52" s="53"/>
      <c r="C52" s="53"/>
      <c r="D52" s="53" t="s">
        <v>76</v>
      </c>
      <c r="E52" s="53"/>
      <c r="F52" s="53"/>
      <c r="G52" s="1"/>
      <c r="H52" s="1"/>
    </row>
  </sheetData>
  <sheetProtection sheet="1" objects="1" scenarios="1"/>
  <mergeCells count="256"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  <mergeCell ref="T41:W44"/>
    <mergeCell ref="I1:L2"/>
    <mergeCell ref="I5:L6"/>
    <mergeCell ref="X45:Z45"/>
    <mergeCell ref="X46:Z46"/>
    <mergeCell ref="X47:Z47"/>
    <mergeCell ref="M43:M44"/>
    <mergeCell ref="N47:O47"/>
    <mergeCell ref="T45:W45"/>
    <mergeCell ref="T46:W46"/>
    <mergeCell ref="T47:W47"/>
    <mergeCell ref="N37:O37"/>
    <mergeCell ref="N43:O44"/>
    <mergeCell ref="P43:R44"/>
    <mergeCell ref="X41:Z42"/>
    <mergeCell ref="X43:Z44"/>
    <mergeCell ref="R39:S39"/>
    <mergeCell ref="T39:U39"/>
    <mergeCell ref="V39:X39"/>
    <mergeCell ref="Y39:Z39"/>
    <mergeCell ref="S41:S44"/>
    <mergeCell ref="V38:X38"/>
    <mergeCell ref="V37:X37"/>
    <mergeCell ref="Y37:Z37"/>
    <mergeCell ref="T23:V23"/>
    <mergeCell ref="V34:X34"/>
    <mergeCell ref="N25:P25"/>
    <mergeCell ref="Y38:Z38"/>
    <mergeCell ref="N38:O38"/>
    <mergeCell ref="P38:Q38"/>
    <mergeCell ref="R38:S38"/>
    <mergeCell ref="T38:U38"/>
    <mergeCell ref="W26:Z26"/>
    <mergeCell ref="N27:P27"/>
    <mergeCell ref="T37:U37"/>
    <mergeCell ref="Y35:Z35"/>
    <mergeCell ref="N36:O36"/>
    <mergeCell ref="P37:Q37"/>
    <mergeCell ref="R37:S37"/>
    <mergeCell ref="X9:Z9"/>
    <mergeCell ref="X10:Z10"/>
    <mergeCell ref="X11:Z11"/>
    <mergeCell ref="X12:Z12"/>
    <mergeCell ref="X13:Z13"/>
    <mergeCell ref="X14:Z14"/>
    <mergeCell ref="N35:O35"/>
    <mergeCell ref="T35:U35"/>
    <mergeCell ref="V35:X35"/>
    <mergeCell ref="R35:S36"/>
    <mergeCell ref="P34:Q34"/>
    <mergeCell ref="N23:P23"/>
    <mergeCell ref="T27:V27"/>
    <mergeCell ref="W27:Z27"/>
    <mergeCell ref="N26:P26"/>
    <mergeCell ref="W24:Z24"/>
    <mergeCell ref="T36:U36"/>
    <mergeCell ref="V36:X36"/>
    <mergeCell ref="Y36:Z36"/>
    <mergeCell ref="P35:Q36"/>
    <mergeCell ref="W23:Z23"/>
    <mergeCell ref="Q20:S20"/>
    <mergeCell ref="Q23:S23"/>
    <mergeCell ref="W28:Z28"/>
    <mergeCell ref="W25:Z25"/>
    <mergeCell ref="T25:V25"/>
    <mergeCell ref="Q24:S24"/>
    <mergeCell ref="Q27:S27"/>
    <mergeCell ref="T13:U13"/>
    <mergeCell ref="Q19:S19"/>
    <mergeCell ref="V16:W16"/>
    <mergeCell ref="V14:W14"/>
    <mergeCell ref="W22:Z22"/>
    <mergeCell ref="T14:U14"/>
    <mergeCell ref="R14:S14"/>
    <mergeCell ref="R15:S15"/>
    <mergeCell ref="P32:Q32"/>
    <mergeCell ref="P33:Q33"/>
    <mergeCell ref="N24:P24"/>
    <mergeCell ref="T33:U33"/>
    <mergeCell ref="R31:S31"/>
    <mergeCell ref="R32:S32"/>
    <mergeCell ref="N31:O32"/>
    <mergeCell ref="N33:O34"/>
    <mergeCell ref="P31:Q31"/>
    <mergeCell ref="T16:U16"/>
    <mergeCell ref="T20:V21"/>
    <mergeCell ref="Q21:S21"/>
    <mergeCell ref="N22:P22"/>
    <mergeCell ref="T18:V19"/>
    <mergeCell ref="Q18:S18"/>
    <mergeCell ref="P15:Q15"/>
    <mergeCell ref="T22:V22"/>
    <mergeCell ref="T24:V24"/>
    <mergeCell ref="T28:V28"/>
    <mergeCell ref="Q26:S26"/>
    <mergeCell ref="T26:V26"/>
    <mergeCell ref="R34:S34"/>
    <mergeCell ref="T34:U34"/>
    <mergeCell ref="T10:U10"/>
    <mergeCell ref="V13:W13"/>
    <mergeCell ref="R11:S11"/>
    <mergeCell ref="R12:S12"/>
    <mergeCell ref="R13:S13"/>
    <mergeCell ref="T11:U11"/>
    <mergeCell ref="V11:W11"/>
    <mergeCell ref="T12:U12"/>
    <mergeCell ref="V9:W9"/>
    <mergeCell ref="V10:W10"/>
    <mergeCell ref="N8:O8"/>
    <mergeCell ref="N9:O9"/>
    <mergeCell ref="P5:Q6"/>
    <mergeCell ref="N3:O6"/>
    <mergeCell ref="T3:U3"/>
    <mergeCell ref="T4:U4"/>
    <mergeCell ref="T5:U5"/>
    <mergeCell ref="T7:U7"/>
    <mergeCell ref="V12:W12"/>
    <mergeCell ref="T8:U8"/>
    <mergeCell ref="V8:W8"/>
    <mergeCell ref="V3:W3"/>
    <mergeCell ref="V4:W4"/>
    <mergeCell ref="V5:W5"/>
    <mergeCell ref="V6:W6"/>
    <mergeCell ref="V7:W7"/>
    <mergeCell ref="P12:Q12"/>
    <mergeCell ref="R8:S8"/>
    <mergeCell ref="R9:S9"/>
    <mergeCell ref="R10:S10"/>
    <mergeCell ref="P9:Q9"/>
    <mergeCell ref="P10:Q10"/>
    <mergeCell ref="P11:Q11"/>
    <mergeCell ref="T9:U9"/>
    <mergeCell ref="M1:Z1"/>
    <mergeCell ref="M2:Z2"/>
    <mergeCell ref="X3:Z6"/>
    <mergeCell ref="M5:M6"/>
    <mergeCell ref="M3:M4"/>
    <mergeCell ref="T6:U6"/>
    <mergeCell ref="N7:O7"/>
    <mergeCell ref="P3:Q4"/>
    <mergeCell ref="R3:S3"/>
    <mergeCell ref="R4:S4"/>
    <mergeCell ref="R5:S5"/>
    <mergeCell ref="R6:S6"/>
    <mergeCell ref="R7:S7"/>
    <mergeCell ref="X7:Z7"/>
    <mergeCell ref="M31:M32"/>
    <mergeCell ref="N16:O16"/>
    <mergeCell ref="N12:O12"/>
    <mergeCell ref="N13:O13"/>
    <mergeCell ref="M18:M19"/>
    <mergeCell ref="N20:P21"/>
    <mergeCell ref="P13:Q13"/>
    <mergeCell ref="P14:Q14"/>
    <mergeCell ref="Q22:S22"/>
    <mergeCell ref="M20:M21"/>
    <mergeCell ref="N28:P28"/>
    <mergeCell ref="Q28:S28"/>
    <mergeCell ref="P16:Q16"/>
    <mergeCell ref="M17:Z17"/>
    <mergeCell ref="W18:Z21"/>
    <mergeCell ref="N14:O14"/>
    <mergeCell ref="T15:U15"/>
    <mergeCell ref="X15:Z15"/>
    <mergeCell ref="X16:Z16"/>
    <mergeCell ref="R16:S16"/>
    <mergeCell ref="V15:W15"/>
    <mergeCell ref="N18:P19"/>
    <mergeCell ref="N15:O15"/>
    <mergeCell ref="Q25:S25"/>
    <mergeCell ref="X8:Z8"/>
    <mergeCell ref="H49:J49"/>
    <mergeCell ref="K49:L49"/>
    <mergeCell ref="A7:L7"/>
    <mergeCell ref="F13:G13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N10:O10"/>
    <mergeCell ref="N11:O11"/>
    <mergeCell ref="P7:Q7"/>
    <mergeCell ref="P8:Q8"/>
    <mergeCell ref="A12:L12"/>
    <mergeCell ref="A3:F3"/>
    <mergeCell ref="A5:F5"/>
    <mergeCell ref="A48:C48"/>
    <mergeCell ref="A49:C49"/>
    <mergeCell ref="A50:C50"/>
    <mergeCell ref="D50:F50"/>
    <mergeCell ref="D48:F48"/>
    <mergeCell ref="F15:G15"/>
    <mergeCell ref="A46:F46"/>
    <mergeCell ref="A44:C44"/>
    <mergeCell ref="A9:L9"/>
    <mergeCell ref="G5:H6"/>
    <mergeCell ref="G1:H2"/>
    <mergeCell ref="G3:H4"/>
    <mergeCell ref="A1:F1"/>
    <mergeCell ref="A2:F2"/>
    <mergeCell ref="A4:F4"/>
    <mergeCell ref="A51:C51"/>
    <mergeCell ref="D51:F51"/>
    <mergeCell ref="A6:F6"/>
    <mergeCell ref="D47:F47"/>
    <mergeCell ref="F14:G14"/>
    <mergeCell ref="H10:L10"/>
    <mergeCell ref="D13:E13"/>
    <mergeCell ref="E10:G10"/>
    <mergeCell ref="A43:C43"/>
    <mergeCell ref="I13:I17"/>
    <mergeCell ref="J13:K13"/>
    <mergeCell ref="J14:K14"/>
    <mergeCell ref="J15:K15"/>
    <mergeCell ref="I3:L4"/>
    <mergeCell ref="A11:D11"/>
    <mergeCell ref="E11:H11"/>
    <mergeCell ref="A10:D10"/>
    <mergeCell ref="H50:J50"/>
    <mergeCell ref="K50:L50"/>
    <mergeCell ref="A52:C52"/>
    <mergeCell ref="D52:F52"/>
    <mergeCell ref="K16:K17"/>
    <mergeCell ref="A13:A17"/>
    <mergeCell ref="E16:E17"/>
    <mergeCell ref="B15:C15"/>
    <mergeCell ref="D15:E15"/>
    <mergeCell ref="B13:C13"/>
    <mergeCell ref="J16:J17"/>
    <mergeCell ref="G46:L46"/>
    <mergeCell ref="D49:F49"/>
    <mergeCell ref="A47:C47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>
  <sheetPr codeName="Лист13"/>
  <dimension ref="A1:Z52"/>
  <sheetViews>
    <sheetView view="pageBreakPreview" topLeftCell="A10" zoomScale="75" zoomScaleNormal="50" zoomScaleSheetLayoutView="75" workbookViewId="0">
      <selection activeCell="F37" sqref="F37"/>
    </sheetView>
  </sheetViews>
  <sheetFormatPr defaultRowHeight="18.75"/>
  <cols>
    <col min="1" max="1" width="11.140625" style="2" customWidth="1"/>
    <col min="2" max="2" width="13.7109375" style="2" customWidth="1"/>
    <col min="3" max="3" width="12.140625" style="2" customWidth="1"/>
    <col min="4" max="4" width="13.28515625" style="2" customWidth="1"/>
    <col min="5" max="5" width="5.42578125" style="2" customWidth="1"/>
    <col min="6" max="6" width="12.42578125" style="2" customWidth="1"/>
    <col min="7" max="7" width="12.8554687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.7109375" style="2" customWidth="1"/>
    <col min="13" max="26" width="10.28515625" style="2" customWidth="1"/>
    <col min="27" max="16384" width="9.140625" style="2"/>
  </cols>
  <sheetData>
    <row r="1" spans="1:26" ht="21.75" customHeight="1">
      <c r="A1" s="59" t="s">
        <v>157</v>
      </c>
      <c r="B1" s="59"/>
      <c r="C1" s="59"/>
      <c r="D1" s="59"/>
      <c r="E1" s="59"/>
      <c r="F1" s="59"/>
      <c r="G1" s="63" t="s">
        <v>154</v>
      </c>
      <c r="H1" s="63"/>
      <c r="I1" s="59" t="s">
        <v>160</v>
      </c>
      <c r="J1" s="59"/>
      <c r="K1" s="59"/>
      <c r="L1" s="59"/>
      <c r="M1" s="91" t="s">
        <v>96</v>
      </c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spans="1:26" ht="21.75" customHeight="1">
      <c r="A2" s="61" t="s">
        <v>45</v>
      </c>
      <c r="B2" s="61"/>
      <c r="C2" s="61"/>
      <c r="D2" s="61"/>
      <c r="E2" s="61"/>
      <c r="F2" s="61"/>
      <c r="G2" s="63"/>
      <c r="H2" s="63"/>
      <c r="I2" s="59"/>
      <c r="J2" s="59"/>
      <c r="K2" s="59"/>
      <c r="L2" s="59"/>
      <c r="M2" s="91" t="s">
        <v>78</v>
      </c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spans="1:26" ht="21.75" customHeight="1">
      <c r="A3" s="59" t="s">
        <v>158</v>
      </c>
      <c r="B3" s="60"/>
      <c r="C3" s="60"/>
      <c r="D3" s="60"/>
      <c r="E3" s="60"/>
      <c r="F3" s="60"/>
      <c r="G3" s="63" t="s">
        <v>155</v>
      </c>
      <c r="H3" s="63"/>
      <c r="I3" s="59" t="s">
        <v>216</v>
      </c>
      <c r="J3" s="59"/>
      <c r="K3" s="59"/>
      <c r="L3" s="59"/>
      <c r="M3" s="104" t="s">
        <v>79</v>
      </c>
      <c r="N3" s="100" t="s">
        <v>81</v>
      </c>
      <c r="O3" s="104"/>
      <c r="P3" s="100" t="s">
        <v>65</v>
      </c>
      <c r="Q3" s="104"/>
      <c r="R3" s="100" t="s">
        <v>82</v>
      </c>
      <c r="S3" s="104"/>
      <c r="T3" s="100" t="s">
        <v>85</v>
      </c>
      <c r="U3" s="104"/>
      <c r="V3" s="100" t="s">
        <v>87</v>
      </c>
      <c r="W3" s="104"/>
      <c r="X3" s="107" t="s">
        <v>91</v>
      </c>
      <c r="Y3" s="108"/>
      <c r="Z3" s="108"/>
    </row>
    <row r="4" spans="1:26" ht="29.25" customHeight="1">
      <c r="A4" s="61" t="s">
        <v>46</v>
      </c>
      <c r="B4" s="61"/>
      <c r="C4" s="61"/>
      <c r="D4" s="61"/>
      <c r="E4" s="61"/>
      <c r="F4" s="61"/>
      <c r="G4" s="63"/>
      <c r="H4" s="63"/>
      <c r="I4" s="59"/>
      <c r="J4" s="59"/>
      <c r="K4" s="59"/>
      <c r="L4" s="59"/>
      <c r="M4" s="95"/>
      <c r="N4" s="101"/>
      <c r="O4" s="95"/>
      <c r="P4" s="101"/>
      <c r="Q4" s="95"/>
      <c r="R4" s="101" t="s">
        <v>83</v>
      </c>
      <c r="S4" s="95"/>
      <c r="T4" s="101" t="s">
        <v>86</v>
      </c>
      <c r="U4" s="95"/>
      <c r="V4" s="101" t="s">
        <v>88</v>
      </c>
      <c r="W4" s="95"/>
      <c r="X4" s="107"/>
      <c r="Y4" s="108"/>
      <c r="Z4" s="108"/>
    </row>
    <row r="5" spans="1:26" ht="21.75" customHeight="1">
      <c r="A5" s="59" t="s">
        <v>186</v>
      </c>
      <c r="B5" s="60"/>
      <c r="C5" s="60"/>
      <c r="D5" s="60"/>
      <c r="E5" s="60"/>
      <c r="F5" s="60"/>
      <c r="G5" s="63" t="s">
        <v>156</v>
      </c>
      <c r="H5" s="63"/>
      <c r="I5" s="59" t="s">
        <v>218</v>
      </c>
      <c r="J5" s="59"/>
      <c r="K5" s="59"/>
      <c r="L5" s="59"/>
      <c r="M5" s="95" t="s">
        <v>80</v>
      </c>
      <c r="N5" s="101"/>
      <c r="O5" s="95"/>
      <c r="P5" s="101" t="s">
        <v>190</v>
      </c>
      <c r="Q5" s="95"/>
      <c r="R5" s="109" t="s">
        <v>84</v>
      </c>
      <c r="S5" s="110"/>
      <c r="T5" s="109" t="s">
        <v>84</v>
      </c>
      <c r="U5" s="110"/>
      <c r="V5" s="101" t="s">
        <v>89</v>
      </c>
      <c r="W5" s="95"/>
      <c r="X5" s="107"/>
      <c r="Y5" s="108"/>
      <c r="Z5" s="108"/>
    </row>
    <row r="6" spans="1:26" ht="21.75" customHeight="1">
      <c r="A6" s="61" t="s">
        <v>47</v>
      </c>
      <c r="B6" s="61"/>
      <c r="C6" s="61"/>
      <c r="D6" s="61"/>
      <c r="E6" s="61"/>
      <c r="F6" s="61"/>
      <c r="G6" s="63"/>
      <c r="H6" s="63"/>
      <c r="I6" s="59"/>
      <c r="J6" s="59"/>
      <c r="K6" s="59"/>
      <c r="L6" s="59"/>
      <c r="M6" s="96"/>
      <c r="N6" s="103"/>
      <c r="O6" s="96"/>
      <c r="P6" s="103"/>
      <c r="Q6" s="96"/>
      <c r="R6" s="103"/>
      <c r="S6" s="96"/>
      <c r="T6" s="103"/>
      <c r="U6" s="96"/>
      <c r="V6" s="103" t="s">
        <v>90</v>
      </c>
      <c r="W6" s="96"/>
      <c r="X6" s="107"/>
      <c r="Y6" s="108"/>
      <c r="Z6" s="108"/>
    </row>
    <row r="7" spans="1:26" ht="21.75" customHeight="1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10"/>
      <c r="N7" s="89"/>
      <c r="O7" s="105"/>
      <c r="P7" s="89"/>
      <c r="Q7" s="105"/>
      <c r="R7" s="89"/>
      <c r="S7" s="105"/>
      <c r="T7" s="89"/>
      <c r="U7" s="105"/>
      <c r="V7" s="89"/>
      <c r="W7" s="105"/>
      <c r="X7" s="89"/>
      <c r="Y7" s="90"/>
      <c r="Z7" s="90"/>
    </row>
    <row r="8" spans="1:26" ht="22.5" customHeight="1">
      <c r="A8" s="94" t="s">
        <v>48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10"/>
      <c r="N8" s="89"/>
      <c r="O8" s="105"/>
      <c r="P8" s="89"/>
      <c r="Q8" s="105"/>
      <c r="R8" s="89"/>
      <c r="S8" s="105"/>
      <c r="T8" s="89"/>
      <c r="U8" s="105"/>
      <c r="V8" s="89"/>
      <c r="W8" s="105"/>
      <c r="X8" s="89"/>
      <c r="Y8" s="90"/>
      <c r="Z8" s="90"/>
    </row>
    <row r="9" spans="1:26" ht="22.5" customHeight="1">
      <c r="A9" s="88" t="s">
        <v>49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10"/>
      <c r="N9" s="89"/>
      <c r="O9" s="105"/>
      <c r="P9" s="89"/>
      <c r="Q9" s="105"/>
      <c r="R9" s="89"/>
      <c r="S9" s="105"/>
      <c r="T9" s="89"/>
      <c r="U9" s="105"/>
      <c r="V9" s="89"/>
      <c r="W9" s="105"/>
      <c r="X9" s="89"/>
      <c r="Y9" s="90"/>
      <c r="Z9" s="90"/>
    </row>
    <row r="10" spans="1:26" ht="22.5" customHeight="1">
      <c r="A10" s="80" t="s">
        <v>112</v>
      </c>
      <c r="B10" s="80"/>
      <c r="C10" s="80"/>
      <c r="D10" s="80"/>
      <c r="E10" s="81" t="s">
        <v>383</v>
      </c>
      <c r="F10" s="81"/>
      <c r="G10" s="81"/>
      <c r="H10" s="62" t="s">
        <v>384</v>
      </c>
      <c r="I10" s="62"/>
      <c r="J10" s="62"/>
      <c r="K10" s="62"/>
      <c r="L10" s="62"/>
      <c r="M10" s="10"/>
      <c r="N10" s="89"/>
      <c r="O10" s="105"/>
      <c r="P10" s="89"/>
      <c r="Q10" s="105"/>
      <c r="R10" s="89"/>
      <c r="S10" s="105"/>
      <c r="T10" s="89"/>
      <c r="U10" s="105"/>
      <c r="V10" s="89"/>
      <c r="W10" s="105"/>
      <c r="X10" s="89"/>
      <c r="Y10" s="90"/>
      <c r="Z10" s="90"/>
    </row>
    <row r="11" spans="1:26" ht="22.5" customHeight="1">
      <c r="A11" s="80" t="s">
        <v>113</v>
      </c>
      <c r="B11" s="80"/>
      <c r="C11" s="80"/>
      <c r="D11" s="80"/>
      <c r="E11" s="79" t="s">
        <v>230</v>
      </c>
      <c r="F11" s="79"/>
      <c r="G11" s="79"/>
      <c r="H11" s="79"/>
      <c r="I11" s="62" t="s">
        <v>114</v>
      </c>
      <c r="J11" s="62"/>
      <c r="K11" s="62"/>
      <c r="L11" s="62"/>
      <c r="M11" s="10"/>
      <c r="N11" s="89"/>
      <c r="O11" s="105"/>
      <c r="P11" s="89"/>
      <c r="Q11" s="105"/>
      <c r="R11" s="89"/>
      <c r="S11" s="105"/>
      <c r="T11" s="89"/>
      <c r="U11" s="105"/>
      <c r="V11" s="89"/>
      <c r="W11" s="105"/>
      <c r="X11" s="89"/>
      <c r="Y11" s="90"/>
      <c r="Z11" s="90"/>
    </row>
    <row r="12" spans="1:26" ht="21.75" customHeight="1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10"/>
      <c r="N12" s="89"/>
      <c r="O12" s="105"/>
      <c r="P12" s="89"/>
      <c r="Q12" s="105"/>
      <c r="R12" s="89"/>
      <c r="S12" s="105"/>
      <c r="T12" s="89"/>
      <c r="U12" s="105"/>
      <c r="V12" s="89"/>
      <c r="W12" s="105"/>
      <c r="X12" s="89"/>
      <c r="Y12" s="90"/>
      <c r="Z12" s="90"/>
    </row>
    <row r="13" spans="1:26" ht="21.75" customHeight="1">
      <c r="A13" s="64" t="s">
        <v>50</v>
      </c>
      <c r="B13" s="72" t="s">
        <v>56</v>
      </c>
      <c r="C13" s="73"/>
      <c r="D13" s="74" t="s">
        <v>198</v>
      </c>
      <c r="E13" s="75"/>
      <c r="F13" s="72" t="s">
        <v>59</v>
      </c>
      <c r="G13" s="73"/>
      <c r="H13" s="18" t="s">
        <v>198</v>
      </c>
      <c r="I13" s="84" t="s">
        <v>5</v>
      </c>
      <c r="J13" s="72" t="s">
        <v>60</v>
      </c>
      <c r="K13" s="64"/>
      <c r="L13" s="17" t="s">
        <v>65</v>
      </c>
      <c r="M13" s="10"/>
      <c r="N13" s="89"/>
      <c r="O13" s="105"/>
      <c r="P13" s="89"/>
      <c r="Q13" s="105"/>
      <c r="R13" s="89"/>
      <c r="S13" s="105"/>
      <c r="T13" s="89"/>
      <c r="U13" s="105"/>
      <c r="V13" s="89"/>
      <c r="W13" s="105"/>
      <c r="X13" s="89"/>
      <c r="Y13" s="90"/>
      <c r="Z13" s="90"/>
    </row>
    <row r="14" spans="1:26" ht="21.75" customHeight="1">
      <c r="A14" s="65"/>
      <c r="B14" s="82" t="s">
        <v>57</v>
      </c>
      <c r="C14" s="83"/>
      <c r="D14" s="92" t="s">
        <v>219</v>
      </c>
      <c r="E14" s="93"/>
      <c r="F14" s="82" t="s">
        <v>57</v>
      </c>
      <c r="G14" s="83"/>
      <c r="H14" s="19" t="s">
        <v>219</v>
      </c>
      <c r="I14" s="85"/>
      <c r="J14" s="82" t="s">
        <v>61</v>
      </c>
      <c r="K14" s="65"/>
      <c r="L14" s="17" t="s">
        <v>66</v>
      </c>
      <c r="M14" s="10"/>
      <c r="N14" s="89"/>
      <c r="O14" s="105"/>
      <c r="P14" s="89"/>
      <c r="Q14" s="105"/>
      <c r="R14" s="89"/>
      <c r="S14" s="105"/>
      <c r="T14" s="89"/>
      <c r="U14" s="105"/>
      <c r="V14" s="89"/>
      <c r="W14" s="105"/>
      <c r="X14" s="89"/>
      <c r="Y14" s="90"/>
      <c r="Z14" s="90"/>
    </row>
    <row r="15" spans="1:26" ht="21.75" customHeight="1">
      <c r="A15" s="65"/>
      <c r="B15" s="68" t="s">
        <v>58</v>
      </c>
      <c r="C15" s="69"/>
      <c r="D15" s="70">
        <v>7200</v>
      </c>
      <c r="E15" s="71"/>
      <c r="F15" s="68" t="s">
        <v>58</v>
      </c>
      <c r="G15" s="69"/>
      <c r="H15" s="20">
        <v>7200</v>
      </c>
      <c r="I15" s="85"/>
      <c r="J15" s="68" t="s">
        <v>62</v>
      </c>
      <c r="K15" s="78"/>
      <c r="L15" s="17" t="s">
        <v>67</v>
      </c>
      <c r="M15" s="10"/>
      <c r="N15" s="89"/>
      <c r="O15" s="105"/>
      <c r="P15" s="89"/>
      <c r="Q15" s="105"/>
      <c r="R15" s="89"/>
      <c r="S15" s="105"/>
      <c r="T15" s="89"/>
      <c r="U15" s="105"/>
      <c r="V15" s="89"/>
      <c r="W15" s="105"/>
      <c r="X15" s="89"/>
      <c r="Y15" s="90"/>
      <c r="Z15" s="90"/>
    </row>
    <row r="16" spans="1:26" ht="21.75" customHeight="1">
      <c r="A16" s="65"/>
      <c r="B16" s="13" t="s">
        <v>51</v>
      </c>
      <c r="C16" s="13" t="s">
        <v>53</v>
      </c>
      <c r="D16" s="13" t="s">
        <v>54</v>
      </c>
      <c r="E16" s="66"/>
      <c r="F16" s="13" t="s">
        <v>51</v>
      </c>
      <c r="G16" s="13" t="s">
        <v>53</v>
      </c>
      <c r="H16" s="11" t="s">
        <v>54</v>
      </c>
      <c r="I16" s="85"/>
      <c r="J16" s="66" t="s">
        <v>63</v>
      </c>
      <c r="K16" s="66" t="s">
        <v>64</v>
      </c>
      <c r="L16" s="17" t="s">
        <v>68</v>
      </c>
      <c r="M16" s="10"/>
      <c r="N16" s="89"/>
      <c r="O16" s="105"/>
      <c r="P16" s="89"/>
      <c r="Q16" s="105"/>
      <c r="R16" s="89"/>
      <c r="S16" s="105"/>
      <c r="T16" s="89"/>
      <c r="U16" s="105"/>
      <c r="V16" s="89"/>
      <c r="W16" s="105"/>
      <c r="X16" s="89"/>
      <c r="Y16" s="90"/>
      <c r="Z16" s="90"/>
    </row>
    <row r="17" spans="1:26" ht="21.75" customHeight="1">
      <c r="A17" s="78"/>
      <c r="B17" s="26" t="s">
        <v>52</v>
      </c>
      <c r="C17" s="26" t="s">
        <v>51</v>
      </c>
      <c r="D17" s="26" t="s">
        <v>55</v>
      </c>
      <c r="E17" s="67"/>
      <c r="F17" s="26" t="s">
        <v>52</v>
      </c>
      <c r="G17" s="26" t="s">
        <v>51</v>
      </c>
      <c r="H17" s="12" t="s">
        <v>55</v>
      </c>
      <c r="I17" s="119"/>
      <c r="J17" s="120"/>
      <c r="K17" s="120"/>
      <c r="L17" s="17" t="s">
        <v>69</v>
      </c>
      <c r="M17" s="111" t="s">
        <v>92</v>
      </c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spans="1:26" ht="23.25" customHeight="1">
      <c r="A18" s="45" t="s">
        <v>7</v>
      </c>
      <c r="B18" s="49">
        <v>9069.9297999999999</v>
      </c>
      <c r="C18" s="31"/>
      <c r="D18" s="30"/>
      <c r="E18" s="31"/>
      <c r="F18" s="49">
        <v>5022.9337999999998</v>
      </c>
      <c r="G18" s="31"/>
      <c r="H18" s="30"/>
      <c r="I18" s="33"/>
      <c r="J18" s="29"/>
      <c r="K18" s="29">
        <v>6.4</v>
      </c>
      <c r="L18" s="35"/>
      <c r="M18" s="104" t="s">
        <v>79</v>
      </c>
      <c r="N18" s="98" t="s">
        <v>98</v>
      </c>
      <c r="O18" s="98"/>
      <c r="P18" s="98"/>
      <c r="Q18" s="98" t="s">
        <v>107</v>
      </c>
      <c r="R18" s="98"/>
      <c r="S18" s="98"/>
      <c r="T18" s="98" t="s">
        <v>93</v>
      </c>
      <c r="U18" s="98"/>
      <c r="V18" s="98"/>
      <c r="W18" s="100" t="s">
        <v>91</v>
      </c>
      <c r="X18" s="112"/>
      <c r="Y18" s="112"/>
      <c r="Z18" s="112"/>
    </row>
    <row r="19" spans="1:26" ht="23.25" customHeight="1">
      <c r="A19" s="45" t="s">
        <v>8</v>
      </c>
      <c r="B19" s="49">
        <v>9070.0064999999995</v>
      </c>
      <c r="C19" s="31">
        <f>B19-B18</f>
        <v>7.669999999961874E-2</v>
      </c>
      <c r="D19" s="30">
        <f t="shared" ref="D19:D42" si="0">IF(C19="","",C19*$D$15)</f>
        <v>552.23999999725493</v>
      </c>
      <c r="E19" s="31"/>
      <c r="F19" s="49">
        <v>5022.9692999999997</v>
      </c>
      <c r="G19" s="31">
        <f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3.5499999999956344E-2</v>
      </c>
      <c r="H19" s="30">
        <f t="shared" ref="H19:H42" si="1">IF(G19="","",G19*$H$15)</f>
        <v>255.59999999968568</v>
      </c>
      <c r="I19" s="33">
        <f t="shared" ref="I19:I42" si="2">IF(H19="","",IF(D19="","",IF(AND(H19=0,D19=0),0,H19/D19)))</f>
        <v>0.46284224250499095</v>
      </c>
      <c r="J19" s="29"/>
      <c r="K19" s="29">
        <v>6.4</v>
      </c>
      <c r="L19" s="35"/>
      <c r="M19" s="95"/>
      <c r="N19" s="99"/>
      <c r="O19" s="99"/>
      <c r="P19" s="99"/>
      <c r="Q19" s="99" t="s">
        <v>108</v>
      </c>
      <c r="R19" s="99"/>
      <c r="S19" s="99"/>
      <c r="T19" s="99"/>
      <c r="U19" s="99"/>
      <c r="V19" s="99"/>
      <c r="W19" s="101"/>
      <c r="X19" s="91"/>
      <c r="Y19" s="91"/>
      <c r="Z19" s="91"/>
    </row>
    <row r="20" spans="1:26" ht="23.25" customHeight="1">
      <c r="A20" s="45" t="s">
        <v>9</v>
      </c>
      <c r="B20" s="49">
        <v>9070.0851000000002</v>
      </c>
      <c r="C20" s="31">
        <f t="shared" ref="C20:C42" si="3">IF(B20="","",IF(LEN(TRUNC(B19,0))-LEN(TRUNC(B20,0))=0,B20-B19,IF(LEN(TRUNC(B19,0))-LEN(TRUNC(B20,0))&gt;0,VALUE(LEFT(B19,LEN(TRUNC(B19,0))-LEN(TRUNC(B20,0))))*POWER(10,LEN(TRUNC(B20,0)))+B20-B19,B20-B19-VALUE(LEFT(B20,LEN(TRUNC(B20,0))-LEN(TRUNC(B19,0))))*POWER(10,LEN(TRUNC(B19,0))))))</f>
        <v>7.8600000000733417E-2</v>
      </c>
      <c r="D20" s="30">
        <f t="shared" si="0"/>
        <v>565.9200000052806</v>
      </c>
      <c r="E20" s="31"/>
      <c r="F20" s="49">
        <v>5023.0065999999997</v>
      </c>
      <c r="G20" s="31">
        <f t="shared" ref="G20:G42" si="4">IF(F20="","",IF(LEN(TRUNC(F19,0))-LEN(TRUNC(F20,0))=0,F20-F19,IF(LEN(TRUNC(F19,0))-LEN(TRUNC(F20,0))&gt;0,VALUE(LEFT(F19,LEN(TRUNC(F19,0))-LEN(TRUNC(F20,0))))*POWER(10,LEN(TRUNC(F20,0)))+F20-F19,F20-F19-VALUE(LEFT(F20,LEN(TRUNC(F20,0))-LEN(TRUNC(F19,0))))*POWER(10,LEN(TRUNC(F19,0))))))</f>
        <v>3.7299999999959255E-2</v>
      </c>
      <c r="H20" s="30">
        <f t="shared" si="1"/>
        <v>268.55999999970663</v>
      </c>
      <c r="I20" s="33">
        <f t="shared" si="2"/>
        <v>0.47455470737418842</v>
      </c>
      <c r="J20" s="29"/>
      <c r="K20" s="29">
        <v>6.4</v>
      </c>
      <c r="L20" s="35"/>
      <c r="M20" s="95" t="s">
        <v>80</v>
      </c>
      <c r="N20" s="99" t="s">
        <v>99</v>
      </c>
      <c r="O20" s="99"/>
      <c r="P20" s="99"/>
      <c r="Q20" s="99" t="s">
        <v>189</v>
      </c>
      <c r="R20" s="99"/>
      <c r="S20" s="99"/>
      <c r="T20" s="99" t="s">
        <v>94</v>
      </c>
      <c r="U20" s="99"/>
      <c r="V20" s="99"/>
      <c r="W20" s="101"/>
      <c r="X20" s="91"/>
      <c r="Y20" s="91"/>
      <c r="Z20" s="91"/>
    </row>
    <row r="21" spans="1:26" ht="23.25" customHeight="1">
      <c r="A21" s="45" t="s">
        <v>10</v>
      </c>
      <c r="B21" s="49">
        <v>9070.1648999999998</v>
      </c>
      <c r="C21" s="31">
        <f t="shared" si="3"/>
        <v>7.9799999999522697E-2</v>
      </c>
      <c r="D21" s="30">
        <f t="shared" si="0"/>
        <v>574.55999999656342</v>
      </c>
      <c r="E21" s="31"/>
      <c r="F21" s="49">
        <v>5023.0446999999995</v>
      </c>
      <c r="G21" s="31">
        <f t="shared" si="4"/>
        <v>3.8099999999758438E-2</v>
      </c>
      <c r="H21" s="30">
        <f t="shared" si="1"/>
        <v>274.31999999826076</v>
      </c>
      <c r="I21" s="33">
        <f t="shared" si="2"/>
        <v>0.47744360902238503</v>
      </c>
      <c r="J21" s="29"/>
      <c r="K21" s="29">
        <v>6.4</v>
      </c>
      <c r="L21" s="35"/>
      <c r="M21" s="96"/>
      <c r="N21" s="102"/>
      <c r="O21" s="102"/>
      <c r="P21" s="102"/>
      <c r="Q21" s="102"/>
      <c r="R21" s="102"/>
      <c r="S21" s="102"/>
      <c r="T21" s="102"/>
      <c r="U21" s="102"/>
      <c r="V21" s="102"/>
      <c r="W21" s="103"/>
      <c r="X21" s="111"/>
      <c r="Y21" s="111"/>
      <c r="Z21" s="111"/>
    </row>
    <row r="22" spans="1:26" ht="23.25" customHeight="1">
      <c r="A22" s="45" t="s">
        <v>11</v>
      </c>
      <c r="B22" s="49">
        <v>9070.2396000000008</v>
      </c>
      <c r="C22" s="31">
        <f t="shared" si="3"/>
        <v>7.4700000001030276E-2</v>
      </c>
      <c r="D22" s="30">
        <f t="shared" si="0"/>
        <v>537.84000000741798</v>
      </c>
      <c r="E22" s="31"/>
      <c r="F22" s="49">
        <v>5023.0811999999996</v>
      </c>
      <c r="G22" s="31">
        <f t="shared" si="4"/>
        <v>3.6500000000160071E-2</v>
      </c>
      <c r="H22" s="30">
        <f t="shared" si="1"/>
        <v>262.80000000115251</v>
      </c>
      <c r="I22" s="33">
        <f t="shared" si="2"/>
        <v>0.48862115126715738</v>
      </c>
      <c r="J22" s="29"/>
      <c r="K22" s="29">
        <v>6.4</v>
      </c>
      <c r="L22" s="35"/>
      <c r="M22" s="10"/>
      <c r="N22" s="106"/>
      <c r="O22" s="106"/>
      <c r="P22" s="106"/>
      <c r="Q22" s="106"/>
      <c r="R22" s="106"/>
      <c r="S22" s="106"/>
      <c r="T22" s="106"/>
      <c r="U22" s="106"/>
      <c r="V22" s="106"/>
      <c r="W22" s="89"/>
      <c r="X22" s="90"/>
      <c r="Y22" s="90"/>
      <c r="Z22" s="90"/>
    </row>
    <row r="23" spans="1:26" ht="23.25" customHeight="1">
      <c r="A23" s="45" t="s">
        <v>12</v>
      </c>
      <c r="B23" s="49">
        <v>9070.3088000000007</v>
      </c>
      <c r="C23" s="31">
        <f t="shared" si="3"/>
        <v>6.9199999999909778E-2</v>
      </c>
      <c r="D23" s="30">
        <f t="shared" si="0"/>
        <v>498.2399999993504</v>
      </c>
      <c r="E23" s="31"/>
      <c r="F23" s="49">
        <v>5023.1162999999997</v>
      </c>
      <c r="G23" s="31">
        <f t="shared" si="4"/>
        <v>3.5100000000056752E-2</v>
      </c>
      <c r="H23" s="30">
        <f t="shared" si="1"/>
        <v>252.72000000040862</v>
      </c>
      <c r="I23" s="33">
        <f t="shared" si="2"/>
        <v>0.50722543352749294</v>
      </c>
      <c r="J23" s="29"/>
      <c r="K23" s="50">
        <v>6.4</v>
      </c>
      <c r="L23" s="35"/>
      <c r="M23" s="10"/>
      <c r="N23" s="106"/>
      <c r="O23" s="106"/>
      <c r="P23" s="106"/>
      <c r="Q23" s="106"/>
      <c r="R23" s="106"/>
      <c r="S23" s="106"/>
      <c r="T23" s="106"/>
      <c r="U23" s="106"/>
      <c r="V23" s="106"/>
      <c r="W23" s="89"/>
      <c r="X23" s="90"/>
      <c r="Y23" s="90"/>
      <c r="Z23" s="90"/>
    </row>
    <row r="24" spans="1:26" ht="23.25" customHeight="1">
      <c r="A24" s="45" t="s">
        <v>13</v>
      </c>
      <c r="B24" s="49">
        <v>9070.3767000000007</v>
      </c>
      <c r="C24" s="31">
        <f t="shared" si="3"/>
        <v>6.7900000000008731E-2</v>
      </c>
      <c r="D24" s="30">
        <f t="shared" si="0"/>
        <v>488.88000000006286</v>
      </c>
      <c r="E24" s="31"/>
      <c r="F24" s="49">
        <v>5023.1502</v>
      </c>
      <c r="G24" s="31">
        <f t="shared" si="4"/>
        <v>3.3900000000357977E-2</v>
      </c>
      <c r="H24" s="30">
        <f t="shared" si="1"/>
        <v>244.08000000257744</v>
      </c>
      <c r="I24" s="33">
        <f t="shared" si="2"/>
        <v>0.49926362298017113</v>
      </c>
      <c r="J24" s="29"/>
      <c r="K24" s="50">
        <v>6.4</v>
      </c>
      <c r="L24" s="35"/>
      <c r="M24" s="10"/>
      <c r="N24" s="106"/>
      <c r="O24" s="106"/>
      <c r="P24" s="106"/>
      <c r="Q24" s="106"/>
      <c r="R24" s="106"/>
      <c r="S24" s="106"/>
      <c r="T24" s="106"/>
      <c r="U24" s="106"/>
      <c r="V24" s="106"/>
      <c r="W24" s="89"/>
      <c r="X24" s="90"/>
      <c r="Y24" s="90"/>
      <c r="Z24" s="90"/>
    </row>
    <row r="25" spans="1:26" ht="23.25" customHeight="1">
      <c r="A25" s="45" t="s">
        <v>14</v>
      </c>
      <c r="B25" s="49">
        <v>9070.4413999999997</v>
      </c>
      <c r="C25" s="31">
        <f t="shared" si="3"/>
        <v>6.4699999998993007E-2</v>
      </c>
      <c r="D25" s="30">
        <f t="shared" si="0"/>
        <v>465.83999999274965</v>
      </c>
      <c r="E25" s="31"/>
      <c r="F25" s="49">
        <v>5023.1801999999998</v>
      </c>
      <c r="G25" s="31">
        <f t="shared" si="4"/>
        <v>2.9999999999745341E-2</v>
      </c>
      <c r="H25" s="30">
        <f t="shared" si="1"/>
        <v>215.99999999816646</v>
      </c>
      <c r="I25" s="33">
        <f t="shared" si="2"/>
        <v>0.46367851623202877</v>
      </c>
      <c r="J25" s="29"/>
      <c r="K25" s="50">
        <v>6.4</v>
      </c>
      <c r="L25" s="35"/>
      <c r="M25" s="10"/>
      <c r="N25" s="106"/>
      <c r="O25" s="106"/>
      <c r="P25" s="106"/>
      <c r="Q25" s="106"/>
      <c r="R25" s="106"/>
      <c r="S25" s="106"/>
      <c r="T25" s="106"/>
      <c r="U25" s="106"/>
      <c r="V25" s="106"/>
      <c r="W25" s="89"/>
      <c r="X25" s="90"/>
      <c r="Y25" s="90"/>
      <c r="Z25" s="90"/>
    </row>
    <row r="26" spans="1:26" ht="23.25" customHeight="1">
      <c r="A26" s="45" t="s">
        <v>15</v>
      </c>
      <c r="B26" s="49">
        <v>9070.5246999999999</v>
      </c>
      <c r="C26" s="31">
        <f t="shared" si="3"/>
        <v>8.3300000000235741E-2</v>
      </c>
      <c r="D26" s="30">
        <f t="shared" si="0"/>
        <v>599.76000000169734</v>
      </c>
      <c r="E26" s="31"/>
      <c r="F26" s="49">
        <v>5023.2231999999995</v>
      </c>
      <c r="G26" s="31">
        <f t="shared" si="4"/>
        <v>4.2999999999665306E-2</v>
      </c>
      <c r="H26" s="30">
        <f t="shared" si="1"/>
        <v>309.5999999975902</v>
      </c>
      <c r="I26" s="33">
        <f t="shared" si="2"/>
        <v>0.51620648258755841</v>
      </c>
      <c r="J26" s="29"/>
      <c r="K26" s="29">
        <v>6.3</v>
      </c>
      <c r="L26" s="35"/>
      <c r="M26" s="10"/>
      <c r="N26" s="106"/>
      <c r="O26" s="106"/>
      <c r="P26" s="106"/>
      <c r="Q26" s="106"/>
      <c r="R26" s="106"/>
      <c r="S26" s="106"/>
      <c r="T26" s="106"/>
      <c r="U26" s="106"/>
      <c r="V26" s="106"/>
      <c r="W26" s="89"/>
      <c r="X26" s="90"/>
      <c r="Y26" s="90"/>
      <c r="Z26" s="90"/>
    </row>
    <row r="27" spans="1:26" ht="23.25" customHeight="1">
      <c r="A27" s="45" t="s">
        <v>16</v>
      </c>
      <c r="B27" s="49">
        <v>9070.6196999999993</v>
      </c>
      <c r="C27" s="31">
        <f t="shared" si="3"/>
        <v>9.4999999999345164E-2</v>
      </c>
      <c r="D27" s="30">
        <f t="shared" si="0"/>
        <v>683.99999999528518</v>
      </c>
      <c r="E27" s="31"/>
      <c r="F27" s="49">
        <v>5023.2759999999998</v>
      </c>
      <c r="G27" s="31">
        <f t="shared" si="4"/>
        <v>5.2800000000388536E-2</v>
      </c>
      <c r="H27" s="30">
        <f t="shared" si="1"/>
        <v>380.16000000279746</v>
      </c>
      <c r="I27" s="33">
        <f t="shared" si="2"/>
        <v>0.5557894736921315</v>
      </c>
      <c r="J27" s="29"/>
      <c r="K27" s="50">
        <v>6.3</v>
      </c>
      <c r="L27" s="35"/>
      <c r="M27" s="10"/>
      <c r="N27" s="106"/>
      <c r="O27" s="106"/>
      <c r="P27" s="106"/>
      <c r="Q27" s="106"/>
      <c r="R27" s="106"/>
      <c r="S27" s="106"/>
      <c r="T27" s="106"/>
      <c r="U27" s="106"/>
      <c r="V27" s="106"/>
      <c r="W27" s="89"/>
      <c r="X27" s="90"/>
      <c r="Y27" s="90"/>
      <c r="Z27" s="90"/>
    </row>
    <row r="28" spans="1:26" ht="23.25" customHeight="1">
      <c r="A28" s="45" t="s">
        <v>17</v>
      </c>
      <c r="B28" s="49">
        <v>9070.7165000000005</v>
      </c>
      <c r="C28" s="31">
        <f t="shared" si="3"/>
        <v>9.6800000001167064E-2</v>
      </c>
      <c r="D28" s="30">
        <f t="shared" si="0"/>
        <v>696.96000000840286</v>
      </c>
      <c r="E28" s="31"/>
      <c r="F28" s="49">
        <v>5023.3279000000002</v>
      </c>
      <c r="G28" s="31">
        <f t="shared" si="4"/>
        <v>5.1900000000387081E-2</v>
      </c>
      <c r="H28" s="30">
        <f t="shared" si="1"/>
        <v>373.68000000278698</v>
      </c>
      <c r="I28" s="33">
        <f t="shared" si="2"/>
        <v>0.53615702479092309</v>
      </c>
      <c r="J28" s="29"/>
      <c r="K28" s="50">
        <v>6.3</v>
      </c>
      <c r="L28" s="35"/>
      <c r="M28" s="10"/>
      <c r="N28" s="106"/>
      <c r="O28" s="106"/>
      <c r="P28" s="106"/>
      <c r="Q28" s="106"/>
      <c r="R28" s="106"/>
      <c r="S28" s="106"/>
      <c r="T28" s="106"/>
      <c r="U28" s="106"/>
      <c r="V28" s="106"/>
      <c r="W28" s="89"/>
      <c r="X28" s="90"/>
      <c r="Y28" s="90"/>
      <c r="Z28" s="90"/>
    </row>
    <row r="29" spans="1:26" ht="23.25" customHeight="1">
      <c r="A29" s="45" t="s">
        <v>18</v>
      </c>
      <c r="B29" s="49">
        <v>9070.8155999999999</v>
      </c>
      <c r="C29" s="31">
        <f t="shared" si="3"/>
        <v>9.9099999999452848E-2</v>
      </c>
      <c r="D29" s="30">
        <f t="shared" si="0"/>
        <v>713.51999999606051</v>
      </c>
      <c r="E29" s="31"/>
      <c r="F29" s="49">
        <v>5023.3802999999998</v>
      </c>
      <c r="G29" s="31">
        <f t="shared" si="4"/>
        <v>5.239999999957945E-2</v>
      </c>
      <c r="H29" s="30">
        <f t="shared" si="1"/>
        <v>377.27999999697204</v>
      </c>
      <c r="I29" s="33">
        <f t="shared" si="2"/>
        <v>0.52875882946386232</v>
      </c>
      <c r="J29" s="29"/>
      <c r="K29" s="50">
        <v>6.3</v>
      </c>
      <c r="L29" s="35"/>
      <c r="M29" s="97" t="s">
        <v>95</v>
      </c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23.25" customHeight="1">
      <c r="A30" s="45" t="s">
        <v>19</v>
      </c>
      <c r="B30" s="49">
        <v>9070.9251000000004</v>
      </c>
      <c r="C30" s="31">
        <f t="shared" si="3"/>
        <v>0.10950000000048021</v>
      </c>
      <c r="D30" s="30">
        <f t="shared" si="0"/>
        <v>788.40000000345754</v>
      </c>
      <c r="E30" s="31"/>
      <c r="F30" s="49">
        <v>5023.4369999999999</v>
      </c>
      <c r="G30" s="31">
        <f t="shared" si="4"/>
        <v>5.6700000000091677E-2</v>
      </c>
      <c r="H30" s="30">
        <f t="shared" si="1"/>
        <v>408.24000000066007</v>
      </c>
      <c r="I30" s="33">
        <f t="shared" si="2"/>
        <v>0.51780821917664854</v>
      </c>
      <c r="J30" s="29"/>
      <c r="K30" s="50">
        <v>6.3</v>
      </c>
      <c r="L30" s="35"/>
      <c r="M30" s="91" t="s">
        <v>97</v>
      </c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 spans="1:26" ht="23.25" customHeight="1">
      <c r="A31" s="45" t="s">
        <v>20</v>
      </c>
      <c r="B31" s="49">
        <v>9071.0246000000006</v>
      </c>
      <c r="C31" s="31">
        <f t="shared" si="3"/>
        <v>9.9500000000261934E-2</v>
      </c>
      <c r="D31" s="30">
        <f t="shared" si="0"/>
        <v>716.40000000188593</v>
      </c>
      <c r="E31" s="31"/>
      <c r="F31" s="49">
        <v>5023.4894999999997</v>
      </c>
      <c r="G31" s="31">
        <f t="shared" si="4"/>
        <v>5.2499999999781721E-2</v>
      </c>
      <c r="H31" s="30">
        <f t="shared" si="1"/>
        <v>377.99999999842839</v>
      </c>
      <c r="I31" s="33">
        <f t="shared" si="2"/>
        <v>0.52763819095119113</v>
      </c>
      <c r="J31" s="29"/>
      <c r="K31" s="50">
        <v>6.3</v>
      </c>
      <c r="L31" s="35"/>
      <c r="M31" s="104" t="s">
        <v>79</v>
      </c>
      <c r="N31" s="98" t="s">
        <v>98</v>
      </c>
      <c r="O31" s="98"/>
      <c r="P31" s="98" t="s">
        <v>100</v>
      </c>
      <c r="Q31" s="98"/>
      <c r="R31" s="98" t="s">
        <v>93</v>
      </c>
      <c r="S31" s="98"/>
      <c r="T31" s="98" t="s">
        <v>103</v>
      </c>
      <c r="U31" s="98"/>
      <c r="V31" s="98" t="s">
        <v>187</v>
      </c>
      <c r="W31" s="98"/>
      <c r="X31" s="98"/>
      <c r="Y31" s="98" t="s">
        <v>91</v>
      </c>
      <c r="Z31" s="100"/>
    </row>
    <row r="32" spans="1:26" ht="23.25" customHeight="1">
      <c r="A32" s="45" t="s">
        <v>21</v>
      </c>
      <c r="B32" s="49">
        <v>9071.1170000000002</v>
      </c>
      <c r="C32" s="31">
        <f t="shared" si="3"/>
        <v>9.239999999954307E-2</v>
      </c>
      <c r="D32" s="30">
        <f t="shared" si="0"/>
        <v>665.2799999967101</v>
      </c>
      <c r="E32" s="31"/>
      <c r="F32" s="49">
        <v>5023.5428000000002</v>
      </c>
      <c r="G32" s="31">
        <f t="shared" si="4"/>
        <v>5.33000000004904E-2</v>
      </c>
      <c r="H32" s="30">
        <f t="shared" si="1"/>
        <v>383.76000000353088</v>
      </c>
      <c r="I32" s="33">
        <f t="shared" si="2"/>
        <v>0.57683982684798674</v>
      </c>
      <c r="J32" s="29"/>
      <c r="K32" s="50">
        <v>6.3</v>
      </c>
      <c r="L32" s="35"/>
      <c r="M32" s="95"/>
      <c r="N32" s="99"/>
      <c r="O32" s="99"/>
      <c r="P32" s="99" t="s">
        <v>83</v>
      </c>
      <c r="Q32" s="99"/>
      <c r="R32" s="99" t="s">
        <v>102</v>
      </c>
      <c r="S32" s="99"/>
      <c r="T32" s="99" t="s">
        <v>104</v>
      </c>
      <c r="U32" s="99"/>
      <c r="V32" s="99" t="s">
        <v>105</v>
      </c>
      <c r="W32" s="99"/>
      <c r="X32" s="99"/>
      <c r="Y32" s="99"/>
      <c r="Z32" s="101"/>
    </row>
    <row r="33" spans="1:26" ht="23.25" customHeight="1">
      <c r="A33" s="45" t="s">
        <v>22</v>
      </c>
      <c r="B33" s="49">
        <v>9071.2144000000008</v>
      </c>
      <c r="C33" s="31">
        <f t="shared" si="3"/>
        <v>9.7400000000561704E-2</v>
      </c>
      <c r="D33" s="30">
        <f t="shared" si="0"/>
        <v>701.28000000404427</v>
      </c>
      <c r="E33" s="31"/>
      <c r="F33" s="49">
        <v>5023.5990999999995</v>
      </c>
      <c r="G33" s="31">
        <f t="shared" si="4"/>
        <v>5.6299999999282591E-2</v>
      </c>
      <c r="H33" s="30">
        <f t="shared" si="1"/>
        <v>405.35999999483465</v>
      </c>
      <c r="I33" s="33">
        <f t="shared" si="2"/>
        <v>0.57802874742256583</v>
      </c>
      <c r="J33" s="29"/>
      <c r="K33" s="50">
        <v>6.3</v>
      </c>
      <c r="L33" s="35"/>
      <c r="M33" s="95" t="s">
        <v>80</v>
      </c>
      <c r="N33" s="99" t="s">
        <v>99</v>
      </c>
      <c r="O33" s="99"/>
      <c r="P33" s="99" t="s">
        <v>101</v>
      </c>
      <c r="Q33" s="99"/>
      <c r="R33" s="99" t="s">
        <v>69</v>
      </c>
      <c r="S33" s="99"/>
      <c r="T33" s="99" t="s">
        <v>69</v>
      </c>
      <c r="U33" s="99"/>
      <c r="V33" s="99" t="s">
        <v>106</v>
      </c>
      <c r="W33" s="99"/>
      <c r="X33" s="99"/>
      <c r="Y33" s="99"/>
      <c r="Z33" s="101"/>
    </row>
    <row r="34" spans="1:26" ht="23.25" customHeight="1">
      <c r="A34" s="45" t="s">
        <v>23</v>
      </c>
      <c r="B34" s="49">
        <v>9071.3112999999994</v>
      </c>
      <c r="C34" s="31">
        <f t="shared" si="3"/>
        <v>9.6899999998640851E-2</v>
      </c>
      <c r="D34" s="30">
        <f t="shared" si="0"/>
        <v>697.67999999021413</v>
      </c>
      <c r="E34" s="31"/>
      <c r="F34" s="49">
        <v>5023.6549999999997</v>
      </c>
      <c r="G34" s="31">
        <f t="shared" si="4"/>
        <v>5.5900000000292493E-2</v>
      </c>
      <c r="H34" s="30">
        <f t="shared" si="1"/>
        <v>402.48000000210595</v>
      </c>
      <c r="I34" s="33">
        <f t="shared" si="2"/>
        <v>0.57688338494403057</v>
      </c>
      <c r="J34" s="29"/>
      <c r="K34" s="29">
        <v>6.4</v>
      </c>
      <c r="L34" s="35"/>
      <c r="M34" s="96"/>
      <c r="N34" s="102"/>
      <c r="O34" s="102"/>
      <c r="P34" s="102"/>
      <c r="Q34" s="102"/>
      <c r="R34" s="103"/>
      <c r="S34" s="96"/>
      <c r="T34" s="103"/>
      <c r="U34" s="96"/>
      <c r="V34" s="103"/>
      <c r="W34" s="111"/>
      <c r="X34" s="96"/>
      <c r="Y34" s="102"/>
      <c r="Z34" s="103"/>
    </row>
    <row r="35" spans="1:26" ht="23.25" customHeight="1">
      <c r="A35" s="45" t="s">
        <v>24</v>
      </c>
      <c r="B35" s="49">
        <v>9071.3945999999996</v>
      </c>
      <c r="C35" s="31">
        <f t="shared" si="3"/>
        <v>8.3300000000235741E-2</v>
      </c>
      <c r="D35" s="30">
        <f t="shared" si="0"/>
        <v>599.76000000169734</v>
      </c>
      <c r="E35" s="31"/>
      <c r="F35" s="49">
        <v>5023.7003999999997</v>
      </c>
      <c r="G35" s="31">
        <f t="shared" si="4"/>
        <v>4.5399999999972351E-2</v>
      </c>
      <c r="H35" s="30">
        <f t="shared" si="1"/>
        <v>326.87999999980093</v>
      </c>
      <c r="I35" s="33">
        <f t="shared" si="2"/>
        <v>0.54501800720100679</v>
      </c>
      <c r="J35" s="29"/>
      <c r="K35" s="50">
        <v>6.4</v>
      </c>
      <c r="L35" s="35"/>
      <c r="M35" s="10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89"/>
    </row>
    <row r="36" spans="1:26" ht="23.25" customHeight="1">
      <c r="A36" s="45" t="s">
        <v>25</v>
      </c>
      <c r="B36" s="49">
        <v>9071.4691999999995</v>
      </c>
      <c r="C36" s="31">
        <f t="shared" si="3"/>
        <v>7.4599999999918509E-2</v>
      </c>
      <c r="D36" s="30">
        <f t="shared" si="0"/>
        <v>537.11999999941327</v>
      </c>
      <c r="E36" s="31"/>
      <c r="F36" s="49">
        <v>5023.7354999999998</v>
      </c>
      <c r="G36" s="31">
        <f t="shared" si="4"/>
        <v>3.5100000000056752E-2</v>
      </c>
      <c r="H36" s="30">
        <f t="shared" si="1"/>
        <v>252.72000000040862</v>
      </c>
      <c r="I36" s="33">
        <f t="shared" si="2"/>
        <v>0.47050938337929082</v>
      </c>
      <c r="J36" s="29"/>
      <c r="K36" s="50">
        <v>6.4</v>
      </c>
      <c r="L36" s="35"/>
      <c r="M36" s="10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89"/>
    </row>
    <row r="37" spans="1:26" ht="23.25" customHeight="1">
      <c r="A37" s="45" t="s">
        <v>26</v>
      </c>
      <c r="B37" s="49">
        <v>9071.5401000000002</v>
      </c>
      <c r="C37" s="31">
        <f t="shared" si="3"/>
        <v>7.0900000000619912E-2</v>
      </c>
      <c r="D37" s="30">
        <f t="shared" si="0"/>
        <v>510.48000000446336</v>
      </c>
      <c r="E37" s="31"/>
      <c r="F37" s="49">
        <v>5023.7642999999998</v>
      </c>
      <c r="G37" s="31">
        <f t="shared" si="4"/>
        <v>2.8800000000046566E-2</v>
      </c>
      <c r="H37" s="30">
        <f t="shared" si="1"/>
        <v>207.36000000033528</v>
      </c>
      <c r="I37" s="33">
        <f t="shared" si="2"/>
        <v>0.40620592383349441</v>
      </c>
      <c r="J37" s="29"/>
      <c r="K37" s="50">
        <v>6.4</v>
      </c>
      <c r="L37" s="35"/>
      <c r="M37" s="10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89"/>
    </row>
    <row r="38" spans="1:26" ht="23.25" customHeight="1">
      <c r="A38" s="45" t="s">
        <v>27</v>
      </c>
      <c r="B38" s="49">
        <v>9071.6165999999994</v>
      </c>
      <c r="C38" s="31">
        <f t="shared" si="3"/>
        <v>7.6499999999214197E-2</v>
      </c>
      <c r="D38" s="30">
        <f t="shared" si="0"/>
        <v>550.79999999434222</v>
      </c>
      <c r="E38" s="31"/>
      <c r="F38" s="49">
        <v>5023.7942999999996</v>
      </c>
      <c r="G38" s="31">
        <f t="shared" si="4"/>
        <v>2.9999999999745341E-2</v>
      </c>
      <c r="H38" s="30">
        <f t="shared" si="1"/>
        <v>215.99999999816646</v>
      </c>
      <c r="I38" s="33">
        <f t="shared" si="2"/>
        <v>0.39215686274579736</v>
      </c>
      <c r="J38" s="29"/>
      <c r="K38" s="29">
        <v>6.4</v>
      </c>
      <c r="L38" s="35"/>
      <c r="M38" s="10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89"/>
    </row>
    <row r="39" spans="1:26" ht="23.25" customHeight="1">
      <c r="A39" s="45" t="s">
        <v>28</v>
      </c>
      <c r="B39" s="49">
        <v>9071.6970000000001</v>
      </c>
      <c r="C39" s="31">
        <f t="shared" si="3"/>
        <v>8.0400000000736327E-2</v>
      </c>
      <c r="D39" s="30">
        <f t="shared" si="0"/>
        <v>578.88000000530155</v>
      </c>
      <c r="E39" s="31"/>
      <c r="F39" s="49">
        <v>5023.8275999999996</v>
      </c>
      <c r="G39" s="31">
        <f t="shared" si="4"/>
        <v>3.3300000000053842E-2</v>
      </c>
      <c r="H39" s="30">
        <f t="shared" si="1"/>
        <v>239.76000000038766</v>
      </c>
      <c r="I39" s="33">
        <f t="shared" si="2"/>
        <v>0.41417910447448847</v>
      </c>
      <c r="J39" s="29"/>
      <c r="K39" s="29">
        <v>6.4</v>
      </c>
      <c r="L39" s="35"/>
      <c r="M39" s="10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89"/>
    </row>
    <row r="40" spans="1:26" ht="23.25" customHeight="1">
      <c r="A40" s="45" t="s">
        <v>29</v>
      </c>
      <c r="B40" s="49">
        <v>9071.7780000000002</v>
      </c>
      <c r="C40" s="31">
        <f t="shared" si="3"/>
        <v>8.1000000000130967E-2</v>
      </c>
      <c r="D40" s="30">
        <f t="shared" si="0"/>
        <v>583.20000000094296</v>
      </c>
      <c r="E40" s="31"/>
      <c r="F40" s="49">
        <v>5023.8645999999999</v>
      </c>
      <c r="G40" s="31">
        <f t="shared" si="4"/>
        <v>3.7000000000261934E-2</v>
      </c>
      <c r="H40" s="30">
        <f t="shared" si="1"/>
        <v>266.40000000188593</v>
      </c>
      <c r="I40" s="33">
        <f t="shared" si="2"/>
        <v>0.45679012345928532</v>
      </c>
      <c r="J40" s="29"/>
      <c r="K40" s="29">
        <v>6.4</v>
      </c>
      <c r="L40" s="35"/>
      <c r="M40" s="91" t="s">
        <v>109</v>
      </c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</row>
    <row r="41" spans="1:26" ht="23.25" customHeight="1">
      <c r="A41" s="45" t="s">
        <v>30</v>
      </c>
      <c r="B41" s="49">
        <v>9071.8582999999999</v>
      </c>
      <c r="C41" s="31">
        <f t="shared" si="3"/>
        <v>8.0299999999624561E-2</v>
      </c>
      <c r="D41" s="30">
        <f t="shared" si="0"/>
        <v>578.15999999729684</v>
      </c>
      <c r="E41" s="31"/>
      <c r="F41" s="49">
        <v>5023.9004999999997</v>
      </c>
      <c r="G41" s="31">
        <f t="shared" si="4"/>
        <v>3.5899999999855936E-2</v>
      </c>
      <c r="H41" s="30">
        <f t="shared" si="1"/>
        <v>258.47999999896274</v>
      </c>
      <c r="I41" s="33">
        <f t="shared" si="2"/>
        <v>0.44707347447103096</v>
      </c>
      <c r="J41" s="29"/>
      <c r="K41" s="29">
        <v>6.4</v>
      </c>
      <c r="L41" s="35"/>
      <c r="M41" s="104" t="s">
        <v>79</v>
      </c>
      <c r="N41" s="98" t="s">
        <v>98</v>
      </c>
      <c r="O41" s="98"/>
      <c r="P41" s="98" t="s">
        <v>93</v>
      </c>
      <c r="Q41" s="98"/>
      <c r="R41" s="98"/>
      <c r="S41" s="98" t="s">
        <v>111</v>
      </c>
      <c r="T41" s="98" t="s">
        <v>81</v>
      </c>
      <c r="U41" s="98"/>
      <c r="V41" s="98"/>
      <c r="W41" s="98"/>
      <c r="X41" s="98" t="s">
        <v>93</v>
      </c>
      <c r="Y41" s="98"/>
      <c r="Z41" s="100"/>
    </row>
    <row r="42" spans="1:26" ht="23.25" customHeight="1">
      <c r="A42" s="45" t="s">
        <v>31</v>
      </c>
      <c r="B42" s="49">
        <v>9071.9369000000006</v>
      </c>
      <c r="C42" s="31">
        <f t="shared" si="3"/>
        <v>7.8600000000733417E-2</v>
      </c>
      <c r="D42" s="30">
        <f t="shared" si="0"/>
        <v>565.9200000052806</v>
      </c>
      <c r="E42" s="31"/>
      <c r="F42" s="49">
        <v>5023.9359999999997</v>
      </c>
      <c r="G42" s="31">
        <f t="shared" si="4"/>
        <v>3.5499999999956344E-2</v>
      </c>
      <c r="H42" s="30">
        <f t="shared" si="1"/>
        <v>255.59999999968568</v>
      </c>
      <c r="I42" s="33">
        <f t="shared" si="2"/>
        <v>0.45165394401558645</v>
      </c>
      <c r="J42" s="29"/>
      <c r="K42" s="29">
        <v>6.4</v>
      </c>
      <c r="L42" s="35"/>
      <c r="M42" s="95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101"/>
    </row>
    <row r="43" spans="1:26" ht="22.5" customHeight="1">
      <c r="A43" s="121" t="s">
        <v>70</v>
      </c>
      <c r="B43" s="121"/>
      <c r="C43" s="121"/>
      <c r="D43" s="30">
        <f>SUM(D18:D42)</f>
        <v>14451.120000005176</v>
      </c>
      <c r="E43" s="29"/>
      <c r="F43" s="36"/>
      <c r="G43" s="29"/>
      <c r="H43" s="30">
        <f>SUM(H18:H42)</f>
        <v>7215.839999999298</v>
      </c>
      <c r="I43" s="33">
        <f>IF(AND(H43=0,D43=0),0,H43/D43)</f>
        <v>0.49932738777317698</v>
      </c>
      <c r="J43" s="29"/>
      <c r="K43" s="29"/>
      <c r="L43" s="35"/>
      <c r="M43" s="95" t="s">
        <v>80</v>
      </c>
      <c r="N43" s="99" t="s">
        <v>99</v>
      </c>
      <c r="O43" s="99"/>
      <c r="P43" s="99" t="s">
        <v>110</v>
      </c>
      <c r="Q43" s="99"/>
      <c r="R43" s="99"/>
      <c r="S43" s="99"/>
      <c r="T43" s="99"/>
      <c r="U43" s="99"/>
      <c r="V43" s="99"/>
      <c r="W43" s="99"/>
      <c r="X43" s="99" t="s">
        <v>110</v>
      </c>
      <c r="Y43" s="99"/>
      <c r="Z43" s="101"/>
    </row>
    <row r="44" spans="1:26" ht="22.5" customHeight="1">
      <c r="A44" s="76" t="s">
        <v>71</v>
      </c>
      <c r="B44" s="76"/>
      <c r="C44" s="76"/>
      <c r="D44" s="29"/>
      <c r="E44" s="29"/>
      <c r="F44" s="36"/>
      <c r="G44" s="29"/>
      <c r="H44" s="29"/>
      <c r="I44" s="29"/>
      <c r="J44" s="29"/>
      <c r="K44" s="29"/>
      <c r="L44" s="35"/>
      <c r="M44" s="96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3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89"/>
      <c r="O45" s="105"/>
      <c r="P45" s="89"/>
      <c r="Q45" s="90"/>
      <c r="R45" s="105"/>
      <c r="S45" s="8"/>
      <c r="T45" s="89"/>
      <c r="U45" s="90"/>
      <c r="V45" s="90"/>
      <c r="W45" s="105"/>
      <c r="X45" s="89"/>
      <c r="Y45" s="90"/>
      <c r="Z45" s="90"/>
    </row>
    <row r="46" spans="1:26" ht="22.5" customHeight="1">
      <c r="A46" s="54" t="s">
        <v>72</v>
      </c>
      <c r="B46" s="54"/>
      <c r="C46" s="54"/>
      <c r="D46" s="54"/>
      <c r="E46" s="54"/>
      <c r="F46" s="54"/>
      <c r="G46" s="77" t="s">
        <v>73</v>
      </c>
      <c r="H46" s="77"/>
      <c r="I46" s="77"/>
      <c r="J46" s="77"/>
      <c r="K46" s="77"/>
      <c r="L46" s="77"/>
      <c r="M46" s="10"/>
      <c r="N46" s="89"/>
      <c r="O46" s="105"/>
      <c r="P46" s="89"/>
      <c r="Q46" s="90"/>
      <c r="R46" s="105"/>
      <c r="S46" s="8"/>
      <c r="T46" s="89"/>
      <c r="U46" s="90"/>
      <c r="V46" s="90"/>
      <c r="W46" s="105"/>
      <c r="X46" s="89"/>
      <c r="Y46" s="90"/>
      <c r="Z46" s="90"/>
    </row>
    <row r="47" spans="1:26" ht="22.5" customHeight="1">
      <c r="A47" s="52" t="s">
        <v>388</v>
      </c>
      <c r="B47" s="52"/>
      <c r="C47" s="52"/>
      <c r="D47" s="54" t="s">
        <v>74</v>
      </c>
      <c r="E47" s="54"/>
      <c r="F47" s="54"/>
      <c r="G47" s="40"/>
      <c r="H47" s="40"/>
      <c r="I47" s="40"/>
      <c r="J47" s="40"/>
      <c r="K47" s="40"/>
      <c r="L47" s="40"/>
      <c r="M47" s="10"/>
      <c r="N47" s="89"/>
      <c r="O47" s="105"/>
      <c r="P47" s="89"/>
      <c r="Q47" s="90"/>
      <c r="R47" s="105"/>
      <c r="S47" s="8"/>
      <c r="T47" s="89"/>
      <c r="U47" s="90"/>
      <c r="V47" s="90"/>
      <c r="W47" s="105"/>
      <c r="X47" s="89"/>
      <c r="Y47" s="90"/>
      <c r="Z47" s="90"/>
    </row>
    <row r="48" spans="1:26" ht="22.5" customHeight="1">
      <c r="A48" s="55" t="s">
        <v>75</v>
      </c>
      <c r="B48" s="55"/>
      <c r="C48" s="55"/>
      <c r="D48" s="55" t="s">
        <v>76</v>
      </c>
      <c r="E48" s="55"/>
      <c r="F48" s="55"/>
      <c r="G48" s="39"/>
      <c r="H48" s="39"/>
      <c r="I48" s="39"/>
      <c r="J48" s="39"/>
      <c r="K48" s="39"/>
      <c r="L48" s="39"/>
    </row>
    <row r="49" spans="1:23" ht="22.5" customHeight="1">
      <c r="A49" s="52" t="s">
        <v>389</v>
      </c>
      <c r="B49" s="52"/>
      <c r="C49" s="52"/>
      <c r="D49" s="54" t="s">
        <v>74</v>
      </c>
      <c r="E49" s="54"/>
      <c r="F49" s="54"/>
      <c r="G49" s="39"/>
      <c r="H49" s="54" t="s">
        <v>191</v>
      </c>
      <c r="I49" s="54"/>
      <c r="J49" s="54"/>
      <c r="K49" s="54" t="s">
        <v>77</v>
      </c>
      <c r="L49" s="54"/>
      <c r="N49" s="57" t="s">
        <v>150</v>
      </c>
      <c r="O49" s="57"/>
      <c r="P49" s="57"/>
      <c r="Q49" s="56" t="s">
        <v>391</v>
      </c>
      <c r="R49" s="56"/>
      <c r="S49" s="56"/>
      <c r="T49" s="56"/>
      <c r="U49" s="56"/>
      <c r="V49" s="56"/>
      <c r="W49" s="1"/>
    </row>
    <row r="50" spans="1:23" ht="22.5" customHeight="1">
      <c r="A50" s="55" t="s">
        <v>75</v>
      </c>
      <c r="B50" s="55"/>
      <c r="C50" s="55"/>
      <c r="D50" s="55" t="s">
        <v>76</v>
      </c>
      <c r="E50" s="55"/>
      <c r="F50" s="55"/>
      <c r="G50" s="44"/>
      <c r="H50" s="55" t="s">
        <v>75</v>
      </c>
      <c r="I50" s="55"/>
      <c r="J50" s="55"/>
      <c r="K50" s="55" t="s">
        <v>76</v>
      </c>
      <c r="L50" s="55"/>
      <c r="S50" s="53" t="s">
        <v>76</v>
      </c>
      <c r="T50" s="53"/>
    </row>
    <row r="51" spans="1:23" ht="20.100000000000001" customHeight="1">
      <c r="A51" s="52" t="s">
        <v>390</v>
      </c>
      <c r="B51" s="52"/>
      <c r="C51" s="52"/>
      <c r="D51" s="54" t="s">
        <v>74</v>
      </c>
      <c r="E51" s="54"/>
      <c r="F51" s="54"/>
      <c r="G51" s="39"/>
      <c r="H51" s="39"/>
      <c r="I51" s="39"/>
      <c r="J51" s="39"/>
      <c r="K51" s="39"/>
      <c r="L51" s="39"/>
    </row>
    <row r="52" spans="1:23" ht="20.100000000000001" customHeight="1">
      <c r="A52" s="53" t="s">
        <v>75</v>
      </c>
      <c r="B52" s="53"/>
      <c r="C52" s="53"/>
      <c r="D52" s="53" t="s">
        <v>76</v>
      </c>
      <c r="E52" s="53"/>
      <c r="F52" s="53"/>
      <c r="G52" s="1"/>
      <c r="H52" s="1"/>
    </row>
  </sheetData>
  <sheetProtection sheet="1" objects="1" scenarios="1"/>
  <mergeCells count="258">
    <mergeCell ref="G1:H2"/>
    <mergeCell ref="A9:L9"/>
    <mergeCell ref="G46:L46"/>
    <mergeCell ref="G3:H4"/>
    <mergeCell ref="I3:L4"/>
    <mergeCell ref="A1:F1"/>
    <mergeCell ref="A2:F2"/>
    <mergeCell ref="A3:F3"/>
    <mergeCell ref="A4:F4"/>
    <mergeCell ref="A5:F5"/>
    <mergeCell ref="A6:F6"/>
    <mergeCell ref="F14:G14"/>
    <mergeCell ref="F15:G15"/>
    <mergeCell ref="A11:D11"/>
    <mergeCell ref="E11:H11"/>
    <mergeCell ref="A10:D10"/>
    <mergeCell ref="E10:G10"/>
    <mergeCell ref="A43:C43"/>
    <mergeCell ref="E16:E17"/>
    <mergeCell ref="B15:C15"/>
    <mergeCell ref="D15:E15"/>
    <mergeCell ref="B13:C13"/>
    <mergeCell ref="A51:C51"/>
    <mergeCell ref="D51:F51"/>
    <mergeCell ref="A52:C52"/>
    <mergeCell ref="D52:F52"/>
    <mergeCell ref="A44:C44"/>
    <mergeCell ref="D47:F47"/>
    <mergeCell ref="H49:J49"/>
    <mergeCell ref="K49:L49"/>
    <mergeCell ref="A7:L7"/>
    <mergeCell ref="F13:G13"/>
    <mergeCell ref="I11:L11"/>
    <mergeCell ref="B14:C14"/>
    <mergeCell ref="D14:E14"/>
    <mergeCell ref="A8:L8"/>
    <mergeCell ref="H50:J50"/>
    <mergeCell ref="K50:L50"/>
    <mergeCell ref="D49:F49"/>
    <mergeCell ref="A48:C48"/>
    <mergeCell ref="A49:C49"/>
    <mergeCell ref="A50:C50"/>
    <mergeCell ref="D50:F50"/>
    <mergeCell ref="D48:F48"/>
    <mergeCell ref="A47:C47"/>
    <mergeCell ref="D13:E13"/>
    <mergeCell ref="A46:F46"/>
    <mergeCell ref="A12:L12"/>
    <mergeCell ref="H10:L10"/>
    <mergeCell ref="J16:J17"/>
    <mergeCell ref="K16:K17"/>
    <mergeCell ref="A13:A17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N14:O14"/>
    <mergeCell ref="N15:O15"/>
    <mergeCell ref="N16:O16"/>
    <mergeCell ref="N12:O12"/>
    <mergeCell ref="N13:O13"/>
    <mergeCell ref="I13:I17"/>
    <mergeCell ref="J13:K13"/>
    <mergeCell ref="J14:K14"/>
    <mergeCell ref="J15:K15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T27:V27"/>
    <mergeCell ref="W27:Z27"/>
    <mergeCell ref="N26:P26"/>
    <mergeCell ref="N25:P25"/>
    <mergeCell ref="Q25:S25"/>
    <mergeCell ref="T25:V25"/>
    <mergeCell ref="W25:Z25"/>
    <mergeCell ref="Q23:S23"/>
    <mergeCell ref="T23:V23"/>
    <mergeCell ref="Q26:S26"/>
    <mergeCell ref="T26:V26"/>
    <mergeCell ref="N24:P24"/>
    <mergeCell ref="Q24:S24"/>
    <mergeCell ref="T28:V28"/>
    <mergeCell ref="W28:Z28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T24:V24"/>
    <mergeCell ref="W24:Z24"/>
    <mergeCell ref="T18:V19"/>
    <mergeCell ref="V14:W14"/>
    <mergeCell ref="V11:W11"/>
    <mergeCell ref="V12:W12"/>
    <mergeCell ref="V13:W13"/>
    <mergeCell ref="T11:U11"/>
    <mergeCell ref="T12:U12"/>
    <mergeCell ref="T13:U13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T47:W47"/>
    <mergeCell ref="N43:O44"/>
    <mergeCell ref="P43:R44"/>
    <mergeCell ref="R39:S39"/>
    <mergeCell ref="T39:U39"/>
    <mergeCell ref="V39:X39"/>
    <mergeCell ref="Y39:Z39"/>
    <mergeCell ref="S41:S44"/>
    <mergeCell ref="T41:W44"/>
    <mergeCell ref="I1:L2"/>
    <mergeCell ref="G5:H6"/>
    <mergeCell ref="I5:L6"/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  <mergeCell ref="X45:Z45"/>
    <mergeCell ref="X46:Z46"/>
    <mergeCell ref="X47:Z47"/>
    <mergeCell ref="M43:M44"/>
    <mergeCell ref="N47:O47"/>
    <mergeCell ref="T45:W45"/>
    <mergeCell ref="T46:W46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>
  <sheetPr codeName="Лист14"/>
  <dimension ref="A1:Z52"/>
  <sheetViews>
    <sheetView view="pageBreakPreview" topLeftCell="A19" zoomScale="75" zoomScaleNormal="50" zoomScaleSheetLayoutView="75" workbookViewId="0">
      <selection activeCell="F37" sqref="F37"/>
    </sheetView>
  </sheetViews>
  <sheetFormatPr defaultRowHeight="18.75"/>
  <cols>
    <col min="1" max="1" width="11.140625" style="2" customWidth="1"/>
    <col min="2" max="2" width="15" style="2" customWidth="1"/>
    <col min="3" max="3" width="12.140625" style="2" customWidth="1"/>
    <col min="4" max="4" width="13.140625" style="2" customWidth="1"/>
    <col min="5" max="5" width="5.42578125" style="2" customWidth="1"/>
    <col min="6" max="6" width="15.28515625" style="2" customWidth="1"/>
    <col min="7" max="7" width="12.285156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8.42578125" style="2" customWidth="1"/>
    <col min="13" max="26" width="10.28515625" style="2" customWidth="1"/>
    <col min="27" max="16384" width="9.140625" style="2"/>
  </cols>
  <sheetData>
    <row r="1" spans="1:26" ht="21.75" customHeight="1">
      <c r="A1" s="59" t="s">
        <v>157</v>
      </c>
      <c r="B1" s="59"/>
      <c r="C1" s="59"/>
      <c r="D1" s="59"/>
      <c r="E1" s="59"/>
      <c r="F1" s="59"/>
      <c r="G1" s="63" t="s">
        <v>154</v>
      </c>
      <c r="H1" s="63"/>
      <c r="I1" s="59" t="s">
        <v>160</v>
      </c>
      <c r="J1" s="59"/>
      <c r="K1" s="59"/>
      <c r="L1" s="59"/>
      <c r="M1" s="91" t="s">
        <v>96</v>
      </c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spans="1:26" ht="21.75" customHeight="1">
      <c r="A2" s="61" t="s">
        <v>45</v>
      </c>
      <c r="B2" s="61"/>
      <c r="C2" s="61"/>
      <c r="D2" s="61"/>
      <c r="E2" s="61"/>
      <c r="F2" s="61"/>
      <c r="G2" s="63"/>
      <c r="H2" s="63"/>
      <c r="I2" s="59"/>
      <c r="J2" s="59"/>
      <c r="K2" s="59"/>
      <c r="L2" s="59"/>
      <c r="M2" s="91" t="s">
        <v>78</v>
      </c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spans="1:26" ht="21.75" customHeight="1">
      <c r="A3" s="59" t="s">
        <v>158</v>
      </c>
      <c r="B3" s="60"/>
      <c r="C3" s="60"/>
      <c r="D3" s="60"/>
      <c r="E3" s="60"/>
      <c r="F3" s="60"/>
      <c r="G3" s="63" t="s">
        <v>155</v>
      </c>
      <c r="H3" s="63"/>
      <c r="I3" s="59" t="s">
        <v>220</v>
      </c>
      <c r="J3" s="59"/>
      <c r="K3" s="59"/>
      <c r="L3" s="59"/>
      <c r="M3" s="104" t="s">
        <v>79</v>
      </c>
      <c r="N3" s="100" t="s">
        <v>81</v>
      </c>
      <c r="O3" s="104"/>
      <c r="P3" s="100" t="s">
        <v>65</v>
      </c>
      <c r="Q3" s="104"/>
      <c r="R3" s="100" t="s">
        <v>82</v>
      </c>
      <c r="S3" s="104"/>
      <c r="T3" s="100" t="s">
        <v>85</v>
      </c>
      <c r="U3" s="104"/>
      <c r="V3" s="100" t="s">
        <v>87</v>
      </c>
      <c r="W3" s="104"/>
      <c r="X3" s="107" t="s">
        <v>91</v>
      </c>
      <c r="Y3" s="108"/>
      <c r="Z3" s="108"/>
    </row>
    <row r="4" spans="1:26" ht="29.25" customHeight="1">
      <c r="A4" s="61" t="s">
        <v>46</v>
      </c>
      <c r="B4" s="61"/>
      <c r="C4" s="61"/>
      <c r="D4" s="61"/>
      <c r="E4" s="61"/>
      <c r="F4" s="61"/>
      <c r="G4" s="63"/>
      <c r="H4" s="63"/>
      <c r="I4" s="59"/>
      <c r="J4" s="59"/>
      <c r="K4" s="59"/>
      <c r="L4" s="59"/>
      <c r="M4" s="95"/>
      <c r="N4" s="101"/>
      <c r="O4" s="95"/>
      <c r="P4" s="101"/>
      <c r="Q4" s="95"/>
      <c r="R4" s="101" t="s">
        <v>83</v>
      </c>
      <c r="S4" s="95"/>
      <c r="T4" s="101" t="s">
        <v>86</v>
      </c>
      <c r="U4" s="95"/>
      <c r="V4" s="101" t="s">
        <v>88</v>
      </c>
      <c r="W4" s="95"/>
      <c r="X4" s="107"/>
      <c r="Y4" s="108"/>
      <c r="Z4" s="108"/>
    </row>
    <row r="5" spans="1:26" ht="21.75" customHeight="1">
      <c r="A5" s="59" t="s">
        <v>186</v>
      </c>
      <c r="B5" s="60"/>
      <c r="C5" s="60"/>
      <c r="D5" s="60"/>
      <c r="E5" s="60"/>
      <c r="F5" s="60"/>
      <c r="G5" s="63" t="s">
        <v>156</v>
      </c>
      <c r="H5" s="63"/>
      <c r="I5" s="59" t="s">
        <v>221</v>
      </c>
      <c r="J5" s="59"/>
      <c r="K5" s="59"/>
      <c r="L5" s="59"/>
      <c r="M5" s="95" t="s">
        <v>80</v>
      </c>
      <c r="N5" s="101"/>
      <c r="O5" s="95"/>
      <c r="P5" s="101" t="s">
        <v>190</v>
      </c>
      <c r="Q5" s="95"/>
      <c r="R5" s="109" t="s">
        <v>84</v>
      </c>
      <c r="S5" s="110"/>
      <c r="T5" s="109" t="s">
        <v>84</v>
      </c>
      <c r="U5" s="110"/>
      <c r="V5" s="101" t="s">
        <v>89</v>
      </c>
      <c r="W5" s="95"/>
      <c r="X5" s="107"/>
      <c r="Y5" s="108"/>
      <c r="Z5" s="108"/>
    </row>
    <row r="6" spans="1:26" ht="21.75" customHeight="1">
      <c r="A6" s="61" t="s">
        <v>47</v>
      </c>
      <c r="B6" s="61"/>
      <c r="C6" s="61"/>
      <c r="D6" s="61"/>
      <c r="E6" s="61"/>
      <c r="F6" s="61"/>
      <c r="G6" s="63"/>
      <c r="H6" s="63"/>
      <c r="I6" s="59"/>
      <c r="J6" s="59"/>
      <c r="K6" s="59"/>
      <c r="L6" s="59"/>
      <c r="M6" s="96"/>
      <c r="N6" s="103"/>
      <c r="O6" s="96"/>
      <c r="P6" s="103"/>
      <c r="Q6" s="96"/>
      <c r="R6" s="103"/>
      <c r="S6" s="96"/>
      <c r="T6" s="103"/>
      <c r="U6" s="96"/>
      <c r="V6" s="103" t="s">
        <v>90</v>
      </c>
      <c r="W6" s="96"/>
      <c r="X6" s="107"/>
      <c r="Y6" s="108"/>
      <c r="Z6" s="108"/>
    </row>
    <row r="7" spans="1:26" ht="21.75" customHeight="1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10"/>
      <c r="N7" s="89"/>
      <c r="O7" s="105"/>
      <c r="P7" s="89"/>
      <c r="Q7" s="105"/>
      <c r="R7" s="89"/>
      <c r="S7" s="105"/>
      <c r="T7" s="89"/>
      <c r="U7" s="105"/>
      <c r="V7" s="89"/>
      <c r="W7" s="105"/>
      <c r="X7" s="89"/>
      <c r="Y7" s="90"/>
      <c r="Z7" s="90"/>
    </row>
    <row r="8" spans="1:26" ht="22.5" customHeight="1">
      <c r="A8" s="94" t="s">
        <v>48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10"/>
      <c r="N8" s="89"/>
      <c r="O8" s="105"/>
      <c r="P8" s="89"/>
      <c r="Q8" s="105"/>
      <c r="R8" s="89"/>
      <c r="S8" s="105"/>
      <c r="T8" s="89"/>
      <c r="U8" s="105"/>
      <c r="V8" s="89"/>
      <c r="W8" s="105"/>
      <c r="X8" s="89"/>
      <c r="Y8" s="90"/>
      <c r="Z8" s="90"/>
    </row>
    <row r="9" spans="1:26" ht="22.5" customHeight="1">
      <c r="A9" s="88" t="s">
        <v>49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10"/>
      <c r="N9" s="89"/>
      <c r="O9" s="105"/>
      <c r="P9" s="89"/>
      <c r="Q9" s="105"/>
      <c r="R9" s="89"/>
      <c r="S9" s="105"/>
      <c r="T9" s="89"/>
      <c r="U9" s="105"/>
      <c r="V9" s="89"/>
      <c r="W9" s="105"/>
      <c r="X9" s="89"/>
      <c r="Y9" s="90"/>
      <c r="Z9" s="90"/>
    </row>
    <row r="10" spans="1:26" ht="22.5" customHeight="1">
      <c r="A10" s="80" t="s">
        <v>112</v>
      </c>
      <c r="B10" s="80"/>
      <c r="C10" s="80"/>
      <c r="D10" s="80"/>
      <c r="E10" s="81" t="s">
        <v>383</v>
      </c>
      <c r="F10" s="81"/>
      <c r="G10" s="81"/>
      <c r="H10" s="62" t="s">
        <v>384</v>
      </c>
      <c r="I10" s="62"/>
      <c r="J10" s="62"/>
      <c r="K10" s="62"/>
      <c r="L10" s="62"/>
      <c r="M10" s="10"/>
      <c r="N10" s="89"/>
      <c r="O10" s="105"/>
      <c r="P10" s="89"/>
      <c r="Q10" s="105"/>
      <c r="R10" s="89"/>
      <c r="S10" s="105"/>
      <c r="T10" s="89"/>
      <c r="U10" s="105"/>
      <c r="V10" s="89"/>
      <c r="W10" s="105"/>
      <c r="X10" s="89"/>
      <c r="Y10" s="90"/>
      <c r="Z10" s="90"/>
    </row>
    <row r="11" spans="1:26" ht="22.5" customHeight="1">
      <c r="A11" s="80" t="s">
        <v>113</v>
      </c>
      <c r="B11" s="80"/>
      <c r="C11" s="80"/>
      <c r="D11" s="80"/>
      <c r="E11" s="79" t="s">
        <v>231</v>
      </c>
      <c r="F11" s="79"/>
      <c r="G11" s="79"/>
      <c r="H11" s="79"/>
      <c r="I11" s="62" t="s">
        <v>114</v>
      </c>
      <c r="J11" s="62"/>
      <c r="K11" s="62"/>
      <c r="L11" s="62"/>
      <c r="M11" s="10"/>
      <c r="N11" s="89"/>
      <c r="O11" s="105"/>
      <c r="P11" s="89"/>
      <c r="Q11" s="105"/>
      <c r="R11" s="89"/>
      <c r="S11" s="105"/>
      <c r="T11" s="89"/>
      <c r="U11" s="105"/>
      <c r="V11" s="89"/>
      <c r="W11" s="105"/>
      <c r="X11" s="89"/>
      <c r="Y11" s="90"/>
      <c r="Z11" s="90"/>
    </row>
    <row r="12" spans="1:26" ht="21.75" customHeight="1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10"/>
      <c r="N12" s="89"/>
      <c r="O12" s="105"/>
      <c r="P12" s="89"/>
      <c r="Q12" s="105"/>
      <c r="R12" s="89"/>
      <c r="S12" s="105"/>
      <c r="T12" s="89"/>
      <c r="U12" s="105"/>
      <c r="V12" s="89"/>
      <c r="W12" s="105"/>
      <c r="X12" s="89"/>
      <c r="Y12" s="90"/>
      <c r="Z12" s="90"/>
    </row>
    <row r="13" spans="1:26" ht="21.75" customHeight="1">
      <c r="A13" s="64" t="s">
        <v>50</v>
      </c>
      <c r="B13" s="72" t="s">
        <v>56</v>
      </c>
      <c r="C13" s="73"/>
      <c r="D13" s="74" t="s">
        <v>198</v>
      </c>
      <c r="E13" s="75"/>
      <c r="F13" s="72" t="s">
        <v>59</v>
      </c>
      <c r="G13" s="73"/>
      <c r="H13" s="18" t="s">
        <v>198</v>
      </c>
      <c r="I13" s="84" t="s">
        <v>5</v>
      </c>
      <c r="J13" s="72" t="s">
        <v>60</v>
      </c>
      <c r="K13" s="64"/>
      <c r="L13" s="17" t="s">
        <v>65</v>
      </c>
      <c r="M13" s="10"/>
      <c r="N13" s="89"/>
      <c r="O13" s="105"/>
      <c r="P13" s="89"/>
      <c r="Q13" s="105"/>
      <c r="R13" s="89"/>
      <c r="S13" s="105"/>
      <c r="T13" s="89"/>
      <c r="U13" s="105"/>
      <c r="V13" s="89"/>
      <c r="W13" s="105"/>
      <c r="X13" s="89"/>
      <c r="Y13" s="90"/>
      <c r="Z13" s="90"/>
    </row>
    <row r="14" spans="1:26" ht="21.75" customHeight="1">
      <c r="A14" s="65"/>
      <c r="B14" s="82" t="s">
        <v>57</v>
      </c>
      <c r="C14" s="83"/>
      <c r="D14" s="92" t="s">
        <v>223</v>
      </c>
      <c r="E14" s="93"/>
      <c r="F14" s="82" t="s">
        <v>57</v>
      </c>
      <c r="G14" s="83"/>
      <c r="H14" s="19" t="s">
        <v>223</v>
      </c>
      <c r="I14" s="85"/>
      <c r="J14" s="82" t="s">
        <v>61</v>
      </c>
      <c r="K14" s="65"/>
      <c r="L14" s="17" t="s">
        <v>66</v>
      </c>
      <c r="M14" s="10"/>
      <c r="N14" s="89"/>
      <c r="O14" s="105"/>
      <c r="P14" s="89"/>
      <c r="Q14" s="105"/>
      <c r="R14" s="89"/>
      <c r="S14" s="105"/>
      <c r="T14" s="89"/>
      <c r="U14" s="105"/>
      <c r="V14" s="89"/>
      <c r="W14" s="105"/>
      <c r="X14" s="89"/>
      <c r="Y14" s="90"/>
      <c r="Z14" s="90"/>
    </row>
    <row r="15" spans="1:26" ht="21.75" customHeight="1">
      <c r="A15" s="65"/>
      <c r="B15" s="68" t="s">
        <v>58</v>
      </c>
      <c r="C15" s="69"/>
      <c r="D15" s="70">
        <v>3600</v>
      </c>
      <c r="E15" s="71"/>
      <c r="F15" s="68" t="s">
        <v>58</v>
      </c>
      <c r="G15" s="69"/>
      <c r="H15" s="20">
        <v>3600</v>
      </c>
      <c r="I15" s="85"/>
      <c r="J15" s="68" t="s">
        <v>62</v>
      </c>
      <c r="K15" s="78"/>
      <c r="L15" s="17" t="s">
        <v>67</v>
      </c>
      <c r="M15" s="10"/>
      <c r="N15" s="89"/>
      <c r="O15" s="105"/>
      <c r="P15" s="89"/>
      <c r="Q15" s="105"/>
      <c r="R15" s="89"/>
      <c r="S15" s="105"/>
      <c r="T15" s="89"/>
      <c r="U15" s="105"/>
      <c r="V15" s="89"/>
      <c r="W15" s="105"/>
      <c r="X15" s="89"/>
      <c r="Y15" s="90"/>
      <c r="Z15" s="90"/>
    </row>
    <row r="16" spans="1:26" ht="21.75" customHeight="1">
      <c r="A16" s="65"/>
      <c r="B16" s="13" t="s">
        <v>51</v>
      </c>
      <c r="C16" s="13" t="s">
        <v>53</v>
      </c>
      <c r="D16" s="13" t="s">
        <v>54</v>
      </c>
      <c r="E16" s="66"/>
      <c r="F16" s="13" t="s">
        <v>51</v>
      </c>
      <c r="G16" s="13" t="s">
        <v>53</v>
      </c>
      <c r="H16" s="11" t="s">
        <v>54</v>
      </c>
      <c r="I16" s="85"/>
      <c r="J16" s="66" t="s">
        <v>63</v>
      </c>
      <c r="K16" s="66" t="s">
        <v>64</v>
      </c>
      <c r="L16" s="17" t="s">
        <v>68</v>
      </c>
      <c r="M16" s="10"/>
      <c r="N16" s="89"/>
      <c r="O16" s="105"/>
      <c r="P16" s="89"/>
      <c r="Q16" s="105"/>
      <c r="R16" s="89"/>
      <c r="S16" s="105"/>
      <c r="T16" s="89"/>
      <c r="U16" s="105"/>
      <c r="V16" s="89"/>
      <c r="W16" s="105"/>
      <c r="X16" s="89"/>
      <c r="Y16" s="90"/>
      <c r="Z16" s="90"/>
    </row>
    <row r="17" spans="1:26" ht="21.75" customHeight="1">
      <c r="A17" s="65"/>
      <c r="B17" s="26" t="s">
        <v>52</v>
      </c>
      <c r="C17" s="26" t="s">
        <v>51</v>
      </c>
      <c r="D17" s="26" t="s">
        <v>55</v>
      </c>
      <c r="E17" s="67"/>
      <c r="F17" s="26" t="s">
        <v>52</v>
      </c>
      <c r="G17" s="26" t="s">
        <v>51</v>
      </c>
      <c r="H17" s="24" t="s">
        <v>55</v>
      </c>
      <c r="I17" s="85"/>
      <c r="J17" s="67"/>
      <c r="K17" s="120"/>
      <c r="L17" s="17" t="s">
        <v>69</v>
      </c>
      <c r="M17" s="111" t="s">
        <v>92</v>
      </c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spans="1:26" ht="23.25" customHeight="1">
      <c r="A18" s="29" t="s">
        <v>7</v>
      </c>
      <c r="B18" s="49">
        <v>4554.6016</v>
      </c>
      <c r="C18" s="31"/>
      <c r="D18" s="30"/>
      <c r="E18" s="29"/>
      <c r="F18" s="49">
        <v>2143.0994999999998</v>
      </c>
      <c r="G18" s="31"/>
      <c r="H18" s="30"/>
      <c r="I18" s="33"/>
      <c r="J18" s="29"/>
      <c r="K18" s="50">
        <v>6.4</v>
      </c>
      <c r="L18" s="35"/>
      <c r="M18" s="104" t="s">
        <v>79</v>
      </c>
      <c r="N18" s="98" t="s">
        <v>98</v>
      </c>
      <c r="O18" s="98"/>
      <c r="P18" s="98"/>
      <c r="Q18" s="98" t="s">
        <v>107</v>
      </c>
      <c r="R18" s="98"/>
      <c r="S18" s="98"/>
      <c r="T18" s="98" t="s">
        <v>93</v>
      </c>
      <c r="U18" s="98"/>
      <c r="V18" s="98"/>
      <c r="W18" s="100" t="s">
        <v>91</v>
      </c>
      <c r="X18" s="112"/>
      <c r="Y18" s="112"/>
      <c r="Z18" s="112"/>
    </row>
    <row r="19" spans="1:26" ht="23.25" customHeight="1">
      <c r="A19" s="29" t="s">
        <v>8</v>
      </c>
      <c r="B19" s="49">
        <v>4554.6950999999999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9.3499999999949068E-2</v>
      </c>
      <c r="D19" s="30">
        <f t="shared" ref="D19:D42" si="1">IF(C19="","",C19*$D$15)</f>
        <v>336.59999999981665</v>
      </c>
      <c r="E19" s="29"/>
      <c r="F19" s="49">
        <v>2143.1382999999996</v>
      </c>
      <c r="G19" s="31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3.8799999999810098E-2</v>
      </c>
      <c r="H19" s="30">
        <f t="shared" ref="H19:H42" si="3">IF(G19="","",G19*$H$15)</f>
        <v>139.67999999931635</v>
      </c>
      <c r="I19" s="33">
        <f t="shared" ref="I19:I42" si="4">IF(H19="","",IF(D19="","",IF(AND(H19=0,D19=0),0,H19/D19)))</f>
        <v>0.41497326203028057</v>
      </c>
      <c r="J19" s="29"/>
      <c r="K19" s="50">
        <v>6.4</v>
      </c>
      <c r="L19" s="35"/>
      <c r="M19" s="95"/>
      <c r="N19" s="99"/>
      <c r="O19" s="99"/>
      <c r="P19" s="99"/>
      <c r="Q19" s="99" t="s">
        <v>108</v>
      </c>
      <c r="R19" s="99"/>
      <c r="S19" s="99"/>
      <c r="T19" s="99"/>
      <c r="U19" s="99"/>
      <c r="V19" s="99"/>
      <c r="W19" s="101"/>
      <c r="X19" s="91"/>
      <c r="Y19" s="91"/>
      <c r="Z19" s="91"/>
    </row>
    <row r="20" spans="1:26" ht="23.25" customHeight="1">
      <c r="A20" s="29" t="s">
        <v>9</v>
      </c>
      <c r="B20" s="49">
        <v>4554.7910000000002</v>
      </c>
      <c r="C20" s="31">
        <f t="shared" si="0"/>
        <v>9.5900000000256114E-2</v>
      </c>
      <c r="D20" s="30">
        <f t="shared" si="1"/>
        <v>345.24000000092201</v>
      </c>
      <c r="E20" s="29"/>
      <c r="F20" s="49">
        <v>2143.1795999999999</v>
      </c>
      <c r="G20" s="31">
        <f t="shared" si="2"/>
        <v>4.1300000000319415E-2</v>
      </c>
      <c r="H20" s="30">
        <f t="shared" si="3"/>
        <v>148.68000000114989</v>
      </c>
      <c r="I20" s="33">
        <f t="shared" si="4"/>
        <v>0.43065693430874991</v>
      </c>
      <c r="J20" s="29"/>
      <c r="K20" s="50">
        <v>6.4</v>
      </c>
      <c r="L20" s="35"/>
      <c r="M20" s="95" t="s">
        <v>80</v>
      </c>
      <c r="N20" s="99" t="s">
        <v>99</v>
      </c>
      <c r="O20" s="99"/>
      <c r="P20" s="99"/>
      <c r="Q20" s="99" t="s">
        <v>189</v>
      </c>
      <c r="R20" s="99"/>
      <c r="S20" s="99"/>
      <c r="T20" s="99" t="s">
        <v>94</v>
      </c>
      <c r="U20" s="99"/>
      <c r="V20" s="99"/>
      <c r="W20" s="101"/>
      <c r="X20" s="91"/>
      <c r="Y20" s="91"/>
      <c r="Z20" s="91"/>
    </row>
    <row r="21" spans="1:26" ht="23.25" customHeight="1">
      <c r="A21" s="29" t="s">
        <v>10</v>
      </c>
      <c r="B21" s="49">
        <v>4554.9130999999998</v>
      </c>
      <c r="C21" s="31">
        <f t="shared" si="0"/>
        <v>0.12209999999959109</v>
      </c>
      <c r="D21" s="30">
        <f t="shared" si="1"/>
        <v>439.55999999852793</v>
      </c>
      <c r="E21" s="29"/>
      <c r="F21" s="49">
        <v>2143.2343999999998</v>
      </c>
      <c r="G21" s="31">
        <f t="shared" si="2"/>
        <v>5.4799999999886495E-2</v>
      </c>
      <c r="H21" s="30">
        <f t="shared" si="3"/>
        <v>197.27999999959138</v>
      </c>
      <c r="I21" s="33">
        <f t="shared" si="4"/>
        <v>0.44881244881302229</v>
      </c>
      <c r="J21" s="29"/>
      <c r="K21" s="50">
        <v>6.4</v>
      </c>
      <c r="L21" s="35"/>
      <c r="M21" s="96"/>
      <c r="N21" s="102"/>
      <c r="O21" s="102"/>
      <c r="P21" s="102"/>
      <c r="Q21" s="102"/>
      <c r="R21" s="102"/>
      <c r="S21" s="102"/>
      <c r="T21" s="102"/>
      <c r="U21" s="102"/>
      <c r="V21" s="102"/>
      <c r="W21" s="103"/>
      <c r="X21" s="111"/>
      <c r="Y21" s="111"/>
      <c r="Z21" s="111"/>
    </row>
    <row r="22" spans="1:26" ht="23.25" customHeight="1">
      <c r="A22" s="29" t="s">
        <v>11</v>
      </c>
      <c r="B22" s="49">
        <v>4555.0289999999995</v>
      </c>
      <c r="C22" s="31">
        <f t="shared" si="0"/>
        <v>0.11589999999978318</v>
      </c>
      <c r="D22" s="30">
        <f t="shared" si="1"/>
        <v>417.23999999921944</v>
      </c>
      <c r="E22" s="29"/>
      <c r="F22" s="49">
        <v>2143.2866999999997</v>
      </c>
      <c r="G22" s="31">
        <f t="shared" si="2"/>
        <v>5.2299999999831925E-2</v>
      </c>
      <c r="H22" s="30">
        <f t="shared" si="3"/>
        <v>188.27999999939493</v>
      </c>
      <c r="I22" s="33">
        <f t="shared" si="4"/>
        <v>0.45125107851535606</v>
      </c>
      <c r="J22" s="29"/>
      <c r="K22" s="50">
        <v>6.4</v>
      </c>
      <c r="L22" s="35"/>
      <c r="M22" s="10"/>
      <c r="N22" s="106"/>
      <c r="O22" s="106"/>
      <c r="P22" s="106"/>
      <c r="Q22" s="106"/>
      <c r="R22" s="106"/>
      <c r="S22" s="106"/>
      <c r="T22" s="106"/>
      <c r="U22" s="106"/>
      <c r="V22" s="106"/>
      <c r="W22" s="89"/>
      <c r="X22" s="90"/>
      <c r="Y22" s="90"/>
      <c r="Z22" s="90"/>
    </row>
    <row r="23" spans="1:26" ht="23.25" customHeight="1">
      <c r="A23" s="29" t="s">
        <v>12</v>
      </c>
      <c r="B23" s="49">
        <v>4555.1261999999997</v>
      </c>
      <c r="C23" s="31">
        <f t="shared" si="0"/>
        <v>9.7200000000157161E-2</v>
      </c>
      <c r="D23" s="30">
        <f t="shared" si="1"/>
        <v>349.92000000056578</v>
      </c>
      <c r="E23" s="29"/>
      <c r="F23" s="49">
        <v>2143.326</v>
      </c>
      <c r="G23" s="31">
        <f t="shared" si="2"/>
        <v>3.9300000000366708E-2</v>
      </c>
      <c r="H23" s="30">
        <f t="shared" si="3"/>
        <v>141.48000000132015</v>
      </c>
      <c r="I23" s="33">
        <f t="shared" si="4"/>
        <v>0.40432098765743996</v>
      </c>
      <c r="J23" s="29"/>
      <c r="K23" s="50">
        <v>6.4</v>
      </c>
      <c r="L23" s="35"/>
      <c r="M23" s="10"/>
      <c r="N23" s="106"/>
      <c r="O23" s="106"/>
      <c r="P23" s="106"/>
      <c r="Q23" s="106"/>
      <c r="R23" s="106"/>
      <c r="S23" s="106"/>
      <c r="T23" s="106"/>
      <c r="U23" s="106"/>
      <c r="V23" s="106"/>
      <c r="W23" s="89"/>
      <c r="X23" s="90"/>
      <c r="Y23" s="90"/>
      <c r="Z23" s="90"/>
    </row>
    <row r="24" spans="1:26" ht="23.25" customHeight="1">
      <c r="A24" s="29" t="s">
        <v>13</v>
      </c>
      <c r="B24" s="49">
        <v>4555.2268000000004</v>
      </c>
      <c r="C24" s="31">
        <f t="shared" si="0"/>
        <v>0.10060000000066793</v>
      </c>
      <c r="D24" s="30">
        <f t="shared" si="1"/>
        <v>362.16000000240456</v>
      </c>
      <c r="E24" s="29"/>
      <c r="F24" s="49">
        <v>2143.3647999999998</v>
      </c>
      <c r="G24" s="31">
        <f t="shared" si="2"/>
        <v>3.8799999999810098E-2</v>
      </c>
      <c r="H24" s="30">
        <f t="shared" si="3"/>
        <v>139.67999999931635</v>
      </c>
      <c r="I24" s="33">
        <f t="shared" si="4"/>
        <v>0.38568588468740045</v>
      </c>
      <c r="J24" s="29"/>
      <c r="K24" s="50">
        <v>6.4</v>
      </c>
      <c r="L24" s="35"/>
      <c r="M24" s="10"/>
      <c r="N24" s="106"/>
      <c r="O24" s="106"/>
      <c r="P24" s="106"/>
      <c r="Q24" s="106"/>
      <c r="R24" s="106"/>
      <c r="S24" s="106"/>
      <c r="T24" s="106"/>
      <c r="U24" s="106"/>
      <c r="V24" s="106"/>
      <c r="W24" s="89"/>
      <c r="X24" s="90"/>
      <c r="Y24" s="90"/>
      <c r="Z24" s="90"/>
    </row>
    <row r="25" spans="1:26" ht="23.25" customHeight="1">
      <c r="A25" s="29" t="s">
        <v>14</v>
      </c>
      <c r="B25" s="49">
        <v>4555.3288999999995</v>
      </c>
      <c r="C25" s="31">
        <f t="shared" si="0"/>
        <v>0.10209999999915453</v>
      </c>
      <c r="D25" s="30">
        <f t="shared" si="1"/>
        <v>367.55999999695632</v>
      </c>
      <c r="E25" s="29"/>
      <c r="F25" s="49">
        <v>2143.4035999999996</v>
      </c>
      <c r="G25" s="31">
        <f t="shared" si="2"/>
        <v>3.8799999999810098E-2</v>
      </c>
      <c r="H25" s="30">
        <f t="shared" si="3"/>
        <v>139.67999999931635</v>
      </c>
      <c r="I25" s="33">
        <f t="shared" si="4"/>
        <v>0.3800195886398765</v>
      </c>
      <c r="J25" s="29"/>
      <c r="K25" s="50">
        <v>6.4</v>
      </c>
      <c r="L25" s="35"/>
      <c r="M25" s="10"/>
      <c r="N25" s="106"/>
      <c r="O25" s="106"/>
      <c r="P25" s="106"/>
      <c r="Q25" s="106"/>
      <c r="R25" s="106"/>
      <c r="S25" s="106"/>
      <c r="T25" s="106"/>
      <c r="U25" s="106"/>
      <c r="V25" s="106"/>
      <c r="W25" s="89"/>
      <c r="X25" s="90"/>
      <c r="Y25" s="90"/>
      <c r="Z25" s="90"/>
    </row>
    <row r="26" spans="1:26" ht="23.25" customHeight="1">
      <c r="A26" s="29" t="s">
        <v>15</v>
      </c>
      <c r="B26" s="49">
        <v>4555.4317000000001</v>
      </c>
      <c r="C26" s="31">
        <f t="shared" si="0"/>
        <v>0.10280000000057044</v>
      </c>
      <c r="D26" s="30">
        <f t="shared" si="1"/>
        <v>370.08000000205357</v>
      </c>
      <c r="E26" s="29"/>
      <c r="F26" s="49">
        <v>2143.4418999999998</v>
      </c>
      <c r="G26" s="31">
        <f t="shared" si="2"/>
        <v>3.8300000000162981E-2</v>
      </c>
      <c r="H26" s="30">
        <f t="shared" si="3"/>
        <v>137.88000000058673</v>
      </c>
      <c r="I26" s="33">
        <f t="shared" si="4"/>
        <v>0.37256809338473207</v>
      </c>
      <c r="J26" s="29"/>
      <c r="K26" s="50">
        <v>6.3</v>
      </c>
      <c r="L26" s="35"/>
      <c r="M26" s="10"/>
      <c r="N26" s="106"/>
      <c r="O26" s="106"/>
      <c r="P26" s="106"/>
      <c r="Q26" s="106"/>
      <c r="R26" s="106"/>
      <c r="S26" s="106"/>
      <c r="T26" s="106"/>
      <c r="U26" s="106"/>
      <c r="V26" s="106"/>
      <c r="W26" s="89"/>
      <c r="X26" s="90"/>
      <c r="Y26" s="90"/>
      <c r="Z26" s="90"/>
    </row>
    <row r="27" spans="1:26" ht="23.25" customHeight="1">
      <c r="A27" s="29" t="s">
        <v>16</v>
      </c>
      <c r="B27" s="49">
        <v>4555.5380999999998</v>
      </c>
      <c r="C27" s="31">
        <f t="shared" si="0"/>
        <v>0.10639999999966676</v>
      </c>
      <c r="D27" s="30">
        <f t="shared" si="1"/>
        <v>383.03999999880034</v>
      </c>
      <c r="E27" s="29"/>
      <c r="F27" s="49">
        <v>2143.4788999999996</v>
      </c>
      <c r="G27" s="31">
        <f t="shared" si="2"/>
        <v>3.6999999999807187E-2</v>
      </c>
      <c r="H27" s="30">
        <f t="shared" si="3"/>
        <v>133.19999999930587</v>
      </c>
      <c r="I27" s="33">
        <f t="shared" si="4"/>
        <v>0.3477443609015326</v>
      </c>
      <c r="J27" s="29"/>
      <c r="K27" s="50">
        <v>6.3</v>
      </c>
      <c r="L27" s="35"/>
      <c r="M27" s="10"/>
      <c r="N27" s="106"/>
      <c r="O27" s="106"/>
      <c r="P27" s="106"/>
      <c r="Q27" s="106"/>
      <c r="R27" s="106"/>
      <c r="S27" s="106"/>
      <c r="T27" s="106"/>
      <c r="U27" s="106"/>
      <c r="V27" s="106"/>
      <c r="W27" s="89"/>
      <c r="X27" s="90"/>
      <c r="Y27" s="90"/>
      <c r="Z27" s="90"/>
    </row>
    <row r="28" spans="1:26" ht="23.25" customHeight="1">
      <c r="A28" s="29" t="s">
        <v>17</v>
      </c>
      <c r="B28" s="49">
        <v>4555.6410999999998</v>
      </c>
      <c r="C28" s="31">
        <f t="shared" si="0"/>
        <v>0.10300000000006548</v>
      </c>
      <c r="D28" s="30">
        <f t="shared" si="1"/>
        <v>370.80000000023574</v>
      </c>
      <c r="E28" s="29"/>
      <c r="F28" s="49">
        <v>2143.5122999999999</v>
      </c>
      <c r="G28" s="31">
        <f t="shared" si="2"/>
        <v>3.3400000000256114E-2</v>
      </c>
      <c r="H28" s="30">
        <f t="shared" si="3"/>
        <v>120.24000000092201</v>
      </c>
      <c r="I28" s="33">
        <f t="shared" si="4"/>
        <v>0.32427184466247455</v>
      </c>
      <c r="J28" s="29"/>
      <c r="K28" s="50">
        <v>6.3</v>
      </c>
      <c r="L28" s="35"/>
      <c r="M28" s="10"/>
      <c r="N28" s="106"/>
      <c r="O28" s="106"/>
      <c r="P28" s="106"/>
      <c r="Q28" s="106"/>
      <c r="R28" s="106"/>
      <c r="S28" s="106"/>
      <c r="T28" s="106"/>
      <c r="U28" s="106"/>
      <c r="V28" s="106"/>
      <c r="W28" s="89"/>
      <c r="X28" s="90"/>
      <c r="Y28" s="90"/>
      <c r="Z28" s="90"/>
    </row>
    <row r="29" spans="1:26" ht="23.25" customHeight="1">
      <c r="A29" s="29" t="s">
        <v>18</v>
      </c>
      <c r="B29" s="49">
        <v>4555.7348000000002</v>
      </c>
      <c r="C29" s="31">
        <f t="shared" si="0"/>
        <v>9.3700000000353612E-2</v>
      </c>
      <c r="D29" s="30">
        <f t="shared" si="1"/>
        <v>337.320000001273</v>
      </c>
      <c r="E29" s="29"/>
      <c r="F29" s="49">
        <v>2143.5398</v>
      </c>
      <c r="G29" s="31">
        <f t="shared" si="2"/>
        <v>2.7500000000145519E-2</v>
      </c>
      <c r="H29" s="30">
        <f t="shared" si="3"/>
        <v>99.000000000523869</v>
      </c>
      <c r="I29" s="33">
        <f t="shared" si="4"/>
        <v>0.29348986125978377</v>
      </c>
      <c r="J29" s="29"/>
      <c r="K29" s="50">
        <v>6.3</v>
      </c>
      <c r="L29" s="35"/>
      <c r="M29" s="97" t="s">
        <v>95</v>
      </c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23.25" customHeight="1">
      <c r="A30" s="29" t="s">
        <v>19</v>
      </c>
      <c r="B30" s="49">
        <v>4555.8321999999998</v>
      </c>
      <c r="C30" s="31">
        <f t="shared" si="0"/>
        <v>9.7399999999652209E-2</v>
      </c>
      <c r="D30" s="30">
        <f t="shared" si="1"/>
        <v>350.63999999874795</v>
      </c>
      <c r="E30" s="29"/>
      <c r="F30" s="49">
        <v>2143.5691999999999</v>
      </c>
      <c r="G30" s="31">
        <f t="shared" si="2"/>
        <v>2.9399999999895954E-2</v>
      </c>
      <c r="H30" s="30">
        <f t="shared" si="3"/>
        <v>105.83999999962543</v>
      </c>
      <c r="I30" s="33">
        <f t="shared" si="4"/>
        <v>0.30184804928132375</v>
      </c>
      <c r="J30" s="29"/>
      <c r="K30" s="50">
        <v>6.3</v>
      </c>
      <c r="L30" s="35"/>
      <c r="M30" s="91" t="s">
        <v>97</v>
      </c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 spans="1:26" ht="23.25" customHeight="1">
      <c r="A31" s="29" t="s">
        <v>20</v>
      </c>
      <c r="B31" s="49">
        <v>4555.9443000000001</v>
      </c>
      <c r="C31" s="31">
        <f t="shared" si="0"/>
        <v>0.11210000000028231</v>
      </c>
      <c r="D31" s="30">
        <f t="shared" si="1"/>
        <v>403.56000000101631</v>
      </c>
      <c r="E31" s="29"/>
      <c r="F31" s="49">
        <v>2143.6054999999997</v>
      </c>
      <c r="G31" s="31">
        <f t="shared" si="2"/>
        <v>3.6299999999755528E-2</v>
      </c>
      <c r="H31" s="30">
        <f t="shared" si="3"/>
        <v>130.6799999991199</v>
      </c>
      <c r="I31" s="33">
        <f t="shared" si="4"/>
        <v>0.32381801962233819</v>
      </c>
      <c r="J31" s="29"/>
      <c r="K31" s="50">
        <v>6.3</v>
      </c>
      <c r="L31" s="35"/>
      <c r="M31" s="104" t="s">
        <v>79</v>
      </c>
      <c r="N31" s="98" t="s">
        <v>98</v>
      </c>
      <c r="O31" s="98"/>
      <c r="P31" s="98" t="s">
        <v>100</v>
      </c>
      <c r="Q31" s="98"/>
      <c r="R31" s="98" t="s">
        <v>93</v>
      </c>
      <c r="S31" s="98"/>
      <c r="T31" s="98" t="s">
        <v>103</v>
      </c>
      <c r="U31" s="98"/>
      <c r="V31" s="98" t="s">
        <v>187</v>
      </c>
      <c r="W31" s="98"/>
      <c r="X31" s="98"/>
      <c r="Y31" s="98" t="s">
        <v>91</v>
      </c>
      <c r="Z31" s="100"/>
    </row>
    <row r="32" spans="1:26" ht="23.25" customHeight="1">
      <c r="A32" s="29" t="s">
        <v>21</v>
      </c>
      <c r="B32" s="49">
        <v>4556.0497999999998</v>
      </c>
      <c r="C32" s="31">
        <f t="shared" si="0"/>
        <v>0.10549999999966531</v>
      </c>
      <c r="D32" s="30">
        <f t="shared" si="1"/>
        <v>379.7999999987951</v>
      </c>
      <c r="E32" s="29"/>
      <c r="F32" s="49">
        <v>2143.6372999999999</v>
      </c>
      <c r="G32" s="31">
        <f t="shared" si="2"/>
        <v>3.1800000000202999E-2</v>
      </c>
      <c r="H32" s="30">
        <f t="shared" si="3"/>
        <v>114.4800000007308</v>
      </c>
      <c r="I32" s="33">
        <f t="shared" si="4"/>
        <v>0.30142180095074772</v>
      </c>
      <c r="J32" s="29"/>
      <c r="K32" s="50">
        <v>6.3</v>
      </c>
      <c r="L32" s="35"/>
      <c r="M32" s="95"/>
      <c r="N32" s="99"/>
      <c r="O32" s="99"/>
      <c r="P32" s="99" t="s">
        <v>83</v>
      </c>
      <c r="Q32" s="99"/>
      <c r="R32" s="99" t="s">
        <v>102</v>
      </c>
      <c r="S32" s="99"/>
      <c r="T32" s="99" t="s">
        <v>104</v>
      </c>
      <c r="U32" s="99"/>
      <c r="V32" s="99" t="s">
        <v>105</v>
      </c>
      <c r="W32" s="99"/>
      <c r="X32" s="99"/>
      <c r="Y32" s="99"/>
      <c r="Z32" s="101"/>
    </row>
    <row r="33" spans="1:26" ht="23.25" customHeight="1">
      <c r="A33" s="29" t="s">
        <v>22</v>
      </c>
      <c r="B33" s="49">
        <v>4556.1449999999995</v>
      </c>
      <c r="C33" s="31">
        <f t="shared" si="0"/>
        <v>9.5199999999749707E-2</v>
      </c>
      <c r="D33" s="30">
        <f t="shared" si="1"/>
        <v>342.71999999909895</v>
      </c>
      <c r="E33" s="29"/>
      <c r="F33" s="49">
        <v>2143.6668999999997</v>
      </c>
      <c r="G33" s="31">
        <f t="shared" si="2"/>
        <v>2.959999999984575E-2</v>
      </c>
      <c r="H33" s="30">
        <f t="shared" si="3"/>
        <v>106.5599999994447</v>
      </c>
      <c r="I33" s="33">
        <f t="shared" si="4"/>
        <v>0.31092436974709636</v>
      </c>
      <c r="J33" s="29"/>
      <c r="K33" s="50">
        <v>6.3</v>
      </c>
      <c r="L33" s="35"/>
      <c r="M33" s="95" t="s">
        <v>80</v>
      </c>
      <c r="N33" s="99" t="s">
        <v>99</v>
      </c>
      <c r="O33" s="99"/>
      <c r="P33" s="99" t="s">
        <v>101</v>
      </c>
      <c r="Q33" s="99"/>
      <c r="R33" s="99" t="s">
        <v>69</v>
      </c>
      <c r="S33" s="99"/>
      <c r="T33" s="99" t="s">
        <v>69</v>
      </c>
      <c r="U33" s="99"/>
      <c r="V33" s="99" t="s">
        <v>106</v>
      </c>
      <c r="W33" s="99"/>
      <c r="X33" s="99"/>
      <c r="Y33" s="99"/>
      <c r="Z33" s="101"/>
    </row>
    <row r="34" spans="1:26" ht="23.25" customHeight="1">
      <c r="A34" s="29" t="s">
        <v>23</v>
      </c>
      <c r="B34" s="49">
        <v>4556.2349000000004</v>
      </c>
      <c r="C34" s="31">
        <f t="shared" si="0"/>
        <v>8.9900000000852742E-2</v>
      </c>
      <c r="D34" s="30">
        <f t="shared" si="1"/>
        <v>323.64000000306987</v>
      </c>
      <c r="E34" s="29"/>
      <c r="F34" s="49">
        <v>2143.6949</v>
      </c>
      <c r="G34" s="31">
        <f t="shared" si="2"/>
        <v>2.8000000000247383E-2</v>
      </c>
      <c r="H34" s="30">
        <f t="shared" si="3"/>
        <v>100.80000000089058</v>
      </c>
      <c r="I34" s="33">
        <f t="shared" si="4"/>
        <v>0.31145717463828465</v>
      </c>
      <c r="J34" s="29"/>
      <c r="K34" s="50">
        <v>6.4</v>
      </c>
      <c r="L34" s="35"/>
      <c r="M34" s="96"/>
      <c r="N34" s="102"/>
      <c r="O34" s="102"/>
      <c r="P34" s="102"/>
      <c r="Q34" s="102"/>
      <c r="R34" s="103"/>
      <c r="S34" s="96"/>
      <c r="T34" s="103"/>
      <c r="U34" s="96"/>
      <c r="V34" s="103"/>
      <c r="W34" s="111"/>
      <c r="X34" s="96"/>
      <c r="Y34" s="102"/>
      <c r="Z34" s="103"/>
    </row>
    <row r="35" spans="1:26" ht="23.25" customHeight="1">
      <c r="A35" s="29" t="s">
        <v>24</v>
      </c>
      <c r="B35" s="49">
        <v>4556.3441000000003</v>
      </c>
      <c r="C35" s="31">
        <f t="shared" si="0"/>
        <v>0.1091999999998734</v>
      </c>
      <c r="D35" s="30">
        <f t="shared" si="1"/>
        <v>393.11999999954423</v>
      </c>
      <c r="E35" s="29"/>
      <c r="F35" s="49">
        <v>2143.7264999999998</v>
      </c>
      <c r="G35" s="31">
        <f t="shared" si="2"/>
        <v>3.1599999999798456E-2</v>
      </c>
      <c r="H35" s="30">
        <f t="shared" si="3"/>
        <v>113.75999999927444</v>
      </c>
      <c r="I35" s="33">
        <f t="shared" si="4"/>
        <v>0.28937728937577922</v>
      </c>
      <c r="J35" s="29"/>
      <c r="K35" s="50">
        <v>6.4</v>
      </c>
      <c r="L35" s="35"/>
      <c r="M35" s="10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89"/>
    </row>
    <row r="36" spans="1:26" ht="23.25" customHeight="1">
      <c r="A36" s="29" t="s">
        <v>25</v>
      </c>
      <c r="B36" s="49">
        <v>4556.4651999999996</v>
      </c>
      <c r="C36" s="31">
        <f t="shared" si="0"/>
        <v>0.12109999999938736</v>
      </c>
      <c r="D36" s="30">
        <f t="shared" si="1"/>
        <v>435.95999999779451</v>
      </c>
      <c r="E36" s="29"/>
      <c r="F36" s="49">
        <v>2143.7648999999997</v>
      </c>
      <c r="G36" s="31">
        <f t="shared" si="2"/>
        <v>3.8399999999910506E-2</v>
      </c>
      <c r="H36" s="30">
        <f t="shared" si="3"/>
        <v>138.23999999967782</v>
      </c>
      <c r="I36" s="33">
        <f t="shared" si="4"/>
        <v>0.31709331131382962</v>
      </c>
      <c r="J36" s="29"/>
      <c r="K36" s="50">
        <v>6.4</v>
      </c>
      <c r="L36" s="35"/>
      <c r="M36" s="10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89"/>
    </row>
    <row r="37" spans="1:26" ht="23.25" customHeight="1">
      <c r="A37" s="29" t="s">
        <v>26</v>
      </c>
      <c r="B37" s="49">
        <v>4556.5829999999996</v>
      </c>
      <c r="C37" s="31">
        <f t="shared" si="0"/>
        <v>0.11779999999998836</v>
      </c>
      <c r="D37" s="30">
        <f t="shared" si="1"/>
        <v>424.07999999995809</v>
      </c>
      <c r="E37" s="29"/>
      <c r="F37" s="49">
        <v>2143.8063999999999</v>
      </c>
      <c r="G37" s="31">
        <f t="shared" si="2"/>
        <v>4.150000000026921E-2</v>
      </c>
      <c r="H37" s="30">
        <f t="shared" si="3"/>
        <v>149.40000000096916</v>
      </c>
      <c r="I37" s="33">
        <f t="shared" si="4"/>
        <v>0.35229202037583457</v>
      </c>
      <c r="J37" s="29"/>
      <c r="K37" s="50">
        <v>6.4</v>
      </c>
      <c r="L37" s="35"/>
      <c r="M37" s="10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89"/>
    </row>
    <row r="38" spans="1:26" ht="23.25" customHeight="1">
      <c r="A38" s="29" t="s">
        <v>27</v>
      </c>
      <c r="B38" s="49">
        <v>4556.7013999999999</v>
      </c>
      <c r="C38" s="31">
        <f t="shared" si="0"/>
        <v>0.11840000000029249</v>
      </c>
      <c r="D38" s="30">
        <f t="shared" si="1"/>
        <v>426.24000000105298</v>
      </c>
      <c r="E38" s="29"/>
      <c r="F38" s="49">
        <v>2143.848</v>
      </c>
      <c r="G38" s="31">
        <f t="shared" si="2"/>
        <v>4.1600000000016735E-2</v>
      </c>
      <c r="H38" s="30">
        <f t="shared" si="3"/>
        <v>149.76000000006024</v>
      </c>
      <c r="I38" s="33">
        <f t="shared" si="4"/>
        <v>0.35135135135062473</v>
      </c>
      <c r="J38" s="29"/>
      <c r="K38" s="50">
        <v>6.4</v>
      </c>
      <c r="L38" s="35"/>
      <c r="M38" s="10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89"/>
    </row>
    <row r="39" spans="1:26" ht="23.25" customHeight="1">
      <c r="A39" s="29" t="s">
        <v>28</v>
      </c>
      <c r="B39" s="49">
        <v>4556.8185999999996</v>
      </c>
      <c r="C39" s="31">
        <f t="shared" si="0"/>
        <v>0.11719999999968422</v>
      </c>
      <c r="D39" s="30">
        <f t="shared" si="1"/>
        <v>421.9199999988632</v>
      </c>
      <c r="E39" s="29"/>
      <c r="F39" s="49">
        <v>2143.8897999999999</v>
      </c>
      <c r="G39" s="31">
        <f t="shared" si="2"/>
        <v>4.1799999999966531E-2</v>
      </c>
      <c r="H39" s="30">
        <f t="shared" si="3"/>
        <v>150.47999999987951</v>
      </c>
      <c r="I39" s="33">
        <f t="shared" si="4"/>
        <v>0.35665529010306446</v>
      </c>
      <c r="J39" s="29"/>
      <c r="K39" s="50">
        <v>6.4</v>
      </c>
      <c r="L39" s="35"/>
      <c r="M39" s="10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89"/>
    </row>
    <row r="40" spans="1:26" ht="23.25" customHeight="1">
      <c r="A40" s="29" t="s">
        <v>29</v>
      </c>
      <c r="B40" s="49">
        <v>4556.9341999999997</v>
      </c>
      <c r="C40" s="31">
        <f t="shared" si="0"/>
        <v>0.11560000000008586</v>
      </c>
      <c r="D40" s="30">
        <f t="shared" si="1"/>
        <v>416.16000000030908</v>
      </c>
      <c r="E40" s="29"/>
      <c r="F40" s="49">
        <v>2143.9317999999998</v>
      </c>
      <c r="G40" s="31">
        <f t="shared" si="2"/>
        <v>4.1999999999916326E-2</v>
      </c>
      <c r="H40" s="30">
        <f t="shared" si="3"/>
        <v>151.19999999969878</v>
      </c>
      <c r="I40" s="33">
        <f t="shared" si="4"/>
        <v>0.36332179930696484</v>
      </c>
      <c r="J40" s="29"/>
      <c r="K40" s="50">
        <v>6.4</v>
      </c>
      <c r="L40" s="35"/>
      <c r="M40" s="91" t="s">
        <v>109</v>
      </c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</row>
    <row r="41" spans="1:26" ht="23.25" customHeight="1">
      <c r="A41" s="29" t="s">
        <v>30</v>
      </c>
      <c r="B41" s="49">
        <v>4557.0463</v>
      </c>
      <c r="C41" s="31">
        <f t="shared" si="0"/>
        <v>0.11210000000028231</v>
      </c>
      <c r="D41" s="30">
        <f t="shared" si="1"/>
        <v>403.56000000101631</v>
      </c>
      <c r="E41" s="29"/>
      <c r="F41" s="49">
        <v>2143.9731999999999</v>
      </c>
      <c r="G41" s="31">
        <f t="shared" si="2"/>
        <v>4.1400000000066939E-2</v>
      </c>
      <c r="H41" s="30">
        <f t="shared" si="3"/>
        <v>149.04000000024098</v>
      </c>
      <c r="I41" s="33">
        <f t="shared" si="4"/>
        <v>0.3693131132913709</v>
      </c>
      <c r="J41" s="29"/>
      <c r="K41" s="50">
        <v>6.4</v>
      </c>
      <c r="L41" s="35"/>
      <c r="M41" s="104" t="s">
        <v>79</v>
      </c>
      <c r="N41" s="98" t="s">
        <v>98</v>
      </c>
      <c r="O41" s="98"/>
      <c r="P41" s="98" t="s">
        <v>93</v>
      </c>
      <c r="Q41" s="98"/>
      <c r="R41" s="98"/>
      <c r="S41" s="98" t="s">
        <v>111</v>
      </c>
      <c r="T41" s="98" t="s">
        <v>81</v>
      </c>
      <c r="U41" s="98"/>
      <c r="V41" s="98"/>
      <c r="W41" s="98"/>
      <c r="X41" s="98" t="s">
        <v>93</v>
      </c>
      <c r="Y41" s="98"/>
      <c r="Z41" s="100"/>
    </row>
    <row r="42" spans="1:26" ht="23.25" customHeight="1">
      <c r="A42" s="29" t="s">
        <v>31</v>
      </c>
      <c r="B42" s="49">
        <v>4557.1563999999998</v>
      </c>
      <c r="C42" s="31">
        <f t="shared" si="0"/>
        <v>0.11009999999987485</v>
      </c>
      <c r="D42" s="30">
        <f t="shared" si="1"/>
        <v>396.35999999954947</v>
      </c>
      <c r="E42" s="29"/>
      <c r="F42" s="49">
        <v>2144.0140000000001</v>
      </c>
      <c r="G42" s="31">
        <f t="shared" si="2"/>
        <v>4.0800000000217551E-2</v>
      </c>
      <c r="H42" s="30">
        <f t="shared" si="3"/>
        <v>146.88000000078318</v>
      </c>
      <c r="I42" s="33">
        <f t="shared" si="4"/>
        <v>0.37057220708686583</v>
      </c>
      <c r="J42" s="29"/>
      <c r="K42" s="50">
        <v>6.4</v>
      </c>
      <c r="L42" s="35"/>
      <c r="M42" s="95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101"/>
    </row>
    <row r="43" spans="1:26" ht="22.5" customHeight="1">
      <c r="A43" s="86" t="s">
        <v>70</v>
      </c>
      <c r="B43" s="86"/>
      <c r="C43" s="86"/>
      <c r="D43" s="30">
        <f>SUM(D18:D42)</f>
        <v>9197.2799999995914</v>
      </c>
      <c r="E43" s="29"/>
      <c r="F43" s="36"/>
      <c r="G43" s="29"/>
      <c r="H43" s="30">
        <f>SUM(H18:H42)</f>
        <v>3292.2000000011394</v>
      </c>
      <c r="I43" s="33">
        <f>IF(AND(H43=0,D43=0),0,H43/D43)</f>
        <v>0.35795365586361244</v>
      </c>
      <c r="J43" s="29"/>
      <c r="K43" s="29"/>
      <c r="L43" s="35"/>
      <c r="M43" s="95" t="s">
        <v>80</v>
      </c>
      <c r="N43" s="99" t="s">
        <v>99</v>
      </c>
      <c r="O43" s="99"/>
      <c r="P43" s="99" t="s">
        <v>110</v>
      </c>
      <c r="Q43" s="99"/>
      <c r="R43" s="99"/>
      <c r="S43" s="99"/>
      <c r="T43" s="99"/>
      <c r="U43" s="99"/>
      <c r="V43" s="99"/>
      <c r="W43" s="99"/>
      <c r="X43" s="99" t="s">
        <v>110</v>
      </c>
      <c r="Y43" s="99"/>
      <c r="Z43" s="101"/>
    </row>
    <row r="44" spans="1:26" ht="22.5" customHeight="1">
      <c r="A44" s="76" t="s">
        <v>71</v>
      </c>
      <c r="B44" s="76"/>
      <c r="C44" s="76"/>
      <c r="D44" s="37"/>
      <c r="E44" s="37"/>
      <c r="F44" s="38"/>
      <c r="G44" s="37"/>
      <c r="H44" s="37"/>
      <c r="I44" s="37"/>
      <c r="J44" s="37"/>
      <c r="K44" s="29"/>
      <c r="L44" s="35"/>
      <c r="M44" s="96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3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89"/>
      <c r="O45" s="105"/>
      <c r="P45" s="89"/>
      <c r="Q45" s="90"/>
      <c r="R45" s="105"/>
      <c r="S45" s="8"/>
      <c r="T45" s="89"/>
      <c r="U45" s="90"/>
      <c r="V45" s="90"/>
      <c r="W45" s="105"/>
      <c r="X45" s="89"/>
      <c r="Y45" s="90"/>
      <c r="Z45" s="90"/>
    </row>
    <row r="46" spans="1:26" ht="22.5" customHeight="1">
      <c r="A46" s="54" t="s">
        <v>72</v>
      </c>
      <c r="B46" s="54"/>
      <c r="C46" s="54"/>
      <c r="D46" s="54"/>
      <c r="E46" s="54"/>
      <c r="F46" s="54"/>
      <c r="G46" s="77" t="s">
        <v>73</v>
      </c>
      <c r="H46" s="77"/>
      <c r="I46" s="77"/>
      <c r="J46" s="77"/>
      <c r="K46" s="77"/>
      <c r="L46" s="77"/>
      <c r="M46" s="10"/>
      <c r="N46" s="89"/>
      <c r="O46" s="105"/>
      <c r="P46" s="89"/>
      <c r="Q46" s="90"/>
      <c r="R46" s="105"/>
      <c r="S46" s="8"/>
      <c r="T46" s="89"/>
      <c r="U46" s="90"/>
      <c r="V46" s="90"/>
      <c r="W46" s="105"/>
      <c r="X46" s="89"/>
      <c r="Y46" s="90"/>
      <c r="Z46" s="90"/>
    </row>
    <row r="47" spans="1:26" ht="22.5" customHeight="1">
      <c r="A47" s="52" t="s">
        <v>388</v>
      </c>
      <c r="B47" s="52"/>
      <c r="C47" s="52"/>
      <c r="D47" s="54" t="s">
        <v>74</v>
      </c>
      <c r="E47" s="54"/>
      <c r="F47" s="54"/>
      <c r="G47" s="40"/>
      <c r="H47" s="40"/>
      <c r="I47" s="40"/>
      <c r="J47" s="40"/>
      <c r="K47" s="40"/>
      <c r="L47" s="40"/>
      <c r="M47" s="10"/>
      <c r="N47" s="89"/>
      <c r="O47" s="105"/>
      <c r="P47" s="89"/>
      <c r="Q47" s="90"/>
      <c r="R47" s="105"/>
      <c r="S47" s="8"/>
      <c r="T47" s="89"/>
      <c r="U47" s="90"/>
      <c r="V47" s="90"/>
      <c r="W47" s="105"/>
      <c r="X47" s="89"/>
      <c r="Y47" s="90"/>
      <c r="Z47" s="90"/>
    </row>
    <row r="48" spans="1:26" ht="22.5" customHeight="1">
      <c r="A48" s="55" t="s">
        <v>75</v>
      </c>
      <c r="B48" s="55"/>
      <c r="C48" s="55"/>
      <c r="D48" s="55" t="s">
        <v>76</v>
      </c>
      <c r="E48" s="55"/>
      <c r="F48" s="55"/>
      <c r="G48" s="39"/>
      <c r="H48" s="39"/>
      <c r="I48" s="39"/>
      <c r="J48" s="39"/>
      <c r="K48" s="39"/>
      <c r="L48" s="39"/>
    </row>
    <row r="49" spans="1:23" ht="22.5" customHeight="1">
      <c r="A49" s="52" t="s">
        <v>389</v>
      </c>
      <c r="B49" s="52"/>
      <c r="C49" s="52"/>
      <c r="D49" s="54" t="s">
        <v>74</v>
      </c>
      <c r="E49" s="54"/>
      <c r="F49" s="54"/>
      <c r="G49" s="39"/>
      <c r="H49" s="54" t="s">
        <v>191</v>
      </c>
      <c r="I49" s="54"/>
      <c r="J49" s="54"/>
      <c r="K49" s="54" t="s">
        <v>77</v>
      </c>
      <c r="L49" s="54"/>
      <c r="N49" s="57" t="s">
        <v>150</v>
      </c>
      <c r="O49" s="57"/>
      <c r="P49" s="57"/>
      <c r="Q49" s="56" t="s">
        <v>391</v>
      </c>
      <c r="R49" s="56"/>
      <c r="S49" s="56"/>
      <c r="T49" s="56"/>
      <c r="U49" s="56"/>
      <c r="V49" s="56"/>
      <c r="W49" s="1"/>
    </row>
    <row r="50" spans="1:23" ht="22.5" customHeight="1">
      <c r="A50" s="55" t="s">
        <v>75</v>
      </c>
      <c r="B50" s="55"/>
      <c r="C50" s="55"/>
      <c r="D50" s="55" t="s">
        <v>76</v>
      </c>
      <c r="E50" s="55"/>
      <c r="F50" s="55"/>
      <c r="G50" s="44"/>
      <c r="H50" s="55" t="s">
        <v>75</v>
      </c>
      <c r="I50" s="55"/>
      <c r="J50" s="55"/>
      <c r="K50" s="55" t="s">
        <v>76</v>
      </c>
      <c r="L50" s="55"/>
      <c r="S50" s="53" t="s">
        <v>76</v>
      </c>
      <c r="T50" s="53"/>
    </row>
    <row r="51" spans="1:23" ht="20.100000000000001" customHeight="1">
      <c r="A51" s="52" t="s">
        <v>390</v>
      </c>
      <c r="B51" s="52"/>
      <c r="C51" s="52"/>
      <c r="D51" s="54" t="s">
        <v>74</v>
      </c>
      <c r="E51" s="54"/>
      <c r="F51" s="54"/>
      <c r="G51" s="39"/>
      <c r="H51" s="39"/>
      <c r="I51" s="39"/>
      <c r="J51" s="39"/>
      <c r="K51" s="39"/>
      <c r="L51" s="39"/>
    </row>
    <row r="52" spans="1:23" ht="20.100000000000001" customHeight="1">
      <c r="A52" s="53" t="s">
        <v>75</v>
      </c>
      <c r="B52" s="53"/>
      <c r="C52" s="53"/>
      <c r="D52" s="53" t="s">
        <v>76</v>
      </c>
      <c r="E52" s="53"/>
      <c r="F52" s="53"/>
      <c r="G52" s="1"/>
      <c r="H52" s="1"/>
    </row>
  </sheetData>
  <sheetProtection sheet="1" objects="1" scenarios="1"/>
  <mergeCells count="258">
    <mergeCell ref="A51:C51"/>
    <mergeCell ref="D51:F51"/>
    <mergeCell ref="N46:O46"/>
    <mergeCell ref="N47:O47"/>
    <mergeCell ref="T45:W45"/>
    <mergeCell ref="T46:W46"/>
    <mergeCell ref="A52:C52"/>
    <mergeCell ref="D52:F52"/>
    <mergeCell ref="I1:L2"/>
    <mergeCell ref="G5:H6"/>
    <mergeCell ref="I5:L6"/>
    <mergeCell ref="H10:L10"/>
    <mergeCell ref="A48:C48"/>
    <mergeCell ref="A49:C49"/>
    <mergeCell ref="A50:C50"/>
    <mergeCell ref="D50:F50"/>
    <mergeCell ref="N39:O39"/>
    <mergeCell ref="P39:Q39"/>
    <mergeCell ref="N41:O42"/>
    <mergeCell ref="P41:R42"/>
    <mergeCell ref="M40:Z40"/>
    <mergeCell ref="M43:M44"/>
    <mergeCell ref="M41:M42"/>
    <mergeCell ref="Q49:V49"/>
    <mergeCell ref="N49:P49"/>
    <mergeCell ref="P45:R45"/>
    <mergeCell ref="N43:O44"/>
    <mergeCell ref="P43:R44"/>
    <mergeCell ref="P46:R46"/>
    <mergeCell ref="P47:R47"/>
    <mergeCell ref="N45:O45"/>
    <mergeCell ref="X45:Z45"/>
    <mergeCell ref="X46:Z46"/>
    <mergeCell ref="X47:Z47"/>
    <mergeCell ref="S50:T50"/>
    <mergeCell ref="X41:Z42"/>
    <mergeCell ref="X43:Z44"/>
    <mergeCell ref="R39:S39"/>
    <mergeCell ref="T39:U39"/>
    <mergeCell ref="V39:X39"/>
    <mergeCell ref="Y39:Z39"/>
    <mergeCell ref="S41:S44"/>
    <mergeCell ref="T41:W44"/>
    <mergeCell ref="T47:W47"/>
    <mergeCell ref="V38:X38"/>
    <mergeCell ref="Y38:Z38"/>
    <mergeCell ref="N38:O38"/>
    <mergeCell ref="P38:Q38"/>
    <mergeCell ref="R38:S38"/>
    <mergeCell ref="T38:U38"/>
    <mergeCell ref="N37:O37"/>
    <mergeCell ref="P37:Q37"/>
    <mergeCell ref="R37:S37"/>
    <mergeCell ref="T37:U37"/>
    <mergeCell ref="V37:X37"/>
    <mergeCell ref="R36:S36"/>
    <mergeCell ref="T36:U36"/>
    <mergeCell ref="V36:X36"/>
    <mergeCell ref="Y36:Z36"/>
    <mergeCell ref="N35:O35"/>
    <mergeCell ref="P35:Q35"/>
    <mergeCell ref="R35:S35"/>
    <mergeCell ref="T35:U35"/>
    <mergeCell ref="V35:X35"/>
    <mergeCell ref="X9:Z9"/>
    <mergeCell ref="X10:Z10"/>
    <mergeCell ref="X11:Z11"/>
    <mergeCell ref="X12:Z12"/>
    <mergeCell ref="X13:Z13"/>
    <mergeCell ref="Y35:Z35"/>
    <mergeCell ref="Y37:Z37"/>
    <mergeCell ref="X14:Z14"/>
    <mergeCell ref="X15:Z15"/>
    <mergeCell ref="X16:Z16"/>
    <mergeCell ref="W26:Z26"/>
    <mergeCell ref="W25:Z25"/>
    <mergeCell ref="W27:Z27"/>
    <mergeCell ref="N26:P26"/>
    <mergeCell ref="T18:V19"/>
    <mergeCell ref="T33:U33"/>
    <mergeCell ref="R31:S31"/>
    <mergeCell ref="R32:S32"/>
    <mergeCell ref="N31:O32"/>
    <mergeCell ref="N33:O34"/>
    <mergeCell ref="T34:U34"/>
    <mergeCell ref="P32:Q32"/>
    <mergeCell ref="P33:Q33"/>
    <mergeCell ref="P34:Q34"/>
    <mergeCell ref="P31:Q31"/>
    <mergeCell ref="R34:S34"/>
    <mergeCell ref="N18:P19"/>
    <mergeCell ref="W22:Z22"/>
    <mergeCell ref="T20:V21"/>
    <mergeCell ref="Q21:S21"/>
    <mergeCell ref="N22:P22"/>
    <mergeCell ref="T23:V23"/>
    <mergeCell ref="V34:X34"/>
    <mergeCell ref="W28:Z28"/>
    <mergeCell ref="W23:Z23"/>
    <mergeCell ref="Q19:S19"/>
    <mergeCell ref="R16:S16"/>
    <mergeCell ref="V15:W15"/>
    <mergeCell ref="V16:W16"/>
    <mergeCell ref="T22:V22"/>
    <mergeCell ref="Q18:S18"/>
    <mergeCell ref="N24:P24"/>
    <mergeCell ref="Q24:S24"/>
    <mergeCell ref="N23:P23"/>
    <mergeCell ref="W24:Z24"/>
    <mergeCell ref="Q23:S23"/>
    <mergeCell ref="T24:V24"/>
    <mergeCell ref="V14:W14"/>
    <mergeCell ref="T16:U16"/>
    <mergeCell ref="P14:Q14"/>
    <mergeCell ref="P15:Q15"/>
    <mergeCell ref="P16:Q16"/>
    <mergeCell ref="V13:W13"/>
    <mergeCell ref="T14:U14"/>
    <mergeCell ref="T15:U15"/>
    <mergeCell ref="N20:P21"/>
    <mergeCell ref="N16:O16"/>
    <mergeCell ref="Q20:S20"/>
    <mergeCell ref="R8:S8"/>
    <mergeCell ref="R9:S9"/>
    <mergeCell ref="R10:S10"/>
    <mergeCell ref="T8:U8"/>
    <mergeCell ref="P8:Q8"/>
    <mergeCell ref="P9:Q9"/>
    <mergeCell ref="P10:Q10"/>
    <mergeCell ref="N12:O12"/>
    <mergeCell ref="N28:P28"/>
    <mergeCell ref="Q28:S28"/>
    <mergeCell ref="T28:V28"/>
    <mergeCell ref="Q26:S26"/>
    <mergeCell ref="Q25:S25"/>
    <mergeCell ref="Q22:S22"/>
    <mergeCell ref="N25:P25"/>
    <mergeCell ref="T26:V26"/>
    <mergeCell ref="T25:V25"/>
    <mergeCell ref="N27:P27"/>
    <mergeCell ref="Q27:S27"/>
    <mergeCell ref="T27:V27"/>
    <mergeCell ref="N3:O6"/>
    <mergeCell ref="T3:U3"/>
    <mergeCell ref="T10:U10"/>
    <mergeCell ref="T9:U9"/>
    <mergeCell ref="N8:O8"/>
    <mergeCell ref="M1:Z1"/>
    <mergeCell ref="M2:Z2"/>
    <mergeCell ref="X3:Z6"/>
    <mergeCell ref="M5:M6"/>
    <mergeCell ref="M3:M4"/>
    <mergeCell ref="R3:S3"/>
    <mergeCell ref="R4:S4"/>
    <mergeCell ref="R5:S5"/>
    <mergeCell ref="R6:S6"/>
    <mergeCell ref="T4:U4"/>
    <mergeCell ref="T5:U5"/>
    <mergeCell ref="P3:Q4"/>
    <mergeCell ref="V3:W3"/>
    <mergeCell ref="V4:W4"/>
    <mergeCell ref="V5:W5"/>
    <mergeCell ref="V6:W6"/>
    <mergeCell ref="T6:U6"/>
    <mergeCell ref="P5:Q6"/>
    <mergeCell ref="P7:Q7"/>
    <mergeCell ref="N7:O7"/>
    <mergeCell ref="M17:Z17"/>
    <mergeCell ref="W18:Z21"/>
    <mergeCell ref="V11:W11"/>
    <mergeCell ref="V12:W12"/>
    <mergeCell ref="T7:U7"/>
    <mergeCell ref="V7:W7"/>
    <mergeCell ref="R11:S11"/>
    <mergeCell ref="R12:S12"/>
    <mergeCell ref="R13:S13"/>
    <mergeCell ref="R14:S14"/>
    <mergeCell ref="R15:S15"/>
    <mergeCell ref="R7:S7"/>
    <mergeCell ref="X7:Z7"/>
    <mergeCell ref="X8:Z8"/>
    <mergeCell ref="T11:U11"/>
    <mergeCell ref="T12:U12"/>
    <mergeCell ref="P13:Q13"/>
    <mergeCell ref="T13:U13"/>
    <mergeCell ref="N13:O13"/>
    <mergeCell ref="V8:W8"/>
    <mergeCell ref="V9:W9"/>
    <mergeCell ref="V10:W10"/>
    <mergeCell ref="N9:O9"/>
    <mergeCell ref="M20:M21"/>
    <mergeCell ref="M31:M32"/>
    <mergeCell ref="N10:O10"/>
    <mergeCell ref="N11:O11"/>
    <mergeCell ref="D48:F48"/>
    <mergeCell ref="F15:G15"/>
    <mergeCell ref="M18:M19"/>
    <mergeCell ref="P11:Q11"/>
    <mergeCell ref="P12:Q12"/>
    <mergeCell ref="N14:O14"/>
    <mergeCell ref="N15:O15"/>
    <mergeCell ref="N36:O36"/>
    <mergeCell ref="P36:Q36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A43:C43"/>
    <mergeCell ref="J13:K13"/>
    <mergeCell ref="A3:F3"/>
    <mergeCell ref="A4:F4"/>
    <mergeCell ref="A5:F5"/>
    <mergeCell ref="A6:F6"/>
    <mergeCell ref="A12:L12"/>
    <mergeCell ref="H50:J50"/>
    <mergeCell ref="K50:L50"/>
    <mergeCell ref="D49:F49"/>
    <mergeCell ref="A47:C47"/>
    <mergeCell ref="D47:F47"/>
    <mergeCell ref="A46:F46"/>
    <mergeCell ref="A44:C44"/>
    <mergeCell ref="I13:I17"/>
    <mergeCell ref="J14:K14"/>
    <mergeCell ref="J15:K15"/>
    <mergeCell ref="G46:L46"/>
    <mergeCell ref="H49:J49"/>
    <mergeCell ref="K49:L49"/>
    <mergeCell ref="A7:L7"/>
    <mergeCell ref="F13:G13"/>
    <mergeCell ref="I11:L11"/>
    <mergeCell ref="B14:C14"/>
    <mergeCell ref="G1:H2"/>
    <mergeCell ref="J16:J17"/>
    <mergeCell ref="K16:K17"/>
    <mergeCell ref="A13:A17"/>
    <mergeCell ref="E16:E17"/>
    <mergeCell ref="B15:C15"/>
    <mergeCell ref="D15:E15"/>
    <mergeCell ref="B13:C13"/>
    <mergeCell ref="D13:E13"/>
    <mergeCell ref="F14:G14"/>
    <mergeCell ref="A9:L9"/>
    <mergeCell ref="A1:F1"/>
    <mergeCell ref="A2:F2"/>
    <mergeCell ref="G3:H4"/>
    <mergeCell ref="I3:L4"/>
    <mergeCell ref="A11:D11"/>
    <mergeCell ref="E11:H11"/>
    <mergeCell ref="A10:D10"/>
    <mergeCell ref="E10:G10"/>
    <mergeCell ref="D14:E14"/>
    <mergeCell ref="A8:L8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>
  <sheetPr codeName="Лист15"/>
  <dimension ref="A1:Z52"/>
  <sheetViews>
    <sheetView view="pageBreakPreview" topLeftCell="A13" zoomScale="75" zoomScaleNormal="50" zoomScaleSheetLayoutView="75" workbookViewId="0">
      <selection activeCell="F37" sqref="F37"/>
    </sheetView>
  </sheetViews>
  <sheetFormatPr defaultRowHeight="18.75"/>
  <cols>
    <col min="1" max="1" width="11.140625" style="2" customWidth="1"/>
    <col min="2" max="2" width="13.42578125" style="2" customWidth="1"/>
    <col min="3" max="3" width="12.140625" style="2" customWidth="1"/>
    <col min="4" max="4" width="14" style="2" customWidth="1"/>
    <col min="5" max="5" width="5.42578125" style="2" customWidth="1"/>
    <col min="6" max="6" width="13.85546875" style="2" customWidth="1"/>
    <col min="7" max="7" width="12.8554687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" style="2" customWidth="1"/>
    <col min="13" max="26" width="10.28515625" style="2" customWidth="1"/>
    <col min="27" max="16384" width="9.140625" style="2"/>
  </cols>
  <sheetData>
    <row r="1" spans="1:26" ht="21.75" customHeight="1">
      <c r="A1" s="59" t="s">
        <v>157</v>
      </c>
      <c r="B1" s="59"/>
      <c r="C1" s="59"/>
      <c r="D1" s="59"/>
      <c r="E1" s="59"/>
      <c r="F1" s="59"/>
      <c r="G1" s="63" t="s">
        <v>154</v>
      </c>
      <c r="H1" s="63"/>
      <c r="I1" s="59" t="s">
        <v>160</v>
      </c>
      <c r="J1" s="59"/>
      <c r="K1" s="59"/>
      <c r="L1" s="59"/>
      <c r="M1" s="91" t="s">
        <v>96</v>
      </c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spans="1:26" ht="21.75" customHeight="1">
      <c r="A2" s="61" t="s">
        <v>45</v>
      </c>
      <c r="B2" s="61"/>
      <c r="C2" s="61"/>
      <c r="D2" s="61"/>
      <c r="E2" s="61"/>
      <c r="F2" s="61"/>
      <c r="G2" s="63"/>
      <c r="H2" s="63"/>
      <c r="I2" s="59"/>
      <c r="J2" s="59"/>
      <c r="K2" s="59"/>
      <c r="L2" s="59"/>
      <c r="M2" s="91" t="s">
        <v>78</v>
      </c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spans="1:26" ht="21.75" customHeight="1">
      <c r="A3" s="59" t="s">
        <v>158</v>
      </c>
      <c r="B3" s="60"/>
      <c r="C3" s="60"/>
      <c r="D3" s="60"/>
      <c r="E3" s="60"/>
      <c r="F3" s="60"/>
      <c r="G3" s="63" t="s">
        <v>155</v>
      </c>
      <c r="H3" s="63"/>
      <c r="I3" s="59" t="s">
        <v>208</v>
      </c>
      <c r="J3" s="59"/>
      <c r="K3" s="59"/>
      <c r="L3" s="59"/>
      <c r="M3" s="104" t="s">
        <v>79</v>
      </c>
      <c r="N3" s="100" t="s">
        <v>81</v>
      </c>
      <c r="O3" s="104"/>
      <c r="P3" s="100" t="s">
        <v>65</v>
      </c>
      <c r="Q3" s="104"/>
      <c r="R3" s="100" t="s">
        <v>82</v>
      </c>
      <c r="S3" s="104"/>
      <c r="T3" s="100" t="s">
        <v>85</v>
      </c>
      <c r="U3" s="104"/>
      <c r="V3" s="100" t="s">
        <v>87</v>
      </c>
      <c r="W3" s="104"/>
      <c r="X3" s="107" t="s">
        <v>91</v>
      </c>
      <c r="Y3" s="108"/>
      <c r="Z3" s="108"/>
    </row>
    <row r="4" spans="1:26" ht="29.25" customHeight="1">
      <c r="A4" s="61" t="s">
        <v>46</v>
      </c>
      <c r="B4" s="61"/>
      <c r="C4" s="61"/>
      <c r="D4" s="61"/>
      <c r="E4" s="61"/>
      <c r="F4" s="61"/>
      <c r="G4" s="63"/>
      <c r="H4" s="63"/>
      <c r="I4" s="59"/>
      <c r="J4" s="59"/>
      <c r="K4" s="59"/>
      <c r="L4" s="59"/>
      <c r="M4" s="95"/>
      <c r="N4" s="101"/>
      <c r="O4" s="95"/>
      <c r="P4" s="101"/>
      <c r="Q4" s="95"/>
      <c r="R4" s="101" t="s">
        <v>83</v>
      </c>
      <c r="S4" s="95"/>
      <c r="T4" s="101" t="s">
        <v>86</v>
      </c>
      <c r="U4" s="95"/>
      <c r="V4" s="101" t="s">
        <v>88</v>
      </c>
      <c r="W4" s="95"/>
      <c r="X4" s="107"/>
      <c r="Y4" s="108"/>
      <c r="Z4" s="108"/>
    </row>
    <row r="5" spans="1:26" ht="21.75" customHeight="1">
      <c r="A5" s="59" t="s">
        <v>185</v>
      </c>
      <c r="B5" s="60"/>
      <c r="C5" s="60"/>
      <c r="D5" s="60"/>
      <c r="E5" s="60"/>
      <c r="F5" s="60"/>
      <c r="G5" s="63" t="s">
        <v>156</v>
      </c>
      <c r="H5" s="63"/>
      <c r="I5" s="59" t="s">
        <v>222</v>
      </c>
      <c r="J5" s="59"/>
      <c r="K5" s="59"/>
      <c r="L5" s="59"/>
      <c r="M5" s="95" t="s">
        <v>80</v>
      </c>
      <c r="N5" s="101"/>
      <c r="O5" s="95"/>
      <c r="P5" s="101" t="s">
        <v>190</v>
      </c>
      <c r="Q5" s="95"/>
      <c r="R5" s="109" t="s">
        <v>84</v>
      </c>
      <c r="S5" s="110"/>
      <c r="T5" s="109" t="s">
        <v>84</v>
      </c>
      <c r="U5" s="110"/>
      <c r="V5" s="101" t="s">
        <v>89</v>
      </c>
      <c r="W5" s="95"/>
      <c r="X5" s="107"/>
      <c r="Y5" s="108"/>
      <c r="Z5" s="108"/>
    </row>
    <row r="6" spans="1:26" ht="21.75" customHeight="1">
      <c r="A6" s="61" t="s">
        <v>47</v>
      </c>
      <c r="B6" s="61"/>
      <c r="C6" s="61"/>
      <c r="D6" s="61"/>
      <c r="E6" s="61"/>
      <c r="F6" s="61"/>
      <c r="G6" s="63"/>
      <c r="H6" s="63"/>
      <c r="I6" s="59"/>
      <c r="J6" s="59"/>
      <c r="K6" s="59"/>
      <c r="L6" s="59"/>
      <c r="M6" s="96"/>
      <c r="N6" s="103"/>
      <c r="O6" s="96"/>
      <c r="P6" s="103"/>
      <c r="Q6" s="96"/>
      <c r="R6" s="103"/>
      <c r="S6" s="96"/>
      <c r="T6" s="103"/>
      <c r="U6" s="96"/>
      <c r="V6" s="103" t="s">
        <v>90</v>
      </c>
      <c r="W6" s="96"/>
      <c r="X6" s="107"/>
      <c r="Y6" s="108"/>
      <c r="Z6" s="108"/>
    </row>
    <row r="7" spans="1:26" ht="21.75" customHeight="1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10"/>
      <c r="N7" s="89"/>
      <c r="O7" s="105"/>
      <c r="P7" s="89"/>
      <c r="Q7" s="105"/>
      <c r="R7" s="89"/>
      <c r="S7" s="105"/>
      <c r="T7" s="89"/>
      <c r="U7" s="105"/>
      <c r="V7" s="89"/>
      <c r="W7" s="105"/>
      <c r="X7" s="89"/>
      <c r="Y7" s="90"/>
      <c r="Z7" s="90"/>
    </row>
    <row r="8" spans="1:26" ht="22.5" customHeight="1">
      <c r="A8" s="94" t="s">
        <v>48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10"/>
      <c r="N8" s="89"/>
      <c r="O8" s="105"/>
      <c r="P8" s="89"/>
      <c r="Q8" s="105"/>
      <c r="R8" s="89"/>
      <c r="S8" s="105"/>
      <c r="T8" s="89"/>
      <c r="U8" s="105"/>
      <c r="V8" s="89"/>
      <c r="W8" s="105"/>
      <c r="X8" s="89"/>
      <c r="Y8" s="90"/>
      <c r="Z8" s="90"/>
    </row>
    <row r="9" spans="1:26" ht="22.5" customHeight="1">
      <c r="A9" s="88" t="s">
        <v>49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10"/>
      <c r="N9" s="89"/>
      <c r="O9" s="105"/>
      <c r="P9" s="89"/>
      <c r="Q9" s="105"/>
      <c r="R9" s="89"/>
      <c r="S9" s="105"/>
      <c r="T9" s="89"/>
      <c r="U9" s="105"/>
      <c r="V9" s="89"/>
      <c r="W9" s="105"/>
      <c r="X9" s="89"/>
      <c r="Y9" s="90"/>
      <c r="Z9" s="90"/>
    </row>
    <row r="10" spans="1:26" ht="22.5" customHeight="1">
      <c r="A10" s="80" t="s">
        <v>112</v>
      </c>
      <c r="B10" s="80"/>
      <c r="C10" s="80"/>
      <c r="D10" s="80"/>
      <c r="E10" s="81" t="s">
        <v>383</v>
      </c>
      <c r="F10" s="81"/>
      <c r="G10" s="81"/>
      <c r="H10" s="62" t="s">
        <v>384</v>
      </c>
      <c r="I10" s="62"/>
      <c r="J10" s="62"/>
      <c r="K10" s="62"/>
      <c r="L10" s="62"/>
      <c r="M10" s="10"/>
      <c r="N10" s="89"/>
      <c r="O10" s="105"/>
      <c r="P10" s="89"/>
      <c r="Q10" s="105"/>
      <c r="R10" s="89"/>
      <c r="S10" s="105"/>
      <c r="T10" s="89"/>
      <c r="U10" s="105"/>
      <c r="V10" s="89"/>
      <c r="W10" s="105"/>
      <c r="X10" s="89"/>
      <c r="Y10" s="90"/>
      <c r="Z10" s="90"/>
    </row>
    <row r="11" spans="1:26" ht="22.5" customHeight="1">
      <c r="A11" s="80" t="s">
        <v>113</v>
      </c>
      <c r="B11" s="80"/>
      <c r="C11" s="80"/>
      <c r="D11" s="80"/>
      <c r="E11" s="79" t="s">
        <v>232</v>
      </c>
      <c r="F11" s="79"/>
      <c r="G11" s="79"/>
      <c r="H11" s="79"/>
      <c r="I11" s="62" t="s">
        <v>114</v>
      </c>
      <c r="J11" s="62"/>
      <c r="K11" s="62"/>
      <c r="L11" s="62"/>
      <c r="M11" s="10"/>
      <c r="N11" s="89"/>
      <c r="O11" s="105"/>
      <c r="P11" s="89"/>
      <c r="Q11" s="105"/>
      <c r="R11" s="89"/>
      <c r="S11" s="105"/>
      <c r="T11" s="89"/>
      <c r="U11" s="105"/>
      <c r="V11" s="89"/>
      <c r="W11" s="105"/>
      <c r="X11" s="89"/>
      <c r="Y11" s="90"/>
      <c r="Z11" s="90"/>
    </row>
    <row r="12" spans="1:26" ht="21.75" customHeight="1">
      <c r="A12" s="124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124"/>
      <c r="M12" s="10"/>
      <c r="N12" s="89"/>
      <c r="O12" s="105"/>
      <c r="P12" s="89"/>
      <c r="Q12" s="105"/>
      <c r="R12" s="89"/>
      <c r="S12" s="105"/>
      <c r="T12" s="89"/>
      <c r="U12" s="105"/>
      <c r="V12" s="89"/>
      <c r="W12" s="105"/>
      <c r="X12" s="89"/>
      <c r="Y12" s="90"/>
      <c r="Z12" s="90"/>
    </row>
    <row r="13" spans="1:26" ht="21.75" customHeight="1">
      <c r="A13" s="64" t="s">
        <v>50</v>
      </c>
      <c r="B13" s="73" t="s">
        <v>56</v>
      </c>
      <c r="C13" s="73"/>
      <c r="D13" s="74" t="s">
        <v>198</v>
      </c>
      <c r="E13" s="75"/>
      <c r="F13" s="72" t="s">
        <v>59</v>
      </c>
      <c r="G13" s="73"/>
      <c r="H13" s="18" t="s">
        <v>198</v>
      </c>
      <c r="I13" s="84" t="s">
        <v>5</v>
      </c>
      <c r="J13" s="72" t="s">
        <v>60</v>
      </c>
      <c r="K13" s="73"/>
      <c r="L13" s="11" t="s">
        <v>65</v>
      </c>
      <c r="M13" s="10"/>
      <c r="N13" s="89"/>
      <c r="O13" s="105"/>
      <c r="P13" s="89"/>
      <c r="Q13" s="105"/>
      <c r="R13" s="89"/>
      <c r="S13" s="105"/>
      <c r="T13" s="89"/>
      <c r="U13" s="105"/>
      <c r="V13" s="89"/>
      <c r="W13" s="105"/>
      <c r="X13" s="89"/>
      <c r="Y13" s="90"/>
      <c r="Z13" s="90"/>
    </row>
    <row r="14" spans="1:26" ht="21.75" customHeight="1">
      <c r="A14" s="65"/>
      <c r="B14" s="83" t="s">
        <v>57</v>
      </c>
      <c r="C14" s="83"/>
      <c r="D14" s="92" t="s">
        <v>224</v>
      </c>
      <c r="E14" s="93"/>
      <c r="F14" s="82" t="s">
        <v>57</v>
      </c>
      <c r="G14" s="83"/>
      <c r="H14" s="19" t="s">
        <v>224</v>
      </c>
      <c r="I14" s="85"/>
      <c r="J14" s="82" t="s">
        <v>61</v>
      </c>
      <c r="K14" s="83"/>
      <c r="L14" s="24" t="s">
        <v>66</v>
      </c>
      <c r="M14" s="10"/>
      <c r="N14" s="89"/>
      <c r="O14" s="105"/>
      <c r="P14" s="89"/>
      <c r="Q14" s="105"/>
      <c r="R14" s="89"/>
      <c r="S14" s="105"/>
      <c r="T14" s="89"/>
      <c r="U14" s="105"/>
      <c r="V14" s="89"/>
      <c r="W14" s="105"/>
      <c r="X14" s="89"/>
      <c r="Y14" s="90"/>
      <c r="Z14" s="90"/>
    </row>
    <row r="15" spans="1:26" ht="21.75" customHeight="1">
      <c r="A15" s="65"/>
      <c r="B15" s="69" t="s">
        <v>58</v>
      </c>
      <c r="C15" s="69"/>
      <c r="D15" s="70">
        <v>2400</v>
      </c>
      <c r="E15" s="71"/>
      <c r="F15" s="68" t="s">
        <v>58</v>
      </c>
      <c r="G15" s="69"/>
      <c r="H15" s="20">
        <v>2400</v>
      </c>
      <c r="I15" s="85"/>
      <c r="J15" s="68" t="s">
        <v>62</v>
      </c>
      <c r="K15" s="69"/>
      <c r="L15" s="24" t="s">
        <v>67</v>
      </c>
      <c r="M15" s="10"/>
      <c r="N15" s="89"/>
      <c r="O15" s="105"/>
      <c r="P15" s="89"/>
      <c r="Q15" s="105"/>
      <c r="R15" s="89"/>
      <c r="S15" s="105"/>
      <c r="T15" s="89"/>
      <c r="U15" s="105"/>
      <c r="V15" s="89"/>
      <c r="W15" s="105"/>
      <c r="X15" s="89"/>
      <c r="Y15" s="90"/>
      <c r="Z15" s="90"/>
    </row>
    <row r="16" spans="1:26" ht="21.75" customHeight="1">
      <c r="A16" s="65"/>
      <c r="B16" s="25" t="s">
        <v>51</v>
      </c>
      <c r="C16" s="13" t="s">
        <v>53</v>
      </c>
      <c r="D16" s="13" t="s">
        <v>54</v>
      </c>
      <c r="E16" s="66"/>
      <c r="F16" s="13" t="s">
        <v>51</v>
      </c>
      <c r="G16" s="13" t="s">
        <v>53</v>
      </c>
      <c r="H16" s="11" t="s">
        <v>54</v>
      </c>
      <c r="I16" s="85"/>
      <c r="J16" s="66" t="s">
        <v>63</v>
      </c>
      <c r="K16" s="72" t="s">
        <v>64</v>
      </c>
      <c r="L16" s="24" t="s">
        <v>68</v>
      </c>
      <c r="M16" s="10"/>
      <c r="N16" s="89"/>
      <c r="O16" s="105"/>
      <c r="P16" s="89"/>
      <c r="Q16" s="105"/>
      <c r="R16" s="89"/>
      <c r="S16" s="105"/>
      <c r="T16" s="89"/>
      <c r="U16" s="105"/>
      <c r="V16" s="89"/>
      <c r="W16" s="105"/>
      <c r="X16" s="89"/>
      <c r="Y16" s="90"/>
      <c r="Z16" s="90"/>
    </row>
    <row r="17" spans="1:26" ht="21.75" customHeight="1">
      <c r="A17" s="78"/>
      <c r="B17" s="13" t="s">
        <v>52</v>
      </c>
      <c r="C17" s="26" t="s">
        <v>51</v>
      </c>
      <c r="D17" s="26" t="s">
        <v>55</v>
      </c>
      <c r="E17" s="67"/>
      <c r="F17" s="26" t="s">
        <v>52</v>
      </c>
      <c r="G17" s="14" t="s">
        <v>51</v>
      </c>
      <c r="H17" s="12" t="s">
        <v>55</v>
      </c>
      <c r="I17" s="119"/>
      <c r="J17" s="120"/>
      <c r="K17" s="68"/>
      <c r="L17" s="12" t="s">
        <v>69</v>
      </c>
      <c r="M17" s="111" t="s">
        <v>92</v>
      </c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spans="1:26" ht="23.25" customHeight="1">
      <c r="A18" s="45" t="s">
        <v>7</v>
      </c>
      <c r="B18" s="49">
        <v>1.9648000000000001</v>
      </c>
      <c r="C18" s="31"/>
      <c r="D18" s="30"/>
      <c r="E18" s="29"/>
      <c r="F18" s="49">
        <v>0.20019999999999999</v>
      </c>
      <c r="G18" s="28"/>
      <c r="H18" s="30"/>
      <c r="I18" s="33"/>
      <c r="J18" s="29"/>
      <c r="K18" s="50">
        <v>6.4</v>
      </c>
      <c r="L18" s="48"/>
      <c r="M18" s="104" t="s">
        <v>79</v>
      </c>
      <c r="N18" s="98" t="s">
        <v>98</v>
      </c>
      <c r="O18" s="98"/>
      <c r="P18" s="98"/>
      <c r="Q18" s="98" t="s">
        <v>107</v>
      </c>
      <c r="R18" s="98"/>
      <c r="S18" s="98"/>
      <c r="T18" s="98" t="s">
        <v>93</v>
      </c>
      <c r="U18" s="98"/>
      <c r="V18" s="98"/>
      <c r="W18" s="100" t="s">
        <v>91</v>
      </c>
      <c r="X18" s="112"/>
      <c r="Y18" s="112"/>
      <c r="Z18" s="112"/>
    </row>
    <row r="19" spans="1:26" ht="23.25" customHeight="1">
      <c r="A19" s="45" t="s">
        <v>8</v>
      </c>
      <c r="B19" s="49">
        <v>1.9648000000000001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</v>
      </c>
      <c r="D19" s="30">
        <f t="shared" ref="D19:D42" si="1">IF(C19="","",C19*$D$15)</f>
        <v>0</v>
      </c>
      <c r="E19" s="29"/>
      <c r="F19" s="49">
        <v>0.20019999999999999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0</v>
      </c>
      <c r="H19" s="30">
        <f t="shared" ref="H19:H42" si="3">IF(G19="","",G19*$H$15)</f>
        <v>0</v>
      </c>
      <c r="I19" s="33">
        <f t="shared" ref="I19:I42" si="4">IF(H19="","",IF(D19="","",IF(AND(H19=0,D19=0),0,H19/D19)))</f>
        <v>0</v>
      </c>
      <c r="J19" s="29"/>
      <c r="K19" s="50">
        <v>6.4</v>
      </c>
      <c r="L19" s="35"/>
      <c r="M19" s="95"/>
      <c r="N19" s="99"/>
      <c r="O19" s="99"/>
      <c r="P19" s="99"/>
      <c r="Q19" s="99" t="s">
        <v>108</v>
      </c>
      <c r="R19" s="99"/>
      <c r="S19" s="99"/>
      <c r="T19" s="99"/>
      <c r="U19" s="99"/>
      <c r="V19" s="99"/>
      <c r="W19" s="101"/>
      <c r="X19" s="91"/>
      <c r="Y19" s="91"/>
      <c r="Z19" s="91"/>
    </row>
    <row r="20" spans="1:26" ht="23.25" customHeight="1">
      <c r="A20" s="45" t="s">
        <v>9</v>
      </c>
      <c r="B20" s="49">
        <v>1.9648000000000001</v>
      </c>
      <c r="C20" s="31">
        <f t="shared" si="0"/>
        <v>0</v>
      </c>
      <c r="D20" s="30">
        <f t="shared" si="1"/>
        <v>0</v>
      </c>
      <c r="E20" s="29"/>
      <c r="F20" s="49">
        <v>0.20019999999999999</v>
      </c>
      <c r="G20" s="28">
        <f t="shared" si="2"/>
        <v>0</v>
      </c>
      <c r="H20" s="30">
        <f t="shared" si="3"/>
        <v>0</v>
      </c>
      <c r="I20" s="33">
        <f t="shared" si="4"/>
        <v>0</v>
      </c>
      <c r="J20" s="29"/>
      <c r="K20" s="50">
        <v>6.4</v>
      </c>
      <c r="L20" s="35"/>
      <c r="M20" s="95" t="s">
        <v>80</v>
      </c>
      <c r="N20" s="99" t="s">
        <v>99</v>
      </c>
      <c r="O20" s="99"/>
      <c r="P20" s="99"/>
      <c r="Q20" s="99" t="s">
        <v>189</v>
      </c>
      <c r="R20" s="99"/>
      <c r="S20" s="99"/>
      <c r="T20" s="99" t="s">
        <v>94</v>
      </c>
      <c r="U20" s="99"/>
      <c r="V20" s="99"/>
      <c r="W20" s="101"/>
      <c r="X20" s="91"/>
      <c r="Y20" s="91"/>
      <c r="Z20" s="91"/>
    </row>
    <row r="21" spans="1:26" ht="23.25" customHeight="1">
      <c r="A21" s="45" t="s">
        <v>10</v>
      </c>
      <c r="B21" s="49">
        <v>1.9648000000000001</v>
      </c>
      <c r="C21" s="31">
        <f t="shared" si="0"/>
        <v>0</v>
      </c>
      <c r="D21" s="30">
        <f t="shared" si="1"/>
        <v>0</v>
      </c>
      <c r="E21" s="29"/>
      <c r="F21" s="49">
        <v>0.20019999999999999</v>
      </c>
      <c r="G21" s="28">
        <f t="shared" si="2"/>
        <v>0</v>
      </c>
      <c r="H21" s="30">
        <f t="shared" si="3"/>
        <v>0</v>
      </c>
      <c r="I21" s="33">
        <f t="shared" si="4"/>
        <v>0</v>
      </c>
      <c r="J21" s="29"/>
      <c r="K21" s="50">
        <v>6.4</v>
      </c>
      <c r="L21" s="35"/>
      <c r="M21" s="96"/>
      <c r="N21" s="102"/>
      <c r="O21" s="102"/>
      <c r="P21" s="102"/>
      <c r="Q21" s="102"/>
      <c r="R21" s="102"/>
      <c r="S21" s="102"/>
      <c r="T21" s="102"/>
      <c r="U21" s="102"/>
      <c r="V21" s="102"/>
      <c r="W21" s="103"/>
      <c r="X21" s="111"/>
      <c r="Y21" s="111"/>
      <c r="Z21" s="111"/>
    </row>
    <row r="22" spans="1:26" ht="23.25" customHeight="1">
      <c r="A22" s="45" t="s">
        <v>11</v>
      </c>
      <c r="B22" s="49">
        <v>1.9648000000000001</v>
      </c>
      <c r="C22" s="31">
        <f t="shared" si="0"/>
        <v>0</v>
      </c>
      <c r="D22" s="30">
        <f t="shared" si="1"/>
        <v>0</v>
      </c>
      <c r="E22" s="29"/>
      <c r="F22" s="49">
        <v>0.20019999999999999</v>
      </c>
      <c r="G22" s="28">
        <f t="shared" si="2"/>
        <v>0</v>
      </c>
      <c r="H22" s="30">
        <f t="shared" si="3"/>
        <v>0</v>
      </c>
      <c r="I22" s="33">
        <f t="shared" si="4"/>
        <v>0</v>
      </c>
      <c r="J22" s="29"/>
      <c r="K22" s="50">
        <v>6.4</v>
      </c>
      <c r="L22" s="35"/>
      <c r="M22" s="10"/>
      <c r="N22" s="106"/>
      <c r="O22" s="106"/>
      <c r="P22" s="106"/>
      <c r="Q22" s="106"/>
      <c r="R22" s="106"/>
      <c r="S22" s="106"/>
      <c r="T22" s="106"/>
      <c r="U22" s="106"/>
      <c r="V22" s="106"/>
      <c r="W22" s="89"/>
      <c r="X22" s="90"/>
      <c r="Y22" s="90"/>
      <c r="Z22" s="90"/>
    </row>
    <row r="23" spans="1:26" ht="23.25" customHeight="1">
      <c r="A23" s="45" t="s">
        <v>12</v>
      </c>
      <c r="B23" s="49">
        <v>1.9648000000000001</v>
      </c>
      <c r="C23" s="31">
        <f t="shared" si="0"/>
        <v>0</v>
      </c>
      <c r="D23" s="30">
        <f t="shared" si="1"/>
        <v>0</v>
      </c>
      <c r="E23" s="29"/>
      <c r="F23" s="49">
        <v>0.20019999999999999</v>
      </c>
      <c r="G23" s="28">
        <f t="shared" si="2"/>
        <v>0</v>
      </c>
      <c r="H23" s="30">
        <f t="shared" si="3"/>
        <v>0</v>
      </c>
      <c r="I23" s="33">
        <f t="shared" si="4"/>
        <v>0</v>
      </c>
      <c r="J23" s="29"/>
      <c r="K23" s="50">
        <v>6.4</v>
      </c>
      <c r="L23" s="35"/>
      <c r="M23" s="10"/>
      <c r="N23" s="106"/>
      <c r="O23" s="106"/>
      <c r="P23" s="106"/>
      <c r="Q23" s="106"/>
      <c r="R23" s="106"/>
      <c r="S23" s="106"/>
      <c r="T23" s="106"/>
      <c r="U23" s="106"/>
      <c r="V23" s="106"/>
      <c r="W23" s="89"/>
      <c r="X23" s="90"/>
      <c r="Y23" s="90"/>
      <c r="Z23" s="90"/>
    </row>
    <row r="24" spans="1:26" ht="23.25" customHeight="1">
      <c r="A24" s="45" t="s">
        <v>13</v>
      </c>
      <c r="B24" s="49">
        <v>1.9648000000000001</v>
      </c>
      <c r="C24" s="31">
        <f t="shared" si="0"/>
        <v>0</v>
      </c>
      <c r="D24" s="30">
        <f t="shared" si="1"/>
        <v>0</v>
      </c>
      <c r="E24" s="29"/>
      <c r="F24" s="49">
        <v>0.20019999999999999</v>
      </c>
      <c r="G24" s="28">
        <f t="shared" si="2"/>
        <v>0</v>
      </c>
      <c r="H24" s="30">
        <f t="shared" si="3"/>
        <v>0</v>
      </c>
      <c r="I24" s="33">
        <f t="shared" si="4"/>
        <v>0</v>
      </c>
      <c r="J24" s="29"/>
      <c r="K24" s="50">
        <v>6.4</v>
      </c>
      <c r="L24" s="35"/>
      <c r="M24" s="10"/>
      <c r="N24" s="106"/>
      <c r="O24" s="106"/>
      <c r="P24" s="106"/>
      <c r="Q24" s="106"/>
      <c r="R24" s="106"/>
      <c r="S24" s="106"/>
      <c r="T24" s="106"/>
      <c r="U24" s="106"/>
      <c r="V24" s="106"/>
      <c r="W24" s="89"/>
      <c r="X24" s="90"/>
      <c r="Y24" s="90"/>
      <c r="Z24" s="90"/>
    </row>
    <row r="25" spans="1:26" ht="23.25" customHeight="1">
      <c r="A25" s="45" t="s">
        <v>14</v>
      </c>
      <c r="B25" s="49">
        <v>1.9648000000000001</v>
      </c>
      <c r="C25" s="31">
        <f t="shared" si="0"/>
        <v>0</v>
      </c>
      <c r="D25" s="30">
        <f t="shared" si="1"/>
        <v>0</v>
      </c>
      <c r="E25" s="29"/>
      <c r="F25" s="49">
        <v>0.20019999999999999</v>
      </c>
      <c r="G25" s="28">
        <f t="shared" si="2"/>
        <v>0</v>
      </c>
      <c r="H25" s="30">
        <f t="shared" si="3"/>
        <v>0</v>
      </c>
      <c r="I25" s="33">
        <f t="shared" si="4"/>
        <v>0</v>
      </c>
      <c r="J25" s="29"/>
      <c r="K25" s="50">
        <v>6.4</v>
      </c>
      <c r="L25" s="35"/>
      <c r="M25" s="10"/>
      <c r="N25" s="106"/>
      <c r="O25" s="106"/>
      <c r="P25" s="106"/>
      <c r="Q25" s="106"/>
      <c r="R25" s="106"/>
      <c r="S25" s="106"/>
      <c r="T25" s="106"/>
      <c r="U25" s="106"/>
      <c r="V25" s="106"/>
      <c r="W25" s="89"/>
      <c r="X25" s="90"/>
      <c r="Y25" s="90"/>
      <c r="Z25" s="90"/>
    </row>
    <row r="26" spans="1:26" ht="23.25" customHeight="1">
      <c r="A26" s="45" t="s">
        <v>15</v>
      </c>
      <c r="B26" s="49">
        <v>1.9648000000000001</v>
      </c>
      <c r="C26" s="31">
        <f t="shared" si="0"/>
        <v>0</v>
      </c>
      <c r="D26" s="30">
        <f t="shared" si="1"/>
        <v>0</v>
      </c>
      <c r="E26" s="29"/>
      <c r="F26" s="49">
        <v>0.20019999999999999</v>
      </c>
      <c r="G26" s="28">
        <f t="shared" si="2"/>
        <v>0</v>
      </c>
      <c r="H26" s="30">
        <f t="shared" si="3"/>
        <v>0</v>
      </c>
      <c r="I26" s="33">
        <f t="shared" si="4"/>
        <v>0</v>
      </c>
      <c r="J26" s="29"/>
      <c r="K26" s="50">
        <v>6.3</v>
      </c>
      <c r="L26" s="35"/>
      <c r="M26" s="10"/>
      <c r="N26" s="106"/>
      <c r="O26" s="106"/>
      <c r="P26" s="106"/>
      <c r="Q26" s="106"/>
      <c r="R26" s="106"/>
      <c r="S26" s="106"/>
      <c r="T26" s="106"/>
      <c r="U26" s="106"/>
      <c r="V26" s="106"/>
      <c r="W26" s="89"/>
      <c r="X26" s="90"/>
      <c r="Y26" s="90"/>
      <c r="Z26" s="90"/>
    </row>
    <row r="27" spans="1:26" ht="23.25" customHeight="1">
      <c r="A27" s="45" t="s">
        <v>16</v>
      </c>
      <c r="B27" s="49">
        <v>1.9648000000000001</v>
      </c>
      <c r="C27" s="31">
        <f t="shared" si="0"/>
        <v>0</v>
      </c>
      <c r="D27" s="30">
        <f t="shared" si="1"/>
        <v>0</v>
      </c>
      <c r="E27" s="29"/>
      <c r="F27" s="49">
        <v>0.20019999999999999</v>
      </c>
      <c r="G27" s="28">
        <f t="shared" si="2"/>
        <v>0</v>
      </c>
      <c r="H27" s="30">
        <f t="shared" si="3"/>
        <v>0</v>
      </c>
      <c r="I27" s="33">
        <f t="shared" si="4"/>
        <v>0</v>
      </c>
      <c r="J27" s="29"/>
      <c r="K27" s="50">
        <v>6.3</v>
      </c>
      <c r="L27" s="35"/>
      <c r="M27" s="10"/>
      <c r="N27" s="106"/>
      <c r="O27" s="106"/>
      <c r="P27" s="106"/>
      <c r="Q27" s="106"/>
      <c r="R27" s="106"/>
      <c r="S27" s="106"/>
      <c r="T27" s="106"/>
      <c r="U27" s="106"/>
      <c r="V27" s="106"/>
      <c r="W27" s="89"/>
      <c r="X27" s="90"/>
      <c r="Y27" s="90"/>
      <c r="Z27" s="90"/>
    </row>
    <row r="28" spans="1:26" ht="23.25" customHeight="1">
      <c r="A28" s="45" t="s">
        <v>17</v>
      </c>
      <c r="B28" s="49">
        <v>1.9648000000000001</v>
      </c>
      <c r="C28" s="31">
        <f t="shared" si="0"/>
        <v>0</v>
      </c>
      <c r="D28" s="30">
        <f t="shared" si="1"/>
        <v>0</v>
      </c>
      <c r="E28" s="29"/>
      <c r="F28" s="49">
        <v>0.20019999999999999</v>
      </c>
      <c r="G28" s="28">
        <f t="shared" si="2"/>
        <v>0</v>
      </c>
      <c r="H28" s="30">
        <f t="shared" si="3"/>
        <v>0</v>
      </c>
      <c r="I28" s="33">
        <f t="shared" si="4"/>
        <v>0</v>
      </c>
      <c r="J28" s="29"/>
      <c r="K28" s="50">
        <v>6.3</v>
      </c>
      <c r="L28" s="35"/>
      <c r="M28" s="10"/>
      <c r="N28" s="106"/>
      <c r="O28" s="106"/>
      <c r="P28" s="106"/>
      <c r="Q28" s="106"/>
      <c r="R28" s="106"/>
      <c r="S28" s="106"/>
      <c r="T28" s="106"/>
      <c r="U28" s="106"/>
      <c r="V28" s="106"/>
      <c r="W28" s="89"/>
      <c r="X28" s="90"/>
      <c r="Y28" s="90"/>
      <c r="Z28" s="90"/>
    </row>
    <row r="29" spans="1:26" ht="23.25" customHeight="1">
      <c r="A29" s="45" t="s">
        <v>18</v>
      </c>
      <c r="B29" s="49">
        <v>1.9648000000000001</v>
      </c>
      <c r="C29" s="31">
        <f t="shared" si="0"/>
        <v>0</v>
      </c>
      <c r="D29" s="30">
        <f t="shared" si="1"/>
        <v>0</v>
      </c>
      <c r="E29" s="29"/>
      <c r="F29" s="49">
        <v>0.20019999999999999</v>
      </c>
      <c r="G29" s="28">
        <f t="shared" si="2"/>
        <v>0</v>
      </c>
      <c r="H29" s="30">
        <f t="shared" si="3"/>
        <v>0</v>
      </c>
      <c r="I29" s="33">
        <f t="shared" si="4"/>
        <v>0</v>
      </c>
      <c r="J29" s="29"/>
      <c r="K29" s="50">
        <v>6.3</v>
      </c>
      <c r="L29" s="35"/>
      <c r="M29" s="97" t="s">
        <v>95</v>
      </c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23.25" customHeight="1">
      <c r="A30" s="45" t="s">
        <v>19</v>
      </c>
      <c r="B30" s="49">
        <v>1.9648000000000001</v>
      </c>
      <c r="C30" s="31">
        <f t="shared" si="0"/>
        <v>0</v>
      </c>
      <c r="D30" s="30">
        <f t="shared" si="1"/>
        <v>0</v>
      </c>
      <c r="E30" s="29"/>
      <c r="F30" s="49">
        <v>0.20019999999999999</v>
      </c>
      <c r="G30" s="28">
        <f t="shared" si="2"/>
        <v>0</v>
      </c>
      <c r="H30" s="30">
        <f t="shared" si="3"/>
        <v>0</v>
      </c>
      <c r="I30" s="33">
        <f t="shared" si="4"/>
        <v>0</v>
      </c>
      <c r="J30" s="29"/>
      <c r="K30" s="50">
        <v>6.3</v>
      </c>
      <c r="L30" s="35"/>
      <c r="M30" s="91" t="s">
        <v>97</v>
      </c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 spans="1:26" ht="23.25" customHeight="1">
      <c r="A31" s="45" t="s">
        <v>20</v>
      </c>
      <c r="B31" s="49">
        <v>1.9648000000000001</v>
      </c>
      <c r="C31" s="31">
        <f t="shared" si="0"/>
        <v>0</v>
      </c>
      <c r="D31" s="30">
        <f t="shared" si="1"/>
        <v>0</v>
      </c>
      <c r="E31" s="29"/>
      <c r="F31" s="49">
        <v>0.20019999999999999</v>
      </c>
      <c r="G31" s="28">
        <f t="shared" si="2"/>
        <v>0</v>
      </c>
      <c r="H31" s="30">
        <f t="shared" si="3"/>
        <v>0</v>
      </c>
      <c r="I31" s="33">
        <f t="shared" si="4"/>
        <v>0</v>
      </c>
      <c r="J31" s="29"/>
      <c r="K31" s="50">
        <v>6.3</v>
      </c>
      <c r="L31" s="35"/>
      <c r="M31" s="104" t="s">
        <v>79</v>
      </c>
      <c r="N31" s="98" t="s">
        <v>98</v>
      </c>
      <c r="O31" s="98"/>
      <c r="P31" s="98" t="s">
        <v>100</v>
      </c>
      <c r="Q31" s="98"/>
      <c r="R31" s="98" t="s">
        <v>93</v>
      </c>
      <c r="S31" s="98"/>
      <c r="T31" s="98" t="s">
        <v>103</v>
      </c>
      <c r="U31" s="98"/>
      <c r="V31" s="98" t="s">
        <v>187</v>
      </c>
      <c r="W31" s="98"/>
      <c r="X31" s="98"/>
      <c r="Y31" s="98" t="s">
        <v>91</v>
      </c>
      <c r="Z31" s="100"/>
    </row>
    <row r="32" spans="1:26" ht="23.25" customHeight="1">
      <c r="A32" s="45" t="s">
        <v>21</v>
      </c>
      <c r="B32" s="49">
        <v>1.9648000000000001</v>
      </c>
      <c r="C32" s="31">
        <f t="shared" si="0"/>
        <v>0</v>
      </c>
      <c r="D32" s="30">
        <f t="shared" si="1"/>
        <v>0</v>
      </c>
      <c r="E32" s="29"/>
      <c r="F32" s="49">
        <v>0.20019999999999999</v>
      </c>
      <c r="G32" s="28">
        <f t="shared" si="2"/>
        <v>0</v>
      </c>
      <c r="H32" s="30">
        <f t="shared" si="3"/>
        <v>0</v>
      </c>
      <c r="I32" s="33">
        <f t="shared" si="4"/>
        <v>0</v>
      </c>
      <c r="J32" s="29"/>
      <c r="K32" s="50">
        <v>6.3</v>
      </c>
      <c r="L32" s="35"/>
      <c r="M32" s="95"/>
      <c r="N32" s="99"/>
      <c r="O32" s="99"/>
      <c r="P32" s="99" t="s">
        <v>83</v>
      </c>
      <c r="Q32" s="99"/>
      <c r="R32" s="99" t="s">
        <v>102</v>
      </c>
      <c r="S32" s="99"/>
      <c r="T32" s="99" t="s">
        <v>104</v>
      </c>
      <c r="U32" s="99"/>
      <c r="V32" s="99" t="s">
        <v>105</v>
      </c>
      <c r="W32" s="99"/>
      <c r="X32" s="99"/>
      <c r="Y32" s="99"/>
      <c r="Z32" s="101"/>
    </row>
    <row r="33" spans="1:26" ht="23.25" customHeight="1">
      <c r="A33" s="45" t="s">
        <v>22</v>
      </c>
      <c r="B33" s="49">
        <v>1.9648000000000001</v>
      </c>
      <c r="C33" s="31">
        <f t="shared" si="0"/>
        <v>0</v>
      </c>
      <c r="D33" s="30">
        <f t="shared" si="1"/>
        <v>0</v>
      </c>
      <c r="E33" s="29"/>
      <c r="F33" s="49">
        <v>0.20019999999999999</v>
      </c>
      <c r="G33" s="28">
        <f t="shared" si="2"/>
        <v>0</v>
      </c>
      <c r="H33" s="30">
        <f t="shared" si="3"/>
        <v>0</v>
      </c>
      <c r="I33" s="33">
        <f t="shared" si="4"/>
        <v>0</v>
      </c>
      <c r="J33" s="29"/>
      <c r="K33" s="50">
        <v>6.3</v>
      </c>
      <c r="L33" s="35"/>
      <c r="M33" s="95" t="s">
        <v>80</v>
      </c>
      <c r="N33" s="99" t="s">
        <v>99</v>
      </c>
      <c r="O33" s="99"/>
      <c r="P33" s="99" t="s">
        <v>101</v>
      </c>
      <c r="Q33" s="99"/>
      <c r="R33" s="99" t="s">
        <v>69</v>
      </c>
      <c r="S33" s="99"/>
      <c r="T33" s="99" t="s">
        <v>69</v>
      </c>
      <c r="U33" s="99"/>
      <c r="V33" s="99" t="s">
        <v>106</v>
      </c>
      <c r="W33" s="99"/>
      <c r="X33" s="99"/>
      <c r="Y33" s="99"/>
      <c r="Z33" s="101"/>
    </row>
    <row r="34" spans="1:26" ht="23.25" customHeight="1">
      <c r="A34" s="45" t="s">
        <v>23</v>
      </c>
      <c r="B34" s="49">
        <v>1.9648000000000001</v>
      </c>
      <c r="C34" s="31">
        <f t="shared" si="0"/>
        <v>0</v>
      </c>
      <c r="D34" s="30">
        <f t="shared" si="1"/>
        <v>0</v>
      </c>
      <c r="E34" s="29"/>
      <c r="F34" s="49">
        <v>0.20019999999999999</v>
      </c>
      <c r="G34" s="28">
        <f t="shared" si="2"/>
        <v>0</v>
      </c>
      <c r="H34" s="30">
        <f t="shared" si="3"/>
        <v>0</v>
      </c>
      <c r="I34" s="33">
        <f t="shared" si="4"/>
        <v>0</v>
      </c>
      <c r="J34" s="29"/>
      <c r="K34" s="50">
        <v>6.4</v>
      </c>
      <c r="L34" s="35"/>
      <c r="M34" s="96"/>
      <c r="N34" s="102"/>
      <c r="O34" s="102"/>
      <c r="P34" s="102"/>
      <c r="Q34" s="102"/>
      <c r="R34" s="103"/>
      <c r="S34" s="96"/>
      <c r="T34" s="103"/>
      <c r="U34" s="96"/>
      <c r="V34" s="103"/>
      <c r="W34" s="111"/>
      <c r="X34" s="96"/>
      <c r="Y34" s="102"/>
      <c r="Z34" s="103"/>
    </row>
    <row r="35" spans="1:26" ht="23.25" customHeight="1">
      <c r="A35" s="45" t="s">
        <v>24</v>
      </c>
      <c r="B35" s="49">
        <v>1.9648000000000001</v>
      </c>
      <c r="C35" s="31">
        <f t="shared" si="0"/>
        <v>0</v>
      </c>
      <c r="D35" s="30">
        <f t="shared" si="1"/>
        <v>0</v>
      </c>
      <c r="E35" s="29"/>
      <c r="F35" s="49">
        <v>0.20019999999999999</v>
      </c>
      <c r="G35" s="28">
        <f t="shared" si="2"/>
        <v>0</v>
      </c>
      <c r="H35" s="30">
        <f t="shared" si="3"/>
        <v>0</v>
      </c>
      <c r="I35" s="33">
        <f t="shared" si="4"/>
        <v>0</v>
      </c>
      <c r="J35" s="29"/>
      <c r="K35" s="50">
        <v>6.4</v>
      </c>
      <c r="L35" s="35"/>
      <c r="M35" s="10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89"/>
    </row>
    <row r="36" spans="1:26" ht="23.25" customHeight="1">
      <c r="A36" s="45" t="s">
        <v>25</v>
      </c>
      <c r="B36" s="49">
        <v>1.9648000000000001</v>
      </c>
      <c r="C36" s="31">
        <f t="shared" si="0"/>
        <v>0</v>
      </c>
      <c r="D36" s="30">
        <f t="shared" si="1"/>
        <v>0</v>
      </c>
      <c r="E36" s="29"/>
      <c r="F36" s="49">
        <v>0.20019999999999999</v>
      </c>
      <c r="G36" s="28">
        <f t="shared" si="2"/>
        <v>0</v>
      </c>
      <c r="H36" s="30">
        <f t="shared" si="3"/>
        <v>0</v>
      </c>
      <c r="I36" s="33">
        <f t="shared" si="4"/>
        <v>0</v>
      </c>
      <c r="J36" s="29"/>
      <c r="K36" s="50">
        <v>6.4</v>
      </c>
      <c r="L36" s="35"/>
      <c r="M36" s="10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89"/>
    </row>
    <row r="37" spans="1:26" ht="23.25" customHeight="1">
      <c r="A37" s="45" t="s">
        <v>26</v>
      </c>
      <c r="B37" s="49">
        <v>1.9648000000000001</v>
      </c>
      <c r="C37" s="31">
        <f t="shared" si="0"/>
        <v>0</v>
      </c>
      <c r="D37" s="30">
        <f t="shared" si="1"/>
        <v>0</v>
      </c>
      <c r="E37" s="29"/>
      <c r="F37" s="49">
        <v>0.20019999999999999</v>
      </c>
      <c r="G37" s="28">
        <f t="shared" si="2"/>
        <v>0</v>
      </c>
      <c r="H37" s="30">
        <f t="shared" si="3"/>
        <v>0</v>
      </c>
      <c r="I37" s="33">
        <f t="shared" si="4"/>
        <v>0</v>
      </c>
      <c r="J37" s="29"/>
      <c r="K37" s="50">
        <v>6.4</v>
      </c>
      <c r="L37" s="35"/>
      <c r="M37" s="10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89"/>
    </row>
    <row r="38" spans="1:26" ht="23.25" customHeight="1">
      <c r="A38" s="45" t="s">
        <v>27</v>
      </c>
      <c r="B38" s="49">
        <v>1.9648000000000001</v>
      </c>
      <c r="C38" s="31">
        <f t="shared" si="0"/>
        <v>0</v>
      </c>
      <c r="D38" s="30">
        <f t="shared" si="1"/>
        <v>0</v>
      </c>
      <c r="E38" s="29"/>
      <c r="F38" s="49">
        <v>0.20019999999999999</v>
      </c>
      <c r="G38" s="28">
        <f t="shared" si="2"/>
        <v>0</v>
      </c>
      <c r="H38" s="30">
        <f t="shared" si="3"/>
        <v>0</v>
      </c>
      <c r="I38" s="33">
        <f t="shared" si="4"/>
        <v>0</v>
      </c>
      <c r="J38" s="29"/>
      <c r="K38" s="50">
        <v>6.4</v>
      </c>
      <c r="L38" s="35"/>
      <c r="M38" s="10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89"/>
    </row>
    <row r="39" spans="1:26" ht="23.25" customHeight="1">
      <c r="A39" s="45" t="s">
        <v>28</v>
      </c>
      <c r="B39" s="49">
        <v>1.9648000000000001</v>
      </c>
      <c r="C39" s="31">
        <f t="shared" si="0"/>
        <v>0</v>
      </c>
      <c r="D39" s="30">
        <f t="shared" si="1"/>
        <v>0</v>
      </c>
      <c r="E39" s="29"/>
      <c r="F39" s="49">
        <v>0.20019999999999999</v>
      </c>
      <c r="G39" s="28">
        <f t="shared" si="2"/>
        <v>0</v>
      </c>
      <c r="H39" s="30">
        <f t="shared" si="3"/>
        <v>0</v>
      </c>
      <c r="I39" s="33">
        <f t="shared" si="4"/>
        <v>0</v>
      </c>
      <c r="J39" s="29"/>
      <c r="K39" s="50">
        <v>6.4</v>
      </c>
      <c r="L39" s="35"/>
      <c r="M39" s="10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89"/>
    </row>
    <row r="40" spans="1:26" ht="23.25" customHeight="1">
      <c r="A40" s="45" t="s">
        <v>29</v>
      </c>
      <c r="B40" s="49">
        <v>1.9648000000000001</v>
      </c>
      <c r="C40" s="31">
        <f t="shared" si="0"/>
        <v>0</v>
      </c>
      <c r="D40" s="30">
        <f t="shared" si="1"/>
        <v>0</v>
      </c>
      <c r="E40" s="29"/>
      <c r="F40" s="49">
        <v>0.20019999999999999</v>
      </c>
      <c r="G40" s="28">
        <f t="shared" si="2"/>
        <v>0</v>
      </c>
      <c r="H40" s="30">
        <f t="shared" si="3"/>
        <v>0</v>
      </c>
      <c r="I40" s="33">
        <f t="shared" si="4"/>
        <v>0</v>
      </c>
      <c r="J40" s="29"/>
      <c r="K40" s="50">
        <v>6.4</v>
      </c>
      <c r="L40" s="35"/>
      <c r="M40" s="91" t="s">
        <v>109</v>
      </c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</row>
    <row r="41" spans="1:26" ht="23.25" customHeight="1">
      <c r="A41" s="45" t="s">
        <v>30</v>
      </c>
      <c r="B41" s="49">
        <v>1.9648000000000001</v>
      </c>
      <c r="C41" s="31">
        <f t="shared" si="0"/>
        <v>0</v>
      </c>
      <c r="D41" s="30">
        <f t="shared" si="1"/>
        <v>0</v>
      </c>
      <c r="E41" s="29"/>
      <c r="F41" s="49">
        <v>0.20019999999999999</v>
      </c>
      <c r="G41" s="28">
        <f t="shared" si="2"/>
        <v>0</v>
      </c>
      <c r="H41" s="30">
        <f t="shared" si="3"/>
        <v>0</v>
      </c>
      <c r="I41" s="33">
        <f t="shared" si="4"/>
        <v>0</v>
      </c>
      <c r="J41" s="29"/>
      <c r="K41" s="50">
        <v>6.4</v>
      </c>
      <c r="L41" s="35"/>
      <c r="M41" s="104" t="s">
        <v>79</v>
      </c>
      <c r="N41" s="98" t="s">
        <v>98</v>
      </c>
      <c r="O41" s="98"/>
      <c r="P41" s="98" t="s">
        <v>93</v>
      </c>
      <c r="Q41" s="98"/>
      <c r="R41" s="98"/>
      <c r="S41" s="98" t="s">
        <v>111</v>
      </c>
      <c r="T41" s="98" t="s">
        <v>81</v>
      </c>
      <c r="U41" s="98"/>
      <c r="V41" s="98"/>
      <c r="W41" s="98"/>
      <c r="X41" s="98" t="s">
        <v>93</v>
      </c>
      <c r="Y41" s="98"/>
      <c r="Z41" s="100"/>
    </row>
    <row r="42" spans="1:26" ht="23.25" customHeight="1">
      <c r="A42" s="45" t="s">
        <v>31</v>
      </c>
      <c r="B42" s="49">
        <v>1.9648000000000001</v>
      </c>
      <c r="C42" s="31">
        <f t="shared" si="0"/>
        <v>0</v>
      </c>
      <c r="D42" s="30">
        <f t="shared" si="1"/>
        <v>0</v>
      </c>
      <c r="E42" s="29"/>
      <c r="F42" s="49">
        <v>0.20019999999999999</v>
      </c>
      <c r="G42" s="28">
        <f t="shared" si="2"/>
        <v>0</v>
      </c>
      <c r="H42" s="30">
        <f t="shared" si="3"/>
        <v>0</v>
      </c>
      <c r="I42" s="33">
        <f t="shared" si="4"/>
        <v>0</v>
      </c>
      <c r="J42" s="29"/>
      <c r="K42" s="50">
        <v>6.4</v>
      </c>
      <c r="L42" s="35"/>
      <c r="M42" s="95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101"/>
    </row>
    <row r="43" spans="1:26" ht="22.5" customHeight="1">
      <c r="A43" s="121" t="s">
        <v>70</v>
      </c>
      <c r="B43" s="121"/>
      <c r="C43" s="121"/>
      <c r="D43" s="29">
        <f>SUM(D18:D42)</f>
        <v>0</v>
      </c>
      <c r="E43" s="29"/>
      <c r="F43" s="36"/>
      <c r="G43" s="29"/>
      <c r="H43" s="29">
        <f>SUM(H18:H42)</f>
        <v>0</v>
      </c>
      <c r="I43" s="33">
        <f>IF(AND(H43=0,D43=0),0,H43/D43)</f>
        <v>0</v>
      </c>
      <c r="J43" s="29"/>
      <c r="K43" s="29"/>
      <c r="L43" s="35"/>
      <c r="M43" s="95" t="s">
        <v>80</v>
      </c>
      <c r="N43" s="99" t="s">
        <v>99</v>
      </c>
      <c r="O43" s="99"/>
      <c r="P43" s="99" t="s">
        <v>110</v>
      </c>
      <c r="Q43" s="99"/>
      <c r="R43" s="99"/>
      <c r="S43" s="99"/>
      <c r="T43" s="99"/>
      <c r="U43" s="99"/>
      <c r="V43" s="99"/>
      <c r="W43" s="99"/>
      <c r="X43" s="99" t="s">
        <v>110</v>
      </c>
      <c r="Y43" s="99"/>
      <c r="Z43" s="101"/>
    </row>
    <row r="44" spans="1:26" ht="22.5" customHeight="1">
      <c r="A44" s="76" t="s">
        <v>71</v>
      </c>
      <c r="B44" s="76"/>
      <c r="C44" s="76"/>
      <c r="D44" s="29"/>
      <c r="E44" s="29"/>
      <c r="F44" s="36"/>
      <c r="G44" s="29"/>
      <c r="H44" s="29"/>
      <c r="I44" s="29"/>
      <c r="J44" s="29"/>
      <c r="K44" s="29"/>
      <c r="L44" s="35"/>
      <c r="M44" s="96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3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89"/>
      <c r="O45" s="105"/>
      <c r="P45" s="89"/>
      <c r="Q45" s="90"/>
      <c r="R45" s="105"/>
      <c r="S45" s="8"/>
      <c r="T45" s="89"/>
      <c r="U45" s="90"/>
      <c r="V45" s="90"/>
      <c r="W45" s="105"/>
      <c r="X45" s="89"/>
      <c r="Y45" s="90"/>
      <c r="Z45" s="90"/>
    </row>
    <row r="46" spans="1:26" ht="22.5" customHeight="1">
      <c r="A46" s="54" t="s">
        <v>72</v>
      </c>
      <c r="B46" s="54"/>
      <c r="C46" s="54"/>
      <c r="D46" s="54"/>
      <c r="E46" s="54"/>
      <c r="F46" s="54"/>
      <c r="G46" s="77" t="s">
        <v>73</v>
      </c>
      <c r="H46" s="77"/>
      <c r="I46" s="77"/>
      <c r="J46" s="77"/>
      <c r="K46" s="77"/>
      <c r="L46" s="77"/>
      <c r="M46" s="10"/>
      <c r="N46" s="89"/>
      <c r="O46" s="105"/>
      <c r="P46" s="89"/>
      <c r="Q46" s="90"/>
      <c r="R46" s="105"/>
      <c r="S46" s="8"/>
      <c r="T46" s="89"/>
      <c r="U46" s="90"/>
      <c r="V46" s="90"/>
      <c r="W46" s="105"/>
      <c r="X46" s="89"/>
      <c r="Y46" s="90"/>
      <c r="Z46" s="90"/>
    </row>
    <row r="47" spans="1:26" ht="22.5" customHeight="1">
      <c r="A47" s="52" t="s">
        <v>388</v>
      </c>
      <c r="B47" s="52"/>
      <c r="C47" s="52"/>
      <c r="D47" s="54" t="s">
        <v>74</v>
      </c>
      <c r="E47" s="54"/>
      <c r="F47" s="54"/>
      <c r="G47" s="40"/>
      <c r="H47" s="40"/>
      <c r="I47" s="40"/>
      <c r="J47" s="40"/>
      <c r="K47" s="40"/>
      <c r="L47" s="40"/>
      <c r="M47" s="10"/>
      <c r="N47" s="89"/>
      <c r="O47" s="105"/>
      <c r="P47" s="89"/>
      <c r="Q47" s="90"/>
      <c r="R47" s="105"/>
      <c r="S47" s="8"/>
      <c r="T47" s="89"/>
      <c r="U47" s="90"/>
      <c r="V47" s="90"/>
      <c r="W47" s="105"/>
      <c r="X47" s="89"/>
      <c r="Y47" s="90"/>
      <c r="Z47" s="90"/>
    </row>
    <row r="48" spans="1:26" ht="22.5" customHeight="1">
      <c r="A48" s="55" t="s">
        <v>75</v>
      </c>
      <c r="B48" s="55"/>
      <c r="C48" s="55"/>
      <c r="D48" s="55" t="s">
        <v>76</v>
      </c>
      <c r="E48" s="55"/>
      <c r="F48" s="55"/>
      <c r="G48" s="39"/>
      <c r="H48" s="39"/>
      <c r="I48" s="39"/>
      <c r="J48" s="39"/>
      <c r="K48" s="39"/>
      <c r="L48" s="39"/>
    </row>
    <row r="49" spans="1:23" ht="22.5" customHeight="1">
      <c r="A49" s="52" t="s">
        <v>389</v>
      </c>
      <c r="B49" s="52"/>
      <c r="C49" s="52"/>
      <c r="D49" s="54" t="s">
        <v>74</v>
      </c>
      <c r="E49" s="54"/>
      <c r="F49" s="54"/>
      <c r="G49" s="39"/>
      <c r="H49" s="54" t="s">
        <v>191</v>
      </c>
      <c r="I49" s="54"/>
      <c r="J49" s="54"/>
      <c r="K49" s="54" t="s">
        <v>77</v>
      </c>
      <c r="L49" s="54"/>
      <c r="N49" s="57" t="s">
        <v>150</v>
      </c>
      <c r="O49" s="57"/>
      <c r="P49" s="57"/>
      <c r="Q49" s="56" t="s">
        <v>391</v>
      </c>
      <c r="R49" s="56"/>
      <c r="S49" s="56"/>
      <c r="T49" s="56"/>
      <c r="U49" s="56"/>
      <c r="V49" s="56"/>
      <c r="W49" s="1"/>
    </row>
    <row r="50" spans="1:23" ht="22.5" customHeight="1">
      <c r="A50" s="55" t="s">
        <v>75</v>
      </c>
      <c r="B50" s="55"/>
      <c r="C50" s="55"/>
      <c r="D50" s="55" t="s">
        <v>76</v>
      </c>
      <c r="E50" s="55"/>
      <c r="F50" s="55"/>
      <c r="G50" s="44"/>
      <c r="H50" s="55" t="s">
        <v>75</v>
      </c>
      <c r="I50" s="55"/>
      <c r="J50" s="55"/>
      <c r="K50" s="55" t="s">
        <v>76</v>
      </c>
      <c r="L50" s="55"/>
      <c r="S50" s="53" t="s">
        <v>76</v>
      </c>
      <c r="T50" s="53"/>
    </row>
    <row r="51" spans="1:23" ht="20.100000000000001" customHeight="1">
      <c r="A51" s="52" t="s">
        <v>390</v>
      </c>
      <c r="B51" s="52"/>
      <c r="C51" s="52"/>
      <c r="D51" s="54" t="s">
        <v>74</v>
      </c>
      <c r="E51" s="54"/>
      <c r="F51" s="54"/>
      <c r="G51" s="39"/>
      <c r="H51" s="39"/>
      <c r="I51" s="39"/>
      <c r="J51" s="39"/>
      <c r="K51" s="39"/>
      <c r="L51" s="39"/>
    </row>
    <row r="52" spans="1:23" ht="20.100000000000001" customHeight="1">
      <c r="A52" s="53" t="s">
        <v>75</v>
      </c>
      <c r="B52" s="53"/>
      <c r="C52" s="53"/>
      <c r="D52" s="53" t="s">
        <v>76</v>
      </c>
      <c r="E52" s="53"/>
      <c r="F52" s="53"/>
      <c r="G52" s="1"/>
      <c r="H52" s="1"/>
    </row>
  </sheetData>
  <sheetProtection sheet="1" objects="1" scenarios="1"/>
  <mergeCells count="258">
    <mergeCell ref="G1:H2"/>
    <mergeCell ref="A9:L9"/>
    <mergeCell ref="G46:L46"/>
    <mergeCell ref="G3:H4"/>
    <mergeCell ref="I3:L4"/>
    <mergeCell ref="A1:F1"/>
    <mergeCell ref="A2:F2"/>
    <mergeCell ref="A3:F3"/>
    <mergeCell ref="A4:F4"/>
    <mergeCell ref="A5:F5"/>
    <mergeCell ref="A6:F6"/>
    <mergeCell ref="F14:G14"/>
    <mergeCell ref="F15:G15"/>
    <mergeCell ref="A11:D11"/>
    <mergeCell ref="E11:H11"/>
    <mergeCell ref="A10:D10"/>
    <mergeCell ref="E10:G10"/>
    <mergeCell ref="A43:C43"/>
    <mergeCell ref="E16:E17"/>
    <mergeCell ref="B15:C15"/>
    <mergeCell ref="D15:E15"/>
    <mergeCell ref="B13:C13"/>
    <mergeCell ref="A51:C51"/>
    <mergeCell ref="A52:C52"/>
    <mergeCell ref="D52:F52"/>
    <mergeCell ref="D51:F51"/>
    <mergeCell ref="A44:C44"/>
    <mergeCell ref="D47:F47"/>
    <mergeCell ref="H49:J49"/>
    <mergeCell ref="K49:L49"/>
    <mergeCell ref="A7:L7"/>
    <mergeCell ref="F13:G13"/>
    <mergeCell ref="I11:L11"/>
    <mergeCell ref="B14:C14"/>
    <mergeCell ref="D14:E14"/>
    <mergeCell ref="A8:L8"/>
    <mergeCell ref="H50:J50"/>
    <mergeCell ref="K50:L50"/>
    <mergeCell ref="D49:F49"/>
    <mergeCell ref="A48:C48"/>
    <mergeCell ref="A49:C49"/>
    <mergeCell ref="A50:C50"/>
    <mergeCell ref="D50:F50"/>
    <mergeCell ref="D48:F48"/>
    <mergeCell ref="A47:C47"/>
    <mergeCell ref="D13:E13"/>
    <mergeCell ref="A46:F46"/>
    <mergeCell ref="A12:L12"/>
    <mergeCell ref="H10:L10"/>
    <mergeCell ref="J16:J17"/>
    <mergeCell ref="K16:K17"/>
    <mergeCell ref="A13:A17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N14:O14"/>
    <mergeCell ref="N15:O15"/>
    <mergeCell ref="N16:O16"/>
    <mergeCell ref="N12:O12"/>
    <mergeCell ref="N13:O13"/>
    <mergeCell ref="I13:I17"/>
    <mergeCell ref="J13:K13"/>
    <mergeCell ref="J14:K14"/>
    <mergeCell ref="J15:K15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T27:V27"/>
    <mergeCell ref="W27:Z27"/>
    <mergeCell ref="N26:P26"/>
    <mergeCell ref="N25:P25"/>
    <mergeCell ref="Q25:S25"/>
    <mergeCell ref="T25:V25"/>
    <mergeCell ref="W25:Z25"/>
    <mergeCell ref="Q23:S23"/>
    <mergeCell ref="T23:V23"/>
    <mergeCell ref="Q26:S26"/>
    <mergeCell ref="T26:V26"/>
    <mergeCell ref="N24:P24"/>
    <mergeCell ref="Q24:S24"/>
    <mergeCell ref="T28:V28"/>
    <mergeCell ref="W28:Z28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T24:V24"/>
    <mergeCell ref="W24:Z24"/>
    <mergeCell ref="T18:V19"/>
    <mergeCell ref="V14:W14"/>
    <mergeCell ref="V11:W11"/>
    <mergeCell ref="V12:W12"/>
    <mergeCell ref="V13:W13"/>
    <mergeCell ref="T11:U11"/>
    <mergeCell ref="T12:U12"/>
    <mergeCell ref="T13:U13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T47:W47"/>
    <mergeCell ref="N43:O44"/>
    <mergeCell ref="P43:R44"/>
    <mergeCell ref="R39:S39"/>
    <mergeCell ref="T39:U39"/>
    <mergeCell ref="V39:X39"/>
    <mergeCell ref="Y39:Z39"/>
    <mergeCell ref="S41:S44"/>
    <mergeCell ref="T41:W44"/>
    <mergeCell ref="I1:L2"/>
    <mergeCell ref="G5:H6"/>
    <mergeCell ref="I5:L6"/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  <mergeCell ref="X45:Z45"/>
    <mergeCell ref="X46:Z46"/>
    <mergeCell ref="X47:Z47"/>
    <mergeCell ref="M43:M44"/>
    <mergeCell ref="N47:O47"/>
    <mergeCell ref="T45:W45"/>
    <mergeCell ref="T46:W46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>
  <sheetPr codeName="Лист16"/>
  <dimension ref="A1:Z52"/>
  <sheetViews>
    <sheetView view="pageBreakPreview" topLeftCell="A13" zoomScale="75" zoomScaleNormal="50" zoomScaleSheetLayoutView="75" workbookViewId="0">
      <selection activeCell="F37" sqref="F37"/>
    </sheetView>
  </sheetViews>
  <sheetFormatPr defaultRowHeight="18.75"/>
  <cols>
    <col min="1" max="1" width="11.140625" style="2" customWidth="1"/>
    <col min="2" max="2" width="13.42578125" style="2" customWidth="1"/>
    <col min="3" max="3" width="12.140625" style="2" customWidth="1"/>
    <col min="4" max="4" width="14" style="2" customWidth="1"/>
    <col min="5" max="5" width="5.42578125" style="2" customWidth="1"/>
    <col min="6" max="6" width="13.85546875" style="2" customWidth="1"/>
    <col min="7" max="7" width="12.85546875" style="2" customWidth="1"/>
    <col min="8" max="8" width="18.5703125" style="2" customWidth="1"/>
    <col min="9" max="9" width="8.28515625" style="2" customWidth="1"/>
    <col min="10" max="11" width="8.85546875" style="2" customWidth="1"/>
    <col min="12" max="12" width="17" style="2" customWidth="1"/>
    <col min="13" max="26" width="10.28515625" style="2" customWidth="1"/>
    <col min="27" max="16384" width="9.140625" style="2"/>
  </cols>
  <sheetData>
    <row r="1" spans="1:26" ht="21.75" customHeight="1">
      <c r="A1" s="59" t="s">
        <v>157</v>
      </c>
      <c r="B1" s="59"/>
      <c r="C1" s="59"/>
      <c r="D1" s="59"/>
      <c r="E1" s="59"/>
      <c r="F1" s="59"/>
      <c r="G1" s="63" t="s">
        <v>154</v>
      </c>
      <c r="H1" s="63"/>
      <c r="I1" s="59" t="s">
        <v>160</v>
      </c>
      <c r="J1" s="59"/>
      <c r="K1" s="59"/>
      <c r="L1" s="59"/>
      <c r="M1" s="91" t="s">
        <v>96</v>
      </c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spans="1:26" ht="21.75" customHeight="1">
      <c r="A2" s="61" t="s">
        <v>45</v>
      </c>
      <c r="B2" s="61"/>
      <c r="C2" s="61"/>
      <c r="D2" s="61"/>
      <c r="E2" s="61"/>
      <c r="F2" s="61"/>
      <c r="G2" s="63"/>
      <c r="H2" s="63"/>
      <c r="I2" s="59"/>
      <c r="J2" s="59"/>
      <c r="K2" s="59"/>
      <c r="L2" s="59"/>
      <c r="M2" s="91" t="s">
        <v>78</v>
      </c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spans="1:26" ht="21.75" customHeight="1">
      <c r="A3" s="59" t="s">
        <v>158</v>
      </c>
      <c r="B3" s="60"/>
      <c r="C3" s="60"/>
      <c r="D3" s="60"/>
      <c r="E3" s="60"/>
      <c r="F3" s="60"/>
      <c r="G3" s="63" t="s">
        <v>155</v>
      </c>
      <c r="H3" s="63"/>
      <c r="I3" s="59" t="s">
        <v>208</v>
      </c>
      <c r="J3" s="59"/>
      <c r="K3" s="59"/>
      <c r="L3" s="59"/>
      <c r="M3" s="104" t="s">
        <v>79</v>
      </c>
      <c r="N3" s="100" t="s">
        <v>81</v>
      </c>
      <c r="O3" s="104"/>
      <c r="P3" s="100" t="s">
        <v>65</v>
      </c>
      <c r="Q3" s="104"/>
      <c r="R3" s="100" t="s">
        <v>82</v>
      </c>
      <c r="S3" s="104"/>
      <c r="T3" s="100" t="s">
        <v>85</v>
      </c>
      <c r="U3" s="104"/>
      <c r="V3" s="100" t="s">
        <v>87</v>
      </c>
      <c r="W3" s="104"/>
      <c r="X3" s="107" t="s">
        <v>91</v>
      </c>
      <c r="Y3" s="108"/>
      <c r="Z3" s="108"/>
    </row>
    <row r="4" spans="1:26" ht="29.25" customHeight="1">
      <c r="A4" s="61" t="s">
        <v>46</v>
      </c>
      <c r="B4" s="61"/>
      <c r="C4" s="61"/>
      <c r="D4" s="61"/>
      <c r="E4" s="61"/>
      <c r="F4" s="61"/>
      <c r="G4" s="63"/>
      <c r="H4" s="63"/>
      <c r="I4" s="59"/>
      <c r="J4" s="59"/>
      <c r="K4" s="59"/>
      <c r="L4" s="59"/>
      <c r="M4" s="95"/>
      <c r="N4" s="101"/>
      <c r="O4" s="95"/>
      <c r="P4" s="101"/>
      <c r="Q4" s="95"/>
      <c r="R4" s="101" t="s">
        <v>83</v>
      </c>
      <c r="S4" s="95"/>
      <c r="T4" s="101" t="s">
        <v>86</v>
      </c>
      <c r="U4" s="95"/>
      <c r="V4" s="101" t="s">
        <v>88</v>
      </c>
      <c r="W4" s="95"/>
      <c r="X4" s="107"/>
      <c r="Y4" s="108"/>
      <c r="Z4" s="108"/>
    </row>
    <row r="5" spans="1:26" ht="21.75" customHeight="1">
      <c r="A5" s="59" t="s">
        <v>185</v>
      </c>
      <c r="B5" s="60"/>
      <c r="C5" s="60"/>
      <c r="D5" s="60"/>
      <c r="E5" s="60"/>
      <c r="F5" s="60"/>
      <c r="G5" s="63" t="s">
        <v>156</v>
      </c>
      <c r="H5" s="63"/>
      <c r="I5" s="59" t="s">
        <v>247</v>
      </c>
      <c r="J5" s="59"/>
      <c r="K5" s="59"/>
      <c r="L5" s="59"/>
      <c r="M5" s="95" t="s">
        <v>80</v>
      </c>
      <c r="N5" s="101"/>
      <c r="O5" s="95"/>
      <c r="P5" s="101" t="s">
        <v>190</v>
      </c>
      <c r="Q5" s="95"/>
      <c r="R5" s="109" t="s">
        <v>84</v>
      </c>
      <c r="S5" s="110"/>
      <c r="T5" s="109" t="s">
        <v>84</v>
      </c>
      <c r="U5" s="110"/>
      <c r="V5" s="101" t="s">
        <v>89</v>
      </c>
      <c r="W5" s="95"/>
      <c r="X5" s="107"/>
      <c r="Y5" s="108"/>
      <c r="Z5" s="108"/>
    </row>
    <row r="6" spans="1:26" ht="30" customHeight="1">
      <c r="A6" s="61" t="s">
        <v>47</v>
      </c>
      <c r="B6" s="61"/>
      <c r="C6" s="61"/>
      <c r="D6" s="61"/>
      <c r="E6" s="61"/>
      <c r="F6" s="61"/>
      <c r="G6" s="63"/>
      <c r="H6" s="63"/>
      <c r="I6" s="59"/>
      <c r="J6" s="59"/>
      <c r="K6" s="59"/>
      <c r="L6" s="59"/>
      <c r="M6" s="96"/>
      <c r="N6" s="103"/>
      <c r="O6" s="96"/>
      <c r="P6" s="103"/>
      <c r="Q6" s="96"/>
      <c r="R6" s="103"/>
      <c r="S6" s="96"/>
      <c r="T6" s="103"/>
      <c r="U6" s="96"/>
      <c r="V6" s="103" t="s">
        <v>90</v>
      </c>
      <c r="W6" s="96"/>
      <c r="X6" s="107"/>
      <c r="Y6" s="108"/>
      <c r="Z6" s="108"/>
    </row>
    <row r="7" spans="1:26" ht="21.75" customHeight="1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10"/>
      <c r="N7" s="89"/>
      <c r="O7" s="105"/>
      <c r="P7" s="89"/>
      <c r="Q7" s="105"/>
      <c r="R7" s="89"/>
      <c r="S7" s="105"/>
      <c r="T7" s="89"/>
      <c r="U7" s="105"/>
      <c r="V7" s="89"/>
      <c r="W7" s="105"/>
      <c r="X7" s="89"/>
      <c r="Y7" s="90"/>
      <c r="Z7" s="90"/>
    </row>
    <row r="8" spans="1:26" ht="22.5" customHeight="1">
      <c r="A8" s="94" t="s">
        <v>48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10"/>
      <c r="N8" s="89"/>
      <c r="O8" s="105"/>
      <c r="P8" s="89"/>
      <c r="Q8" s="105"/>
      <c r="R8" s="89"/>
      <c r="S8" s="105"/>
      <c r="T8" s="89"/>
      <c r="U8" s="105"/>
      <c r="V8" s="89"/>
      <c r="W8" s="105"/>
      <c r="X8" s="89"/>
      <c r="Y8" s="90"/>
      <c r="Z8" s="90"/>
    </row>
    <row r="9" spans="1:26" ht="22.5" customHeight="1">
      <c r="A9" s="88" t="s">
        <v>49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10"/>
      <c r="N9" s="89"/>
      <c r="O9" s="105"/>
      <c r="P9" s="89"/>
      <c r="Q9" s="105"/>
      <c r="R9" s="89"/>
      <c r="S9" s="105"/>
      <c r="T9" s="89"/>
      <c r="U9" s="105"/>
      <c r="V9" s="89"/>
      <c r="W9" s="105"/>
      <c r="X9" s="89"/>
      <c r="Y9" s="90"/>
      <c r="Z9" s="90"/>
    </row>
    <row r="10" spans="1:26" ht="22.5" customHeight="1">
      <c r="A10" s="80" t="s">
        <v>112</v>
      </c>
      <c r="B10" s="80"/>
      <c r="C10" s="80"/>
      <c r="D10" s="80"/>
      <c r="E10" s="81" t="s">
        <v>383</v>
      </c>
      <c r="F10" s="81"/>
      <c r="G10" s="81"/>
      <c r="H10" s="62" t="s">
        <v>384</v>
      </c>
      <c r="I10" s="62"/>
      <c r="J10" s="62"/>
      <c r="K10" s="62"/>
      <c r="L10" s="62"/>
      <c r="M10" s="10"/>
      <c r="N10" s="89"/>
      <c r="O10" s="105"/>
      <c r="P10" s="89"/>
      <c r="Q10" s="105"/>
      <c r="R10" s="89"/>
      <c r="S10" s="105"/>
      <c r="T10" s="89"/>
      <c r="U10" s="105"/>
      <c r="V10" s="89"/>
      <c r="W10" s="105"/>
      <c r="X10" s="89"/>
      <c r="Y10" s="90"/>
      <c r="Z10" s="90"/>
    </row>
    <row r="11" spans="1:26" ht="22.5" customHeight="1">
      <c r="A11" s="80" t="s">
        <v>113</v>
      </c>
      <c r="B11" s="80"/>
      <c r="C11" s="80"/>
      <c r="D11" s="80"/>
      <c r="E11" s="79" t="s">
        <v>232</v>
      </c>
      <c r="F11" s="79"/>
      <c r="G11" s="79"/>
      <c r="H11" s="79"/>
      <c r="I11" s="62" t="s">
        <v>114</v>
      </c>
      <c r="J11" s="62"/>
      <c r="K11" s="62"/>
      <c r="L11" s="62"/>
      <c r="M11" s="10"/>
      <c r="N11" s="89"/>
      <c r="O11" s="105"/>
      <c r="P11" s="89"/>
      <c r="Q11" s="105"/>
      <c r="R11" s="89"/>
      <c r="S11" s="105"/>
      <c r="T11" s="89"/>
      <c r="U11" s="105"/>
      <c r="V11" s="89"/>
      <c r="W11" s="105"/>
      <c r="X11" s="89"/>
      <c r="Y11" s="90"/>
      <c r="Z11" s="90"/>
    </row>
    <row r="12" spans="1:26" ht="21.75" customHeight="1">
      <c r="A12" s="124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124"/>
      <c r="M12" s="10"/>
      <c r="N12" s="89"/>
      <c r="O12" s="105"/>
      <c r="P12" s="89"/>
      <c r="Q12" s="105"/>
      <c r="R12" s="89"/>
      <c r="S12" s="105"/>
      <c r="T12" s="89"/>
      <c r="U12" s="105"/>
      <c r="V12" s="89"/>
      <c r="W12" s="105"/>
      <c r="X12" s="89"/>
      <c r="Y12" s="90"/>
      <c r="Z12" s="90"/>
    </row>
    <row r="13" spans="1:26" ht="21.75" customHeight="1">
      <c r="A13" s="64" t="s">
        <v>50</v>
      </c>
      <c r="B13" s="73" t="s">
        <v>56</v>
      </c>
      <c r="C13" s="73"/>
      <c r="D13" s="74" t="s">
        <v>265</v>
      </c>
      <c r="E13" s="75"/>
      <c r="F13" s="72" t="s">
        <v>59</v>
      </c>
      <c r="G13" s="73"/>
      <c r="H13" s="18" t="s">
        <v>265</v>
      </c>
      <c r="I13" s="84" t="s">
        <v>5</v>
      </c>
      <c r="J13" s="72" t="s">
        <v>60</v>
      </c>
      <c r="K13" s="73"/>
      <c r="L13" s="11" t="s">
        <v>65</v>
      </c>
      <c r="M13" s="10"/>
      <c r="N13" s="89"/>
      <c r="O13" s="105"/>
      <c r="P13" s="89"/>
      <c r="Q13" s="105"/>
      <c r="R13" s="89"/>
      <c r="S13" s="105"/>
      <c r="T13" s="89"/>
      <c r="U13" s="105"/>
      <c r="V13" s="89"/>
      <c r="W13" s="105"/>
      <c r="X13" s="89"/>
      <c r="Y13" s="90"/>
      <c r="Z13" s="90"/>
    </row>
    <row r="14" spans="1:26" ht="21.75" customHeight="1">
      <c r="A14" s="65"/>
      <c r="B14" s="83" t="s">
        <v>57</v>
      </c>
      <c r="C14" s="83"/>
      <c r="D14" s="92" t="s">
        <v>281</v>
      </c>
      <c r="E14" s="93"/>
      <c r="F14" s="82" t="s">
        <v>57</v>
      </c>
      <c r="G14" s="83"/>
      <c r="H14" s="19" t="s">
        <v>281</v>
      </c>
      <c r="I14" s="85"/>
      <c r="J14" s="82" t="s">
        <v>61</v>
      </c>
      <c r="K14" s="83"/>
      <c r="L14" s="24" t="s">
        <v>66</v>
      </c>
      <c r="M14" s="10"/>
      <c r="N14" s="89"/>
      <c r="O14" s="105"/>
      <c r="P14" s="89"/>
      <c r="Q14" s="105"/>
      <c r="R14" s="89"/>
      <c r="S14" s="105"/>
      <c r="T14" s="89"/>
      <c r="U14" s="105"/>
      <c r="V14" s="89"/>
      <c r="W14" s="105"/>
      <c r="X14" s="89"/>
      <c r="Y14" s="90"/>
      <c r="Z14" s="90"/>
    </row>
    <row r="15" spans="1:26" ht="21.75" customHeight="1">
      <c r="A15" s="65"/>
      <c r="B15" s="69" t="s">
        <v>58</v>
      </c>
      <c r="C15" s="69"/>
      <c r="D15" s="70">
        <v>7200</v>
      </c>
      <c r="E15" s="71"/>
      <c r="F15" s="68" t="s">
        <v>58</v>
      </c>
      <c r="G15" s="69"/>
      <c r="H15" s="20">
        <v>7200</v>
      </c>
      <c r="I15" s="85"/>
      <c r="J15" s="68" t="s">
        <v>62</v>
      </c>
      <c r="K15" s="69"/>
      <c r="L15" s="24" t="s">
        <v>67</v>
      </c>
      <c r="M15" s="10"/>
      <c r="N15" s="89"/>
      <c r="O15" s="105"/>
      <c r="P15" s="89"/>
      <c r="Q15" s="105"/>
      <c r="R15" s="89"/>
      <c r="S15" s="105"/>
      <c r="T15" s="89"/>
      <c r="U15" s="105"/>
      <c r="V15" s="89"/>
      <c r="W15" s="105"/>
      <c r="X15" s="89"/>
      <c r="Y15" s="90"/>
      <c r="Z15" s="90"/>
    </row>
    <row r="16" spans="1:26" ht="21.75" customHeight="1">
      <c r="A16" s="65"/>
      <c r="B16" s="25" t="s">
        <v>51</v>
      </c>
      <c r="C16" s="13" t="s">
        <v>53</v>
      </c>
      <c r="D16" s="13" t="s">
        <v>54</v>
      </c>
      <c r="E16" s="66"/>
      <c r="F16" s="13" t="s">
        <v>51</v>
      </c>
      <c r="G16" s="13" t="s">
        <v>53</v>
      </c>
      <c r="H16" s="11" t="s">
        <v>54</v>
      </c>
      <c r="I16" s="85"/>
      <c r="J16" s="66" t="s">
        <v>63</v>
      </c>
      <c r="K16" s="72" t="s">
        <v>64</v>
      </c>
      <c r="L16" s="24" t="s">
        <v>68</v>
      </c>
      <c r="M16" s="10"/>
      <c r="N16" s="89"/>
      <c r="O16" s="105"/>
      <c r="P16" s="89"/>
      <c r="Q16" s="105"/>
      <c r="R16" s="89"/>
      <c r="S16" s="105"/>
      <c r="T16" s="89"/>
      <c r="U16" s="105"/>
      <c r="V16" s="89"/>
      <c r="W16" s="105"/>
      <c r="X16" s="89"/>
      <c r="Y16" s="90"/>
      <c r="Z16" s="90"/>
    </row>
    <row r="17" spans="1:26" ht="21.75" customHeight="1">
      <c r="A17" s="78"/>
      <c r="B17" s="13" t="s">
        <v>52</v>
      </c>
      <c r="C17" s="26" t="s">
        <v>51</v>
      </c>
      <c r="D17" s="26" t="s">
        <v>55</v>
      </c>
      <c r="E17" s="67"/>
      <c r="F17" s="26" t="s">
        <v>52</v>
      </c>
      <c r="G17" s="14" t="s">
        <v>51</v>
      </c>
      <c r="H17" s="12" t="s">
        <v>55</v>
      </c>
      <c r="I17" s="119"/>
      <c r="J17" s="120"/>
      <c r="K17" s="68"/>
      <c r="L17" s="12" t="s">
        <v>69</v>
      </c>
      <c r="M17" s="111" t="s">
        <v>92</v>
      </c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spans="1:26" ht="23.25" customHeight="1">
      <c r="A18" s="45" t="s">
        <v>7</v>
      </c>
      <c r="B18" s="49">
        <v>1862.0617999999999</v>
      </c>
      <c r="C18" s="31"/>
      <c r="D18" s="30"/>
      <c r="E18" s="29"/>
      <c r="F18" s="49">
        <v>1130.7083</v>
      </c>
      <c r="G18" s="28"/>
      <c r="H18" s="30"/>
      <c r="I18" s="33"/>
      <c r="J18" s="29"/>
      <c r="K18" s="50">
        <v>6.3</v>
      </c>
      <c r="L18" s="48"/>
      <c r="M18" s="104" t="s">
        <v>79</v>
      </c>
      <c r="N18" s="98" t="s">
        <v>98</v>
      </c>
      <c r="O18" s="98"/>
      <c r="P18" s="98"/>
      <c r="Q18" s="98" t="s">
        <v>107</v>
      </c>
      <c r="R18" s="98"/>
      <c r="S18" s="98"/>
      <c r="T18" s="98" t="s">
        <v>93</v>
      </c>
      <c r="U18" s="98"/>
      <c r="V18" s="98"/>
      <c r="W18" s="100" t="s">
        <v>91</v>
      </c>
      <c r="X18" s="112"/>
      <c r="Y18" s="112"/>
      <c r="Z18" s="112"/>
    </row>
    <row r="19" spans="1:26" ht="23.25" customHeight="1">
      <c r="A19" s="45" t="s">
        <v>8</v>
      </c>
      <c r="B19" s="49">
        <v>1862.1317999999999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6.9999999999936335E-2</v>
      </c>
      <c r="D19" s="30">
        <f t="shared" ref="D19:D42" si="1">IF(C19="","",C19*$D$15)</f>
        <v>503.99999999954161</v>
      </c>
      <c r="E19" s="29"/>
      <c r="F19" s="49">
        <v>1130.7577000000001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4.9400000000105138E-2</v>
      </c>
      <c r="H19" s="30">
        <f t="shared" ref="H19:H42" si="3">IF(G19="","",G19*$H$15)</f>
        <v>355.68000000075699</v>
      </c>
      <c r="I19" s="33">
        <f t="shared" ref="I19:I42" si="4">IF(H19="","",IF(D19="","",IF(AND(H19=0,D19=0),0,H19/D19)))</f>
        <v>0.70571428571642947</v>
      </c>
      <c r="J19" s="29"/>
      <c r="K19" s="50">
        <v>6.3</v>
      </c>
      <c r="L19" s="35"/>
      <c r="M19" s="95"/>
      <c r="N19" s="99"/>
      <c r="O19" s="99"/>
      <c r="P19" s="99"/>
      <c r="Q19" s="99" t="s">
        <v>108</v>
      </c>
      <c r="R19" s="99"/>
      <c r="S19" s="99"/>
      <c r="T19" s="99"/>
      <c r="U19" s="99"/>
      <c r="V19" s="99"/>
      <c r="W19" s="101"/>
      <c r="X19" s="91"/>
      <c r="Y19" s="91"/>
      <c r="Z19" s="91"/>
    </row>
    <row r="20" spans="1:26" ht="23.25" customHeight="1">
      <c r="A20" s="45" t="s">
        <v>9</v>
      </c>
      <c r="B20" s="49">
        <v>1862.2018</v>
      </c>
      <c r="C20" s="31">
        <f t="shared" si="0"/>
        <v>7.0000000000163709E-2</v>
      </c>
      <c r="D20" s="30">
        <f t="shared" si="1"/>
        <v>504.00000000117871</v>
      </c>
      <c r="E20" s="29"/>
      <c r="F20" s="49">
        <v>1130.8076000000001</v>
      </c>
      <c r="G20" s="28">
        <f t="shared" si="2"/>
        <v>4.9899999999979627E-2</v>
      </c>
      <c r="H20" s="30">
        <f t="shared" si="3"/>
        <v>359.27999999985332</v>
      </c>
      <c r="I20" s="33">
        <f t="shared" si="4"/>
        <v>0.71285714285518464</v>
      </c>
      <c r="J20" s="29"/>
      <c r="K20" s="50">
        <v>6.3</v>
      </c>
      <c r="L20" s="35"/>
      <c r="M20" s="95" t="s">
        <v>80</v>
      </c>
      <c r="N20" s="99" t="s">
        <v>99</v>
      </c>
      <c r="O20" s="99"/>
      <c r="P20" s="99"/>
      <c r="Q20" s="99" t="s">
        <v>189</v>
      </c>
      <c r="R20" s="99"/>
      <c r="S20" s="99"/>
      <c r="T20" s="99" t="s">
        <v>94</v>
      </c>
      <c r="U20" s="99"/>
      <c r="V20" s="99"/>
      <c r="W20" s="101"/>
      <c r="X20" s="91"/>
      <c r="Y20" s="91"/>
      <c r="Z20" s="91"/>
    </row>
    <row r="21" spans="1:26" ht="23.25" customHeight="1">
      <c r="A21" s="45" t="s">
        <v>10</v>
      </c>
      <c r="B21" s="49">
        <v>1862.2709</v>
      </c>
      <c r="C21" s="31">
        <f t="shared" si="0"/>
        <v>6.909999999993488E-2</v>
      </c>
      <c r="D21" s="30">
        <f t="shared" si="1"/>
        <v>497.51999999953114</v>
      </c>
      <c r="E21" s="29"/>
      <c r="F21" s="49">
        <v>1130.8570999999999</v>
      </c>
      <c r="G21" s="28">
        <f t="shared" si="2"/>
        <v>4.9499999999852662E-2</v>
      </c>
      <c r="H21" s="30">
        <f t="shared" si="3"/>
        <v>356.39999999893917</v>
      </c>
      <c r="I21" s="33">
        <f t="shared" si="4"/>
        <v>0.71635311143124902</v>
      </c>
      <c r="J21" s="29"/>
      <c r="K21" s="50">
        <v>6.3</v>
      </c>
      <c r="L21" s="35"/>
      <c r="M21" s="96"/>
      <c r="N21" s="102"/>
      <c r="O21" s="102"/>
      <c r="P21" s="102"/>
      <c r="Q21" s="102"/>
      <c r="R21" s="102"/>
      <c r="S21" s="102"/>
      <c r="T21" s="102"/>
      <c r="U21" s="102"/>
      <c r="V21" s="102"/>
      <c r="W21" s="103"/>
      <c r="X21" s="111"/>
      <c r="Y21" s="111"/>
      <c r="Z21" s="111"/>
    </row>
    <row r="22" spans="1:26" ht="23.25" customHeight="1">
      <c r="A22" s="45" t="s">
        <v>11</v>
      </c>
      <c r="B22" s="49">
        <v>1862.3407999999999</v>
      </c>
      <c r="C22" s="31">
        <f t="shared" si="0"/>
        <v>6.9899999999961437E-2</v>
      </c>
      <c r="D22" s="30">
        <f t="shared" si="1"/>
        <v>503.27999999972235</v>
      </c>
      <c r="E22" s="29"/>
      <c r="F22" s="49">
        <v>1130.9073000000001</v>
      </c>
      <c r="G22" s="28">
        <f t="shared" si="2"/>
        <v>5.0200000000131695E-2</v>
      </c>
      <c r="H22" s="30">
        <f t="shared" si="3"/>
        <v>361.4400000009482</v>
      </c>
      <c r="I22" s="33">
        <f t="shared" si="4"/>
        <v>0.71816881259169374</v>
      </c>
      <c r="J22" s="29"/>
      <c r="K22" s="50">
        <v>6.3</v>
      </c>
      <c r="L22" s="35"/>
      <c r="M22" s="10"/>
      <c r="N22" s="106"/>
      <c r="O22" s="106"/>
      <c r="P22" s="106"/>
      <c r="Q22" s="106"/>
      <c r="R22" s="106"/>
      <c r="S22" s="106"/>
      <c r="T22" s="106"/>
      <c r="U22" s="106"/>
      <c r="V22" s="106"/>
      <c r="W22" s="89"/>
      <c r="X22" s="90"/>
      <c r="Y22" s="90"/>
      <c r="Z22" s="90"/>
    </row>
    <row r="23" spans="1:26" ht="23.25" customHeight="1">
      <c r="A23" s="45" t="s">
        <v>12</v>
      </c>
      <c r="B23" s="49">
        <v>1862.4097999999999</v>
      </c>
      <c r="C23" s="31">
        <f t="shared" si="0"/>
        <v>6.8999999999959982E-2</v>
      </c>
      <c r="D23" s="30">
        <f t="shared" si="1"/>
        <v>496.79999999971187</v>
      </c>
      <c r="E23" s="29"/>
      <c r="F23" s="49">
        <v>1130.9567</v>
      </c>
      <c r="G23" s="28">
        <f t="shared" si="2"/>
        <v>4.9399999999877764E-2</v>
      </c>
      <c r="H23" s="30">
        <f t="shared" si="3"/>
        <v>355.6799999991199</v>
      </c>
      <c r="I23" s="33">
        <f t="shared" si="4"/>
        <v>0.71594202898415094</v>
      </c>
      <c r="J23" s="29"/>
      <c r="K23" s="50">
        <v>6.3</v>
      </c>
      <c r="L23" s="35"/>
      <c r="M23" s="10"/>
      <c r="N23" s="106"/>
      <c r="O23" s="106"/>
      <c r="P23" s="106"/>
      <c r="Q23" s="106"/>
      <c r="R23" s="106"/>
      <c r="S23" s="106"/>
      <c r="T23" s="106"/>
      <c r="U23" s="106"/>
      <c r="V23" s="106"/>
      <c r="W23" s="89"/>
      <c r="X23" s="90"/>
      <c r="Y23" s="90"/>
      <c r="Z23" s="90"/>
    </row>
    <row r="24" spans="1:26" ht="23.25" customHeight="1">
      <c r="A24" s="45" t="s">
        <v>13</v>
      </c>
      <c r="B24" s="49">
        <v>1862.4797999999998</v>
      </c>
      <c r="C24" s="31">
        <f t="shared" si="0"/>
        <v>6.9999999999936335E-2</v>
      </c>
      <c r="D24" s="30">
        <f t="shared" si="1"/>
        <v>503.99999999954161</v>
      </c>
      <c r="E24" s="29"/>
      <c r="F24" s="49">
        <v>1131.0066999999999</v>
      </c>
      <c r="G24" s="28">
        <f t="shared" si="2"/>
        <v>4.9999999999954525E-2</v>
      </c>
      <c r="H24" s="30">
        <f t="shared" si="3"/>
        <v>359.99999999967258</v>
      </c>
      <c r="I24" s="33">
        <f t="shared" si="4"/>
        <v>0.7142857142857143</v>
      </c>
      <c r="J24" s="29"/>
      <c r="K24" s="50">
        <v>6.3</v>
      </c>
      <c r="L24" s="35"/>
      <c r="M24" s="10"/>
      <c r="N24" s="106"/>
      <c r="O24" s="106"/>
      <c r="P24" s="106"/>
      <c r="Q24" s="106"/>
      <c r="R24" s="106"/>
      <c r="S24" s="106"/>
      <c r="T24" s="106"/>
      <c r="U24" s="106"/>
      <c r="V24" s="106"/>
      <c r="W24" s="89"/>
      <c r="X24" s="90"/>
      <c r="Y24" s="90"/>
      <c r="Z24" s="90"/>
    </row>
    <row r="25" spans="1:26" ht="23.25" customHeight="1">
      <c r="A25" s="45" t="s">
        <v>14</v>
      </c>
      <c r="B25" s="49">
        <v>1862.5494999999999</v>
      </c>
      <c r="C25" s="31">
        <f t="shared" si="0"/>
        <v>6.9700000000011642E-2</v>
      </c>
      <c r="D25" s="30">
        <f t="shared" si="1"/>
        <v>501.84000000008382</v>
      </c>
      <c r="E25" s="29"/>
      <c r="F25" s="49">
        <v>1131.0558000000001</v>
      </c>
      <c r="G25" s="28">
        <f t="shared" si="2"/>
        <v>4.9100000000180444E-2</v>
      </c>
      <c r="H25" s="30">
        <f t="shared" si="3"/>
        <v>353.52000000129919</v>
      </c>
      <c r="I25" s="33">
        <f t="shared" si="4"/>
        <v>0.70444763271409239</v>
      </c>
      <c r="J25" s="29"/>
      <c r="K25" s="50">
        <v>6.3</v>
      </c>
      <c r="L25" s="35"/>
      <c r="M25" s="10"/>
      <c r="N25" s="106"/>
      <c r="O25" s="106"/>
      <c r="P25" s="106"/>
      <c r="Q25" s="106"/>
      <c r="R25" s="106"/>
      <c r="S25" s="106"/>
      <c r="T25" s="106"/>
      <c r="U25" s="106"/>
      <c r="V25" s="106"/>
      <c r="W25" s="89"/>
      <c r="X25" s="90"/>
      <c r="Y25" s="90"/>
      <c r="Z25" s="90"/>
    </row>
    <row r="26" spans="1:26" ht="23.25" customHeight="1">
      <c r="A26" s="45" t="s">
        <v>15</v>
      </c>
      <c r="B26" s="49">
        <v>1862.6216999999999</v>
      </c>
      <c r="C26" s="31">
        <f t="shared" si="0"/>
        <v>7.2200000000066211E-2</v>
      </c>
      <c r="D26" s="30">
        <f t="shared" si="1"/>
        <v>519.84000000047672</v>
      </c>
      <c r="E26" s="29"/>
      <c r="F26" s="49">
        <v>1131.1052</v>
      </c>
      <c r="G26" s="28">
        <f t="shared" si="2"/>
        <v>4.9399999999877764E-2</v>
      </c>
      <c r="H26" s="30">
        <f t="shared" si="3"/>
        <v>355.6799999991199</v>
      </c>
      <c r="I26" s="33">
        <f t="shared" si="4"/>
        <v>0.68421052631346901</v>
      </c>
      <c r="J26" s="29"/>
      <c r="K26" s="50">
        <v>6.2</v>
      </c>
      <c r="L26" s="35"/>
      <c r="M26" s="10"/>
      <c r="N26" s="106"/>
      <c r="O26" s="106"/>
      <c r="P26" s="106"/>
      <c r="Q26" s="106"/>
      <c r="R26" s="106"/>
      <c r="S26" s="106"/>
      <c r="T26" s="106"/>
      <c r="U26" s="106"/>
      <c r="V26" s="106"/>
      <c r="W26" s="89"/>
      <c r="X26" s="90"/>
      <c r="Y26" s="90"/>
      <c r="Z26" s="90"/>
    </row>
    <row r="27" spans="1:26" ht="23.25" customHeight="1">
      <c r="A27" s="45" t="s">
        <v>16</v>
      </c>
      <c r="B27" s="49">
        <v>1862.6949999999999</v>
      </c>
      <c r="C27" s="31">
        <f t="shared" si="0"/>
        <v>7.3300000000017462E-2</v>
      </c>
      <c r="D27" s="30">
        <f t="shared" si="1"/>
        <v>527.76000000012573</v>
      </c>
      <c r="E27" s="29"/>
      <c r="F27" s="49">
        <v>1131.1537000000001</v>
      </c>
      <c r="G27" s="28">
        <f t="shared" si="2"/>
        <v>4.8500000000103682E-2</v>
      </c>
      <c r="H27" s="30">
        <f t="shared" si="3"/>
        <v>349.20000000074651</v>
      </c>
      <c r="I27" s="33">
        <f t="shared" si="4"/>
        <v>0.6616643929071232</v>
      </c>
      <c r="J27" s="29"/>
      <c r="K27" s="50">
        <v>6.2</v>
      </c>
      <c r="L27" s="35"/>
      <c r="M27" s="10"/>
      <c r="N27" s="106"/>
      <c r="O27" s="106"/>
      <c r="P27" s="106"/>
      <c r="Q27" s="106"/>
      <c r="R27" s="106"/>
      <c r="S27" s="106"/>
      <c r="T27" s="106"/>
      <c r="U27" s="106"/>
      <c r="V27" s="106"/>
      <c r="W27" s="89"/>
      <c r="X27" s="90"/>
      <c r="Y27" s="90"/>
      <c r="Z27" s="90"/>
    </row>
    <row r="28" spans="1:26" ht="23.25" customHeight="1">
      <c r="A28" s="45" t="s">
        <v>17</v>
      </c>
      <c r="B28" s="49">
        <v>1862.7719999999999</v>
      </c>
      <c r="C28" s="31">
        <f t="shared" si="0"/>
        <v>7.6999999999998181E-2</v>
      </c>
      <c r="D28" s="30">
        <f t="shared" si="1"/>
        <v>554.3999999999869</v>
      </c>
      <c r="E28" s="29"/>
      <c r="F28" s="49">
        <v>1131.2052000000001</v>
      </c>
      <c r="G28" s="28">
        <f t="shared" si="2"/>
        <v>5.1500000000032742E-2</v>
      </c>
      <c r="H28" s="30">
        <f t="shared" si="3"/>
        <v>370.80000000023574</v>
      </c>
      <c r="I28" s="33">
        <f t="shared" si="4"/>
        <v>0.66883116883160987</v>
      </c>
      <c r="J28" s="29"/>
      <c r="K28" s="50">
        <v>6.2</v>
      </c>
      <c r="L28" s="35"/>
      <c r="M28" s="10"/>
      <c r="N28" s="106"/>
      <c r="O28" s="106"/>
      <c r="P28" s="106"/>
      <c r="Q28" s="106"/>
      <c r="R28" s="106"/>
      <c r="S28" s="106"/>
      <c r="T28" s="106"/>
      <c r="U28" s="106"/>
      <c r="V28" s="106"/>
      <c r="W28" s="89"/>
      <c r="X28" s="90"/>
      <c r="Y28" s="90"/>
      <c r="Z28" s="90"/>
    </row>
    <row r="29" spans="1:26" ht="23.25" customHeight="1">
      <c r="A29" s="45" t="s">
        <v>18</v>
      </c>
      <c r="B29" s="49">
        <v>1862.8436999999999</v>
      </c>
      <c r="C29" s="31">
        <f t="shared" si="0"/>
        <v>7.1699999999964348E-2</v>
      </c>
      <c r="D29" s="30">
        <f t="shared" si="1"/>
        <v>516.2399999997433</v>
      </c>
      <c r="E29" s="29"/>
      <c r="F29" s="49">
        <v>1131.2525000000001</v>
      </c>
      <c r="G29" s="28">
        <f t="shared" si="2"/>
        <v>4.729999999995016E-2</v>
      </c>
      <c r="H29" s="30">
        <f t="shared" si="3"/>
        <v>340.55999999964115</v>
      </c>
      <c r="I29" s="33">
        <f t="shared" si="4"/>
        <v>0.65969316596894945</v>
      </c>
      <c r="J29" s="29"/>
      <c r="K29" s="50">
        <v>6.2</v>
      </c>
      <c r="L29" s="35"/>
      <c r="M29" s="97" t="s">
        <v>95</v>
      </c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23.25" customHeight="1">
      <c r="A30" s="45" t="s">
        <v>19</v>
      </c>
      <c r="B30" s="49">
        <v>1862.9093</v>
      </c>
      <c r="C30" s="31">
        <f t="shared" si="0"/>
        <v>6.5600000000131331E-2</v>
      </c>
      <c r="D30" s="30">
        <f t="shared" si="1"/>
        <v>472.32000000094558</v>
      </c>
      <c r="E30" s="29"/>
      <c r="F30" s="49">
        <v>1131.2963999999999</v>
      </c>
      <c r="G30" s="28">
        <f t="shared" si="2"/>
        <v>4.3899999999894135E-2</v>
      </c>
      <c r="H30" s="30">
        <f t="shared" si="3"/>
        <v>316.07999999923777</v>
      </c>
      <c r="I30" s="33">
        <f t="shared" si="4"/>
        <v>0.66920731707021719</v>
      </c>
      <c r="J30" s="29"/>
      <c r="K30" s="50">
        <v>6.2</v>
      </c>
      <c r="L30" s="35"/>
      <c r="M30" s="91" t="s">
        <v>97</v>
      </c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 spans="1:26" ht="23.25" customHeight="1">
      <c r="A31" s="45" t="s">
        <v>20</v>
      </c>
      <c r="B31" s="49">
        <v>1862.9769999999999</v>
      </c>
      <c r="C31" s="31">
        <f t="shared" si="0"/>
        <v>6.7699999999831562E-2</v>
      </c>
      <c r="D31" s="30">
        <f t="shared" si="1"/>
        <v>487.43999999878724</v>
      </c>
      <c r="E31" s="29"/>
      <c r="F31" s="49">
        <v>1131.3440000000001</v>
      </c>
      <c r="G31" s="28">
        <f t="shared" si="2"/>
        <v>4.7600000000102227E-2</v>
      </c>
      <c r="H31" s="30">
        <f t="shared" si="3"/>
        <v>342.72000000073604</v>
      </c>
      <c r="I31" s="33">
        <f t="shared" si="4"/>
        <v>0.70310192023959606</v>
      </c>
      <c r="J31" s="29"/>
      <c r="K31" s="50">
        <v>6.2</v>
      </c>
      <c r="L31" s="35"/>
      <c r="M31" s="104" t="s">
        <v>79</v>
      </c>
      <c r="N31" s="98" t="s">
        <v>98</v>
      </c>
      <c r="O31" s="98"/>
      <c r="P31" s="98" t="s">
        <v>100</v>
      </c>
      <c r="Q31" s="98"/>
      <c r="R31" s="98" t="s">
        <v>93</v>
      </c>
      <c r="S31" s="98"/>
      <c r="T31" s="98" t="s">
        <v>103</v>
      </c>
      <c r="U31" s="98"/>
      <c r="V31" s="98" t="s">
        <v>187</v>
      </c>
      <c r="W31" s="98"/>
      <c r="X31" s="98"/>
      <c r="Y31" s="98" t="s">
        <v>91</v>
      </c>
      <c r="Z31" s="100"/>
    </row>
    <row r="32" spans="1:26" ht="23.25" customHeight="1">
      <c r="A32" s="45" t="s">
        <v>21</v>
      </c>
      <c r="B32" s="49">
        <v>1863.0436999999999</v>
      </c>
      <c r="C32" s="31">
        <f t="shared" si="0"/>
        <v>6.6700000000082582E-2</v>
      </c>
      <c r="D32" s="30">
        <f t="shared" si="1"/>
        <v>480.24000000059459</v>
      </c>
      <c r="E32" s="29"/>
      <c r="F32" s="49">
        <v>1131.3913</v>
      </c>
      <c r="G32" s="28">
        <f t="shared" si="2"/>
        <v>4.729999999995016E-2</v>
      </c>
      <c r="H32" s="30">
        <f t="shared" si="3"/>
        <v>340.55999999964115</v>
      </c>
      <c r="I32" s="33">
        <f t="shared" si="4"/>
        <v>0.70914542728473162</v>
      </c>
      <c r="J32" s="29"/>
      <c r="K32" s="50">
        <v>6.2</v>
      </c>
      <c r="L32" s="35"/>
      <c r="M32" s="95"/>
      <c r="N32" s="99"/>
      <c r="O32" s="99"/>
      <c r="P32" s="99" t="s">
        <v>83</v>
      </c>
      <c r="Q32" s="99"/>
      <c r="R32" s="99" t="s">
        <v>102</v>
      </c>
      <c r="S32" s="99"/>
      <c r="T32" s="99" t="s">
        <v>104</v>
      </c>
      <c r="U32" s="99"/>
      <c r="V32" s="99" t="s">
        <v>105</v>
      </c>
      <c r="W32" s="99"/>
      <c r="X32" s="99"/>
      <c r="Y32" s="99"/>
      <c r="Z32" s="101"/>
    </row>
    <row r="33" spans="1:26" ht="23.25" customHeight="1">
      <c r="A33" s="45" t="s">
        <v>22</v>
      </c>
      <c r="B33" s="49">
        <v>1863.1088</v>
      </c>
      <c r="C33" s="31">
        <f t="shared" si="0"/>
        <v>6.5100000000029468E-2</v>
      </c>
      <c r="D33" s="30">
        <f t="shared" si="1"/>
        <v>468.72000000021217</v>
      </c>
      <c r="E33" s="29"/>
      <c r="F33" s="49">
        <v>1131.4372000000001</v>
      </c>
      <c r="G33" s="28">
        <f t="shared" si="2"/>
        <v>4.5900000000074215E-2</v>
      </c>
      <c r="H33" s="30">
        <f t="shared" si="3"/>
        <v>330.48000000053435</v>
      </c>
      <c r="I33" s="33">
        <f t="shared" si="4"/>
        <v>0.70506912442478398</v>
      </c>
      <c r="J33" s="29"/>
      <c r="K33" s="50">
        <v>6.2</v>
      </c>
      <c r="L33" s="35"/>
      <c r="M33" s="95" t="s">
        <v>80</v>
      </c>
      <c r="N33" s="99" t="s">
        <v>99</v>
      </c>
      <c r="O33" s="99"/>
      <c r="P33" s="99" t="s">
        <v>101</v>
      </c>
      <c r="Q33" s="99"/>
      <c r="R33" s="99" t="s">
        <v>69</v>
      </c>
      <c r="S33" s="99"/>
      <c r="T33" s="99" t="s">
        <v>69</v>
      </c>
      <c r="U33" s="99"/>
      <c r="V33" s="99" t="s">
        <v>106</v>
      </c>
      <c r="W33" s="99"/>
      <c r="X33" s="99"/>
      <c r="Y33" s="99"/>
      <c r="Z33" s="101"/>
    </row>
    <row r="34" spans="1:26" ht="23.25" customHeight="1">
      <c r="A34" s="45" t="s">
        <v>23</v>
      </c>
      <c r="B34" s="49">
        <v>1863.1715999999999</v>
      </c>
      <c r="C34" s="31">
        <f t="shared" si="0"/>
        <v>6.2799999999924694E-2</v>
      </c>
      <c r="D34" s="30">
        <f t="shared" si="1"/>
        <v>452.1599999994578</v>
      </c>
      <c r="E34" s="29"/>
      <c r="F34" s="49">
        <v>1131.4792</v>
      </c>
      <c r="G34" s="28">
        <f t="shared" si="2"/>
        <v>4.1999999999916326E-2</v>
      </c>
      <c r="H34" s="30">
        <f t="shared" si="3"/>
        <v>302.39999999939755</v>
      </c>
      <c r="I34" s="33">
        <f t="shared" si="4"/>
        <v>0.66878980891666706</v>
      </c>
      <c r="J34" s="29"/>
      <c r="K34" s="50">
        <v>6.3</v>
      </c>
      <c r="L34" s="35"/>
      <c r="M34" s="96"/>
      <c r="N34" s="102"/>
      <c r="O34" s="102"/>
      <c r="P34" s="102"/>
      <c r="Q34" s="102"/>
      <c r="R34" s="103"/>
      <c r="S34" s="96"/>
      <c r="T34" s="103"/>
      <c r="U34" s="96"/>
      <c r="V34" s="103"/>
      <c r="W34" s="111"/>
      <c r="X34" s="96"/>
      <c r="Y34" s="102"/>
      <c r="Z34" s="103"/>
    </row>
    <row r="35" spans="1:26" ht="23.25" customHeight="1">
      <c r="A35" s="45" t="s">
        <v>24</v>
      </c>
      <c r="B35" s="49">
        <v>1863.2338</v>
      </c>
      <c r="C35" s="31">
        <f t="shared" si="0"/>
        <v>6.2200000000075306E-2</v>
      </c>
      <c r="D35" s="30">
        <f t="shared" si="1"/>
        <v>447.8400000005422</v>
      </c>
      <c r="E35" s="29"/>
      <c r="F35" s="49">
        <v>1131.5216</v>
      </c>
      <c r="G35" s="28">
        <f t="shared" si="2"/>
        <v>4.2400000000043292E-2</v>
      </c>
      <c r="H35" s="30">
        <f t="shared" si="3"/>
        <v>305.2800000003117</v>
      </c>
      <c r="I35" s="33">
        <f t="shared" si="4"/>
        <v>0.6816720257233434</v>
      </c>
      <c r="J35" s="29"/>
      <c r="K35" s="50">
        <v>6.3</v>
      </c>
      <c r="L35" s="35"/>
      <c r="M35" s="10"/>
      <c r="N35" s="106" t="s">
        <v>171</v>
      </c>
      <c r="O35" s="106"/>
      <c r="P35" s="113">
        <v>6</v>
      </c>
      <c r="Q35" s="113"/>
      <c r="R35" s="106">
        <v>250</v>
      </c>
      <c r="S35" s="106"/>
      <c r="T35" s="106"/>
      <c r="U35" s="106"/>
      <c r="V35" s="106"/>
      <c r="W35" s="106"/>
      <c r="X35" s="106"/>
      <c r="Y35" s="106"/>
      <c r="Z35" s="89"/>
    </row>
    <row r="36" spans="1:26" ht="23.25" customHeight="1">
      <c r="A36" s="45" t="s">
        <v>25</v>
      </c>
      <c r="B36" s="49">
        <v>1863.2974999999999</v>
      </c>
      <c r="C36" s="31">
        <f t="shared" si="0"/>
        <v>6.3699999999926149E-2</v>
      </c>
      <c r="D36" s="30">
        <f t="shared" si="1"/>
        <v>458.63999999946827</v>
      </c>
      <c r="E36" s="29"/>
      <c r="F36" s="49">
        <v>1131.5654</v>
      </c>
      <c r="G36" s="28">
        <f t="shared" si="2"/>
        <v>4.3799999999919237E-2</v>
      </c>
      <c r="H36" s="30">
        <f t="shared" si="3"/>
        <v>315.35999999941851</v>
      </c>
      <c r="I36" s="33">
        <f t="shared" si="4"/>
        <v>0.68759811616907407</v>
      </c>
      <c r="J36" s="29"/>
      <c r="K36" s="50">
        <v>6.3</v>
      </c>
      <c r="L36" s="35"/>
      <c r="M36" s="10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89"/>
    </row>
    <row r="37" spans="1:26" ht="23.25" customHeight="1">
      <c r="A37" s="45" t="s">
        <v>26</v>
      </c>
      <c r="B37" s="49">
        <v>1863.3618999999999</v>
      </c>
      <c r="C37" s="31">
        <f t="shared" si="0"/>
        <v>6.4399999999977808E-2</v>
      </c>
      <c r="D37" s="30">
        <f t="shared" si="1"/>
        <v>463.67999999984022</v>
      </c>
      <c r="E37" s="29"/>
      <c r="F37" s="49">
        <v>1131.6090999999999</v>
      </c>
      <c r="G37" s="28">
        <f t="shared" si="2"/>
        <v>4.3699999999944339E-2</v>
      </c>
      <c r="H37" s="30">
        <f t="shared" si="3"/>
        <v>314.63999999959924</v>
      </c>
      <c r="I37" s="33">
        <f t="shared" si="4"/>
        <v>0.67857142857079811</v>
      </c>
      <c r="J37" s="29"/>
      <c r="K37" s="50">
        <v>6.3</v>
      </c>
      <c r="L37" s="35"/>
      <c r="M37" s="10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89"/>
    </row>
    <row r="38" spans="1:26" ht="23.25" customHeight="1">
      <c r="A38" s="45" t="s">
        <v>27</v>
      </c>
      <c r="B38" s="49">
        <v>1863.4250999999999</v>
      </c>
      <c r="C38" s="31">
        <f t="shared" si="0"/>
        <v>6.3200000000051659E-2</v>
      </c>
      <c r="D38" s="30">
        <f t="shared" si="1"/>
        <v>455.04000000037195</v>
      </c>
      <c r="E38" s="29"/>
      <c r="F38" s="49">
        <v>1131.6521</v>
      </c>
      <c r="G38" s="28">
        <f t="shared" si="2"/>
        <v>4.3000000000120053E-2</v>
      </c>
      <c r="H38" s="30">
        <f t="shared" si="3"/>
        <v>309.60000000086438</v>
      </c>
      <c r="I38" s="33">
        <f t="shared" si="4"/>
        <v>0.68037974683678648</v>
      </c>
      <c r="J38" s="29"/>
      <c r="K38" s="50">
        <v>6.3</v>
      </c>
      <c r="L38" s="35"/>
      <c r="M38" s="10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89"/>
    </row>
    <row r="39" spans="1:26" ht="23.25" customHeight="1">
      <c r="A39" s="45" t="s">
        <v>28</v>
      </c>
      <c r="B39" s="49">
        <v>1863.4891</v>
      </c>
      <c r="C39" s="31">
        <f t="shared" si="0"/>
        <v>6.4000000000078217E-2</v>
      </c>
      <c r="D39" s="30">
        <f t="shared" si="1"/>
        <v>460.80000000056316</v>
      </c>
      <c r="E39" s="29"/>
      <c r="F39" s="49">
        <v>1131.6961000000001</v>
      </c>
      <c r="G39" s="28">
        <f t="shared" si="2"/>
        <v>4.4000000000096406E-2</v>
      </c>
      <c r="H39" s="30">
        <f t="shared" si="3"/>
        <v>316.80000000069413</v>
      </c>
      <c r="I39" s="33">
        <f t="shared" si="4"/>
        <v>0.68750000000066613</v>
      </c>
      <c r="J39" s="29"/>
      <c r="K39" s="50">
        <v>6.3</v>
      </c>
      <c r="L39" s="35"/>
      <c r="M39" s="10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89"/>
    </row>
    <row r="40" spans="1:26" ht="23.25" customHeight="1">
      <c r="A40" s="45" t="s">
        <v>29</v>
      </c>
      <c r="B40" s="49">
        <v>1863.5516</v>
      </c>
      <c r="C40" s="31">
        <f t="shared" si="0"/>
        <v>6.25E-2</v>
      </c>
      <c r="D40" s="30">
        <f t="shared" si="1"/>
        <v>450</v>
      </c>
      <c r="E40" s="29"/>
      <c r="F40" s="49">
        <v>1131.7394999999999</v>
      </c>
      <c r="G40" s="28">
        <f t="shared" si="2"/>
        <v>4.3399999999792271E-2</v>
      </c>
      <c r="H40" s="30">
        <f t="shared" si="3"/>
        <v>312.47999999850435</v>
      </c>
      <c r="I40" s="33">
        <f t="shared" si="4"/>
        <v>0.69439999999667634</v>
      </c>
      <c r="J40" s="29"/>
      <c r="K40" s="50">
        <v>6.3</v>
      </c>
      <c r="L40" s="35"/>
      <c r="M40" s="91" t="s">
        <v>109</v>
      </c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</row>
    <row r="41" spans="1:26" ht="23.25" customHeight="1">
      <c r="A41" s="45" t="s">
        <v>30</v>
      </c>
      <c r="B41" s="49">
        <v>1863.6144999999999</v>
      </c>
      <c r="C41" s="31">
        <f t="shared" si="0"/>
        <v>6.2899999999899592E-2</v>
      </c>
      <c r="D41" s="30">
        <f t="shared" si="1"/>
        <v>452.87999999927706</v>
      </c>
      <c r="E41" s="29"/>
      <c r="F41" s="49">
        <v>1131.7836</v>
      </c>
      <c r="G41" s="28">
        <f t="shared" si="2"/>
        <v>4.4100000000071304E-2</v>
      </c>
      <c r="H41" s="30">
        <f t="shared" si="3"/>
        <v>317.52000000051339</v>
      </c>
      <c r="I41" s="33">
        <f t="shared" si="4"/>
        <v>0.70111287758571861</v>
      </c>
      <c r="J41" s="29"/>
      <c r="K41" s="50">
        <v>6.3</v>
      </c>
      <c r="L41" s="35"/>
      <c r="M41" s="104" t="s">
        <v>79</v>
      </c>
      <c r="N41" s="98" t="s">
        <v>98</v>
      </c>
      <c r="O41" s="98"/>
      <c r="P41" s="98" t="s">
        <v>93</v>
      </c>
      <c r="Q41" s="98"/>
      <c r="R41" s="98"/>
      <c r="S41" s="98" t="s">
        <v>111</v>
      </c>
      <c r="T41" s="98" t="s">
        <v>81</v>
      </c>
      <c r="U41" s="98"/>
      <c r="V41" s="98"/>
      <c r="W41" s="98"/>
      <c r="X41" s="98" t="s">
        <v>93</v>
      </c>
      <c r="Y41" s="98"/>
      <c r="Z41" s="100"/>
    </row>
    <row r="42" spans="1:26" ht="23.25" customHeight="1">
      <c r="A42" s="45" t="s">
        <v>31</v>
      </c>
      <c r="B42" s="49">
        <v>1863.6772000000001</v>
      </c>
      <c r="C42" s="31">
        <f t="shared" si="0"/>
        <v>6.270000000017717E-2</v>
      </c>
      <c r="D42" s="30">
        <f t="shared" si="1"/>
        <v>451.44000000127562</v>
      </c>
      <c r="E42" s="29"/>
      <c r="F42" s="49">
        <v>1131.8273999999999</v>
      </c>
      <c r="G42" s="28">
        <f t="shared" si="2"/>
        <v>4.3799999999919237E-2</v>
      </c>
      <c r="H42" s="30">
        <f t="shared" si="3"/>
        <v>315.35999999941851</v>
      </c>
      <c r="I42" s="33">
        <f t="shared" si="4"/>
        <v>0.69856459329817344</v>
      </c>
      <c r="J42" s="29"/>
      <c r="K42" s="50">
        <v>6.3</v>
      </c>
      <c r="L42" s="35"/>
      <c r="M42" s="95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101"/>
    </row>
    <row r="43" spans="1:26" ht="22.5" customHeight="1">
      <c r="A43" s="121" t="s">
        <v>70</v>
      </c>
      <c r="B43" s="121"/>
      <c r="C43" s="121"/>
      <c r="D43" s="30">
        <f>SUM(D18:D42)</f>
        <v>11630.88000000098</v>
      </c>
      <c r="E43" s="29"/>
      <c r="F43" s="36"/>
      <c r="G43" s="29"/>
      <c r="H43" s="30">
        <f>SUM(H18:H42)</f>
        <v>8057.5199999992037</v>
      </c>
      <c r="I43" s="33">
        <f>IF(AND(H43=0,D43=0),0,H43/D43)</f>
        <v>0.69276959267041915</v>
      </c>
      <c r="J43" s="29"/>
      <c r="K43" s="29"/>
      <c r="L43" s="35"/>
      <c r="M43" s="95" t="s">
        <v>80</v>
      </c>
      <c r="N43" s="99" t="s">
        <v>99</v>
      </c>
      <c r="O43" s="99"/>
      <c r="P43" s="99" t="s">
        <v>110</v>
      </c>
      <c r="Q43" s="99"/>
      <c r="R43" s="99"/>
      <c r="S43" s="99"/>
      <c r="T43" s="99"/>
      <c r="U43" s="99"/>
      <c r="V43" s="99"/>
      <c r="W43" s="99"/>
      <c r="X43" s="99" t="s">
        <v>110</v>
      </c>
      <c r="Y43" s="99"/>
      <c r="Z43" s="101"/>
    </row>
    <row r="44" spans="1:26" ht="22.5" customHeight="1">
      <c r="A44" s="76" t="s">
        <v>71</v>
      </c>
      <c r="B44" s="76"/>
      <c r="C44" s="76"/>
      <c r="D44" s="29"/>
      <c r="E44" s="29"/>
      <c r="F44" s="36"/>
      <c r="G44" s="29"/>
      <c r="H44" s="29"/>
      <c r="I44" s="29"/>
      <c r="J44" s="29"/>
      <c r="K44" s="29"/>
      <c r="L44" s="35"/>
      <c r="M44" s="96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3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89"/>
      <c r="O45" s="105"/>
      <c r="P45" s="89"/>
      <c r="Q45" s="90"/>
      <c r="R45" s="105"/>
      <c r="S45" s="8"/>
      <c r="T45" s="89"/>
      <c r="U45" s="90"/>
      <c r="V45" s="90"/>
      <c r="W45" s="105"/>
      <c r="X45" s="89"/>
      <c r="Y45" s="90"/>
      <c r="Z45" s="90"/>
    </row>
    <row r="46" spans="1:26" ht="22.5" customHeight="1">
      <c r="A46" s="54" t="s">
        <v>72</v>
      </c>
      <c r="B46" s="54"/>
      <c r="C46" s="54"/>
      <c r="D46" s="54"/>
      <c r="E46" s="54"/>
      <c r="F46" s="54"/>
      <c r="G46" s="77" t="s">
        <v>73</v>
      </c>
      <c r="H46" s="77"/>
      <c r="I46" s="77"/>
      <c r="J46" s="77"/>
      <c r="K46" s="77"/>
      <c r="L46" s="77"/>
      <c r="M46" s="10"/>
      <c r="N46" s="89"/>
      <c r="O46" s="105"/>
      <c r="P46" s="89"/>
      <c r="Q46" s="90"/>
      <c r="R46" s="105"/>
      <c r="S46" s="8"/>
      <c r="T46" s="89"/>
      <c r="U46" s="90"/>
      <c r="V46" s="90"/>
      <c r="W46" s="105"/>
      <c r="X46" s="89"/>
      <c r="Y46" s="90"/>
      <c r="Z46" s="90"/>
    </row>
    <row r="47" spans="1:26" ht="22.5" customHeight="1">
      <c r="A47" s="52" t="s">
        <v>388</v>
      </c>
      <c r="B47" s="52"/>
      <c r="C47" s="52"/>
      <c r="D47" s="54" t="s">
        <v>74</v>
      </c>
      <c r="E47" s="54"/>
      <c r="F47" s="54"/>
      <c r="G47" s="40"/>
      <c r="H47" s="40"/>
      <c r="I47" s="40"/>
      <c r="J47" s="40"/>
      <c r="K47" s="40"/>
      <c r="L47" s="40"/>
      <c r="M47" s="10"/>
      <c r="N47" s="89"/>
      <c r="O47" s="105"/>
      <c r="P47" s="89"/>
      <c r="Q47" s="90"/>
      <c r="R47" s="105"/>
      <c r="S47" s="8"/>
      <c r="T47" s="89"/>
      <c r="U47" s="90"/>
      <c r="V47" s="90"/>
      <c r="W47" s="105"/>
      <c r="X47" s="89"/>
      <c r="Y47" s="90"/>
      <c r="Z47" s="90"/>
    </row>
    <row r="48" spans="1:26" ht="22.5" customHeight="1">
      <c r="A48" s="55" t="s">
        <v>75</v>
      </c>
      <c r="B48" s="55"/>
      <c r="C48" s="55"/>
      <c r="D48" s="55" t="s">
        <v>76</v>
      </c>
      <c r="E48" s="55"/>
      <c r="F48" s="55"/>
      <c r="G48" s="39"/>
      <c r="H48" s="39"/>
      <c r="I48" s="39"/>
      <c r="J48" s="39"/>
      <c r="K48" s="39"/>
      <c r="L48" s="39"/>
    </row>
    <row r="49" spans="1:23" ht="22.5" customHeight="1">
      <c r="A49" s="52" t="s">
        <v>389</v>
      </c>
      <c r="B49" s="52"/>
      <c r="C49" s="52"/>
      <c r="D49" s="54" t="s">
        <v>74</v>
      </c>
      <c r="E49" s="54"/>
      <c r="F49" s="54"/>
      <c r="G49" s="39"/>
      <c r="H49" s="54" t="s">
        <v>191</v>
      </c>
      <c r="I49" s="54"/>
      <c r="J49" s="54"/>
      <c r="K49" s="54" t="s">
        <v>77</v>
      </c>
      <c r="L49" s="54"/>
      <c r="N49" s="57" t="s">
        <v>150</v>
      </c>
      <c r="O49" s="57"/>
      <c r="P49" s="57"/>
      <c r="Q49" s="56" t="s">
        <v>391</v>
      </c>
      <c r="R49" s="56"/>
      <c r="S49" s="56"/>
      <c r="T49" s="56"/>
      <c r="U49" s="56"/>
      <c r="V49" s="56"/>
      <c r="W49" s="1"/>
    </row>
    <row r="50" spans="1:23" ht="22.5" customHeight="1">
      <c r="A50" s="55" t="s">
        <v>75</v>
      </c>
      <c r="B50" s="55"/>
      <c r="C50" s="55"/>
      <c r="D50" s="55" t="s">
        <v>76</v>
      </c>
      <c r="E50" s="55"/>
      <c r="F50" s="55"/>
      <c r="G50" s="44"/>
      <c r="H50" s="55" t="s">
        <v>75</v>
      </c>
      <c r="I50" s="55"/>
      <c r="J50" s="55"/>
      <c r="K50" s="55" t="s">
        <v>76</v>
      </c>
      <c r="L50" s="55"/>
      <c r="S50" s="53" t="s">
        <v>76</v>
      </c>
      <c r="T50" s="53"/>
    </row>
    <row r="51" spans="1:23" ht="20.100000000000001" customHeight="1">
      <c r="A51" s="52" t="s">
        <v>390</v>
      </c>
      <c r="B51" s="52"/>
      <c r="C51" s="52"/>
      <c r="D51" s="54" t="s">
        <v>74</v>
      </c>
      <c r="E51" s="54"/>
      <c r="F51" s="54"/>
      <c r="G51" s="39"/>
      <c r="H51" s="39"/>
      <c r="I51" s="39"/>
      <c r="J51" s="39"/>
      <c r="K51" s="39"/>
      <c r="L51" s="39"/>
    </row>
    <row r="52" spans="1:23" ht="20.100000000000001" customHeight="1">
      <c r="A52" s="53" t="s">
        <v>75</v>
      </c>
      <c r="B52" s="53"/>
      <c r="C52" s="53"/>
      <c r="D52" s="53" t="s">
        <v>76</v>
      </c>
      <c r="E52" s="53"/>
      <c r="F52" s="53"/>
      <c r="G52" s="1"/>
      <c r="H52" s="1"/>
    </row>
  </sheetData>
  <sheetProtection sheet="1" objects="1" scenarios="1"/>
  <mergeCells count="258">
    <mergeCell ref="X11:Z11"/>
    <mergeCell ref="X12:Z12"/>
    <mergeCell ref="X13:Z13"/>
    <mergeCell ref="X14:Z14"/>
    <mergeCell ref="X15:Z15"/>
    <mergeCell ref="R39:S39"/>
    <mergeCell ref="T39:U39"/>
    <mergeCell ref="V39:X39"/>
    <mergeCell ref="Y39:Z39"/>
    <mergeCell ref="S41:S44"/>
    <mergeCell ref="I1:L2"/>
    <mergeCell ref="G5:H6"/>
    <mergeCell ref="I5:L6"/>
    <mergeCell ref="S50:T50"/>
    <mergeCell ref="N39:O39"/>
    <mergeCell ref="P39:Q39"/>
    <mergeCell ref="N41:O42"/>
    <mergeCell ref="P41:R42"/>
    <mergeCell ref="Q49:V49"/>
    <mergeCell ref="N49:P49"/>
    <mergeCell ref="P45:R45"/>
    <mergeCell ref="P46:R46"/>
    <mergeCell ref="P47:R47"/>
    <mergeCell ref="N45:O45"/>
    <mergeCell ref="N46:O46"/>
    <mergeCell ref="V38:X38"/>
    <mergeCell ref="P34:Q34"/>
    <mergeCell ref="X9:Z9"/>
    <mergeCell ref="X10:Z10"/>
    <mergeCell ref="X47:Z47"/>
    <mergeCell ref="M43:M44"/>
    <mergeCell ref="N47:O47"/>
    <mergeCell ref="T45:W45"/>
    <mergeCell ref="T46:W46"/>
    <mergeCell ref="T47:W47"/>
    <mergeCell ref="N43:O44"/>
    <mergeCell ref="P43:R44"/>
    <mergeCell ref="M40:Z40"/>
    <mergeCell ref="M41:M42"/>
    <mergeCell ref="T41:W44"/>
    <mergeCell ref="X45:Z45"/>
    <mergeCell ref="X46:Z46"/>
    <mergeCell ref="X41:Z42"/>
    <mergeCell ref="X43:Z44"/>
    <mergeCell ref="Y38:Z38"/>
    <mergeCell ref="N38:O38"/>
    <mergeCell ref="P38:Q38"/>
    <mergeCell ref="R38:S38"/>
    <mergeCell ref="T38:U38"/>
    <mergeCell ref="N37:O37"/>
    <mergeCell ref="P37:Q37"/>
    <mergeCell ref="R37:S37"/>
    <mergeCell ref="N35:O35"/>
    <mergeCell ref="P35:Q35"/>
    <mergeCell ref="R35:S35"/>
    <mergeCell ref="T35:U35"/>
    <mergeCell ref="V35:X35"/>
    <mergeCell ref="T37:U37"/>
    <mergeCell ref="Y35:Z35"/>
    <mergeCell ref="N36:O36"/>
    <mergeCell ref="P36:Q36"/>
    <mergeCell ref="R36:S36"/>
    <mergeCell ref="T36:U36"/>
    <mergeCell ref="V36:X36"/>
    <mergeCell ref="Y36:Z36"/>
    <mergeCell ref="V37:X37"/>
    <mergeCell ref="Y37:Z37"/>
    <mergeCell ref="X16:Z16"/>
    <mergeCell ref="W26:Z26"/>
    <mergeCell ref="R34:S34"/>
    <mergeCell ref="T34:U34"/>
    <mergeCell ref="T18:V19"/>
    <mergeCell ref="T22:V22"/>
    <mergeCell ref="Q18:S18"/>
    <mergeCell ref="T25:V25"/>
    <mergeCell ref="Q20:S20"/>
    <mergeCell ref="T28:V28"/>
    <mergeCell ref="Q26:S26"/>
    <mergeCell ref="Q27:S27"/>
    <mergeCell ref="T27:V27"/>
    <mergeCell ref="T33:U33"/>
    <mergeCell ref="R31:S31"/>
    <mergeCell ref="R32:S32"/>
    <mergeCell ref="V34:X34"/>
    <mergeCell ref="P32:Q32"/>
    <mergeCell ref="P33:Q33"/>
    <mergeCell ref="Q22:S22"/>
    <mergeCell ref="N18:P19"/>
    <mergeCell ref="W22:Z22"/>
    <mergeCell ref="T20:V21"/>
    <mergeCell ref="W25:Z25"/>
    <mergeCell ref="N24:P24"/>
    <mergeCell ref="Q24:S24"/>
    <mergeCell ref="N23:P23"/>
    <mergeCell ref="W24:Z24"/>
    <mergeCell ref="N25:P25"/>
    <mergeCell ref="Q23:S23"/>
    <mergeCell ref="T24:V24"/>
    <mergeCell ref="P31:Q31"/>
    <mergeCell ref="N27:P27"/>
    <mergeCell ref="W27:Z27"/>
    <mergeCell ref="N26:P26"/>
    <mergeCell ref="N31:O32"/>
    <mergeCell ref="N33:O34"/>
    <mergeCell ref="W28:Z28"/>
    <mergeCell ref="Q19:S19"/>
    <mergeCell ref="R8:S8"/>
    <mergeCell ref="R9:S9"/>
    <mergeCell ref="R10:S10"/>
    <mergeCell ref="T8:U8"/>
    <mergeCell ref="N28:P28"/>
    <mergeCell ref="Q28:S28"/>
    <mergeCell ref="P16:Q16"/>
    <mergeCell ref="M17:Z17"/>
    <mergeCell ref="W18:Z21"/>
    <mergeCell ref="Q21:S21"/>
    <mergeCell ref="P15:Q15"/>
    <mergeCell ref="M18:M19"/>
    <mergeCell ref="N20:P21"/>
    <mergeCell ref="W23:Z23"/>
    <mergeCell ref="R16:S16"/>
    <mergeCell ref="V15:W15"/>
    <mergeCell ref="V16:W16"/>
    <mergeCell ref="N22:P22"/>
    <mergeCell ref="T23:V23"/>
    <mergeCell ref="T26:V26"/>
    <mergeCell ref="Q25:S25"/>
    <mergeCell ref="V14:W14"/>
    <mergeCell ref="T16:U16"/>
    <mergeCell ref="T14:U14"/>
    <mergeCell ref="T9:U9"/>
    <mergeCell ref="T10:U10"/>
    <mergeCell ref="T11:U11"/>
    <mergeCell ref="V13:W13"/>
    <mergeCell ref="I13:I17"/>
    <mergeCell ref="J13:K13"/>
    <mergeCell ref="J14:K14"/>
    <mergeCell ref="J15:K15"/>
    <mergeCell ref="T15:U15"/>
    <mergeCell ref="P13:Q13"/>
    <mergeCell ref="P14:Q14"/>
    <mergeCell ref="T13:U13"/>
    <mergeCell ref="R14:S14"/>
    <mergeCell ref="R15:S15"/>
    <mergeCell ref="N8:O8"/>
    <mergeCell ref="N9:O9"/>
    <mergeCell ref="P5:Q6"/>
    <mergeCell ref="N3:O6"/>
    <mergeCell ref="T3:U3"/>
    <mergeCell ref="N13:O13"/>
    <mergeCell ref="V8:W8"/>
    <mergeCell ref="V9:W9"/>
    <mergeCell ref="V10:W10"/>
    <mergeCell ref="V11:W11"/>
    <mergeCell ref="V12:W12"/>
    <mergeCell ref="V4:W4"/>
    <mergeCell ref="V5:W5"/>
    <mergeCell ref="V6:W6"/>
    <mergeCell ref="V7:W7"/>
    <mergeCell ref="R3:S3"/>
    <mergeCell ref="R4:S4"/>
    <mergeCell ref="R5:S5"/>
    <mergeCell ref="T12:U12"/>
    <mergeCell ref="R13:S13"/>
    <mergeCell ref="T6:U6"/>
    <mergeCell ref="R33:S33"/>
    <mergeCell ref="T31:U31"/>
    <mergeCell ref="T32:U32"/>
    <mergeCell ref="M1:Z1"/>
    <mergeCell ref="M2:Z2"/>
    <mergeCell ref="X3:Z6"/>
    <mergeCell ref="M5:M6"/>
    <mergeCell ref="M3:M4"/>
    <mergeCell ref="P3:Q4"/>
    <mergeCell ref="R6:S6"/>
    <mergeCell ref="T4:U4"/>
    <mergeCell ref="T5:U5"/>
    <mergeCell ref="M20:M21"/>
    <mergeCell ref="M31:M32"/>
    <mergeCell ref="N16:O16"/>
    <mergeCell ref="N12:O12"/>
    <mergeCell ref="P7:Q7"/>
    <mergeCell ref="P8:Q8"/>
    <mergeCell ref="P9:Q9"/>
    <mergeCell ref="R7:S7"/>
    <mergeCell ref="T7:U7"/>
    <mergeCell ref="V3:W3"/>
    <mergeCell ref="X7:Z7"/>
    <mergeCell ref="N7:O7"/>
    <mergeCell ref="X8:Z8"/>
    <mergeCell ref="H49:J49"/>
    <mergeCell ref="K49:L49"/>
    <mergeCell ref="A7:L7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N10:O10"/>
    <mergeCell ref="N11:O11"/>
    <mergeCell ref="N14:O14"/>
    <mergeCell ref="N15:O15"/>
    <mergeCell ref="R11:S11"/>
    <mergeCell ref="R12:S12"/>
    <mergeCell ref="P10:Q10"/>
    <mergeCell ref="P11:Q11"/>
    <mergeCell ref="P12:Q12"/>
    <mergeCell ref="V33:X33"/>
    <mergeCell ref="A3:F3"/>
    <mergeCell ref="A5:F5"/>
    <mergeCell ref="A48:C48"/>
    <mergeCell ref="A49:C49"/>
    <mergeCell ref="A50:C50"/>
    <mergeCell ref="D50:F50"/>
    <mergeCell ref="D48:F48"/>
    <mergeCell ref="F15:G15"/>
    <mergeCell ref="A46:F46"/>
    <mergeCell ref="A44:C44"/>
    <mergeCell ref="G1:H2"/>
    <mergeCell ref="G3:H4"/>
    <mergeCell ref="A1:F1"/>
    <mergeCell ref="A2:F2"/>
    <mergeCell ref="A4:F4"/>
    <mergeCell ref="A51:C51"/>
    <mergeCell ref="A6:F6"/>
    <mergeCell ref="D47:F47"/>
    <mergeCell ref="F14:G14"/>
    <mergeCell ref="A9:L9"/>
    <mergeCell ref="G46:L46"/>
    <mergeCell ref="H10:L10"/>
    <mergeCell ref="D13:E13"/>
    <mergeCell ref="E10:G10"/>
    <mergeCell ref="A43:C43"/>
    <mergeCell ref="I3:L4"/>
    <mergeCell ref="A11:D11"/>
    <mergeCell ref="E11:H11"/>
    <mergeCell ref="A10:D10"/>
    <mergeCell ref="F13:G13"/>
    <mergeCell ref="H50:J50"/>
    <mergeCell ref="K50:L50"/>
    <mergeCell ref="D49:F49"/>
    <mergeCell ref="A12:L12"/>
    <mergeCell ref="A52:C52"/>
    <mergeCell ref="D52:F52"/>
    <mergeCell ref="D51:F51"/>
    <mergeCell ref="K16:K17"/>
    <mergeCell ref="A13:A17"/>
    <mergeCell ref="E16:E17"/>
    <mergeCell ref="B15:C15"/>
    <mergeCell ref="D15:E15"/>
    <mergeCell ref="B13:C13"/>
    <mergeCell ref="J16:J17"/>
    <mergeCell ref="A47:C47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>
  <sheetPr codeName="Лист17"/>
  <dimension ref="A1:Z52"/>
  <sheetViews>
    <sheetView view="pageBreakPreview" topLeftCell="A13" zoomScale="75" zoomScaleNormal="50" zoomScaleSheetLayoutView="75" workbookViewId="0">
      <selection activeCell="F37" sqref="F37"/>
    </sheetView>
  </sheetViews>
  <sheetFormatPr defaultRowHeight="18.75"/>
  <cols>
    <col min="1" max="1" width="11.140625" style="2" customWidth="1"/>
    <col min="2" max="2" width="13.42578125" style="2" customWidth="1"/>
    <col min="3" max="3" width="12.140625" style="2" customWidth="1"/>
    <col min="4" max="4" width="14" style="2" customWidth="1"/>
    <col min="5" max="5" width="5.42578125" style="2" customWidth="1"/>
    <col min="6" max="6" width="13.85546875" style="2" customWidth="1"/>
    <col min="7" max="7" width="12.85546875" style="2" customWidth="1"/>
    <col min="8" max="8" width="18.42578125" style="2" customWidth="1"/>
    <col min="9" max="9" width="8.28515625" style="2" customWidth="1"/>
    <col min="10" max="11" width="8.85546875" style="2" customWidth="1"/>
    <col min="12" max="12" width="17" style="2" customWidth="1"/>
    <col min="13" max="26" width="10.28515625" style="2" customWidth="1"/>
    <col min="27" max="16384" width="9.140625" style="2"/>
  </cols>
  <sheetData>
    <row r="1" spans="1:26" ht="21.75" customHeight="1">
      <c r="A1" s="59" t="s">
        <v>157</v>
      </c>
      <c r="B1" s="59"/>
      <c r="C1" s="59"/>
      <c r="D1" s="59"/>
      <c r="E1" s="59"/>
      <c r="F1" s="59"/>
      <c r="G1" s="63" t="s">
        <v>154</v>
      </c>
      <c r="H1" s="63"/>
      <c r="I1" s="59" t="s">
        <v>160</v>
      </c>
      <c r="J1" s="59"/>
      <c r="K1" s="59"/>
      <c r="L1" s="59"/>
      <c r="M1" s="91" t="s">
        <v>96</v>
      </c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spans="1:26" ht="21.75" customHeight="1">
      <c r="A2" s="61" t="s">
        <v>45</v>
      </c>
      <c r="B2" s="61"/>
      <c r="C2" s="61"/>
      <c r="D2" s="61"/>
      <c r="E2" s="61"/>
      <c r="F2" s="61"/>
      <c r="G2" s="63"/>
      <c r="H2" s="63"/>
      <c r="I2" s="59"/>
      <c r="J2" s="59"/>
      <c r="K2" s="59"/>
      <c r="L2" s="59"/>
      <c r="M2" s="91" t="s">
        <v>78</v>
      </c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spans="1:26" ht="21.75" customHeight="1">
      <c r="A3" s="59" t="s">
        <v>158</v>
      </c>
      <c r="B3" s="60"/>
      <c r="C3" s="60"/>
      <c r="D3" s="60"/>
      <c r="E3" s="60"/>
      <c r="F3" s="60"/>
      <c r="G3" s="63" t="s">
        <v>155</v>
      </c>
      <c r="H3" s="63"/>
      <c r="I3" s="59" t="s">
        <v>208</v>
      </c>
      <c r="J3" s="59"/>
      <c r="K3" s="59"/>
      <c r="L3" s="59"/>
      <c r="M3" s="104" t="s">
        <v>79</v>
      </c>
      <c r="N3" s="100" t="s">
        <v>81</v>
      </c>
      <c r="O3" s="104"/>
      <c r="P3" s="100" t="s">
        <v>65</v>
      </c>
      <c r="Q3" s="104"/>
      <c r="R3" s="100" t="s">
        <v>82</v>
      </c>
      <c r="S3" s="104"/>
      <c r="T3" s="100" t="s">
        <v>85</v>
      </c>
      <c r="U3" s="104"/>
      <c r="V3" s="100" t="s">
        <v>87</v>
      </c>
      <c r="W3" s="104"/>
      <c r="X3" s="107" t="s">
        <v>91</v>
      </c>
      <c r="Y3" s="108"/>
      <c r="Z3" s="108"/>
    </row>
    <row r="4" spans="1:26" ht="29.25" customHeight="1">
      <c r="A4" s="61" t="s">
        <v>46</v>
      </c>
      <c r="B4" s="61"/>
      <c r="C4" s="61"/>
      <c r="D4" s="61"/>
      <c r="E4" s="61"/>
      <c r="F4" s="61"/>
      <c r="G4" s="63"/>
      <c r="H4" s="63"/>
      <c r="I4" s="59"/>
      <c r="J4" s="59"/>
      <c r="K4" s="59"/>
      <c r="L4" s="59"/>
      <c r="M4" s="95"/>
      <c r="N4" s="101"/>
      <c r="O4" s="95"/>
      <c r="P4" s="101"/>
      <c r="Q4" s="95"/>
      <c r="R4" s="101" t="s">
        <v>83</v>
      </c>
      <c r="S4" s="95"/>
      <c r="T4" s="101" t="s">
        <v>86</v>
      </c>
      <c r="U4" s="95"/>
      <c r="V4" s="101" t="s">
        <v>88</v>
      </c>
      <c r="W4" s="95"/>
      <c r="X4" s="107"/>
      <c r="Y4" s="108"/>
      <c r="Z4" s="108"/>
    </row>
    <row r="5" spans="1:26" ht="21.75" customHeight="1">
      <c r="A5" s="59" t="s">
        <v>185</v>
      </c>
      <c r="B5" s="60"/>
      <c r="C5" s="60"/>
      <c r="D5" s="60"/>
      <c r="E5" s="60"/>
      <c r="F5" s="60"/>
      <c r="G5" s="63" t="s">
        <v>156</v>
      </c>
      <c r="H5" s="63"/>
      <c r="I5" s="59" t="s">
        <v>248</v>
      </c>
      <c r="J5" s="59"/>
      <c r="K5" s="59"/>
      <c r="L5" s="59"/>
      <c r="M5" s="95" t="s">
        <v>80</v>
      </c>
      <c r="N5" s="101"/>
      <c r="O5" s="95"/>
      <c r="P5" s="101" t="s">
        <v>190</v>
      </c>
      <c r="Q5" s="95"/>
      <c r="R5" s="109" t="s">
        <v>84</v>
      </c>
      <c r="S5" s="110"/>
      <c r="T5" s="109" t="s">
        <v>84</v>
      </c>
      <c r="U5" s="110"/>
      <c r="V5" s="101" t="s">
        <v>89</v>
      </c>
      <c r="W5" s="95"/>
      <c r="X5" s="107"/>
      <c r="Y5" s="108"/>
      <c r="Z5" s="108"/>
    </row>
    <row r="6" spans="1:26" ht="27.75" customHeight="1">
      <c r="A6" s="61" t="s">
        <v>47</v>
      </c>
      <c r="B6" s="61"/>
      <c r="C6" s="61"/>
      <c r="D6" s="61"/>
      <c r="E6" s="61"/>
      <c r="F6" s="61"/>
      <c r="G6" s="63"/>
      <c r="H6" s="63"/>
      <c r="I6" s="59"/>
      <c r="J6" s="59"/>
      <c r="K6" s="59"/>
      <c r="L6" s="59"/>
      <c r="M6" s="96"/>
      <c r="N6" s="103"/>
      <c r="O6" s="96"/>
      <c r="P6" s="103"/>
      <c r="Q6" s="96"/>
      <c r="R6" s="103"/>
      <c r="S6" s="96"/>
      <c r="T6" s="103"/>
      <c r="U6" s="96"/>
      <c r="V6" s="103" t="s">
        <v>90</v>
      </c>
      <c r="W6" s="96"/>
      <c r="X6" s="107"/>
      <c r="Y6" s="108"/>
      <c r="Z6" s="108"/>
    </row>
    <row r="7" spans="1:26" ht="21.75" customHeight="1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10"/>
      <c r="N7" s="89"/>
      <c r="O7" s="105"/>
      <c r="P7" s="89"/>
      <c r="Q7" s="105"/>
      <c r="R7" s="89"/>
      <c r="S7" s="105"/>
      <c r="T7" s="89"/>
      <c r="U7" s="105"/>
      <c r="V7" s="89"/>
      <c r="W7" s="105"/>
      <c r="X7" s="89"/>
      <c r="Y7" s="90"/>
      <c r="Z7" s="90"/>
    </row>
    <row r="8" spans="1:26" ht="22.5" customHeight="1">
      <c r="A8" s="94" t="s">
        <v>48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10"/>
      <c r="N8" s="89"/>
      <c r="O8" s="105"/>
      <c r="P8" s="89"/>
      <c r="Q8" s="105"/>
      <c r="R8" s="89"/>
      <c r="S8" s="105"/>
      <c r="T8" s="89"/>
      <c r="U8" s="105"/>
      <c r="V8" s="89"/>
      <c r="W8" s="105"/>
      <c r="X8" s="89"/>
      <c r="Y8" s="90"/>
      <c r="Z8" s="90"/>
    </row>
    <row r="9" spans="1:26" ht="22.5" customHeight="1">
      <c r="A9" s="88" t="s">
        <v>49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10"/>
      <c r="N9" s="89"/>
      <c r="O9" s="105"/>
      <c r="P9" s="89"/>
      <c r="Q9" s="105"/>
      <c r="R9" s="89"/>
      <c r="S9" s="105"/>
      <c r="T9" s="89"/>
      <c r="U9" s="105"/>
      <c r="V9" s="89"/>
      <c r="W9" s="105"/>
      <c r="X9" s="89"/>
      <c r="Y9" s="90"/>
      <c r="Z9" s="90"/>
    </row>
    <row r="10" spans="1:26" ht="22.5" customHeight="1">
      <c r="A10" s="80" t="s">
        <v>112</v>
      </c>
      <c r="B10" s="80"/>
      <c r="C10" s="80"/>
      <c r="D10" s="80"/>
      <c r="E10" s="81" t="s">
        <v>383</v>
      </c>
      <c r="F10" s="81"/>
      <c r="G10" s="81"/>
      <c r="H10" s="62" t="s">
        <v>384</v>
      </c>
      <c r="I10" s="62"/>
      <c r="J10" s="62"/>
      <c r="K10" s="62"/>
      <c r="L10" s="62"/>
      <c r="M10" s="10"/>
      <c r="N10" s="89"/>
      <c r="O10" s="105"/>
      <c r="P10" s="89"/>
      <c r="Q10" s="105"/>
      <c r="R10" s="89"/>
      <c r="S10" s="105"/>
      <c r="T10" s="89"/>
      <c r="U10" s="105"/>
      <c r="V10" s="89"/>
      <c r="W10" s="105"/>
      <c r="X10" s="89"/>
      <c r="Y10" s="90"/>
      <c r="Z10" s="90"/>
    </row>
    <row r="11" spans="1:26" ht="22.5" customHeight="1">
      <c r="A11" s="80" t="s">
        <v>113</v>
      </c>
      <c r="B11" s="80"/>
      <c r="C11" s="80"/>
      <c r="D11" s="80"/>
      <c r="E11" s="79" t="s">
        <v>232</v>
      </c>
      <c r="F11" s="79"/>
      <c r="G11" s="79"/>
      <c r="H11" s="79"/>
      <c r="I11" s="62" t="s">
        <v>114</v>
      </c>
      <c r="J11" s="62"/>
      <c r="K11" s="62"/>
      <c r="L11" s="62"/>
      <c r="M11" s="10"/>
      <c r="N11" s="89"/>
      <c r="O11" s="105"/>
      <c r="P11" s="89"/>
      <c r="Q11" s="105"/>
      <c r="R11" s="89"/>
      <c r="S11" s="105"/>
      <c r="T11" s="89"/>
      <c r="U11" s="105"/>
      <c r="V11" s="89"/>
      <c r="W11" s="105"/>
      <c r="X11" s="89"/>
      <c r="Y11" s="90"/>
      <c r="Z11" s="90"/>
    </row>
    <row r="12" spans="1:26" ht="21.75" customHeight="1">
      <c r="A12" s="124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124"/>
      <c r="M12" s="10"/>
      <c r="N12" s="89"/>
      <c r="O12" s="105"/>
      <c r="P12" s="89"/>
      <c r="Q12" s="105"/>
      <c r="R12" s="89"/>
      <c r="S12" s="105"/>
      <c r="T12" s="89"/>
      <c r="U12" s="105"/>
      <c r="V12" s="89"/>
      <c r="W12" s="105"/>
      <c r="X12" s="89"/>
      <c r="Y12" s="90"/>
      <c r="Z12" s="90"/>
    </row>
    <row r="13" spans="1:26" ht="21.75" customHeight="1">
      <c r="A13" s="64" t="s">
        <v>50</v>
      </c>
      <c r="B13" s="73" t="s">
        <v>56</v>
      </c>
      <c r="C13" s="73"/>
      <c r="D13" s="74" t="s">
        <v>265</v>
      </c>
      <c r="E13" s="75"/>
      <c r="F13" s="72" t="s">
        <v>59</v>
      </c>
      <c r="G13" s="73"/>
      <c r="H13" s="18" t="s">
        <v>265</v>
      </c>
      <c r="I13" s="84" t="s">
        <v>5</v>
      </c>
      <c r="J13" s="72" t="s">
        <v>60</v>
      </c>
      <c r="K13" s="73"/>
      <c r="L13" s="11" t="s">
        <v>65</v>
      </c>
      <c r="M13" s="10"/>
      <c r="N13" s="89"/>
      <c r="O13" s="105"/>
      <c r="P13" s="89"/>
      <c r="Q13" s="105"/>
      <c r="R13" s="89"/>
      <c r="S13" s="105"/>
      <c r="T13" s="89"/>
      <c r="U13" s="105"/>
      <c r="V13" s="89"/>
      <c r="W13" s="105"/>
      <c r="X13" s="89"/>
      <c r="Y13" s="90"/>
      <c r="Z13" s="90"/>
    </row>
    <row r="14" spans="1:26" ht="21.75" customHeight="1">
      <c r="A14" s="65"/>
      <c r="B14" s="83" t="s">
        <v>57</v>
      </c>
      <c r="C14" s="83"/>
      <c r="D14" s="92" t="s">
        <v>249</v>
      </c>
      <c r="E14" s="93"/>
      <c r="F14" s="82" t="s">
        <v>57</v>
      </c>
      <c r="G14" s="83"/>
      <c r="H14" s="19" t="s">
        <v>249</v>
      </c>
      <c r="I14" s="85"/>
      <c r="J14" s="82" t="s">
        <v>61</v>
      </c>
      <c r="K14" s="83"/>
      <c r="L14" s="24" t="s">
        <v>66</v>
      </c>
      <c r="M14" s="10"/>
      <c r="N14" s="89"/>
      <c r="O14" s="105"/>
      <c r="P14" s="89"/>
      <c r="Q14" s="105"/>
      <c r="R14" s="89"/>
      <c r="S14" s="105"/>
      <c r="T14" s="89"/>
      <c r="U14" s="105"/>
      <c r="V14" s="89"/>
      <c r="W14" s="105"/>
      <c r="X14" s="89"/>
      <c r="Y14" s="90"/>
      <c r="Z14" s="90"/>
    </row>
    <row r="15" spans="1:26" ht="21.75" customHeight="1">
      <c r="A15" s="65"/>
      <c r="B15" s="69" t="s">
        <v>58</v>
      </c>
      <c r="C15" s="69"/>
      <c r="D15" s="70">
        <v>7200</v>
      </c>
      <c r="E15" s="71"/>
      <c r="F15" s="68" t="s">
        <v>58</v>
      </c>
      <c r="G15" s="69"/>
      <c r="H15" s="20">
        <v>7200</v>
      </c>
      <c r="I15" s="85"/>
      <c r="J15" s="68" t="s">
        <v>62</v>
      </c>
      <c r="K15" s="69"/>
      <c r="L15" s="24" t="s">
        <v>67</v>
      </c>
      <c r="M15" s="10"/>
      <c r="N15" s="89"/>
      <c r="O15" s="105"/>
      <c r="P15" s="89"/>
      <c r="Q15" s="105"/>
      <c r="R15" s="89"/>
      <c r="S15" s="105"/>
      <c r="T15" s="89"/>
      <c r="U15" s="105"/>
      <c r="V15" s="89"/>
      <c r="W15" s="105"/>
      <c r="X15" s="89"/>
      <c r="Y15" s="90"/>
      <c r="Z15" s="90"/>
    </row>
    <row r="16" spans="1:26" ht="21.75" customHeight="1">
      <c r="A16" s="65"/>
      <c r="B16" s="25" t="s">
        <v>51</v>
      </c>
      <c r="C16" s="13" t="s">
        <v>53</v>
      </c>
      <c r="D16" s="13" t="s">
        <v>54</v>
      </c>
      <c r="E16" s="66"/>
      <c r="F16" s="13" t="s">
        <v>51</v>
      </c>
      <c r="G16" s="13" t="s">
        <v>53</v>
      </c>
      <c r="H16" s="11" t="s">
        <v>54</v>
      </c>
      <c r="I16" s="85"/>
      <c r="J16" s="66" t="s">
        <v>63</v>
      </c>
      <c r="K16" s="72" t="s">
        <v>64</v>
      </c>
      <c r="L16" s="24" t="s">
        <v>68</v>
      </c>
      <c r="M16" s="10"/>
      <c r="N16" s="89"/>
      <c r="O16" s="105"/>
      <c r="P16" s="89"/>
      <c r="Q16" s="105"/>
      <c r="R16" s="89"/>
      <c r="S16" s="105"/>
      <c r="T16" s="89"/>
      <c r="U16" s="105"/>
      <c r="V16" s="89"/>
      <c r="W16" s="105"/>
      <c r="X16" s="89"/>
      <c r="Y16" s="90"/>
      <c r="Z16" s="90"/>
    </row>
    <row r="17" spans="1:26" ht="21.75" customHeight="1">
      <c r="A17" s="65"/>
      <c r="B17" s="13" t="s">
        <v>52</v>
      </c>
      <c r="C17" s="26" t="s">
        <v>51</v>
      </c>
      <c r="D17" s="26" t="s">
        <v>55</v>
      </c>
      <c r="E17" s="67"/>
      <c r="F17" s="26" t="s">
        <v>52</v>
      </c>
      <c r="G17" s="14" t="s">
        <v>51</v>
      </c>
      <c r="H17" s="12" t="s">
        <v>55</v>
      </c>
      <c r="I17" s="119"/>
      <c r="J17" s="120"/>
      <c r="K17" s="68"/>
      <c r="L17" s="12" t="s">
        <v>69</v>
      </c>
      <c r="M17" s="111" t="s">
        <v>92</v>
      </c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spans="1:26" ht="23.25" customHeight="1">
      <c r="A18" s="29" t="s">
        <v>7</v>
      </c>
      <c r="B18" s="49">
        <v>3512.6280999999999</v>
      </c>
      <c r="C18" s="31"/>
      <c r="D18" s="30"/>
      <c r="E18" s="29"/>
      <c r="F18" s="49">
        <v>1659.3022000000001</v>
      </c>
      <c r="G18" s="28"/>
      <c r="H18" s="30"/>
      <c r="I18" s="33"/>
      <c r="J18" s="29"/>
      <c r="K18" s="50">
        <v>6.3</v>
      </c>
      <c r="L18" s="23"/>
      <c r="M18" s="104" t="s">
        <v>79</v>
      </c>
      <c r="N18" s="98" t="s">
        <v>98</v>
      </c>
      <c r="O18" s="98"/>
      <c r="P18" s="98"/>
      <c r="Q18" s="98" t="s">
        <v>107</v>
      </c>
      <c r="R18" s="98"/>
      <c r="S18" s="98"/>
      <c r="T18" s="98" t="s">
        <v>93</v>
      </c>
      <c r="U18" s="98"/>
      <c r="V18" s="98"/>
      <c r="W18" s="100" t="s">
        <v>91</v>
      </c>
      <c r="X18" s="112"/>
      <c r="Y18" s="112"/>
      <c r="Z18" s="112"/>
    </row>
    <row r="19" spans="1:26" ht="23.25" customHeight="1">
      <c r="A19" s="29" t="s">
        <v>8</v>
      </c>
      <c r="B19" s="49">
        <v>3512.6931999999997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6.5099999999802094E-2</v>
      </c>
      <c r="D19" s="30">
        <f t="shared" ref="D19:D42" si="1">IF(C19="","",C19*$D$15)</f>
        <v>468.71999999857508</v>
      </c>
      <c r="E19" s="29"/>
      <c r="F19" s="49">
        <v>1659.3498000000002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4.7600000000102227E-2</v>
      </c>
      <c r="H19" s="30">
        <f t="shared" ref="H19:H42" si="3">IF(G19="","",G19*$H$15)</f>
        <v>342.72000000073604</v>
      </c>
      <c r="I19" s="33">
        <f t="shared" ref="I19:I42" si="4">IF(H19="","",IF(D19="","",IF(AND(H19=0,D19=0),0,H19/D19)))</f>
        <v>0.73118279570271782</v>
      </c>
      <c r="J19" s="29"/>
      <c r="K19" s="50">
        <v>6.3</v>
      </c>
      <c r="L19" s="6"/>
      <c r="M19" s="95"/>
      <c r="N19" s="99"/>
      <c r="O19" s="99"/>
      <c r="P19" s="99"/>
      <c r="Q19" s="99" t="s">
        <v>108</v>
      </c>
      <c r="R19" s="99"/>
      <c r="S19" s="99"/>
      <c r="T19" s="99"/>
      <c r="U19" s="99"/>
      <c r="V19" s="99"/>
      <c r="W19" s="101"/>
      <c r="X19" s="91"/>
      <c r="Y19" s="91"/>
      <c r="Z19" s="91"/>
    </row>
    <row r="20" spans="1:26" ht="23.25" customHeight="1">
      <c r="A20" s="29" t="s">
        <v>9</v>
      </c>
      <c r="B20" s="49">
        <v>3512.7586000000001</v>
      </c>
      <c r="C20" s="31">
        <f t="shared" si="0"/>
        <v>6.5400000000408909E-2</v>
      </c>
      <c r="D20" s="30">
        <f t="shared" si="1"/>
        <v>470.88000000294414</v>
      </c>
      <c r="E20" s="29"/>
      <c r="F20" s="49">
        <v>1659.3976</v>
      </c>
      <c r="G20" s="28">
        <f t="shared" si="2"/>
        <v>4.7799999999824649E-2</v>
      </c>
      <c r="H20" s="30">
        <f t="shared" si="3"/>
        <v>344.15999999873748</v>
      </c>
      <c r="I20" s="33">
        <f t="shared" si="4"/>
        <v>0.73088685014565413</v>
      </c>
      <c r="J20" s="29"/>
      <c r="K20" s="50">
        <v>6.3</v>
      </c>
      <c r="L20" s="6"/>
      <c r="M20" s="95" t="s">
        <v>80</v>
      </c>
      <c r="N20" s="99" t="s">
        <v>99</v>
      </c>
      <c r="O20" s="99"/>
      <c r="P20" s="99"/>
      <c r="Q20" s="99" t="s">
        <v>189</v>
      </c>
      <c r="R20" s="99"/>
      <c r="S20" s="99"/>
      <c r="T20" s="99" t="s">
        <v>94</v>
      </c>
      <c r="U20" s="99"/>
      <c r="V20" s="99"/>
      <c r="W20" s="101"/>
      <c r="X20" s="91"/>
      <c r="Y20" s="91"/>
      <c r="Z20" s="91"/>
    </row>
    <row r="21" spans="1:26" ht="23.25" customHeight="1">
      <c r="A21" s="29" t="s">
        <v>10</v>
      </c>
      <c r="B21" s="49">
        <v>3512.8236999999999</v>
      </c>
      <c r="C21" s="31">
        <f t="shared" si="0"/>
        <v>6.5099999999802094E-2</v>
      </c>
      <c r="D21" s="30">
        <f t="shared" si="1"/>
        <v>468.71999999857508</v>
      </c>
      <c r="E21" s="29"/>
      <c r="F21" s="49">
        <v>1659.4456</v>
      </c>
      <c r="G21" s="28">
        <f t="shared" si="2"/>
        <v>4.8000000000001819E-2</v>
      </c>
      <c r="H21" s="30">
        <f t="shared" si="3"/>
        <v>345.6000000000131</v>
      </c>
      <c r="I21" s="33">
        <f t="shared" si="4"/>
        <v>0.7373271889423616</v>
      </c>
      <c r="J21" s="29"/>
      <c r="K21" s="50">
        <v>6.3</v>
      </c>
      <c r="L21" s="6"/>
      <c r="M21" s="96"/>
      <c r="N21" s="102"/>
      <c r="O21" s="102"/>
      <c r="P21" s="102"/>
      <c r="Q21" s="102"/>
      <c r="R21" s="102"/>
      <c r="S21" s="102"/>
      <c r="T21" s="102"/>
      <c r="U21" s="102"/>
      <c r="V21" s="102"/>
      <c r="W21" s="103"/>
      <c r="X21" s="111"/>
      <c r="Y21" s="111"/>
      <c r="Z21" s="111"/>
    </row>
    <row r="22" spans="1:26" ht="23.25" customHeight="1">
      <c r="A22" s="29" t="s">
        <v>11</v>
      </c>
      <c r="B22" s="49">
        <v>3512.8885999999998</v>
      </c>
      <c r="C22" s="31">
        <f t="shared" si="0"/>
        <v>6.4899999999852298E-2</v>
      </c>
      <c r="D22" s="30">
        <f t="shared" si="1"/>
        <v>467.27999999893655</v>
      </c>
      <c r="E22" s="29"/>
      <c r="F22" s="49">
        <v>1659.4933000000001</v>
      </c>
      <c r="G22" s="28">
        <f t="shared" si="2"/>
        <v>4.7700000000077125E-2</v>
      </c>
      <c r="H22" s="30">
        <f t="shared" si="3"/>
        <v>343.4400000005553</v>
      </c>
      <c r="I22" s="33">
        <f t="shared" si="4"/>
        <v>0.73497688752212142</v>
      </c>
      <c r="J22" s="29"/>
      <c r="K22" s="50">
        <v>6.3</v>
      </c>
      <c r="L22" s="6"/>
      <c r="M22" s="10"/>
      <c r="N22" s="106"/>
      <c r="O22" s="106"/>
      <c r="P22" s="106"/>
      <c r="Q22" s="106"/>
      <c r="R22" s="106"/>
      <c r="S22" s="106"/>
      <c r="T22" s="106"/>
      <c r="U22" s="106"/>
      <c r="V22" s="106"/>
      <c r="W22" s="89"/>
      <c r="X22" s="90"/>
      <c r="Y22" s="90"/>
      <c r="Z22" s="90"/>
    </row>
    <row r="23" spans="1:26" ht="23.25" customHeight="1">
      <c r="A23" s="29" t="s">
        <v>12</v>
      </c>
      <c r="B23" s="49">
        <v>3512.9533999999999</v>
      </c>
      <c r="C23" s="31">
        <f t="shared" si="0"/>
        <v>6.4800000000104774E-2</v>
      </c>
      <c r="D23" s="30">
        <f t="shared" si="1"/>
        <v>466.56000000075437</v>
      </c>
      <c r="E23" s="29"/>
      <c r="F23" s="49">
        <v>1659.5410000000002</v>
      </c>
      <c r="G23" s="28">
        <f t="shared" si="2"/>
        <v>4.7700000000077125E-2</v>
      </c>
      <c r="H23" s="30">
        <f t="shared" si="3"/>
        <v>343.4400000005553</v>
      </c>
      <c r="I23" s="33">
        <f t="shared" si="4"/>
        <v>0.73611111111111116</v>
      </c>
      <c r="J23" s="29"/>
      <c r="K23" s="50">
        <v>6.3</v>
      </c>
      <c r="L23" s="6"/>
      <c r="M23" s="10"/>
      <c r="N23" s="106"/>
      <c r="O23" s="106"/>
      <c r="P23" s="106"/>
      <c r="Q23" s="106"/>
      <c r="R23" s="106"/>
      <c r="S23" s="106"/>
      <c r="T23" s="106"/>
      <c r="U23" s="106"/>
      <c r="V23" s="106"/>
      <c r="W23" s="89"/>
      <c r="X23" s="90"/>
      <c r="Y23" s="90"/>
      <c r="Z23" s="90"/>
    </row>
    <row r="24" spans="1:26" ht="23.25" customHeight="1">
      <c r="A24" s="29" t="s">
        <v>13</v>
      </c>
      <c r="B24" s="49">
        <v>3513.0180999999998</v>
      </c>
      <c r="C24" s="31">
        <f t="shared" si="0"/>
        <v>6.4699999999902502E-2</v>
      </c>
      <c r="D24" s="30">
        <f t="shared" si="1"/>
        <v>465.83999999929802</v>
      </c>
      <c r="E24" s="29"/>
      <c r="F24" s="49">
        <v>1659.5885000000001</v>
      </c>
      <c r="G24" s="28">
        <f t="shared" si="2"/>
        <v>4.7499999999899956E-2</v>
      </c>
      <c r="H24" s="30">
        <f t="shared" si="3"/>
        <v>341.99999999927968</v>
      </c>
      <c r="I24" s="33">
        <f t="shared" si="4"/>
        <v>0.73415765069507777</v>
      </c>
      <c r="J24" s="29"/>
      <c r="K24" s="50">
        <v>6.3</v>
      </c>
      <c r="L24" s="6"/>
      <c r="M24" s="10"/>
      <c r="N24" s="106"/>
      <c r="O24" s="106"/>
      <c r="P24" s="106"/>
      <c r="Q24" s="106"/>
      <c r="R24" s="106"/>
      <c r="S24" s="106"/>
      <c r="T24" s="106"/>
      <c r="U24" s="106"/>
      <c r="V24" s="106"/>
      <c r="W24" s="89"/>
      <c r="X24" s="90"/>
      <c r="Y24" s="90"/>
      <c r="Z24" s="90"/>
    </row>
    <row r="25" spans="1:26" ht="23.25" customHeight="1">
      <c r="A25" s="29" t="s">
        <v>14</v>
      </c>
      <c r="B25" s="49">
        <v>3513.0826999999999</v>
      </c>
      <c r="C25" s="31">
        <f t="shared" si="0"/>
        <v>6.4600000000154978E-2</v>
      </c>
      <c r="D25" s="30">
        <f t="shared" si="1"/>
        <v>465.12000000111584</v>
      </c>
      <c r="E25" s="29"/>
      <c r="F25" s="49">
        <v>1659.6357</v>
      </c>
      <c r="G25" s="28">
        <f t="shared" si="2"/>
        <v>4.7199999999975262E-2</v>
      </c>
      <c r="H25" s="30">
        <f t="shared" si="3"/>
        <v>339.83999999982188</v>
      </c>
      <c r="I25" s="33">
        <f t="shared" si="4"/>
        <v>0.73065015479662576</v>
      </c>
      <c r="J25" s="29"/>
      <c r="K25" s="50">
        <v>6.3</v>
      </c>
      <c r="L25" s="6"/>
      <c r="M25" s="10"/>
      <c r="N25" s="106"/>
      <c r="O25" s="106"/>
      <c r="P25" s="106"/>
      <c r="Q25" s="106"/>
      <c r="R25" s="106"/>
      <c r="S25" s="106"/>
      <c r="T25" s="106"/>
      <c r="U25" s="106"/>
      <c r="V25" s="106"/>
      <c r="W25" s="89"/>
      <c r="X25" s="90"/>
      <c r="Y25" s="90"/>
      <c r="Z25" s="90"/>
    </row>
    <row r="26" spans="1:26" ht="23.25" customHeight="1">
      <c r="A26" s="29" t="s">
        <v>15</v>
      </c>
      <c r="B26" s="49">
        <v>3513.1477999999997</v>
      </c>
      <c r="C26" s="31">
        <f t="shared" si="0"/>
        <v>6.5099999999802094E-2</v>
      </c>
      <c r="D26" s="30">
        <f t="shared" si="1"/>
        <v>468.71999999857508</v>
      </c>
      <c r="E26" s="29"/>
      <c r="F26" s="49">
        <v>1659.6826000000001</v>
      </c>
      <c r="G26" s="28">
        <f t="shared" si="2"/>
        <v>4.6900000000050568E-2</v>
      </c>
      <c r="H26" s="30">
        <f t="shared" si="3"/>
        <v>337.68000000036409</v>
      </c>
      <c r="I26" s="33">
        <f t="shared" si="4"/>
        <v>0.7204301075298486</v>
      </c>
      <c r="J26" s="29"/>
      <c r="K26" s="50">
        <v>6.2</v>
      </c>
      <c r="L26" s="6"/>
      <c r="M26" s="10"/>
      <c r="N26" s="106"/>
      <c r="O26" s="106"/>
      <c r="P26" s="106"/>
      <c r="Q26" s="106"/>
      <c r="R26" s="106"/>
      <c r="S26" s="106"/>
      <c r="T26" s="106"/>
      <c r="U26" s="106"/>
      <c r="V26" s="106"/>
      <c r="W26" s="89"/>
      <c r="X26" s="90"/>
      <c r="Y26" s="90"/>
      <c r="Z26" s="90"/>
    </row>
    <row r="27" spans="1:26" ht="23.25" customHeight="1">
      <c r="A27" s="29" t="s">
        <v>16</v>
      </c>
      <c r="B27" s="49">
        <v>3513.2131999999997</v>
      </c>
      <c r="C27" s="31">
        <f t="shared" si="0"/>
        <v>6.5399999999954161E-2</v>
      </c>
      <c r="D27" s="30">
        <f t="shared" si="1"/>
        <v>470.87999999966996</v>
      </c>
      <c r="E27" s="29"/>
      <c r="F27" s="49">
        <v>1659.7298000000001</v>
      </c>
      <c r="G27" s="28">
        <f t="shared" si="2"/>
        <v>4.7199999999975262E-2</v>
      </c>
      <c r="H27" s="30">
        <f t="shared" si="3"/>
        <v>339.83999999982188</v>
      </c>
      <c r="I27" s="33">
        <f t="shared" si="4"/>
        <v>0.72171253822642722</v>
      </c>
      <c r="J27" s="29"/>
      <c r="K27" s="50">
        <v>6.2</v>
      </c>
      <c r="L27" s="6"/>
      <c r="M27" s="10"/>
      <c r="N27" s="106"/>
      <c r="O27" s="106"/>
      <c r="P27" s="106"/>
      <c r="Q27" s="106"/>
      <c r="R27" s="106"/>
      <c r="S27" s="106"/>
      <c r="T27" s="106"/>
      <c r="U27" s="106"/>
      <c r="V27" s="106"/>
      <c r="W27" s="89"/>
      <c r="X27" s="90"/>
      <c r="Y27" s="90"/>
      <c r="Z27" s="90"/>
    </row>
    <row r="28" spans="1:26" ht="23.25" customHeight="1">
      <c r="A28" s="29" t="s">
        <v>17</v>
      </c>
      <c r="B28" s="49">
        <v>3513.2773999999999</v>
      </c>
      <c r="C28" s="31">
        <f t="shared" si="0"/>
        <v>6.4200000000255386E-2</v>
      </c>
      <c r="D28" s="30">
        <f t="shared" si="1"/>
        <v>462.24000000183878</v>
      </c>
      <c r="E28" s="29"/>
      <c r="F28" s="49">
        <v>1659.7765000000002</v>
      </c>
      <c r="G28" s="28">
        <f t="shared" si="2"/>
        <v>4.6700000000100772E-2</v>
      </c>
      <c r="H28" s="30">
        <f t="shared" si="3"/>
        <v>336.24000000072556</v>
      </c>
      <c r="I28" s="33">
        <f t="shared" si="4"/>
        <v>0.72741433021674451</v>
      </c>
      <c r="J28" s="29"/>
      <c r="K28" s="50">
        <v>6.2</v>
      </c>
      <c r="L28" s="6"/>
      <c r="M28" s="10"/>
      <c r="N28" s="106"/>
      <c r="O28" s="106"/>
      <c r="P28" s="106"/>
      <c r="Q28" s="106"/>
      <c r="R28" s="106"/>
      <c r="S28" s="106"/>
      <c r="T28" s="106"/>
      <c r="U28" s="106"/>
      <c r="V28" s="106"/>
      <c r="W28" s="89"/>
      <c r="X28" s="90"/>
      <c r="Y28" s="90"/>
      <c r="Z28" s="90"/>
    </row>
    <row r="29" spans="1:26" ht="23.25" customHeight="1">
      <c r="A29" s="29" t="s">
        <v>18</v>
      </c>
      <c r="B29" s="49">
        <v>3513.3444999999997</v>
      </c>
      <c r="C29" s="31">
        <f t="shared" si="0"/>
        <v>6.70999999997548E-2</v>
      </c>
      <c r="D29" s="30">
        <f t="shared" si="1"/>
        <v>483.11999999823456</v>
      </c>
      <c r="E29" s="29"/>
      <c r="F29" s="49">
        <v>1659.8259</v>
      </c>
      <c r="G29" s="28">
        <f t="shared" si="2"/>
        <v>4.9399999999877764E-2</v>
      </c>
      <c r="H29" s="30">
        <f t="shared" si="3"/>
        <v>355.6799999991199</v>
      </c>
      <c r="I29" s="33">
        <f t="shared" si="4"/>
        <v>0.73621460506793268</v>
      </c>
      <c r="J29" s="29"/>
      <c r="K29" s="50">
        <v>6.2</v>
      </c>
      <c r="L29" s="6"/>
      <c r="M29" s="97" t="s">
        <v>95</v>
      </c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23.25" customHeight="1">
      <c r="A30" s="29" t="s">
        <v>19</v>
      </c>
      <c r="B30" s="49">
        <v>3513.4178999999999</v>
      </c>
      <c r="C30" s="31">
        <f t="shared" si="0"/>
        <v>7.3400000000219734E-2</v>
      </c>
      <c r="D30" s="30">
        <f t="shared" si="1"/>
        <v>528.48000000158208</v>
      </c>
      <c r="E30" s="29"/>
      <c r="F30" s="49">
        <v>1659.8805</v>
      </c>
      <c r="G30" s="28">
        <f t="shared" si="2"/>
        <v>5.4599999999936699E-2</v>
      </c>
      <c r="H30" s="30">
        <f t="shared" si="3"/>
        <v>393.11999999954423</v>
      </c>
      <c r="I30" s="33">
        <f t="shared" si="4"/>
        <v>0.74386920980617499</v>
      </c>
      <c r="J30" s="29"/>
      <c r="K30" s="50">
        <v>6.2</v>
      </c>
      <c r="L30" s="6"/>
      <c r="M30" s="91" t="s">
        <v>97</v>
      </c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 spans="1:26" ht="23.25" customHeight="1">
      <c r="A31" s="29" t="s">
        <v>20</v>
      </c>
      <c r="B31" s="49">
        <v>3513.4915000000001</v>
      </c>
      <c r="C31" s="31">
        <f t="shared" si="0"/>
        <v>7.360000000016953E-2</v>
      </c>
      <c r="D31" s="30">
        <f t="shared" si="1"/>
        <v>529.92000000122061</v>
      </c>
      <c r="E31" s="29"/>
      <c r="F31" s="49">
        <v>1659.9354000000001</v>
      </c>
      <c r="G31" s="28">
        <f t="shared" si="2"/>
        <v>5.4900000000088767E-2</v>
      </c>
      <c r="H31" s="30">
        <f t="shared" si="3"/>
        <v>395.28000000063912</v>
      </c>
      <c r="I31" s="33">
        <f t="shared" si="4"/>
        <v>0.74592391304296612</v>
      </c>
      <c r="J31" s="29"/>
      <c r="K31" s="50">
        <v>6.2</v>
      </c>
      <c r="L31" s="6"/>
      <c r="M31" s="104" t="s">
        <v>79</v>
      </c>
      <c r="N31" s="98" t="s">
        <v>98</v>
      </c>
      <c r="O31" s="98"/>
      <c r="P31" s="98" t="s">
        <v>100</v>
      </c>
      <c r="Q31" s="98"/>
      <c r="R31" s="98" t="s">
        <v>93</v>
      </c>
      <c r="S31" s="98"/>
      <c r="T31" s="98" t="s">
        <v>103</v>
      </c>
      <c r="U31" s="98"/>
      <c r="V31" s="98" t="s">
        <v>187</v>
      </c>
      <c r="W31" s="98"/>
      <c r="X31" s="98"/>
      <c r="Y31" s="98" t="s">
        <v>91</v>
      </c>
      <c r="Z31" s="100"/>
    </row>
    <row r="32" spans="1:26" ht="23.25" customHeight="1">
      <c r="A32" s="29" t="s">
        <v>21</v>
      </c>
      <c r="B32" s="49">
        <v>3513.5646999999999</v>
      </c>
      <c r="C32" s="31">
        <f t="shared" si="0"/>
        <v>7.3199999999815191E-2</v>
      </c>
      <c r="D32" s="30">
        <f t="shared" si="1"/>
        <v>527.03999999866937</v>
      </c>
      <c r="E32" s="29"/>
      <c r="F32" s="49">
        <v>1659.9897000000001</v>
      </c>
      <c r="G32" s="28">
        <f t="shared" si="2"/>
        <v>5.4300000000012005E-2</v>
      </c>
      <c r="H32" s="30">
        <f t="shared" si="3"/>
        <v>390.96000000008644</v>
      </c>
      <c r="I32" s="33">
        <f t="shared" si="4"/>
        <v>0.7418032786905614</v>
      </c>
      <c r="J32" s="29"/>
      <c r="K32" s="50">
        <v>6.2</v>
      </c>
      <c r="L32" s="6"/>
      <c r="M32" s="95"/>
      <c r="N32" s="99"/>
      <c r="O32" s="99"/>
      <c r="P32" s="99" t="s">
        <v>83</v>
      </c>
      <c r="Q32" s="99"/>
      <c r="R32" s="99" t="s">
        <v>102</v>
      </c>
      <c r="S32" s="99"/>
      <c r="T32" s="99" t="s">
        <v>104</v>
      </c>
      <c r="U32" s="99"/>
      <c r="V32" s="99" t="s">
        <v>105</v>
      </c>
      <c r="W32" s="99"/>
      <c r="X32" s="99"/>
      <c r="Y32" s="99"/>
      <c r="Z32" s="101"/>
    </row>
    <row r="33" spans="1:26" ht="23.25" customHeight="1">
      <c r="A33" s="29" t="s">
        <v>22</v>
      </c>
      <c r="B33" s="49">
        <v>3513.6363000000001</v>
      </c>
      <c r="C33" s="31">
        <f t="shared" si="0"/>
        <v>7.1600000000216824E-2</v>
      </c>
      <c r="D33" s="30">
        <f t="shared" si="1"/>
        <v>515.52000000156113</v>
      </c>
      <c r="E33" s="29"/>
      <c r="F33" s="49">
        <v>1660.0428000000002</v>
      </c>
      <c r="G33" s="28">
        <f t="shared" si="2"/>
        <v>5.3100000000085856E-2</v>
      </c>
      <c r="H33" s="30">
        <f t="shared" si="3"/>
        <v>382.32000000061817</v>
      </c>
      <c r="I33" s="33">
        <f t="shared" si="4"/>
        <v>0.74162011173079689</v>
      </c>
      <c r="J33" s="29"/>
      <c r="K33" s="50">
        <v>6.2</v>
      </c>
      <c r="L33" s="6"/>
      <c r="M33" s="95" t="s">
        <v>80</v>
      </c>
      <c r="N33" s="99" t="s">
        <v>99</v>
      </c>
      <c r="O33" s="99"/>
      <c r="P33" s="99" t="s">
        <v>101</v>
      </c>
      <c r="Q33" s="99"/>
      <c r="R33" s="99" t="s">
        <v>69</v>
      </c>
      <c r="S33" s="99"/>
      <c r="T33" s="99" t="s">
        <v>69</v>
      </c>
      <c r="U33" s="99"/>
      <c r="V33" s="99" t="s">
        <v>106</v>
      </c>
      <c r="W33" s="99"/>
      <c r="X33" s="99"/>
      <c r="Y33" s="99"/>
      <c r="Z33" s="101"/>
    </row>
    <row r="34" spans="1:26" ht="23.25" customHeight="1">
      <c r="A34" s="29" t="s">
        <v>23</v>
      </c>
      <c r="B34" s="49">
        <v>3513.6983</v>
      </c>
      <c r="C34" s="31">
        <f t="shared" si="0"/>
        <v>6.1999999999898137E-2</v>
      </c>
      <c r="D34" s="30">
        <f t="shared" si="1"/>
        <v>446.39999999926658</v>
      </c>
      <c r="E34" s="29"/>
      <c r="F34" s="49">
        <v>1660.0888</v>
      </c>
      <c r="G34" s="28">
        <f t="shared" si="2"/>
        <v>4.5999999999821739E-2</v>
      </c>
      <c r="H34" s="30">
        <f t="shared" si="3"/>
        <v>331.19999999871652</v>
      </c>
      <c r="I34" s="33">
        <f t="shared" si="4"/>
        <v>0.74193548386931152</v>
      </c>
      <c r="J34" s="29"/>
      <c r="K34" s="50">
        <v>6.2</v>
      </c>
      <c r="L34" s="6"/>
      <c r="M34" s="96"/>
      <c r="N34" s="102"/>
      <c r="O34" s="102"/>
      <c r="P34" s="102"/>
      <c r="Q34" s="102"/>
      <c r="R34" s="103"/>
      <c r="S34" s="96"/>
      <c r="T34" s="103"/>
      <c r="U34" s="96"/>
      <c r="V34" s="103"/>
      <c r="W34" s="111"/>
      <c r="X34" s="96"/>
      <c r="Y34" s="102"/>
      <c r="Z34" s="103"/>
    </row>
    <row r="35" spans="1:26" ht="23.25" customHeight="1">
      <c r="A35" s="29" t="s">
        <v>24</v>
      </c>
      <c r="B35" s="49">
        <v>3513.7599</v>
      </c>
      <c r="C35" s="31">
        <f t="shared" si="0"/>
        <v>6.1599999999998545E-2</v>
      </c>
      <c r="D35" s="30">
        <f t="shared" si="1"/>
        <v>443.51999999998952</v>
      </c>
      <c r="E35" s="29"/>
      <c r="F35" s="49">
        <v>1660.1349</v>
      </c>
      <c r="G35" s="28">
        <f t="shared" si="2"/>
        <v>4.6100000000024011E-2</v>
      </c>
      <c r="H35" s="30">
        <f t="shared" si="3"/>
        <v>331.92000000017288</v>
      </c>
      <c r="I35" s="33">
        <f t="shared" si="4"/>
        <v>0.74837662337703081</v>
      </c>
      <c r="J35" s="29"/>
      <c r="K35" s="50">
        <v>6.2</v>
      </c>
      <c r="L35" s="6"/>
      <c r="M35" s="10"/>
      <c r="N35" s="106" t="s">
        <v>173</v>
      </c>
      <c r="O35" s="106"/>
      <c r="P35" s="113">
        <v>6</v>
      </c>
      <c r="Q35" s="113"/>
      <c r="R35" s="106">
        <v>250</v>
      </c>
      <c r="S35" s="106"/>
      <c r="T35" s="106"/>
      <c r="U35" s="106"/>
      <c r="V35" s="106"/>
      <c r="W35" s="106"/>
      <c r="X35" s="106"/>
      <c r="Y35" s="106"/>
      <c r="Z35" s="89"/>
    </row>
    <row r="36" spans="1:26" ht="23.25" customHeight="1">
      <c r="A36" s="29" t="s">
        <v>25</v>
      </c>
      <c r="B36" s="49">
        <v>3513.8222000000001</v>
      </c>
      <c r="C36" s="31">
        <f t="shared" si="0"/>
        <v>6.2300000000050204E-2</v>
      </c>
      <c r="D36" s="30">
        <f t="shared" si="1"/>
        <v>448.56000000036147</v>
      </c>
      <c r="E36" s="29"/>
      <c r="F36" s="49">
        <v>1660.1808000000001</v>
      </c>
      <c r="G36" s="28">
        <f t="shared" si="2"/>
        <v>4.5900000000074215E-2</v>
      </c>
      <c r="H36" s="30">
        <f t="shared" si="3"/>
        <v>330.48000000053435</v>
      </c>
      <c r="I36" s="33">
        <f t="shared" si="4"/>
        <v>0.73675762439867132</v>
      </c>
      <c r="J36" s="29"/>
      <c r="K36" s="50">
        <v>6.2</v>
      </c>
      <c r="L36" s="6"/>
      <c r="M36" s="10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89"/>
    </row>
    <row r="37" spans="1:26" ht="23.25" customHeight="1">
      <c r="A37" s="29" t="s">
        <v>26</v>
      </c>
      <c r="B37" s="49">
        <v>3513.8887</v>
      </c>
      <c r="C37" s="31">
        <f t="shared" si="0"/>
        <v>6.6499999999905413E-2</v>
      </c>
      <c r="D37" s="30">
        <f t="shared" si="1"/>
        <v>478.79999999931897</v>
      </c>
      <c r="E37" s="29"/>
      <c r="F37" s="49">
        <v>1660.2291</v>
      </c>
      <c r="G37" s="28">
        <f t="shared" si="2"/>
        <v>4.8299999999926513E-2</v>
      </c>
      <c r="H37" s="30">
        <f t="shared" si="3"/>
        <v>347.75999999947089</v>
      </c>
      <c r="I37" s="33">
        <f t="shared" si="4"/>
        <v>0.72631578947361219</v>
      </c>
      <c r="J37" s="29"/>
      <c r="K37" s="50">
        <v>6.2</v>
      </c>
      <c r="L37" s="6"/>
      <c r="M37" s="10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89"/>
    </row>
    <row r="38" spans="1:26" ht="23.25" customHeight="1">
      <c r="A38" s="29" t="s">
        <v>27</v>
      </c>
      <c r="B38" s="49">
        <v>3513.9618999999998</v>
      </c>
      <c r="C38" s="31">
        <f t="shared" si="0"/>
        <v>7.3199999999815191E-2</v>
      </c>
      <c r="D38" s="30">
        <f t="shared" si="1"/>
        <v>527.03999999866937</v>
      </c>
      <c r="E38" s="29"/>
      <c r="F38" s="49">
        <v>1660.2829000000002</v>
      </c>
      <c r="G38" s="28">
        <f t="shared" si="2"/>
        <v>5.3800000000137516E-2</v>
      </c>
      <c r="H38" s="30">
        <f t="shared" si="3"/>
        <v>387.36000000099011</v>
      </c>
      <c r="I38" s="33">
        <f t="shared" si="4"/>
        <v>0.73497267759936269</v>
      </c>
      <c r="J38" s="29"/>
      <c r="K38" s="50">
        <v>6.2</v>
      </c>
      <c r="L38" s="6"/>
      <c r="M38" s="10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89"/>
    </row>
    <row r="39" spans="1:26" ht="23.25" customHeight="1">
      <c r="A39" s="29" t="s">
        <v>28</v>
      </c>
      <c r="B39" s="49">
        <v>3514.0355</v>
      </c>
      <c r="C39" s="31">
        <f t="shared" si="0"/>
        <v>7.360000000016953E-2</v>
      </c>
      <c r="D39" s="30">
        <f t="shared" si="1"/>
        <v>529.92000000122061</v>
      </c>
      <c r="E39" s="29"/>
      <c r="F39" s="49">
        <v>1660.337</v>
      </c>
      <c r="G39" s="28">
        <f t="shared" si="2"/>
        <v>5.4099999999834836E-2</v>
      </c>
      <c r="H39" s="30">
        <f t="shared" si="3"/>
        <v>389.51999999881082</v>
      </c>
      <c r="I39" s="33">
        <f t="shared" si="4"/>
        <v>0.73505434782214973</v>
      </c>
      <c r="J39" s="29"/>
      <c r="K39" s="50">
        <v>6.2</v>
      </c>
      <c r="L39" s="6"/>
      <c r="M39" s="10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89"/>
    </row>
    <row r="40" spans="1:26" ht="23.25" customHeight="1">
      <c r="A40" s="29" t="s">
        <v>29</v>
      </c>
      <c r="B40" s="49">
        <v>3514.1012000000001</v>
      </c>
      <c r="C40" s="31">
        <f t="shared" si="0"/>
        <v>6.5700000000106229E-2</v>
      </c>
      <c r="D40" s="30">
        <f t="shared" si="1"/>
        <v>473.04000000076485</v>
      </c>
      <c r="E40" s="29"/>
      <c r="F40" s="49">
        <v>1660.3851000000002</v>
      </c>
      <c r="G40" s="28">
        <f t="shared" si="2"/>
        <v>4.8100000000204091E-2</v>
      </c>
      <c r="H40" s="30">
        <f t="shared" si="3"/>
        <v>346.32000000146945</v>
      </c>
      <c r="I40" s="33">
        <f t="shared" si="4"/>
        <v>0.73211567732307947</v>
      </c>
      <c r="J40" s="29"/>
      <c r="K40" s="50">
        <v>6.2</v>
      </c>
      <c r="L40" s="6"/>
      <c r="M40" s="91" t="s">
        <v>109</v>
      </c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</row>
    <row r="41" spans="1:26" ht="23.25" customHeight="1">
      <c r="A41" s="29" t="s">
        <v>30</v>
      </c>
      <c r="B41" s="49">
        <v>3514.1641</v>
      </c>
      <c r="C41" s="31">
        <f t="shared" si="0"/>
        <v>6.2899999999899592E-2</v>
      </c>
      <c r="D41" s="30">
        <f t="shared" si="1"/>
        <v>452.87999999927706</v>
      </c>
      <c r="E41" s="29"/>
      <c r="F41" s="49">
        <v>1660.4313000000002</v>
      </c>
      <c r="G41" s="28">
        <f t="shared" si="2"/>
        <v>4.6199999999998909E-2</v>
      </c>
      <c r="H41" s="30">
        <f t="shared" si="3"/>
        <v>332.63999999999214</v>
      </c>
      <c r="I41" s="33">
        <f t="shared" si="4"/>
        <v>0.73449920508859556</v>
      </c>
      <c r="J41" s="29"/>
      <c r="K41" s="50">
        <v>6.2</v>
      </c>
      <c r="L41" s="6"/>
      <c r="M41" s="104" t="s">
        <v>79</v>
      </c>
      <c r="N41" s="98" t="s">
        <v>98</v>
      </c>
      <c r="O41" s="98"/>
      <c r="P41" s="98" t="s">
        <v>93</v>
      </c>
      <c r="Q41" s="98"/>
      <c r="R41" s="98"/>
      <c r="S41" s="98" t="s">
        <v>111</v>
      </c>
      <c r="T41" s="98" t="s">
        <v>81</v>
      </c>
      <c r="U41" s="98"/>
      <c r="V41" s="98"/>
      <c r="W41" s="98"/>
      <c r="X41" s="98" t="s">
        <v>93</v>
      </c>
      <c r="Y41" s="98"/>
      <c r="Z41" s="100"/>
    </row>
    <row r="42" spans="1:26" ht="23.25" customHeight="1">
      <c r="A42" s="29" t="s">
        <v>31</v>
      </c>
      <c r="B42" s="49">
        <v>3514.2329</v>
      </c>
      <c r="C42" s="31">
        <f t="shared" si="0"/>
        <v>6.8800000000010186E-2</v>
      </c>
      <c r="D42" s="30">
        <f t="shared" si="1"/>
        <v>495.36000000007334</v>
      </c>
      <c r="E42" s="29"/>
      <c r="F42" s="49">
        <v>1660.4812999999999</v>
      </c>
      <c r="G42" s="28">
        <f t="shared" si="2"/>
        <v>4.9999999999727152E-2</v>
      </c>
      <c r="H42" s="30">
        <f t="shared" si="3"/>
        <v>359.99999999803549</v>
      </c>
      <c r="I42" s="33">
        <f t="shared" si="4"/>
        <v>0.72674418604243818</v>
      </c>
      <c r="J42" s="29"/>
      <c r="K42" s="50">
        <v>6.2</v>
      </c>
      <c r="L42" s="6"/>
      <c r="M42" s="95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101"/>
    </row>
    <row r="43" spans="1:26" ht="22.5" customHeight="1">
      <c r="A43" s="86" t="s">
        <v>70</v>
      </c>
      <c r="B43" s="86"/>
      <c r="C43" s="86"/>
      <c r="D43" s="30">
        <f>SUM(D18:D42)</f>
        <v>11554.560000000492</v>
      </c>
      <c r="E43" s="29"/>
      <c r="F43" s="36"/>
      <c r="G43" s="43"/>
      <c r="H43" s="30">
        <f>SUM(H18:H42)</f>
        <v>8489.5199999988108</v>
      </c>
      <c r="I43" s="33">
        <f>IF(AND(H43=0,D43=0),0,H43/D43)</f>
        <v>0.73473330009956661</v>
      </c>
      <c r="J43" s="29"/>
      <c r="K43" s="5"/>
      <c r="L43" s="6"/>
      <c r="M43" s="95" t="s">
        <v>80</v>
      </c>
      <c r="N43" s="99" t="s">
        <v>99</v>
      </c>
      <c r="O43" s="99"/>
      <c r="P43" s="99" t="s">
        <v>110</v>
      </c>
      <c r="Q43" s="99"/>
      <c r="R43" s="99"/>
      <c r="S43" s="99"/>
      <c r="T43" s="99"/>
      <c r="U43" s="99"/>
      <c r="V43" s="99"/>
      <c r="W43" s="99"/>
      <c r="X43" s="99" t="s">
        <v>110</v>
      </c>
      <c r="Y43" s="99"/>
      <c r="Z43" s="101"/>
    </row>
    <row r="44" spans="1:26" ht="22.5" customHeight="1">
      <c r="A44" s="76" t="s">
        <v>71</v>
      </c>
      <c r="B44" s="76"/>
      <c r="C44" s="76"/>
      <c r="D44" s="37"/>
      <c r="E44" s="37"/>
      <c r="F44" s="38"/>
      <c r="G44" s="29"/>
      <c r="H44" s="29"/>
      <c r="I44" s="29"/>
      <c r="J44" s="29"/>
      <c r="K44" s="5"/>
      <c r="L44" s="6"/>
      <c r="M44" s="96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3"/>
    </row>
    <row r="45" spans="1:26" ht="22.5" customHeight="1">
      <c r="B45" s="15"/>
      <c r="C45" s="15"/>
      <c r="D45" s="15"/>
      <c r="E45" s="15"/>
      <c r="F45" s="15"/>
      <c r="G45" s="15"/>
      <c r="H45" s="15"/>
      <c r="I45" s="15"/>
      <c r="J45" s="16"/>
      <c r="K45" s="16"/>
      <c r="L45" s="16"/>
      <c r="M45" s="10"/>
      <c r="N45" s="89"/>
      <c r="O45" s="105"/>
      <c r="P45" s="89"/>
      <c r="Q45" s="90"/>
      <c r="R45" s="105"/>
      <c r="S45" s="8"/>
      <c r="T45" s="89"/>
      <c r="U45" s="90"/>
      <c r="V45" s="90"/>
      <c r="W45" s="105"/>
      <c r="X45" s="89"/>
      <c r="Y45" s="90"/>
      <c r="Z45" s="90"/>
    </row>
    <row r="46" spans="1:26" ht="22.5" customHeight="1">
      <c r="A46" s="91" t="s">
        <v>72</v>
      </c>
      <c r="B46" s="91"/>
      <c r="C46" s="91"/>
      <c r="D46" s="91"/>
      <c r="E46" s="91"/>
      <c r="F46" s="91"/>
      <c r="G46" s="122" t="s">
        <v>73</v>
      </c>
      <c r="H46" s="122"/>
      <c r="I46" s="122"/>
      <c r="J46" s="122"/>
      <c r="K46" s="122"/>
      <c r="L46" s="122"/>
      <c r="M46" s="10"/>
      <c r="N46" s="89"/>
      <c r="O46" s="105"/>
      <c r="P46" s="89"/>
      <c r="Q46" s="90"/>
      <c r="R46" s="105"/>
      <c r="S46" s="8"/>
      <c r="T46" s="89"/>
      <c r="U46" s="90"/>
      <c r="V46" s="90"/>
      <c r="W46" s="105"/>
      <c r="X46" s="89"/>
      <c r="Y46" s="90"/>
      <c r="Z46" s="90"/>
    </row>
    <row r="47" spans="1:26" ht="22.5" customHeight="1">
      <c r="A47" s="52" t="s">
        <v>388</v>
      </c>
      <c r="B47" s="52"/>
      <c r="C47" s="52"/>
      <c r="D47" s="91" t="s">
        <v>74</v>
      </c>
      <c r="E47" s="91"/>
      <c r="F47" s="91"/>
      <c r="G47" s="15"/>
      <c r="H47" s="15"/>
      <c r="I47" s="15"/>
      <c r="J47" s="15"/>
      <c r="K47" s="15"/>
      <c r="L47" s="15"/>
      <c r="M47" s="10"/>
      <c r="N47" s="89"/>
      <c r="O47" s="105"/>
      <c r="P47" s="89"/>
      <c r="Q47" s="90"/>
      <c r="R47" s="105"/>
      <c r="S47" s="8"/>
      <c r="T47" s="89"/>
      <c r="U47" s="90"/>
      <c r="V47" s="90"/>
      <c r="W47" s="105"/>
      <c r="X47" s="89"/>
      <c r="Y47" s="90"/>
      <c r="Z47" s="90"/>
    </row>
    <row r="48" spans="1:26" ht="22.5" customHeight="1">
      <c r="A48" s="55" t="s">
        <v>75</v>
      </c>
      <c r="B48" s="55"/>
      <c r="C48" s="55"/>
      <c r="D48" s="53" t="s">
        <v>76</v>
      </c>
      <c r="E48" s="53"/>
      <c r="F48" s="53"/>
    </row>
    <row r="49" spans="1:23" ht="22.5" customHeight="1">
      <c r="A49" s="52" t="s">
        <v>389</v>
      </c>
      <c r="B49" s="52"/>
      <c r="C49" s="52"/>
      <c r="D49" s="91" t="s">
        <v>74</v>
      </c>
      <c r="E49" s="91"/>
      <c r="F49" s="91"/>
      <c r="H49" s="91" t="s">
        <v>191</v>
      </c>
      <c r="I49" s="91"/>
      <c r="J49" s="91"/>
      <c r="K49" s="91" t="s">
        <v>77</v>
      </c>
      <c r="L49" s="91"/>
      <c r="N49" s="57" t="s">
        <v>150</v>
      </c>
      <c r="O49" s="57"/>
      <c r="P49" s="57"/>
      <c r="Q49" s="56" t="s">
        <v>391</v>
      </c>
      <c r="R49" s="56"/>
      <c r="S49" s="56"/>
      <c r="T49" s="56"/>
      <c r="U49" s="56"/>
      <c r="V49" s="56"/>
      <c r="W49" s="1"/>
    </row>
    <row r="50" spans="1:23" ht="22.5" customHeight="1">
      <c r="A50" s="55" t="s">
        <v>75</v>
      </c>
      <c r="B50" s="55"/>
      <c r="C50" s="55"/>
      <c r="D50" s="53" t="s">
        <v>76</v>
      </c>
      <c r="E50" s="53"/>
      <c r="F50" s="53"/>
      <c r="G50" s="47"/>
      <c r="H50" s="53" t="s">
        <v>75</v>
      </c>
      <c r="I50" s="53"/>
      <c r="J50" s="53"/>
      <c r="K50" s="53" t="s">
        <v>76</v>
      </c>
      <c r="L50" s="53"/>
      <c r="S50" s="53" t="s">
        <v>76</v>
      </c>
      <c r="T50" s="53"/>
    </row>
    <row r="51" spans="1:23" ht="20.100000000000001" customHeight="1">
      <c r="A51" s="52" t="s">
        <v>390</v>
      </c>
      <c r="B51" s="52"/>
      <c r="C51" s="52"/>
      <c r="D51" s="91" t="s">
        <v>74</v>
      </c>
      <c r="E51" s="91"/>
      <c r="F51" s="91"/>
    </row>
    <row r="52" spans="1:23" ht="20.100000000000001" customHeight="1">
      <c r="A52" s="53" t="s">
        <v>75</v>
      </c>
      <c r="B52" s="53"/>
      <c r="C52" s="53"/>
      <c r="D52" s="53" t="s">
        <v>76</v>
      </c>
      <c r="E52" s="53"/>
      <c r="F52" s="53"/>
      <c r="G52" s="1"/>
      <c r="H52" s="1"/>
    </row>
  </sheetData>
  <sheetProtection sheet="1" objects="1" scenarios="1"/>
  <mergeCells count="258">
    <mergeCell ref="G1:H2"/>
    <mergeCell ref="A9:L9"/>
    <mergeCell ref="G46:L46"/>
    <mergeCell ref="G3:H4"/>
    <mergeCell ref="I3:L4"/>
    <mergeCell ref="A1:F1"/>
    <mergeCell ref="A2:F2"/>
    <mergeCell ref="A3:F3"/>
    <mergeCell ref="A4:F4"/>
    <mergeCell ref="A5:F5"/>
    <mergeCell ref="A6:F6"/>
    <mergeCell ref="F14:G14"/>
    <mergeCell ref="F15:G15"/>
    <mergeCell ref="A11:D11"/>
    <mergeCell ref="E11:H11"/>
    <mergeCell ref="A10:D10"/>
    <mergeCell ref="E10:G10"/>
    <mergeCell ref="A43:C43"/>
    <mergeCell ref="E16:E17"/>
    <mergeCell ref="B15:C15"/>
    <mergeCell ref="D15:E15"/>
    <mergeCell ref="B13:C13"/>
    <mergeCell ref="A51:C51"/>
    <mergeCell ref="A52:C52"/>
    <mergeCell ref="D52:F52"/>
    <mergeCell ref="D51:F51"/>
    <mergeCell ref="A44:C44"/>
    <mergeCell ref="D47:F47"/>
    <mergeCell ref="H49:J49"/>
    <mergeCell ref="K49:L49"/>
    <mergeCell ref="A7:L7"/>
    <mergeCell ref="F13:G13"/>
    <mergeCell ref="I11:L11"/>
    <mergeCell ref="B14:C14"/>
    <mergeCell ref="D14:E14"/>
    <mergeCell ref="A8:L8"/>
    <mergeCell ref="H50:J50"/>
    <mergeCell ref="K50:L50"/>
    <mergeCell ref="D49:F49"/>
    <mergeCell ref="A48:C48"/>
    <mergeCell ref="A49:C49"/>
    <mergeCell ref="A50:C50"/>
    <mergeCell ref="D50:F50"/>
    <mergeCell ref="D48:F48"/>
    <mergeCell ref="A47:C47"/>
    <mergeCell ref="D13:E13"/>
    <mergeCell ref="A46:F46"/>
    <mergeCell ref="A12:L12"/>
    <mergeCell ref="H10:L10"/>
    <mergeCell ref="J16:J17"/>
    <mergeCell ref="K16:K17"/>
    <mergeCell ref="A13:A17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N14:O14"/>
    <mergeCell ref="N15:O15"/>
    <mergeCell ref="N16:O16"/>
    <mergeCell ref="N12:O12"/>
    <mergeCell ref="N13:O13"/>
    <mergeCell ref="I13:I17"/>
    <mergeCell ref="J13:K13"/>
    <mergeCell ref="J14:K14"/>
    <mergeCell ref="J15:K15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T27:V27"/>
    <mergeCell ref="W27:Z27"/>
    <mergeCell ref="N26:P26"/>
    <mergeCell ref="N25:P25"/>
    <mergeCell ref="Q25:S25"/>
    <mergeCell ref="T25:V25"/>
    <mergeCell ref="W25:Z25"/>
    <mergeCell ref="Q23:S23"/>
    <mergeCell ref="T23:V23"/>
    <mergeCell ref="Q26:S26"/>
    <mergeCell ref="T26:V26"/>
    <mergeCell ref="N24:P24"/>
    <mergeCell ref="Q24:S24"/>
    <mergeCell ref="T28:V28"/>
    <mergeCell ref="W28:Z28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T24:V24"/>
    <mergeCell ref="W24:Z24"/>
    <mergeCell ref="T18:V19"/>
    <mergeCell ref="V14:W14"/>
    <mergeCell ref="V11:W11"/>
    <mergeCell ref="V12:W12"/>
    <mergeCell ref="V13:W13"/>
    <mergeCell ref="T11:U11"/>
    <mergeCell ref="T12:U12"/>
    <mergeCell ref="T13:U13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T47:W47"/>
    <mergeCell ref="N43:O44"/>
    <mergeCell ref="P43:R44"/>
    <mergeCell ref="R39:S39"/>
    <mergeCell ref="T39:U39"/>
    <mergeCell ref="V39:X39"/>
    <mergeCell ref="Y39:Z39"/>
    <mergeCell ref="S41:S44"/>
    <mergeCell ref="T41:W44"/>
    <mergeCell ref="I1:L2"/>
    <mergeCell ref="G5:H6"/>
    <mergeCell ref="I5:L6"/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  <mergeCell ref="X45:Z45"/>
    <mergeCell ref="X46:Z46"/>
    <mergeCell ref="X47:Z47"/>
    <mergeCell ref="M43:M44"/>
    <mergeCell ref="N47:O47"/>
    <mergeCell ref="T45:W45"/>
    <mergeCell ref="T46:W46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>
  <sheetPr codeName="Лист18"/>
  <dimension ref="A1:Z52"/>
  <sheetViews>
    <sheetView view="pageBreakPreview" topLeftCell="A16" zoomScale="75" zoomScaleNormal="50" zoomScaleSheetLayoutView="75" workbookViewId="0">
      <selection activeCell="F37" sqref="F37"/>
    </sheetView>
  </sheetViews>
  <sheetFormatPr defaultRowHeight="18.75"/>
  <cols>
    <col min="1" max="1" width="11.140625" style="2" customWidth="1"/>
    <col min="2" max="2" width="13.42578125" style="2" customWidth="1"/>
    <col min="3" max="3" width="12.140625" style="2" customWidth="1"/>
    <col min="4" max="4" width="14" style="2" customWidth="1"/>
    <col min="5" max="5" width="5.42578125" style="2" customWidth="1"/>
    <col min="6" max="6" width="13.85546875" style="2" customWidth="1"/>
    <col min="7" max="7" width="12.85546875" style="2" customWidth="1"/>
    <col min="8" max="8" width="19" style="2" customWidth="1"/>
    <col min="9" max="9" width="8.28515625" style="2" customWidth="1"/>
    <col min="10" max="11" width="8.85546875" style="2" customWidth="1"/>
    <col min="12" max="12" width="17" style="2" customWidth="1"/>
    <col min="13" max="26" width="10.28515625" style="2" customWidth="1"/>
    <col min="27" max="16384" width="9.140625" style="2"/>
  </cols>
  <sheetData>
    <row r="1" spans="1:26" ht="21.75" customHeight="1">
      <c r="A1" s="59" t="s">
        <v>157</v>
      </c>
      <c r="B1" s="59"/>
      <c r="C1" s="59"/>
      <c r="D1" s="59"/>
      <c r="E1" s="59"/>
      <c r="F1" s="59"/>
      <c r="G1" s="63" t="s">
        <v>154</v>
      </c>
      <c r="H1" s="63"/>
      <c r="I1" s="59" t="s">
        <v>160</v>
      </c>
      <c r="J1" s="59"/>
      <c r="K1" s="59"/>
      <c r="L1" s="59"/>
      <c r="M1" s="91" t="s">
        <v>96</v>
      </c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spans="1:26" ht="21.75" customHeight="1">
      <c r="A2" s="61" t="s">
        <v>45</v>
      </c>
      <c r="B2" s="61"/>
      <c r="C2" s="61"/>
      <c r="D2" s="61"/>
      <c r="E2" s="61"/>
      <c r="F2" s="61"/>
      <c r="G2" s="63"/>
      <c r="H2" s="63"/>
      <c r="I2" s="59"/>
      <c r="J2" s="59"/>
      <c r="K2" s="59"/>
      <c r="L2" s="59"/>
      <c r="M2" s="91" t="s">
        <v>78</v>
      </c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spans="1:26" ht="21.75" customHeight="1">
      <c r="A3" s="59" t="s">
        <v>158</v>
      </c>
      <c r="B3" s="60"/>
      <c r="C3" s="60"/>
      <c r="D3" s="60"/>
      <c r="E3" s="60"/>
      <c r="F3" s="60"/>
      <c r="G3" s="63" t="s">
        <v>155</v>
      </c>
      <c r="H3" s="63"/>
      <c r="I3" s="59" t="s">
        <v>208</v>
      </c>
      <c r="J3" s="59"/>
      <c r="K3" s="59"/>
      <c r="L3" s="59"/>
      <c r="M3" s="104" t="s">
        <v>79</v>
      </c>
      <c r="N3" s="100" t="s">
        <v>81</v>
      </c>
      <c r="O3" s="104"/>
      <c r="P3" s="100" t="s">
        <v>65</v>
      </c>
      <c r="Q3" s="104"/>
      <c r="R3" s="100" t="s">
        <v>82</v>
      </c>
      <c r="S3" s="104"/>
      <c r="T3" s="100" t="s">
        <v>85</v>
      </c>
      <c r="U3" s="104"/>
      <c r="V3" s="100" t="s">
        <v>87</v>
      </c>
      <c r="W3" s="104"/>
      <c r="X3" s="107" t="s">
        <v>91</v>
      </c>
      <c r="Y3" s="108"/>
      <c r="Z3" s="108"/>
    </row>
    <row r="4" spans="1:26" ht="29.25" customHeight="1">
      <c r="A4" s="61" t="s">
        <v>46</v>
      </c>
      <c r="B4" s="61"/>
      <c r="C4" s="61"/>
      <c r="D4" s="61"/>
      <c r="E4" s="61"/>
      <c r="F4" s="61"/>
      <c r="G4" s="63"/>
      <c r="H4" s="63"/>
      <c r="I4" s="59"/>
      <c r="J4" s="59"/>
      <c r="K4" s="59"/>
      <c r="L4" s="59"/>
      <c r="M4" s="95"/>
      <c r="N4" s="101"/>
      <c r="O4" s="95"/>
      <c r="P4" s="101"/>
      <c r="Q4" s="95"/>
      <c r="R4" s="101" t="s">
        <v>83</v>
      </c>
      <c r="S4" s="95"/>
      <c r="T4" s="101" t="s">
        <v>86</v>
      </c>
      <c r="U4" s="95"/>
      <c r="V4" s="101" t="s">
        <v>88</v>
      </c>
      <c r="W4" s="95"/>
      <c r="X4" s="107"/>
      <c r="Y4" s="108"/>
      <c r="Z4" s="108"/>
    </row>
    <row r="5" spans="1:26" ht="21.75" customHeight="1">
      <c r="A5" s="59" t="s">
        <v>185</v>
      </c>
      <c r="B5" s="60"/>
      <c r="C5" s="60"/>
      <c r="D5" s="60"/>
      <c r="E5" s="60"/>
      <c r="F5" s="60"/>
      <c r="G5" s="63" t="s">
        <v>156</v>
      </c>
      <c r="H5" s="63"/>
      <c r="I5" s="59" t="s">
        <v>246</v>
      </c>
      <c r="J5" s="59"/>
      <c r="K5" s="59"/>
      <c r="L5" s="59"/>
      <c r="M5" s="95" t="s">
        <v>80</v>
      </c>
      <c r="N5" s="101"/>
      <c r="O5" s="95"/>
      <c r="P5" s="101" t="s">
        <v>190</v>
      </c>
      <c r="Q5" s="95"/>
      <c r="R5" s="109" t="s">
        <v>84</v>
      </c>
      <c r="S5" s="110"/>
      <c r="T5" s="109" t="s">
        <v>84</v>
      </c>
      <c r="U5" s="110"/>
      <c r="V5" s="101" t="s">
        <v>89</v>
      </c>
      <c r="W5" s="95"/>
      <c r="X5" s="107"/>
      <c r="Y5" s="108"/>
      <c r="Z5" s="108"/>
    </row>
    <row r="6" spans="1:26" ht="21.75" customHeight="1">
      <c r="A6" s="61" t="s">
        <v>47</v>
      </c>
      <c r="B6" s="61"/>
      <c r="C6" s="61"/>
      <c r="D6" s="61"/>
      <c r="E6" s="61"/>
      <c r="F6" s="61"/>
      <c r="G6" s="63"/>
      <c r="H6" s="63"/>
      <c r="I6" s="59"/>
      <c r="J6" s="59"/>
      <c r="K6" s="59"/>
      <c r="L6" s="59"/>
      <c r="M6" s="96"/>
      <c r="N6" s="103"/>
      <c r="O6" s="96"/>
      <c r="P6" s="103"/>
      <c r="Q6" s="96"/>
      <c r="R6" s="103"/>
      <c r="S6" s="96"/>
      <c r="T6" s="103"/>
      <c r="U6" s="96"/>
      <c r="V6" s="103" t="s">
        <v>90</v>
      </c>
      <c r="W6" s="96"/>
      <c r="X6" s="107"/>
      <c r="Y6" s="108"/>
      <c r="Z6" s="108"/>
    </row>
    <row r="7" spans="1:26" ht="21.75" customHeight="1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10"/>
      <c r="N7" s="89"/>
      <c r="O7" s="105"/>
      <c r="P7" s="89"/>
      <c r="Q7" s="105"/>
      <c r="R7" s="89"/>
      <c r="S7" s="105"/>
      <c r="T7" s="89"/>
      <c r="U7" s="105"/>
      <c r="V7" s="89"/>
      <c r="W7" s="105"/>
      <c r="X7" s="89"/>
      <c r="Y7" s="90"/>
      <c r="Z7" s="90"/>
    </row>
    <row r="8" spans="1:26" ht="22.5" customHeight="1">
      <c r="A8" s="94" t="s">
        <v>48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10"/>
      <c r="N8" s="89"/>
      <c r="O8" s="105"/>
      <c r="P8" s="89"/>
      <c r="Q8" s="105"/>
      <c r="R8" s="89"/>
      <c r="S8" s="105"/>
      <c r="T8" s="89"/>
      <c r="U8" s="105"/>
      <c r="V8" s="89"/>
      <c r="W8" s="105"/>
      <c r="X8" s="89"/>
      <c r="Y8" s="90"/>
      <c r="Z8" s="90"/>
    </row>
    <row r="9" spans="1:26" ht="22.5" customHeight="1">
      <c r="A9" s="88" t="s">
        <v>49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10"/>
      <c r="N9" s="89"/>
      <c r="O9" s="105"/>
      <c r="P9" s="89"/>
      <c r="Q9" s="105"/>
      <c r="R9" s="89"/>
      <c r="S9" s="105"/>
      <c r="T9" s="89"/>
      <c r="U9" s="105"/>
      <c r="V9" s="89"/>
      <c r="W9" s="105"/>
      <c r="X9" s="89"/>
      <c r="Y9" s="90"/>
      <c r="Z9" s="90"/>
    </row>
    <row r="10" spans="1:26" ht="22.5" customHeight="1">
      <c r="A10" s="80" t="s">
        <v>112</v>
      </c>
      <c r="B10" s="80"/>
      <c r="C10" s="80"/>
      <c r="D10" s="80"/>
      <c r="E10" s="81" t="s">
        <v>383</v>
      </c>
      <c r="F10" s="81"/>
      <c r="G10" s="81"/>
      <c r="H10" s="62" t="s">
        <v>384</v>
      </c>
      <c r="I10" s="62"/>
      <c r="J10" s="62"/>
      <c r="K10" s="62"/>
      <c r="L10" s="62"/>
      <c r="M10" s="10"/>
      <c r="N10" s="89"/>
      <c r="O10" s="105"/>
      <c r="P10" s="89"/>
      <c r="Q10" s="105"/>
      <c r="R10" s="89"/>
      <c r="S10" s="105"/>
      <c r="T10" s="89"/>
      <c r="U10" s="105"/>
      <c r="V10" s="89"/>
      <c r="W10" s="105"/>
      <c r="X10" s="89"/>
      <c r="Y10" s="90"/>
      <c r="Z10" s="90"/>
    </row>
    <row r="11" spans="1:26" ht="22.5" customHeight="1">
      <c r="A11" s="80" t="s">
        <v>113</v>
      </c>
      <c r="B11" s="80"/>
      <c r="C11" s="80"/>
      <c r="D11" s="80"/>
      <c r="E11" s="79" t="s">
        <v>232</v>
      </c>
      <c r="F11" s="79"/>
      <c r="G11" s="79"/>
      <c r="H11" s="79"/>
      <c r="I11" s="62" t="s">
        <v>114</v>
      </c>
      <c r="J11" s="62"/>
      <c r="K11" s="62"/>
      <c r="L11" s="62"/>
      <c r="M11" s="10"/>
      <c r="N11" s="89"/>
      <c r="O11" s="105"/>
      <c r="P11" s="89"/>
      <c r="Q11" s="105"/>
      <c r="R11" s="89"/>
      <c r="S11" s="105"/>
      <c r="T11" s="89"/>
      <c r="U11" s="105"/>
      <c r="V11" s="89"/>
      <c r="W11" s="105"/>
      <c r="X11" s="89"/>
      <c r="Y11" s="90"/>
      <c r="Z11" s="90"/>
    </row>
    <row r="12" spans="1:26" ht="21.75" customHeight="1">
      <c r="A12" s="124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124"/>
      <c r="M12" s="10"/>
      <c r="N12" s="89"/>
      <c r="O12" s="105"/>
      <c r="P12" s="89"/>
      <c r="Q12" s="105"/>
      <c r="R12" s="89"/>
      <c r="S12" s="105"/>
      <c r="T12" s="89"/>
      <c r="U12" s="105"/>
      <c r="V12" s="89"/>
      <c r="W12" s="105"/>
      <c r="X12" s="89"/>
      <c r="Y12" s="90"/>
      <c r="Z12" s="90"/>
    </row>
    <row r="13" spans="1:26" ht="21.75" customHeight="1">
      <c r="A13" s="64" t="s">
        <v>50</v>
      </c>
      <c r="B13" s="73" t="s">
        <v>56</v>
      </c>
      <c r="C13" s="73"/>
      <c r="D13" s="74" t="s">
        <v>265</v>
      </c>
      <c r="E13" s="75"/>
      <c r="F13" s="72" t="s">
        <v>59</v>
      </c>
      <c r="G13" s="73"/>
      <c r="H13" s="18" t="s">
        <v>265</v>
      </c>
      <c r="I13" s="84" t="s">
        <v>5</v>
      </c>
      <c r="J13" s="72" t="s">
        <v>60</v>
      </c>
      <c r="K13" s="73"/>
      <c r="L13" s="11" t="s">
        <v>65</v>
      </c>
      <c r="M13" s="10"/>
      <c r="N13" s="89"/>
      <c r="O13" s="105"/>
      <c r="P13" s="89"/>
      <c r="Q13" s="105"/>
      <c r="R13" s="89"/>
      <c r="S13" s="105"/>
      <c r="T13" s="89"/>
      <c r="U13" s="105"/>
      <c r="V13" s="89"/>
      <c r="W13" s="105"/>
      <c r="X13" s="89"/>
      <c r="Y13" s="90"/>
      <c r="Z13" s="90"/>
    </row>
    <row r="14" spans="1:26" ht="21.75" customHeight="1">
      <c r="A14" s="65"/>
      <c r="B14" s="83" t="s">
        <v>57</v>
      </c>
      <c r="C14" s="83"/>
      <c r="D14" s="92" t="s">
        <v>282</v>
      </c>
      <c r="E14" s="93"/>
      <c r="F14" s="82" t="s">
        <v>57</v>
      </c>
      <c r="G14" s="83"/>
      <c r="H14" s="19" t="s">
        <v>282</v>
      </c>
      <c r="I14" s="85"/>
      <c r="J14" s="82" t="s">
        <v>61</v>
      </c>
      <c r="K14" s="83"/>
      <c r="L14" s="24" t="s">
        <v>66</v>
      </c>
      <c r="M14" s="10"/>
      <c r="N14" s="89"/>
      <c r="O14" s="105"/>
      <c r="P14" s="89"/>
      <c r="Q14" s="105"/>
      <c r="R14" s="89"/>
      <c r="S14" s="105"/>
      <c r="T14" s="89"/>
      <c r="U14" s="105"/>
      <c r="V14" s="89"/>
      <c r="W14" s="105"/>
      <c r="X14" s="89"/>
      <c r="Y14" s="90"/>
      <c r="Z14" s="90"/>
    </row>
    <row r="15" spans="1:26" ht="21.75" customHeight="1">
      <c r="A15" s="65"/>
      <c r="B15" s="69" t="s">
        <v>58</v>
      </c>
      <c r="C15" s="69"/>
      <c r="D15" s="70">
        <v>2400</v>
      </c>
      <c r="E15" s="71"/>
      <c r="F15" s="68" t="s">
        <v>58</v>
      </c>
      <c r="G15" s="69"/>
      <c r="H15" s="20">
        <v>2400</v>
      </c>
      <c r="I15" s="85"/>
      <c r="J15" s="68" t="s">
        <v>62</v>
      </c>
      <c r="K15" s="69"/>
      <c r="L15" s="24" t="s">
        <v>67</v>
      </c>
      <c r="M15" s="10"/>
      <c r="N15" s="89"/>
      <c r="O15" s="105"/>
      <c r="P15" s="89"/>
      <c r="Q15" s="105"/>
      <c r="R15" s="89"/>
      <c r="S15" s="105"/>
      <c r="T15" s="89"/>
      <c r="U15" s="105"/>
      <c r="V15" s="89"/>
      <c r="W15" s="105"/>
      <c r="X15" s="89"/>
      <c r="Y15" s="90"/>
      <c r="Z15" s="90"/>
    </row>
    <row r="16" spans="1:26" ht="21.75" customHeight="1">
      <c r="A16" s="65"/>
      <c r="B16" s="25" t="s">
        <v>51</v>
      </c>
      <c r="C16" s="13" t="s">
        <v>53</v>
      </c>
      <c r="D16" s="13" t="s">
        <v>54</v>
      </c>
      <c r="E16" s="66"/>
      <c r="F16" s="13" t="s">
        <v>51</v>
      </c>
      <c r="G16" s="13" t="s">
        <v>53</v>
      </c>
      <c r="H16" s="11" t="s">
        <v>54</v>
      </c>
      <c r="I16" s="85"/>
      <c r="J16" s="66" t="s">
        <v>63</v>
      </c>
      <c r="K16" s="72" t="s">
        <v>64</v>
      </c>
      <c r="L16" s="24" t="s">
        <v>68</v>
      </c>
      <c r="M16" s="10"/>
      <c r="N16" s="89"/>
      <c r="O16" s="105"/>
      <c r="P16" s="89"/>
      <c r="Q16" s="105"/>
      <c r="R16" s="89"/>
      <c r="S16" s="105"/>
      <c r="T16" s="89"/>
      <c r="U16" s="105"/>
      <c r="V16" s="89"/>
      <c r="W16" s="105"/>
      <c r="X16" s="89"/>
      <c r="Y16" s="90"/>
      <c r="Z16" s="90"/>
    </row>
    <row r="17" spans="1:26" ht="21.75" customHeight="1">
      <c r="A17" s="78"/>
      <c r="B17" s="13" t="s">
        <v>52</v>
      </c>
      <c r="C17" s="26" t="s">
        <v>51</v>
      </c>
      <c r="D17" s="26" t="s">
        <v>55</v>
      </c>
      <c r="E17" s="67"/>
      <c r="F17" s="26" t="s">
        <v>52</v>
      </c>
      <c r="G17" s="14" t="s">
        <v>51</v>
      </c>
      <c r="H17" s="12" t="s">
        <v>55</v>
      </c>
      <c r="I17" s="119"/>
      <c r="J17" s="120"/>
      <c r="K17" s="68"/>
      <c r="L17" s="12" t="s">
        <v>69</v>
      </c>
      <c r="M17" s="111" t="s">
        <v>92</v>
      </c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spans="1:26" ht="23.25" customHeight="1">
      <c r="A18" s="45" t="s">
        <v>7</v>
      </c>
      <c r="B18" s="49">
        <v>7401.8939</v>
      </c>
      <c r="C18" s="31"/>
      <c r="D18" s="30"/>
      <c r="E18" s="29"/>
      <c r="F18" s="49">
        <v>5541.7929999999997</v>
      </c>
      <c r="G18" s="28"/>
      <c r="H18" s="30"/>
      <c r="I18" s="33"/>
      <c r="J18" s="29"/>
      <c r="K18" s="50">
        <v>6.1</v>
      </c>
      <c r="L18" s="48"/>
      <c r="M18" s="104" t="s">
        <v>79</v>
      </c>
      <c r="N18" s="98" t="s">
        <v>98</v>
      </c>
      <c r="O18" s="98"/>
      <c r="P18" s="98"/>
      <c r="Q18" s="98" t="s">
        <v>107</v>
      </c>
      <c r="R18" s="98"/>
      <c r="S18" s="98"/>
      <c r="T18" s="98" t="s">
        <v>93</v>
      </c>
      <c r="U18" s="98"/>
      <c r="V18" s="98"/>
      <c r="W18" s="100" t="s">
        <v>91</v>
      </c>
      <c r="X18" s="112"/>
      <c r="Y18" s="112"/>
      <c r="Z18" s="112"/>
    </row>
    <row r="19" spans="1:26" ht="23.25" customHeight="1">
      <c r="A19" s="45" t="s">
        <v>8</v>
      </c>
      <c r="B19" s="49">
        <v>7402.0681999999997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0.17429999999967549</v>
      </c>
      <c r="D19" s="30">
        <f t="shared" ref="D19:D42" si="1">IF(C19="","",C19*$D$15)</f>
        <v>418.31999999922118</v>
      </c>
      <c r="E19" s="29"/>
      <c r="F19" s="49">
        <v>5541.9669999999996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0.17399999999997817</v>
      </c>
      <c r="H19" s="30">
        <f t="shared" ref="H19:H42" si="3">IF(G19="","",G19*$H$15)</f>
        <v>417.59999999994761</v>
      </c>
      <c r="I19" s="33">
        <f t="shared" ref="I19:I42" si="4">IF(H19="","",IF(D19="","",IF(AND(H19=0,D19=0),0,H19/D19)))</f>
        <v>0.99827882960586412</v>
      </c>
      <c r="J19" s="29"/>
      <c r="K19" s="50">
        <v>6.1</v>
      </c>
      <c r="L19" s="35"/>
      <c r="M19" s="95"/>
      <c r="N19" s="99"/>
      <c r="O19" s="99"/>
      <c r="P19" s="99"/>
      <c r="Q19" s="99" t="s">
        <v>108</v>
      </c>
      <c r="R19" s="99"/>
      <c r="S19" s="99"/>
      <c r="T19" s="99"/>
      <c r="U19" s="99"/>
      <c r="V19" s="99"/>
      <c r="W19" s="101"/>
      <c r="X19" s="91"/>
      <c r="Y19" s="91"/>
      <c r="Z19" s="91"/>
    </row>
    <row r="20" spans="1:26" ht="23.25" customHeight="1">
      <c r="A20" s="45" t="s">
        <v>9</v>
      </c>
      <c r="B20" s="49">
        <v>7402.2552000000005</v>
      </c>
      <c r="C20" s="31">
        <f t="shared" si="0"/>
        <v>0.18700000000080763</v>
      </c>
      <c r="D20" s="30">
        <f t="shared" si="1"/>
        <v>448.80000000193832</v>
      </c>
      <c r="E20" s="29"/>
      <c r="F20" s="49">
        <v>5542.1439</v>
      </c>
      <c r="G20" s="28">
        <f t="shared" si="2"/>
        <v>0.17690000000038708</v>
      </c>
      <c r="H20" s="30">
        <f t="shared" si="3"/>
        <v>424.56000000092899</v>
      </c>
      <c r="I20" s="33">
        <f t="shared" si="4"/>
        <v>0.94598930481081855</v>
      </c>
      <c r="J20" s="29"/>
      <c r="K20" s="50">
        <v>6.1</v>
      </c>
      <c r="L20" s="35"/>
      <c r="M20" s="95" t="s">
        <v>80</v>
      </c>
      <c r="N20" s="99" t="s">
        <v>99</v>
      </c>
      <c r="O20" s="99"/>
      <c r="P20" s="99"/>
      <c r="Q20" s="99" t="s">
        <v>189</v>
      </c>
      <c r="R20" s="99"/>
      <c r="S20" s="99"/>
      <c r="T20" s="99" t="s">
        <v>94</v>
      </c>
      <c r="U20" s="99"/>
      <c r="V20" s="99"/>
      <c r="W20" s="101"/>
      <c r="X20" s="91"/>
      <c r="Y20" s="91"/>
      <c r="Z20" s="91"/>
    </row>
    <row r="21" spans="1:26" ht="23.25" customHeight="1">
      <c r="A21" s="45" t="s">
        <v>10</v>
      </c>
      <c r="B21" s="49">
        <v>7402.4463000000005</v>
      </c>
      <c r="C21" s="31">
        <f t="shared" si="0"/>
        <v>0.19110000000000582</v>
      </c>
      <c r="D21" s="30">
        <f t="shared" si="1"/>
        <v>458.64000000001397</v>
      </c>
      <c r="E21" s="29"/>
      <c r="F21" s="49">
        <v>5542.3222999999998</v>
      </c>
      <c r="G21" s="28">
        <f t="shared" si="2"/>
        <v>0.17839999999978318</v>
      </c>
      <c r="H21" s="30">
        <f t="shared" si="3"/>
        <v>428.15999999947962</v>
      </c>
      <c r="I21" s="33">
        <f t="shared" si="4"/>
        <v>0.93354264782719909</v>
      </c>
      <c r="J21" s="29"/>
      <c r="K21" s="50">
        <v>6.1</v>
      </c>
      <c r="L21" s="35"/>
      <c r="M21" s="96"/>
      <c r="N21" s="102"/>
      <c r="O21" s="102"/>
      <c r="P21" s="102"/>
      <c r="Q21" s="102"/>
      <c r="R21" s="102"/>
      <c r="S21" s="102"/>
      <c r="T21" s="102"/>
      <c r="U21" s="102"/>
      <c r="V21" s="102"/>
      <c r="W21" s="103"/>
      <c r="X21" s="111"/>
      <c r="Y21" s="111"/>
      <c r="Z21" s="111"/>
    </row>
    <row r="22" spans="1:26" ht="23.25" customHeight="1">
      <c r="A22" s="45" t="s">
        <v>11</v>
      </c>
      <c r="B22" s="49">
        <v>7402.6374000000005</v>
      </c>
      <c r="C22" s="31">
        <f t="shared" si="0"/>
        <v>0.19110000000000582</v>
      </c>
      <c r="D22" s="30">
        <f t="shared" si="1"/>
        <v>458.64000000001397</v>
      </c>
      <c r="E22" s="29"/>
      <c r="F22" s="49">
        <v>5542.5002999999997</v>
      </c>
      <c r="G22" s="28">
        <f t="shared" si="2"/>
        <v>0.17799999999988358</v>
      </c>
      <c r="H22" s="30">
        <f t="shared" si="3"/>
        <v>427.1999999997206</v>
      </c>
      <c r="I22" s="33">
        <f t="shared" si="4"/>
        <v>0.93144950287743677</v>
      </c>
      <c r="J22" s="29"/>
      <c r="K22" s="50">
        <v>6.1</v>
      </c>
      <c r="L22" s="35"/>
      <c r="M22" s="10"/>
      <c r="N22" s="106"/>
      <c r="O22" s="106"/>
      <c r="P22" s="106"/>
      <c r="Q22" s="106"/>
      <c r="R22" s="106"/>
      <c r="S22" s="106"/>
      <c r="T22" s="106"/>
      <c r="U22" s="106"/>
      <c r="V22" s="106"/>
      <c r="W22" s="89"/>
      <c r="X22" s="90"/>
      <c r="Y22" s="90"/>
      <c r="Z22" s="90"/>
    </row>
    <row r="23" spans="1:26" ht="23.25" customHeight="1">
      <c r="A23" s="45" t="s">
        <v>12</v>
      </c>
      <c r="B23" s="49">
        <v>7402.8281000000006</v>
      </c>
      <c r="C23" s="31">
        <f t="shared" si="0"/>
        <v>0.19070000000010623</v>
      </c>
      <c r="D23" s="30">
        <f t="shared" si="1"/>
        <v>457.68000000025495</v>
      </c>
      <c r="E23" s="29"/>
      <c r="F23" s="49">
        <v>5542.6777999999995</v>
      </c>
      <c r="G23" s="28">
        <f t="shared" si="2"/>
        <v>0.17749999999978172</v>
      </c>
      <c r="H23" s="30">
        <f t="shared" si="3"/>
        <v>425.99999999947613</v>
      </c>
      <c r="I23" s="33">
        <f t="shared" si="4"/>
        <v>0.93078133193331325</v>
      </c>
      <c r="J23" s="29"/>
      <c r="K23" s="50">
        <v>6.1</v>
      </c>
      <c r="L23" s="35"/>
      <c r="M23" s="10"/>
      <c r="N23" s="106"/>
      <c r="O23" s="106"/>
      <c r="P23" s="106"/>
      <c r="Q23" s="106"/>
      <c r="R23" s="106"/>
      <c r="S23" s="106"/>
      <c r="T23" s="106"/>
      <c r="U23" s="106"/>
      <c r="V23" s="106"/>
      <c r="W23" s="89"/>
      <c r="X23" s="90"/>
      <c r="Y23" s="90"/>
      <c r="Z23" s="90"/>
    </row>
    <row r="24" spans="1:26" ht="23.25" customHeight="1">
      <c r="A24" s="45" t="s">
        <v>13</v>
      </c>
      <c r="B24" s="49">
        <v>7403.0186000000003</v>
      </c>
      <c r="C24" s="31">
        <f t="shared" si="0"/>
        <v>0.19049999999970169</v>
      </c>
      <c r="D24" s="30">
        <f t="shared" si="1"/>
        <v>457.19999999928405</v>
      </c>
      <c r="E24" s="29"/>
      <c r="F24" s="49">
        <v>5542.8548000000001</v>
      </c>
      <c r="G24" s="28">
        <f t="shared" si="2"/>
        <v>0.17700000000058935</v>
      </c>
      <c r="H24" s="30">
        <f t="shared" si="3"/>
        <v>424.80000000141445</v>
      </c>
      <c r="I24" s="33">
        <f t="shared" si="4"/>
        <v>0.92913385827226525</v>
      </c>
      <c r="J24" s="29"/>
      <c r="K24" s="50">
        <v>6.1</v>
      </c>
      <c r="L24" s="35"/>
      <c r="M24" s="10"/>
      <c r="N24" s="106"/>
      <c r="O24" s="106"/>
      <c r="P24" s="106"/>
      <c r="Q24" s="106"/>
      <c r="R24" s="106"/>
      <c r="S24" s="106"/>
      <c r="T24" s="106"/>
      <c r="U24" s="106"/>
      <c r="V24" s="106"/>
      <c r="W24" s="89"/>
      <c r="X24" s="90"/>
      <c r="Y24" s="90"/>
      <c r="Z24" s="90"/>
    </row>
    <row r="25" spans="1:26" ht="23.25" customHeight="1">
      <c r="A25" s="45" t="s">
        <v>14</v>
      </c>
      <c r="B25" s="49">
        <v>7403.2080000000005</v>
      </c>
      <c r="C25" s="31">
        <f t="shared" si="0"/>
        <v>0.18940000000020518</v>
      </c>
      <c r="D25" s="30">
        <f t="shared" si="1"/>
        <v>454.56000000049244</v>
      </c>
      <c r="E25" s="29"/>
      <c r="F25" s="49">
        <v>5543.0303999999996</v>
      </c>
      <c r="G25" s="28">
        <f t="shared" si="2"/>
        <v>0.17559999999957654</v>
      </c>
      <c r="H25" s="30">
        <f t="shared" si="3"/>
        <v>421.43999999898369</v>
      </c>
      <c r="I25" s="33">
        <f t="shared" si="4"/>
        <v>0.92713833157014947</v>
      </c>
      <c r="J25" s="29"/>
      <c r="K25" s="50">
        <v>6.1</v>
      </c>
      <c r="L25" s="35"/>
      <c r="M25" s="10"/>
      <c r="N25" s="106"/>
      <c r="O25" s="106"/>
      <c r="P25" s="106"/>
      <c r="Q25" s="106"/>
      <c r="R25" s="106"/>
      <c r="S25" s="106"/>
      <c r="T25" s="106"/>
      <c r="U25" s="106"/>
      <c r="V25" s="106"/>
      <c r="W25" s="89"/>
      <c r="X25" s="90"/>
      <c r="Y25" s="90"/>
      <c r="Z25" s="90"/>
    </row>
    <row r="26" spans="1:26" ht="23.25" customHeight="1">
      <c r="A26" s="45" t="s">
        <v>15</v>
      </c>
      <c r="B26" s="49">
        <v>7403.3874000000005</v>
      </c>
      <c r="C26" s="31">
        <f t="shared" si="0"/>
        <v>0.1793999999999869</v>
      </c>
      <c r="D26" s="30">
        <f t="shared" si="1"/>
        <v>430.55999999996857</v>
      </c>
      <c r="E26" s="29"/>
      <c r="F26" s="49">
        <v>5543.2025999999996</v>
      </c>
      <c r="G26" s="28">
        <f t="shared" si="2"/>
        <v>0.17219999999997526</v>
      </c>
      <c r="H26" s="30">
        <f t="shared" si="3"/>
        <v>413.27999999994063</v>
      </c>
      <c r="I26" s="33">
        <f t="shared" si="4"/>
        <v>0.95986622073571815</v>
      </c>
      <c r="J26" s="29"/>
      <c r="K26" s="50">
        <v>6</v>
      </c>
      <c r="L26" s="35"/>
      <c r="M26" s="10"/>
      <c r="N26" s="106"/>
      <c r="O26" s="106"/>
      <c r="P26" s="106"/>
      <c r="Q26" s="106"/>
      <c r="R26" s="106"/>
      <c r="S26" s="106"/>
      <c r="T26" s="106"/>
      <c r="U26" s="106"/>
      <c r="V26" s="106"/>
      <c r="W26" s="89"/>
      <c r="X26" s="90"/>
      <c r="Y26" s="90"/>
      <c r="Z26" s="90"/>
    </row>
    <row r="27" spans="1:26" ht="23.25" customHeight="1">
      <c r="A27" s="45" t="s">
        <v>16</v>
      </c>
      <c r="B27" s="49">
        <v>7403.5628999999999</v>
      </c>
      <c r="C27" s="31">
        <f t="shared" si="0"/>
        <v>0.17549999999937427</v>
      </c>
      <c r="D27" s="30">
        <f t="shared" si="1"/>
        <v>421.19999999849824</v>
      </c>
      <c r="E27" s="29"/>
      <c r="F27" s="49">
        <v>5543.3723</v>
      </c>
      <c r="G27" s="28">
        <f t="shared" si="2"/>
        <v>0.16970000000037544</v>
      </c>
      <c r="H27" s="30">
        <f t="shared" si="3"/>
        <v>407.28000000090105</v>
      </c>
      <c r="I27" s="33">
        <f t="shared" si="4"/>
        <v>0.96695156695715379</v>
      </c>
      <c r="J27" s="29"/>
      <c r="K27" s="50">
        <v>6</v>
      </c>
      <c r="L27" s="35"/>
      <c r="M27" s="10"/>
      <c r="N27" s="106"/>
      <c r="O27" s="106"/>
      <c r="P27" s="106"/>
      <c r="Q27" s="106"/>
      <c r="R27" s="106"/>
      <c r="S27" s="106"/>
      <c r="T27" s="106"/>
      <c r="U27" s="106"/>
      <c r="V27" s="106"/>
      <c r="W27" s="89"/>
      <c r="X27" s="90"/>
      <c r="Y27" s="90"/>
      <c r="Z27" s="90"/>
    </row>
    <row r="28" spans="1:26" ht="23.25" customHeight="1">
      <c r="A28" s="45" t="s">
        <v>17</v>
      </c>
      <c r="B28" s="49">
        <v>7403.7366000000002</v>
      </c>
      <c r="C28" s="31">
        <f t="shared" si="0"/>
        <v>0.17370000000028085</v>
      </c>
      <c r="D28" s="30">
        <f t="shared" si="1"/>
        <v>416.88000000067404</v>
      </c>
      <c r="E28" s="29"/>
      <c r="F28" s="49">
        <v>5543.5393999999997</v>
      </c>
      <c r="G28" s="28">
        <f t="shared" si="2"/>
        <v>0.16709999999966385</v>
      </c>
      <c r="H28" s="30">
        <f t="shared" si="3"/>
        <v>401.03999999919324</v>
      </c>
      <c r="I28" s="33">
        <f t="shared" si="4"/>
        <v>0.96200345422794287</v>
      </c>
      <c r="J28" s="29"/>
      <c r="K28" s="50">
        <v>6</v>
      </c>
      <c r="L28" s="35"/>
      <c r="M28" s="10"/>
      <c r="N28" s="106"/>
      <c r="O28" s="106"/>
      <c r="P28" s="106"/>
      <c r="Q28" s="106"/>
      <c r="R28" s="106"/>
      <c r="S28" s="106"/>
      <c r="T28" s="106"/>
      <c r="U28" s="106"/>
      <c r="V28" s="106"/>
      <c r="W28" s="89"/>
      <c r="X28" s="90"/>
      <c r="Y28" s="90"/>
      <c r="Z28" s="90"/>
    </row>
    <row r="29" spans="1:26" ht="23.25" customHeight="1">
      <c r="A29" s="45" t="s">
        <v>18</v>
      </c>
      <c r="B29" s="49">
        <v>7403.9191000000001</v>
      </c>
      <c r="C29" s="31">
        <f t="shared" si="0"/>
        <v>0.18249999999989086</v>
      </c>
      <c r="D29" s="30">
        <f t="shared" si="1"/>
        <v>437.99999999973807</v>
      </c>
      <c r="E29" s="29"/>
      <c r="F29" s="49">
        <v>5543.7073999999993</v>
      </c>
      <c r="G29" s="28">
        <f t="shared" si="2"/>
        <v>0.16799999999966531</v>
      </c>
      <c r="H29" s="30">
        <f t="shared" si="3"/>
        <v>403.19999999919673</v>
      </c>
      <c r="I29" s="33">
        <f t="shared" si="4"/>
        <v>0.92054794520419603</v>
      </c>
      <c r="J29" s="29"/>
      <c r="K29" s="50">
        <v>6</v>
      </c>
      <c r="L29" s="35"/>
      <c r="M29" s="97" t="s">
        <v>95</v>
      </c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23.25" customHeight="1">
      <c r="A30" s="45" t="s">
        <v>19</v>
      </c>
      <c r="B30" s="49">
        <v>7404.1021000000001</v>
      </c>
      <c r="C30" s="31">
        <f t="shared" si="0"/>
        <v>0.18299999999999272</v>
      </c>
      <c r="D30" s="30">
        <f t="shared" si="1"/>
        <v>439.19999999998254</v>
      </c>
      <c r="E30" s="29"/>
      <c r="F30" s="49">
        <v>5543.8782000000001</v>
      </c>
      <c r="G30" s="28">
        <f t="shared" si="2"/>
        <v>0.17080000000078144</v>
      </c>
      <c r="H30" s="30">
        <f t="shared" si="3"/>
        <v>409.92000000187545</v>
      </c>
      <c r="I30" s="33">
        <f t="shared" si="4"/>
        <v>0.93333333333764057</v>
      </c>
      <c r="J30" s="29"/>
      <c r="K30" s="50">
        <v>6</v>
      </c>
      <c r="L30" s="35"/>
      <c r="M30" s="91" t="s">
        <v>97</v>
      </c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 spans="1:26" ht="23.25" customHeight="1">
      <c r="A31" s="45" t="s">
        <v>20</v>
      </c>
      <c r="B31" s="49">
        <v>7404.2928000000002</v>
      </c>
      <c r="C31" s="31">
        <f t="shared" si="0"/>
        <v>0.19070000000010623</v>
      </c>
      <c r="D31" s="30">
        <f t="shared" si="1"/>
        <v>457.68000000025495</v>
      </c>
      <c r="E31" s="29"/>
      <c r="F31" s="49">
        <v>5544.0513000000001</v>
      </c>
      <c r="G31" s="28">
        <f t="shared" si="2"/>
        <v>0.17309999999997672</v>
      </c>
      <c r="H31" s="30">
        <f t="shared" si="3"/>
        <v>415.43999999994412</v>
      </c>
      <c r="I31" s="33">
        <f t="shared" si="4"/>
        <v>0.9077084425793408</v>
      </c>
      <c r="J31" s="29"/>
      <c r="K31" s="50">
        <v>6</v>
      </c>
      <c r="L31" s="35"/>
      <c r="M31" s="104" t="s">
        <v>79</v>
      </c>
      <c r="N31" s="98" t="s">
        <v>98</v>
      </c>
      <c r="O31" s="98"/>
      <c r="P31" s="98" t="s">
        <v>100</v>
      </c>
      <c r="Q31" s="98"/>
      <c r="R31" s="98" t="s">
        <v>93</v>
      </c>
      <c r="S31" s="98"/>
      <c r="T31" s="98" t="s">
        <v>103</v>
      </c>
      <c r="U31" s="98"/>
      <c r="V31" s="98" t="s">
        <v>187</v>
      </c>
      <c r="W31" s="98"/>
      <c r="X31" s="98"/>
      <c r="Y31" s="98" t="s">
        <v>91</v>
      </c>
      <c r="Z31" s="100"/>
    </row>
    <row r="32" spans="1:26" ht="23.25" customHeight="1">
      <c r="A32" s="45" t="s">
        <v>21</v>
      </c>
      <c r="B32" s="49">
        <v>7404.4843000000001</v>
      </c>
      <c r="C32" s="31">
        <f t="shared" si="0"/>
        <v>0.19149999999990541</v>
      </c>
      <c r="D32" s="30">
        <f t="shared" si="1"/>
        <v>459.59999999977299</v>
      </c>
      <c r="E32" s="29"/>
      <c r="F32" s="49">
        <v>5544.2235999999994</v>
      </c>
      <c r="G32" s="28">
        <f t="shared" si="2"/>
        <v>0.17229999999926804</v>
      </c>
      <c r="H32" s="30">
        <f t="shared" si="3"/>
        <v>413.51999999824329</v>
      </c>
      <c r="I32" s="33">
        <f t="shared" si="4"/>
        <v>0.89973890339087803</v>
      </c>
      <c r="J32" s="29"/>
      <c r="K32" s="50">
        <v>6</v>
      </c>
      <c r="L32" s="35"/>
      <c r="M32" s="95"/>
      <c r="N32" s="99"/>
      <c r="O32" s="99"/>
      <c r="P32" s="99" t="s">
        <v>83</v>
      </c>
      <c r="Q32" s="99"/>
      <c r="R32" s="99" t="s">
        <v>102</v>
      </c>
      <c r="S32" s="99"/>
      <c r="T32" s="99" t="s">
        <v>104</v>
      </c>
      <c r="U32" s="99"/>
      <c r="V32" s="99" t="s">
        <v>105</v>
      </c>
      <c r="W32" s="99"/>
      <c r="X32" s="99"/>
      <c r="Y32" s="99"/>
      <c r="Z32" s="101"/>
    </row>
    <row r="33" spans="1:26" ht="23.25" customHeight="1">
      <c r="A33" s="45" t="s">
        <v>22</v>
      </c>
      <c r="B33" s="49">
        <v>7404.6754000000001</v>
      </c>
      <c r="C33" s="31">
        <f t="shared" si="0"/>
        <v>0.19110000000000582</v>
      </c>
      <c r="D33" s="30">
        <f t="shared" si="1"/>
        <v>458.64000000001397</v>
      </c>
      <c r="E33" s="29"/>
      <c r="F33" s="49">
        <v>5544.3957</v>
      </c>
      <c r="G33" s="28">
        <f t="shared" si="2"/>
        <v>0.17210000000068248</v>
      </c>
      <c r="H33" s="30">
        <f t="shared" si="3"/>
        <v>413.04000000163796</v>
      </c>
      <c r="I33" s="33">
        <f t="shared" si="4"/>
        <v>0.90057561486487303</v>
      </c>
      <c r="J33" s="29"/>
      <c r="K33" s="50">
        <v>6</v>
      </c>
      <c r="L33" s="35"/>
      <c r="M33" s="95" t="s">
        <v>80</v>
      </c>
      <c r="N33" s="99" t="s">
        <v>99</v>
      </c>
      <c r="O33" s="99"/>
      <c r="P33" s="99" t="s">
        <v>101</v>
      </c>
      <c r="Q33" s="99"/>
      <c r="R33" s="99" t="s">
        <v>69</v>
      </c>
      <c r="S33" s="99"/>
      <c r="T33" s="99" t="s">
        <v>69</v>
      </c>
      <c r="U33" s="99"/>
      <c r="V33" s="99" t="s">
        <v>106</v>
      </c>
      <c r="W33" s="99"/>
      <c r="X33" s="99"/>
      <c r="Y33" s="99"/>
      <c r="Z33" s="101"/>
    </row>
    <row r="34" spans="1:26" ht="23.25" customHeight="1">
      <c r="A34" s="45" t="s">
        <v>23</v>
      </c>
      <c r="B34" s="49">
        <v>7404.866</v>
      </c>
      <c r="C34" s="31">
        <f t="shared" si="0"/>
        <v>0.19059999999990396</v>
      </c>
      <c r="D34" s="30">
        <f t="shared" si="1"/>
        <v>457.4399999997695</v>
      </c>
      <c r="E34" s="29"/>
      <c r="F34" s="49">
        <v>5544.5690999999997</v>
      </c>
      <c r="G34" s="28">
        <f t="shared" si="2"/>
        <v>0.17339999999967404</v>
      </c>
      <c r="H34" s="30">
        <f t="shared" si="3"/>
        <v>416.15999999921769</v>
      </c>
      <c r="I34" s="33">
        <f t="shared" si="4"/>
        <v>0.90975865687178081</v>
      </c>
      <c r="J34" s="29"/>
      <c r="K34" s="50">
        <v>6</v>
      </c>
      <c r="L34" s="35"/>
      <c r="M34" s="96"/>
      <c r="N34" s="102"/>
      <c r="O34" s="102"/>
      <c r="P34" s="102"/>
      <c r="Q34" s="102"/>
      <c r="R34" s="103"/>
      <c r="S34" s="96"/>
      <c r="T34" s="103"/>
      <c r="U34" s="96"/>
      <c r="V34" s="103"/>
      <c r="W34" s="111"/>
      <c r="X34" s="96"/>
      <c r="Y34" s="102"/>
      <c r="Z34" s="103"/>
    </row>
    <row r="35" spans="1:26" ht="23.25" customHeight="1">
      <c r="A35" s="45" t="s">
        <v>24</v>
      </c>
      <c r="B35" s="49">
        <v>7405.0617000000002</v>
      </c>
      <c r="C35" s="31">
        <f t="shared" si="0"/>
        <v>0.19570000000021537</v>
      </c>
      <c r="D35" s="30">
        <f t="shared" si="1"/>
        <v>469.68000000051688</v>
      </c>
      <c r="E35" s="29"/>
      <c r="F35" s="49">
        <v>5544.7437</v>
      </c>
      <c r="G35" s="28">
        <f t="shared" si="2"/>
        <v>0.17460000000028231</v>
      </c>
      <c r="H35" s="30">
        <f t="shared" si="3"/>
        <v>419.04000000067754</v>
      </c>
      <c r="I35" s="33">
        <f t="shared" si="4"/>
        <v>0.89218191108886136</v>
      </c>
      <c r="J35" s="29"/>
      <c r="K35" s="50">
        <v>6</v>
      </c>
      <c r="L35" s="35"/>
      <c r="M35" s="10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89"/>
    </row>
    <row r="36" spans="1:26" ht="23.25" customHeight="1">
      <c r="A36" s="45" t="s">
        <v>25</v>
      </c>
      <c r="B36" s="49">
        <v>7405.2554</v>
      </c>
      <c r="C36" s="31">
        <f t="shared" si="0"/>
        <v>0.19369999999980791</v>
      </c>
      <c r="D36" s="30">
        <f t="shared" si="1"/>
        <v>464.879999999539</v>
      </c>
      <c r="E36" s="29"/>
      <c r="F36" s="49">
        <v>5544.9165999999996</v>
      </c>
      <c r="G36" s="28">
        <f t="shared" si="2"/>
        <v>0.17289999999957217</v>
      </c>
      <c r="H36" s="30">
        <f t="shared" si="3"/>
        <v>414.95999999897322</v>
      </c>
      <c r="I36" s="33">
        <f t="shared" si="4"/>
        <v>0.89261744966310597</v>
      </c>
      <c r="J36" s="29"/>
      <c r="K36" s="50">
        <v>6</v>
      </c>
      <c r="L36" s="35"/>
      <c r="M36" s="10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89"/>
    </row>
    <row r="37" spans="1:26" ht="23.25" customHeight="1">
      <c r="A37" s="45" t="s">
        <v>26</v>
      </c>
      <c r="B37" s="49">
        <v>7405.4434000000001</v>
      </c>
      <c r="C37" s="31">
        <f t="shared" si="0"/>
        <v>0.18800000000010186</v>
      </c>
      <c r="D37" s="30">
        <f t="shared" si="1"/>
        <v>451.20000000024447</v>
      </c>
      <c r="E37" s="29"/>
      <c r="F37" s="49">
        <v>5545.0879999999997</v>
      </c>
      <c r="G37" s="28">
        <f t="shared" si="2"/>
        <v>0.17140000000017608</v>
      </c>
      <c r="H37" s="30">
        <f t="shared" si="3"/>
        <v>411.36000000042259</v>
      </c>
      <c r="I37" s="33">
        <f t="shared" si="4"/>
        <v>0.91170212766001701</v>
      </c>
      <c r="J37" s="29"/>
      <c r="K37" s="50">
        <v>6</v>
      </c>
      <c r="L37" s="35"/>
      <c r="M37" s="10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89"/>
    </row>
    <row r="38" spans="1:26" ht="23.25" customHeight="1">
      <c r="A38" s="45" t="s">
        <v>27</v>
      </c>
      <c r="B38" s="49">
        <v>7405.6205</v>
      </c>
      <c r="C38" s="31">
        <f t="shared" si="0"/>
        <v>0.17709999999988213</v>
      </c>
      <c r="D38" s="30">
        <f t="shared" si="1"/>
        <v>425.03999999971711</v>
      </c>
      <c r="E38" s="29"/>
      <c r="F38" s="49">
        <v>5545.2593999999999</v>
      </c>
      <c r="G38" s="28">
        <f t="shared" si="2"/>
        <v>0.17140000000017608</v>
      </c>
      <c r="H38" s="30">
        <f t="shared" si="3"/>
        <v>411.36000000042259</v>
      </c>
      <c r="I38" s="33">
        <f t="shared" si="4"/>
        <v>0.96781479390338876</v>
      </c>
      <c r="J38" s="29"/>
      <c r="K38" s="50">
        <v>6.1</v>
      </c>
      <c r="L38" s="35"/>
      <c r="M38" s="10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89"/>
    </row>
    <row r="39" spans="1:26" ht="23.25" customHeight="1">
      <c r="A39" s="45" t="s">
        <v>28</v>
      </c>
      <c r="B39" s="49">
        <v>7405.7973000000002</v>
      </c>
      <c r="C39" s="31">
        <f t="shared" si="0"/>
        <v>0.17680000000018481</v>
      </c>
      <c r="D39" s="30">
        <f t="shared" si="1"/>
        <v>424.32000000044354</v>
      </c>
      <c r="E39" s="29"/>
      <c r="F39" s="49">
        <v>5545.4312</v>
      </c>
      <c r="G39" s="28">
        <f t="shared" si="2"/>
        <v>0.17180000000007567</v>
      </c>
      <c r="H39" s="30">
        <f t="shared" si="3"/>
        <v>412.32000000018161</v>
      </c>
      <c r="I39" s="33">
        <f t="shared" si="4"/>
        <v>0.9717194570129869</v>
      </c>
      <c r="J39" s="29"/>
      <c r="K39" s="50">
        <v>6.1</v>
      </c>
      <c r="L39" s="35"/>
      <c r="M39" s="10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89"/>
    </row>
    <row r="40" spans="1:26" ht="23.25" customHeight="1">
      <c r="A40" s="45" t="s">
        <v>29</v>
      </c>
      <c r="B40" s="49">
        <v>7405.9759000000004</v>
      </c>
      <c r="C40" s="31">
        <f t="shared" si="0"/>
        <v>0.17860000000018772</v>
      </c>
      <c r="D40" s="30">
        <f t="shared" si="1"/>
        <v>428.64000000045053</v>
      </c>
      <c r="E40" s="29"/>
      <c r="F40" s="49">
        <v>5545.6039999999994</v>
      </c>
      <c r="G40" s="28">
        <f t="shared" si="2"/>
        <v>0.1727999999993699</v>
      </c>
      <c r="H40" s="30">
        <f t="shared" si="3"/>
        <v>414.71999999848776</v>
      </c>
      <c r="I40" s="33">
        <f t="shared" si="4"/>
        <v>0.96752519596410014</v>
      </c>
      <c r="J40" s="29"/>
      <c r="K40" s="50">
        <v>6.1</v>
      </c>
      <c r="L40" s="35"/>
      <c r="M40" s="91" t="s">
        <v>109</v>
      </c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</row>
    <row r="41" spans="1:26" ht="23.25" customHeight="1">
      <c r="A41" s="45" t="s">
        <v>30</v>
      </c>
      <c r="B41" s="49">
        <v>7406.1586000000007</v>
      </c>
      <c r="C41" s="31">
        <f t="shared" si="0"/>
        <v>0.1827000000002954</v>
      </c>
      <c r="D41" s="30">
        <f t="shared" si="1"/>
        <v>438.48000000070897</v>
      </c>
      <c r="E41" s="29"/>
      <c r="F41" s="49">
        <v>5545.7775999999994</v>
      </c>
      <c r="G41" s="28">
        <f t="shared" si="2"/>
        <v>0.17360000000007858</v>
      </c>
      <c r="H41" s="30">
        <f t="shared" si="3"/>
        <v>416.64000000018859</v>
      </c>
      <c r="I41" s="33">
        <f t="shared" si="4"/>
        <v>0.95019157088011985</v>
      </c>
      <c r="J41" s="29"/>
      <c r="K41" s="50">
        <v>6.1</v>
      </c>
      <c r="L41" s="35"/>
      <c r="M41" s="104" t="s">
        <v>79</v>
      </c>
      <c r="N41" s="98" t="s">
        <v>98</v>
      </c>
      <c r="O41" s="98"/>
      <c r="P41" s="98" t="s">
        <v>93</v>
      </c>
      <c r="Q41" s="98"/>
      <c r="R41" s="98"/>
      <c r="S41" s="98" t="s">
        <v>111</v>
      </c>
      <c r="T41" s="98" t="s">
        <v>81</v>
      </c>
      <c r="U41" s="98"/>
      <c r="V41" s="98"/>
      <c r="W41" s="98"/>
      <c r="X41" s="98" t="s">
        <v>93</v>
      </c>
      <c r="Y41" s="98"/>
      <c r="Z41" s="100"/>
    </row>
    <row r="42" spans="1:26" ht="23.25" customHeight="1">
      <c r="A42" s="45" t="s">
        <v>31</v>
      </c>
      <c r="B42" s="49">
        <v>7406.3545000000004</v>
      </c>
      <c r="C42" s="31">
        <f t="shared" si="0"/>
        <v>0.19589999999971042</v>
      </c>
      <c r="D42" s="30">
        <f t="shared" si="1"/>
        <v>470.159999999305</v>
      </c>
      <c r="E42" s="29"/>
      <c r="F42" s="49">
        <v>5545.9498999999996</v>
      </c>
      <c r="G42" s="28">
        <f t="shared" si="2"/>
        <v>0.17230000000017753</v>
      </c>
      <c r="H42" s="30">
        <f t="shared" si="3"/>
        <v>413.52000000042608</v>
      </c>
      <c r="I42" s="33">
        <f t="shared" si="4"/>
        <v>0.87953037264130796</v>
      </c>
      <c r="J42" s="29"/>
      <c r="K42" s="50">
        <v>6.1</v>
      </c>
      <c r="L42" s="35"/>
      <c r="M42" s="95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101"/>
    </row>
    <row r="43" spans="1:26" ht="22.5" customHeight="1">
      <c r="A43" s="121" t="s">
        <v>70</v>
      </c>
      <c r="B43" s="121"/>
      <c r="C43" s="121"/>
      <c r="D43" s="30">
        <f>SUM(D18:D42)</f>
        <v>10705.440000000817</v>
      </c>
      <c r="E43" s="29"/>
      <c r="F43" s="36"/>
      <c r="G43" s="29"/>
      <c r="H43" s="30">
        <f>SUM(H18:H42)</f>
        <v>9976.5599999998813</v>
      </c>
      <c r="I43" s="33">
        <f>IF(AND(H43=0,D43=0),0,H43/D43)</f>
        <v>0.93191498901484848</v>
      </c>
      <c r="J43" s="29"/>
      <c r="K43" s="29"/>
      <c r="L43" s="35"/>
      <c r="M43" s="95" t="s">
        <v>80</v>
      </c>
      <c r="N43" s="99" t="s">
        <v>99</v>
      </c>
      <c r="O43" s="99"/>
      <c r="P43" s="99" t="s">
        <v>110</v>
      </c>
      <c r="Q43" s="99"/>
      <c r="R43" s="99"/>
      <c r="S43" s="99"/>
      <c r="T43" s="99"/>
      <c r="U43" s="99"/>
      <c r="V43" s="99"/>
      <c r="W43" s="99"/>
      <c r="X43" s="99" t="s">
        <v>110</v>
      </c>
      <c r="Y43" s="99"/>
      <c r="Z43" s="101"/>
    </row>
    <row r="44" spans="1:26" ht="22.5" customHeight="1">
      <c r="A44" s="76" t="s">
        <v>71</v>
      </c>
      <c r="B44" s="76"/>
      <c r="C44" s="76"/>
      <c r="D44" s="29"/>
      <c r="E44" s="29"/>
      <c r="F44" s="36"/>
      <c r="G44" s="29"/>
      <c r="H44" s="29"/>
      <c r="I44" s="29"/>
      <c r="J44" s="29"/>
      <c r="K44" s="29"/>
      <c r="L44" s="35"/>
      <c r="M44" s="96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3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89"/>
      <c r="O45" s="105"/>
      <c r="P45" s="89"/>
      <c r="Q45" s="90"/>
      <c r="R45" s="105"/>
      <c r="S45" s="8"/>
      <c r="T45" s="89"/>
      <c r="U45" s="90"/>
      <c r="V45" s="90"/>
      <c r="W45" s="105"/>
      <c r="X45" s="89"/>
      <c r="Y45" s="90"/>
      <c r="Z45" s="90"/>
    </row>
    <row r="46" spans="1:26" ht="22.5" customHeight="1">
      <c r="A46" s="54" t="s">
        <v>72</v>
      </c>
      <c r="B46" s="54"/>
      <c r="C46" s="54"/>
      <c r="D46" s="54"/>
      <c r="E46" s="54"/>
      <c r="F46" s="54"/>
      <c r="G46" s="77" t="s">
        <v>73</v>
      </c>
      <c r="H46" s="77"/>
      <c r="I46" s="77"/>
      <c r="J46" s="77"/>
      <c r="K46" s="77"/>
      <c r="L46" s="77"/>
      <c r="M46" s="10"/>
      <c r="N46" s="89"/>
      <c r="O46" s="105"/>
      <c r="P46" s="89"/>
      <c r="Q46" s="90"/>
      <c r="R46" s="105"/>
      <c r="S46" s="8"/>
      <c r="T46" s="89"/>
      <c r="U46" s="90"/>
      <c r="V46" s="90"/>
      <c r="W46" s="105"/>
      <c r="X46" s="89"/>
      <c r="Y46" s="90"/>
      <c r="Z46" s="90"/>
    </row>
    <row r="47" spans="1:26" ht="22.5" customHeight="1">
      <c r="A47" s="52" t="s">
        <v>388</v>
      </c>
      <c r="B47" s="52"/>
      <c r="C47" s="52"/>
      <c r="D47" s="54" t="s">
        <v>74</v>
      </c>
      <c r="E47" s="54"/>
      <c r="F47" s="54"/>
      <c r="G47" s="40"/>
      <c r="H47" s="40"/>
      <c r="I47" s="40"/>
      <c r="J47" s="40"/>
      <c r="K47" s="40"/>
      <c r="L47" s="40"/>
      <c r="M47" s="10"/>
      <c r="N47" s="89"/>
      <c r="O47" s="105"/>
      <c r="P47" s="89"/>
      <c r="Q47" s="90"/>
      <c r="R47" s="105"/>
      <c r="S47" s="8"/>
      <c r="T47" s="89"/>
      <c r="U47" s="90"/>
      <c r="V47" s="90"/>
      <c r="W47" s="105"/>
      <c r="X47" s="89"/>
      <c r="Y47" s="90"/>
      <c r="Z47" s="90"/>
    </row>
    <row r="48" spans="1:26" ht="22.5" customHeight="1">
      <c r="A48" s="55" t="s">
        <v>75</v>
      </c>
      <c r="B48" s="55"/>
      <c r="C48" s="55"/>
      <c r="D48" s="55" t="s">
        <v>76</v>
      </c>
      <c r="E48" s="55"/>
      <c r="F48" s="55"/>
      <c r="G48" s="39"/>
      <c r="H48" s="39"/>
      <c r="I48" s="39"/>
      <c r="J48" s="39"/>
      <c r="K48" s="39"/>
      <c r="L48" s="39"/>
    </row>
    <row r="49" spans="1:23" ht="22.5" customHeight="1">
      <c r="A49" s="52" t="s">
        <v>389</v>
      </c>
      <c r="B49" s="52"/>
      <c r="C49" s="52"/>
      <c r="D49" s="54" t="s">
        <v>74</v>
      </c>
      <c r="E49" s="54"/>
      <c r="F49" s="54"/>
      <c r="G49" s="39"/>
      <c r="H49" s="54" t="s">
        <v>191</v>
      </c>
      <c r="I49" s="54"/>
      <c r="J49" s="54"/>
      <c r="K49" s="54" t="s">
        <v>77</v>
      </c>
      <c r="L49" s="54"/>
      <c r="N49" s="57" t="s">
        <v>150</v>
      </c>
      <c r="O49" s="57"/>
      <c r="P49" s="57"/>
      <c r="Q49" s="56" t="s">
        <v>391</v>
      </c>
      <c r="R49" s="56"/>
      <c r="S49" s="56"/>
      <c r="T49" s="56"/>
      <c r="U49" s="56"/>
      <c r="V49" s="56"/>
      <c r="W49" s="1"/>
    </row>
    <row r="50" spans="1:23" ht="22.5" customHeight="1">
      <c r="A50" s="55" t="s">
        <v>75</v>
      </c>
      <c r="B50" s="55"/>
      <c r="C50" s="55"/>
      <c r="D50" s="55" t="s">
        <v>76</v>
      </c>
      <c r="E50" s="55"/>
      <c r="F50" s="55"/>
      <c r="G50" s="44"/>
      <c r="H50" s="55" t="s">
        <v>75</v>
      </c>
      <c r="I50" s="55"/>
      <c r="J50" s="55"/>
      <c r="K50" s="55" t="s">
        <v>76</v>
      </c>
      <c r="L50" s="55"/>
      <c r="S50" s="53" t="s">
        <v>76</v>
      </c>
      <c r="T50" s="53"/>
    </row>
    <row r="51" spans="1:23" ht="20.100000000000001" customHeight="1">
      <c r="A51" s="52" t="s">
        <v>390</v>
      </c>
      <c r="B51" s="52"/>
      <c r="C51" s="52"/>
      <c r="D51" s="54" t="s">
        <v>74</v>
      </c>
      <c r="E51" s="54"/>
      <c r="F51" s="54"/>
      <c r="G51" s="39"/>
      <c r="H51" s="39"/>
      <c r="I51" s="39"/>
      <c r="J51" s="39"/>
      <c r="K51" s="39"/>
      <c r="L51" s="39"/>
    </row>
    <row r="52" spans="1:23" ht="20.100000000000001" customHeight="1">
      <c r="A52" s="53" t="s">
        <v>75</v>
      </c>
      <c r="B52" s="53"/>
      <c r="C52" s="53"/>
      <c r="D52" s="53" t="s">
        <v>76</v>
      </c>
      <c r="E52" s="53"/>
      <c r="F52" s="53"/>
      <c r="G52" s="1"/>
      <c r="H52" s="1"/>
    </row>
  </sheetData>
  <sheetProtection sheet="1" objects="1" scenarios="1"/>
  <mergeCells count="258">
    <mergeCell ref="X11:Z11"/>
    <mergeCell ref="X12:Z12"/>
    <mergeCell ref="X13:Z13"/>
    <mergeCell ref="X14:Z14"/>
    <mergeCell ref="X15:Z15"/>
    <mergeCell ref="R39:S39"/>
    <mergeCell ref="T39:U39"/>
    <mergeCell ref="V39:X39"/>
    <mergeCell ref="Y39:Z39"/>
    <mergeCell ref="S41:S44"/>
    <mergeCell ref="I1:L2"/>
    <mergeCell ref="G5:H6"/>
    <mergeCell ref="I5:L6"/>
    <mergeCell ref="S50:T50"/>
    <mergeCell ref="N39:O39"/>
    <mergeCell ref="P39:Q39"/>
    <mergeCell ref="N41:O42"/>
    <mergeCell ref="P41:R42"/>
    <mergeCell ref="Q49:V49"/>
    <mergeCell ref="N49:P49"/>
    <mergeCell ref="P45:R45"/>
    <mergeCell ref="P46:R46"/>
    <mergeCell ref="P47:R47"/>
    <mergeCell ref="N45:O45"/>
    <mergeCell ref="N46:O46"/>
    <mergeCell ref="V38:X38"/>
    <mergeCell ref="P34:Q34"/>
    <mergeCell ref="X9:Z9"/>
    <mergeCell ref="X10:Z10"/>
    <mergeCell ref="X47:Z47"/>
    <mergeCell ref="M43:M44"/>
    <mergeCell ref="N47:O47"/>
    <mergeCell ref="T45:W45"/>
    <mergeCell ref="T46:W46"/>
    <mergeCell ref="T47:W47"/>
    <mergeCell ref="N43:O44"/>
    <mergeCell ref="P43:R44"/>
    <mergeCell ref="M40:Z40"/>
    <mergeCell ref="M41:M42"/>
    <mergeCell ref="T41:W44"/>
    <mergeCell ref="X45:Z45"/>
    <mergeCell ref="X46:Z46"/>
    <mergeCell ref="X41:Z42"/>
    <mergeCell ref="X43:Z44"/>
    <mergeCell ref="Y38:Z38"/>
    <mergeCell ref="N38:O38"/>
    <mergeCell ref="P38:Q38"/>
    <mergeCell ref="R38:S38"/>
    <mergeCell ref="T38:U38"/>
    <mergeCell ref="N37:O37"/>
    <mergeCell ref="P37:Q37"/>
    <mergeCell ref="R37:S37"/>
    <mergeCell ref="N35:O35"/>
    <mergeCell ref="P35:Q35"/>
    <mergeCell ref="R35:S35"/>
    <mergeCell ref="T35:U35"/>
    <mergeCell ref="V35:X35"/>
    <mergeCell ref="T37:U37"/>
    <mergeCell ref="Y35:Z35"/>
    <mergeCell ref="N36:O36"/>
    <mergeCell ref="P36:Q36"/>
    <mergeCell ref="R36:S36"/>
    <mergeCell ref="T36:U36"/>
    <mergeCell ref="V36:X36"/>
    <mergeCell ref="Y36:Z36"/>
    <mergeCell ref="V37:X37"/>
    <mergeCell ref="Y37:Z37"/>
    <mergeCell ref="X16:Z16"/>
    <mergeCell ref="W26:Z26"/>
    <mergeCell ref="R34:S34"/>
    <mergeCell ref="T34:U34"/>
    <mergeCell ref="T18:V19"/>
    <mergeCell ref="T22:V22"/>
    <mergeCell ref="Q18:S18"/>
    <mergeCell ref="T25:V25"/>
    <mergeCell ref="Q20:S20"/>
    <mergeCell ref="T28:V28"/>
    <mergeCell ref="Q26:S26"/>
    <mergeCell ref="Q27:S27"/>
    <mergeCell ref="T27:V27"/>
    <mergeCell ref="T33:U33"/>
    <mergeCell ref="R31:S31"/>
    <mergeCell ref="R32:S32"/>
    <mergeCell ref="V34:X34"/>
    <mergeCell ref="P32:Q32"/>
    <mergeCell ref="P33:Q33"/>
    <mergeCell ref="Q22:S22"/>
    <mergeCell ref="N18:P19"/>
    <mergeCell ref="W22:Z22"/>
    <mergeCell ref="T20:V21"/>
    <mergeCell ref="W25:Z25"/>
    <mergeCell ref="N24:P24"/>
    <mergeCell ref="Q24:S24"/>
    <mergeCell ref="N23:P23"/>
    <mergeCell ref="W24:Z24"/>
    <mergeCell ref="N25:P25"/>
    <mergeCell ref="Q23:S23"/>
    <mergeCell ref="T24:V24"/>
    <mergeCell ref="P31:Q31"/>
    <mergeCell ref="N27:P27"/>
    <mergeCell ref="W27:Z27"/>
    <mergeCell ref="N26:P26"/>
    <mergeCell ref="N31:O32"/>
    <mergeCell ref="N33:O34"/>
    <mergeCell ref="W28:Z28"/>
    <mergeCell ref="Q19:S19"/>
    <mergeCell ref="R8:S8"/>
    <mergeCell ref="R9:S9"/>
    <mergeCell ref="R10:S10"/>
    <mergeCell ref="T8:U8"/>
    <mergeCell ref="N28:P28"/>
    <mergeCell ref="Q28:S28"/>
    <mergeCell ref="P16:Q16"/>
    <mergeCell ref="M17:Z17"/>
    <mergeCell ref="W18:Z21"/>
    <mergeCell ref="Q21:S21"/>
    <mergeCell ref="P15:Q15"/>
    <mergeCell ref="M18:M19"/>
    <mergeCell ref="N20:P21"/>
    <mergeCell ref="W23:Z23"/>
    <mergeCell ref="R16:S16"/>
    <mergeCell ref="V15:W15"/>
    <mergeCell ref="V16:W16"/>
    <mergeCell ref="N22:P22"/>
    <mergeCell ref="T23:V23"/>
    <mergeCell ref="T26:V26"/>
    <mergeCell ref="Q25:S25"/>
    <mergeCell ref="V14:W14"/>
    <mergeCell ref="T16:U16"/>
    <mergeCell ref="T14:U14"/>
    <mergeCell ref="T9:U9"/>
    <mergeCell ref="T10:U10"/>
    <mergeCell ref="T11:U11"/>
    <mergeCell ref="V13:W13"/>
    <mergeCell ref="I13:I17"/>
    <mergeCell ref="J13:K13"/>
    <mergeCell ref="J14:K14"/>
    <mergeCell ref="J15:K15"/>
    <mergeCell ref="T15:U15"/>
    <mergeCell ref="P13:Q13"/>
    <mergeCell ref="P14:Q14"/>
    <mergeCell ref="T13:U13"/>
    <mergeCell ref="R14:S14"/>
    <mergeCell ref="R15:S15"/>
    <mergeCell ref="N8:O8"/>
    <mergeCell ref="N9:O9"/>
    <mergeCell ref="P5:Q6"/>
    <mergeCell ref="N3:O6"/>
    <mergeCell ref="T3:U3"/>
    <mergeCell ref="N13:O13"/>
    <mergeCell ref="V8:W8"/>
    <mergeCell ref="V9:W9"/>
    <mergeCell ref="V10:W10"/>
    <mergeCell ref="V11:W11"/>
    <mergeCell ref="V12:W12"/>
    <mergeCell ref="V4:W4"/>
    <mergeCell ref="V5:W5"/>
    <mergeCell ref="V6:W6"/>
    <mergeCell ref="V7:W7"/>
    <mergeCell ref="R3:S3"/>
    <mergeCell ref="R4:S4"/>
    <mergeCell ref="R5:S5"/>
    <mergeCell ref="T12:U12"/>
    <mergeCell ref="R13:S13"/>
    <mergeCell ref="T6:U6"/>
    <mergeCell ref="R33:S33"/>
    <mergeCell ref="T31:U31"/>
    <mergeCell ref="T32:U32"/>
    <mergeCell ref="M1:Z1"/>
    <mergeCell ref="M2:Z2"/>
    <mergeCell ref="X3:Z6"/>
    <mergeCell ref="M5:M6"/>
    <mergeCell ref="M3:M4"/>
    <mergeCell ref="P3:Q4"/>
    <mergeCell ref="R6:S6"/>
    <mergeCell ref="T4:U4"/>
    <mergeCell ref="T5:U5"/>
    <mergeCell ref="M20:M21"/>
    <mergeCell ref="M31:M32"/>
    <mergeCell ref="N16:O16"/>
    <mergeCell ref="N12:O12"/>
    <mergeCell ref="P7:Q7"/>
    <mergeCell ref="P8:Q8"/>
    <mergeCell ref="P9:Q9"/>
    <mergeCell ref="R7:S7"/>
    <mergeCell ref="T7:U7"/>
    <mergeCell ref="V3:W3"/>
    <mergeCell ref="X7:Z7"/>
    <mergeCell ref="N7:O7"/>
    <mergeCell ref="X8:Z8"/>
    <mergeCell ref="H49:J49"/>
    <mergeCell ref="K49:L49"/>
    <mergeCell ref="A7:L7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N10:O10"/>
    <mergeCell ref="N11:O11"/>
    <mergeCell ref="N14:O14"/>
    <mergeCell ref="N15:O15"/>
    <mergeCell ref="R11:S11"/>
    <mergeCell ref="R12:S12"/>
    <mergeCell ref="P10:Q10"/>
    <mergeCell ref="P11:Q11"/>
    <mergeCell ref="P12:Q12"/>
    <mergeCell ref="V33:X33"/>
    <mergeCell ref="A3:F3"/>
    <mergeCell ref="A5:F5"/>
    <mergeCell ref="A48:C48"/>
    <mergeCell ref="A49:C49"/>
    <mergeCell ref="A50:C50"/>
    <mergeCell ref="D50:F50"/>
    <mergeCell ref="D48:F48"/>
    <mergeCell ref="F15:G15"/>
    <mergeCell ref="A46:F46"/>
    <mergeCell ref="A44:C44"/>
    <mergeCell ref="G1:H2"/>
    <mergeCell ref="G3:H4"/>
    <mergeCell ref="A1:F1"/>
    <mergeCell ref="A2:F2"/>
    <mergeCell ref="A4:F4"/>
    <mergeCell ref="A51:C51"/>
    <mergeCell ref="A6:F6"/>
    <mergeCell ref="D47:F47"/>
    <mergeCell ref="F14:G14"/>
    <mergeCell ref="A9:L9"/>
    <mergeCell ref="G46:L46"/>
    <mergeCell ref="H10:L10"/>
    <mergeCell ref="D13:E13"/>
    <mergeCell ref="E10:G10"/>
    <mergeCell ref="A43:C43"/>
    <mergeCell ref="I3:L4"/>
    <mergeCell ref="A11:D11"/>
    <mergeCell ref="E11:H11"/>
    <mergeCell ref="A10:D10"/>
    <mergeCell ref="F13:G13"/>
    <mergeCell ref="H50:J50"/>
    <mergeCell ref="K50:L50"/>
    <mergeCell ref="D49:F49"/>
    <mergeCell ref="A12:L12"/>
    <mergeCell ref="A52:C52"/>
    <mergeCell ref="D52:F52"/>
    <mergeCell ref="D51:F51"/>
    <mergeCell ref="K16:K17"/>
    <mergeCell ref="A13:A17"/>
    <mergeCell ref="E16:E17"/>
    <mergeCell ref="B15:C15"/>
    <mergeCell ref="D15:E15"/>
    <mergeCell ref="B13:C13"/>
    <mergeCell ref="J16:J17"/>
    <mergeCell ref="A47:C47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>
  <sheetPr codeName="Лист19"/>
  <dimension ref="A1:X51"/>
  <sheetViews>
    <sheetView view="pageBreakPreview" zoomScale="75" zoomScaleNormal="50" zoomScaleSheetLayoutView="75" workbookViewId="0">
      <selection activeCell="F37" sqref="F37:G37"/>
    </sheetView>
  </sheetViews>
  <sheetFormatPr defaultRowHeight="18.75"/>
  <cols>
    <col min="1" max="1" width="17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9.7109375" style="2" customWidth="1"/>
    <col min="13" max="13" width="8.42578125" style="2" customWidth="1"/>
    <col min="14" max="18" width="10.7109375" style="2" customWidth="1"/>
    <col min="19" max="20" width="13.7109375" style="2" customWidth="1"/>
    <col min="21" max="21" width="11.85546875" style="2" customWidth="1"/>
    <col min="22" max="22" width="24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>
      <c r="A1" s="59" t="s">
        <v>161</v>
      </c>
      <c r="B1" s="59"/>
      <c r="C1" s="59"/>
      <c r="D1" s="59"/>
      <c r="E1" s="59"/>
      <c r="F1" s="63" t="s">
        <v>154</v>
      </c>
      <c r="G1" s="63"/>
      <c r="H1" s="63"/>
      <c r="I1" s="59" t="s">
        <v>163</v>
      </c>
      <c r="J1" s="59"/>
      <c r="K1" s="59"/>
      <c r="L1" s="59"/>
      <c r="M1" s="104" t="s">
        <v>115</v>
      </c>
      <c r="N1" s="98" t="s">
        <v>116</v>
      </c>
      <c r="O1" s="98"/>
      <c r="P1" s="98"/>
      <c r="Q1" s="98"/>
      <c r="R1" s="123" t="s">
        <v>117</v>
      </c>
      <c r="S1" s="123"/>
      <c r="T1" s="123"/>
      <c r="U1" s="123" t="s">
        <v>118</v>
      </c>
      <c r="V1" s="123"/>
      <c r="W1" s="107"/>
    </row>
    <row r="2" spans="1:23" ht="18.75" customHeight="1">
      <c r="A2" s="61" t="s">
        <v>45</v>
      </c>
      <c r="B2" s="61"/>
      <c r="C2" s="61"/>
      <c r="D2" s="61"/>
      <c r="E2" s="61"/>
      <c r="F2" s="63"/>
      <c r="G2" s="63"/>
      <c r="H2" s="63"/>
      <c r="I2" s="59"/>
      <c r="J2" s="59"/>
      <c r="K2" s="59"/>
      <c r="L2" s="59"/>
      <c r="M2" s="95"/>
      <c r="N2" s="99"/>
      <c r="O2" s="99"/>
      <c r="P2" s="99"/>
      <c r="Q2" s="99"/>
      <c r="R2" s="99" t="s">
        <v>119</v>
      </c>
      <c r="S2" s="99" t="s">
        <v>120</v>
      </c>
      <c r="T2" s="99"/>
      <c r="U2" s="99" t="s">
        <v>119</v>
      </c>
      <c r="V2" s="99" t="s">
        <v>120</v>
      </c>
      <c r="W2" s="101"/>
    </row>
    <row r="3" spans="1:23" ht="21.75" customHeight="1">
      <c r="A3" s="59" t="s">
        <v>162</v>
      </c>
      <c r="B3" s="59"/>
      <c r="C3" s="59"/>
      <c r="D3" s="59"/>
      <c r="E3" s="59"/>
      <c r="F3" s="63" t="s">
        <v>155</v>
      </c>
      <c r="G3" s="63"/>
      <c r="H3" s="63"/>
      <c r="I3" s="59" t="s">
        <v>233</v>
      </c>
      <c r="J3" s="59"/>
      <c r="K3" s="59"/>
      <c r="L3" s="59"/>
      <c r="M3" s="96"/>
      <c r="N3" s="102"/>
      <c r="O3" s="102"/>
      <c r="P3" s="102"/>
      <c r="Q3" s="102"/>
      <c r="R3" s="102"/>
      <c r="S3" s="102" t="s">
        <v>121</v>
      </c>
      <c r="T3" s="102"/>
      <c r="U3" s="102"/>
      <c r="V3" s="102" t="s">
        <v>121</v>
      </c>
      <c r="W3" s="103"/>
    </row>
    <row r="4" spans="1:23" ht="29.25" customHeight="1">
      <c r="A4" s="61" t="s">
        <v>46</v>
      </c>
      <c r="B4" s="61"/>
      <c r="C4" s="61"/>
      <c r="D4" s="61"/>
      <c r="E4" s="61"/>
      <c r="F4" s="63"/>
      <c r="G4" s="63"/>
      <c r="H4" s="63"/>
      <c r="I4" s="59"/>
      <c r="J4" s="59"/>
      <c r="K4" s="59"/>
      <c r="L4" s="59"/>
      <c r="M4" s="10"/>
      <c r="N4" s="136" t="s">
        <v>122</v>
      </c>
      <c r="O4" s="136"/>
      <c r="P4" s="136"/>
      <c r="Q4" s="136"/>
      <c r="R4" s="8"/>
      <c r="S4" s="9"/>
      <c r="T4" s="8"/>
      <c r="U4" s="8"/>
      <c r="V4" s="8"/>
      <c r="W4" s="22"/>
    </row>
    <row r="5" spans="1:23" ht="18" customHeight="1">
      <c r="A5" s="127" t="s">
        <v>184</v>
      </c>
      <c r="B5" s="127"/>
      <c r="C5" s="127"/>
      <c r="D5" s="127"/>
      <c r="E5" s="127"/>
      <c r="F5" s="63" t="s">
        <v>156</v>
      </c>
      <c r="G5" s="63"/>
      <c r="H5" s="63"/>
      <c r="I5" s="59" t="s">
        <v>263</v>
      </c>
      <c r="J5" s="59"/>
      <c r="K5" s="59"/>
      <c r="L5" s="59"/>
      <c r="M5" s="10"/>
      <c r="N5" s="137" t="s">
        <v>123</v>
      </c>
      <c r="O5" s="137"/>
      <c r="P5" s="137"/>
      <c r="Q5" s="137"/>
      <c r="R5" s="8"/>
      <c r="S5" s="9"/>
      <c r="T5" s="8"/>
      <c r="U5" s="8"/>
      <c r="V5" s="8"/>
      <c r="W5" s="22"/>
    </row>
    <row r="6" spans="1:23">
      <c r="A6" s="61" t="s">
        <v>47</v>
      </c>
      <c r="B6" s="61"/>
      <c r="C6" s="61"/>
      <c r="D6" s="61"/>
      <c r="E6" s="61"/>
      <c r="F6" s="63"/>
      <c r="G6" s="63"/>
      <c r="H6" s="63"/>
      <c r="I6" s="59"/>
      <c r="J6" s="59"/>
      <c r="K6" s="59"/>
      <c r="L6" s="59"/>
      <c r="M6" s="10"/>
      <c r="N6" s="137" t="s">
        <v>124</v>
      </c>
      <c r="O6" s="137"/>
      <c r="P6" s="137"/>
      <c r="Q6" s="137"/>
      <c r="R6" s="8"/>
      <c r="S6" s="9"/>
      <c r="T6" s="8"/>
      <c r="U6" s="8"/>
      <c r="V6" s="8"/>
      <c r="W6" s="22"/>
    </row>
    <row r="7" spans="1:23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10"/>
      <c r="N7" s="139" t="s">
        <v>125</v>
      </c>
      <c r="O7" s="139"/>
      <c r="P7" s="139"/>
      <c r="Q7" s="139"/>
      <c r="R7" s="8"/>
      <c r="S7" s="9"/>
      <c r="T7" s="8"/>
      <c r="U7" s="8"/>
      <c r="V7" s="8"/>
      <c r="W7" s="22"/>
    </row>
    <row r="8" spans="1:23" ht="22.5">
      <c r="A8" s="94" t="s">
        <v>0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10"/>
      <c r="N8" s="137" t="s">
        <v>126</v>
      </c>
      <c r="O8" s="137"/>
      <c r="P8" s="137"/>
      <c r="Q8" s="137"/>
      <c r="R8" s="8"/>
      <c r="S8" s="9"/>
      <c r="T8" s="8"/>
      <c r="U8" s="8"/>
      <c r="V8" s="8"/>
      <c r="W8" s="22"/>
    </row>
    <row r="9" spans="1:23">
      <c r="A9" s="135" t="s">
        <v>152</v>
      </c>
      <c r="B9" s="135"/>
      <c r="C9" s="135"/>
      <c r="D9" s="135"/>
      <c r="E9" s="135"/>
      <c r="F9" s="81" t="s">
        <v>385</v>
      </c>
      <c r="G9" s="81"/>
      <c r="H9" s="81"/>
      <c r="I9" s="134" t="s">
        <v>384</v>
      </c>
      <c r="J9" s="134"/>
      <c r="K9" s="134"/>
      <c r="L9" s="134"/>
      <c r="M9" s="10"/>
      <c r="N9" s="137" t="s">
        <v>127</v>
      </c>
      <c r="O9" s="137"/>
      <c r="P9" s="137"/>
      <c r="Q9" s="137"/>
      <c r="R9" s="8"/>
      <c r="S9" s="9"/>
      <c r="T9" s="8"/>
      <c r="U9" s="8"/>
      <c r="V9" s="8"/>
      <c r="W9" s="22"/>
    </row>
    <row r="10" spans="1:23" ht="19.5" customHeight="1">
      <c r="A10" s="135" t="s">
        <v>151</v>
      </c>
      <c r="B10" s="135"/>
      <c r="C10" s="81" t="s">
        <v>262</v>
      </c>
      <c r="D10" s="81"/>
      <c r="E10" s="81"/>
      <c r="F10" s="81"/>
      <c r="G10" s="81"/>
      <c r="H10" s="81"/>
      <c r="I10" s="3"/>
      <c r="J10" s="3"/>
      <c r="K10" s="3"/>
      <c r="L10" s="3"/>
      <c r="M10" s="10"/>
      <c r="N10" s="139" t="s">
        <v>128</v>
      </c>
      <c r="O10" s="139"/>
      <c r="P10" s="139"/>
      <c r="Q10" s="139"/>
      <c r="R10" s="8"/>
      <c r="S10" s="9"/>
      <c r="T10" s="8"/>
      <c r="U10" s="8"/>
      <c r="V10" s="8"/>
      <c r="W10" s="22"/>
    </row>
    <row r="11" spans="1:23">
      <c r="A11" s="124" t="s">
        <v>1</v>
      </c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0"/>
      <c r="N11" s="140" t="s">
        <v>129</v>
      </c>
      <c r="O11" s="140"/>
      <c r="P11" s="140"/>
      <c r="Q11" s="140"/>
      <c r="R11" s="8"/>
      <c r="S11" s="9">
        <v>1125</v>
      </c>
      <c r="T11" s="8"/>
      <c r="U11" s="8"/>
      <c r="V11" s="8">
        <v>200</v>
      </c>
      <c r="W11" s="22"/>
    </row>
    <row r="12" spans="1:23" ht="20.100000000000001" customHeight="1">
      <c r="A12" s="131" t="s">
        <v>2</v>
      </c>
      <c r="B12" s="123" t="s">
        <v>36</v>
      </c>
      <c r="C12" s="123"/>
      <c r="D12" s="123"/>
      <c r="E12" s="123"/>
      <c r="F12" s="123" t="s">
        <v>5</v>
      </c>
      <c r="G12" s="123"/>
      <c r="H12" s="100" t="s">
        <v>34</v>
      </c>
      <c r="I12" s="112"/>
      <c r="J12" s="112"/>
      <c r="K12" s="112"/>
      <c r="L12" s="112"/>
      <c r="N12" s="1"/>
      <c r="O12" s="1"/>
      <c r="P12" s="1"/>
      <c r="Q12" s="1"/>
    </row>
    <row r="13" spans="1:23" ht="20.100000000000001" customHeight="1">
      <c r="A13" s="131"/>
      <c r="B13" s="123" t="s">
        <v>3</v>
      </c>
      <c r="C13" s="123"/>
      <c r="D13" s="123" t="s">
        <v>4</v>
      </c>
      <c r="E13" s="123"/>
      <c r="F13" s="123"/>
      <c r="G13" s="123"/>
      <c r="H13" s="103" t="s">
        <v>35</v>
      </c>
      <c r="I13" s="111"/>
      <c r="J13" s="111"/>
      <c r="K13" s="111"/>
      <c r="L13" s="111"/>
    </row>
    <row r="14" spans="1:23" ht="20.100000000000001" customHeight="1">
      <c r="A14" s="5" t="s">
        <v>6</v>
      </c>
      <c r="B14" s="8"/>
      <c r="C14" s="5"/>
      <c r="D14" s="106"/>
      <c r="E14" s="106"/>
      <c r="F14" s="132" t="str">
        <f>IF(OR(B14="",D14=""),"",IF(ISERROR(D14/B14),IF(D14=0,0,""),D14/B14))</f>
        <v/>
      </c>
      <c r="G14" s="132"/>
      <c r="H14" s="106"/>
      <c r="I14" s="106"/>
      <c r="J14" s="106"/>
      <c r="K14" s="106"/>
      <c r="L14" s="106"/>
      <c r="M14" s="131" t="s">
        <v>115</v>
      </c>
      <c r="N14" s="123" t="s">
        <v>116</v>
      </c>
      <c r="O14" s="123"/>
      <c r="P14" s="123"/>
      <c r="Q14" s="123"/>
      <c r="R14" s="123" t="s">
        <v>117</v>
      </c>
      <c r="S14" s="123"/>
      <c r="T14" s="123"/>
      <c r="U14" s="123" t="s">
        <v>130</v>
      </c>
      <c r="V14" s="123" t="s">
        <v>69</v>
      </c>
      <c r="W14" s="107" t="s">
        <v>131</v>
      </c>
    </row>
    <row r="15" spans="1:23" ht="20.100000000000001" customHeight="1">
      <c r="A15" s="5" t="s">
        <v>7</v>
      </c>
      <c r="B15" s="5"/>
      <c r="C15" s="5"/>
      <c r="D15" s="123"/>
      <c r="E15" s="123"/>
      <c r="F15" s="132" t="str">
        <f t="shared" ref="F15:F39" si="0">IF(OR(B15="",D15=""),"",IF(ISERROR(D15/B15),IF(D15=0,0,""),D15/B15))</f>
        <v/>
      </c>
      <c r="G15" s="132"/>
      <c r="H15" s="106"/>
      <c r="I15" s="106"/>
      <c r="J15" s="106"/>
      <c r="K15" s="106"/>
      <c r="L15" s="106"/>
      <c r="M15" s="131"/>
      <c r="N15" s="123"/>
      <c r="O15" s="123"/>
      <c r="P15" s="123"/>
      <c r="Q15" s="123"/>
      <c r="R15" s="141" t="s">
        <v>130</v>
      </c>
      <c r="S15" s="123" t="s">
        <v>69</v>
      </c>
      <c r="T15" s="123" t="s">
        <v>131</v>
      </c>
      <c r="U15" s="123"/>
      <c r="V15" s="123"/>
      <c r="W15" s="107"/>
    </row>
    <row r="16" spans="1:23" ht="20.100000000000001" customHeight="1">
      <c r="A16" s="5" t="s">
        <v>8</v>
      </c>
      <c r="B16" s="27">
        <f>'Ячейка 24'!D19+'Ячейка 2'!D19</f>
        <v>6049.7999999997774</v>
      </c>
      <c r="C16" s="27"/>
      <c r="D16" s="133">
        <f>'Ячейка 24'!H19+'Ячейка 2'!H19</f>
        <v>2950.2000000043154</v>
      </c>
      <c r="E16" s="133"/>
      <c r="F16" s="132">
        <f t="shared" si="0"/>
        <v>0.48765248438038017</v>
      </c>
      <c r="G16" s="132"/>
      <c r="H16" s="106"/>
      <c r="I16" s="106"/>
      <c r="J16" s="106"/>
      <c r="K16" s="106"/>
      <c r="L16" s="106"/>
      <c r="M16" s="131"/>
      <c r="N16" s="123"/>
      <c r="O16" s="123"/>
      <c r="P16" s="123"/>
      <c r="Q16" s="123"/>
      <c r="R16" s="141"/>
      <c r="S16" s="123"/>
      <c r="T16" s="123"/>
      <c r="U16" s="123"/>
      <c r="V16" s="123"/>
      <c r="W16" s="107"/>
    </row>
    <row r="17" spans="1:23" ht="20.100000000000001" customHeight="1">
      <c r="A17" s="5" t="s">
        <v>9</v>
      </c>
      <c r="B17" s="27">
        <f>'Ячейка 24'!D20+'Ячейка 2'!D20</f>
        <v>6060.6000000052518</v>
      </c>
      <c r="C17" s="27"/>
      <c r="D17" s="133">
        <f>'Ячейка 24'!H20+'Ячейка 2'!H20</f>
        <v>2946.5999999888481</v>
      </c>
      <c r="E17" s="133"/>
      <c r="F17" s="132">
        <f t="shared" si="0"/>
        <v>0.48618948618722485</v>
      </c>
      <c r="G17" s="132"/>
      <c r="H17" s="106"/>
      <c r="I17" s="106"/>
      <c r="J17" s="106"/>
      <c r="K17" s="106"/>
      <c r="L17" s="106"/>
      <c r="M17" s="131"/>
      <c r="N17" s="123"/>
      <c r="O17" s="123"/>
      <c r="P17" s="123"/>
      <c r="Q17" s="123"/>
      <c r="R17" s="141"/>
      <c r="S17" s="123"/>
      <c r="T17" s="123"/>
      <c r="U17" s="123"/>
      <c r="V17" s="123"/>
      <c r="W17" s="107"/>
    </row>
    <row r="18" spans="1:23" ht="20.100000000000001" customHeight="1">
      <c r="A18" s="5" t="s">
        <v>10</v>
      </c>
      <c r="B18" s="27">
        <f>'Ячейка 24'!D21+'Ячейка 2'!D21</f>
        <v>6024.5999999979176</v>
      </c>
      <c r="C18" s="27"/>
      <c r="D18" s="133">
        <f>'Ячейка 24'!H21+'Ячейка 2'!H21</f>
        <v>2926.8000000101893</v>
      </c>
      <c r="E18" s="133"/>
      <c r="F18" s="132">
        <f t="shared" si="0"/>
        <v>0.4858081864374732</v>
      </c>
      <c r="G18" s="132"/>
      <c r="H18" s="106"/>
      <c r="I18" s="106"/>
      <c r="J18" s="106"/>
      <c r="K18" s="106"/>
      <c r="L18" s="106"/>
      <c r="M18" s="131"/>
      <c r="N18" s="123"/>
      <c r="O18" s="123"/>
      <c r="P18" s="123"/>
      <c r="Q18" s="123"/>
      <c r="R18" s="141"/>
      <c r="S18" s="123"/>
      <c r="T18" s="123"/>
      <c r="U18" s="123"/>
      <c r="V18" s="123"/>
      <c r="W18" s="107"/>
    </row>
    <row r="19" spans="1:23" ht="20.100000000000001" customHeight="1">
      <c r="A19" s="5" t="s">
        <v>11</v>
      </c>
      <c r="B19" s="27">
        <f>'Ячейка 24'!D22+'Ячейка 2'!D22</f>
        <v>6091.1999999934778</v>
      </c>
      <c r="C19" s="27"/>
      <c r="D19" s="133">
        <f>'Ячейка 24'!H22+'Ячейка 2'!H22</f>
        <v>2932.1999999965556</v>
      </c>
      <c r="E19" s="133"/>
      <c r="F19" s="132">
        <f t="shared" si="0"/>
        <v>0.48138297872335423</v>
      </c>
      <c r="G19" s="132"/>
      <c r="H19" s="106"/>
      <c r="I19" s="106"/>
      <c r="J19" s="106"/>
      <c r="K19" s="106"/>
      <c r="L19" s="106"/>
      <c r="M19" s="10"/>
      <c r="N19" s="136" t="s">
        <v>132</v>
      </c>
      <c r="O19" s="136"/>
      <c r="P19" s="136"/>
      <c r="Q19" s="136"/>
      <c r="R19" s="8"/>
      <c r="S19" s="8"/>
      <c r="T19" s="8"/>
      <c r="U19" s="8"/>
      <c r="V19" s="8"/>
      <c r="W19" s="9"/>
    </row>
    <row r="20" spans="1:23" ht="20.100000000000001" customHeight="1">
      <c r="A20" s="5" t="s">
        <v>12</v>
      </c>
      <c r="B20" s="27">
        <f>'Ячейка 24'!D23+'Ячейка 2'!D23</f>
        <v>6010.2000000097178</v>
      </c>
      <c r="C20" s="27"/>
      <c r="D20" s="133">
        <f>'Ячейка 24'!H23+'Ячейка 2'!H23</f>
        <v>2865.5999999928099</v>
      </c>
      <c r="E20" s="133"/>
      <c r="F20" s="132">
        <f t="shared" si="0"/>
        <v>0.47678945791956617</v>
      </c>
      <c r="G20" s="132"/>
      <c r="H20" s="106"/>
      <c r="I20" s="106"/>
      <c r="J20" s="106"/>
      <c r="K20" s="106"/>
      <c r="L20" s="106"/>
      <c r="M20" s="10"/>
      <c r="N20" s="137" t="s">
        <v>133</v>
      </c>
      <c r="O20" s="137"/>
      <c r="P20" s="137"/>
      <c r="Q20" s="137"/>
      <c r="R20" s="8"/>
      <c r="S20" s="8">
        <v>1240</v>
      </c>
      <c r="T20" s="8"/>
      <c r="U20" s="8"/>
      <c r="V20" s="8">
        <v>500</v>
      </c>
      <c r="W20" s="9"/>
    </row>
    <row r="21" spans="1:23" ht="20.100000000000001" customHeight="1">
      <c r="A21" s="5" t="s">
        <v>13</v>
      </c>
      <c r="B21" s="27">
        <f>'Ячейка 24'!D24+'Ячейка 2'!D24</f>
        <v>6073.1999999898107</v>
      </c>
      <c r="C21" s="27"/>
      <c r="D21" s="133">
        <f>'Ячейка 24'!H24+'Ячейка 2'!H24</f>
        <v>2779.2000000104053</v>
      </c>
      <c r="E21" s="133"/>
      <c r="F21" s="132">
        <f t="shared" si="0"/>
        <v>0.45761707172743665</v>
      </c>
      <c r="G21" s="132"/>
      <c r="H21" s="106"/>
      <c r="I21" s="106"/>
      <c r="J21" s="106"/>
      <c r="K21" s="106"/>
      <c r="L21" s="106"/>
      <c r="M21" s="10"/>
      <c r="N21" s="138" t="s">
        <v>134</v>
      </c>
      <c r="O21" s="138"/>
      <c r="P21" s="138"/>
      <c r="Q21" s="138"/>
      <c r="R21" s="8"/>
      <c r="S21" s="8">
        <v>1680</v>
      </c>
      <c r="T21" s="8"/>
      <c r="U21" s="8"/>
      <c r="V21" s="8">
        <v>800</v>
      </c>
      <c r="W21" s="9"/>
    </row>
    <row r="22" spans="1:23" ht="20.100000000000001" customHeight="1">
      <c r="A22" s="5" t="s">
        <v>14</v>
      </c>
      <c r="B22" s="27">
        <f>'Ячейка 24'!D25+'Ячейка 2'!D25</f>
        <v>6228.0000000082509</v>
      </c>
      <c r="C22" s="27"/>
      <c r="D22" s="133">
        <f>'Ячейка 24'!H25+'Ячейка 2'!H25</f>
        <v>2755.800000004001</v>
      </c>
      <c r="E22" s="133"/>
      <c r="F22" s="132">
        <f t="shared" si="0"/>
        <v>0.4424855491330042</v>
      </c>
      <c r="G22" s="132"/>
      <c r="H22" s="106"/>
      <c r="I22" s="106"/>
      <c r="J22" s="106"/>
      <c r="K22" s="106"/>
      <c r="L22" s="106"/>
    </row>
    <row r="23" spans="1:23" ht="20.100000000000001" customHeight="1">
      <c r="A23" s="5" t="s">
        <v>15</v>
      </c>
      <c r="B23" s="27">
        <f>'Ячейка 24'!D26+'Ячейка 2'!D26</f>
        <v>6616.8000000006941</v>
      </c>
      <c r="C23" s="27"/>
      <c r="D23" s="133">
        <f>'Ячейка 24'!H26+'Ячейка 2'!H26</f>
        <v>2847.5999999973283</v>
      </c>
      <c r="E23" s="133"/>
      <c r="F23" s="132">
        <f t="shared" si="0"/>
        <v>0.43035908596255434</v>
      </c>
      <c r="G23" s="132"/>
      <c r="H23" s="106"/>
      <c r="I23" s="106"/>
      <c r="J23" s="106"/>
      <c r="K23" s="106"/>
      <c r="L23" s="106"/>
    </row>
    <row r="24" spans="1:23" ht="20.100000000000001" customHeight="1">
      <c r="A24" s="5" t="s">
        <v>16</v>
      </c>
      <c r="B24" s="27">
        <f>'Ячейка 24'!D27+'Ячейка 2'!D27</f>
        <v>7052.3999999977605</v>
      </c>
      <c r="C24" s="27"/>
      <c r="D24" s="133">
        <f>'Ячейка 24'!H27+'Ячейка 2'!H27</f>
        <v>3153.5999999982778</v>
      </c>
      <c r="E24" s="133"/>
      <c r="F24" s="132">
        <f t="shared" si="0"/>
        <v>0.44716692189882584</v>
      </c>
      <c r="G24" s="132"/>
      <c r="H24" s="106"/>
      <c r="I24" s="106"/>
      <c r="J24" s="106"/>
      <c r="K24" s="106"/>
      <c r="L24" s="106"/>
      <c r="N24" s="97" t="s">
        <v>135</v>
      </c>
      <c r="O24" s="97"/>
      <c r="P24" s="97"/>
      <c r="Q24" s="97"/>
      <c r="R24" s="97"/>
      <c r="S24" s="97"/>
      <c r="T24" s="97"/>
      <c r="U24" s="97"/>
      <c r="V24" s="97"/>
    </row>
    <row r="25" spans="1:23" ht="20.100000000000001" customHeight="1">
      <c r="A25" s="5" t="s">
        <v>17</v>
      </c>
      <c r="B25" s="27">
        <f>'Ячейка 24'!D28+'Ячейка 2'!D28</f>
        <v>7343.9999999982319</v>
      </c>
      <c r="C25" s="27"/>
      <c r="D25" s="133">
        <f>'Ячейка 24'!H28+'Ячейка 2'!H28</f>
        <v>3223.8000000011198</v>
      </c>
      <c r="E25" s="133"/>
      <c r="F25" s="132">
        <f t="shared" si="0"/>
        <v>0.43897058823555229</v>
      </c>
      <c r="G25" s="132"/>
      <c r="H25" s="106"/>
      <c r="I25" s="106"/>
      <c r="J25" s="106"/>
      <c r="K25" s="106"/>
      <c r="L25" s="106"/>
      <c r="N25" s="21" t="s">
        <v>136</v>
      </c>
      <c r="O25" s="97" t="s">
        <v>137</v>
      </c>
      <c r="P25" s="97"/>
      <c r="Q25" s="97"/>
      <c r="R25" s="97"/>
      <c r="S25" s="97"/>
      <c r="T25" s="97"/>
      <c r="U25" s="97"/>
      <c r="V25" s="97"/>
    </row>
    <row r="26" spans="1:23" ht="20.100000000000001" customHeight="1">
      <c r="A26" s="5" t="s">
        <v>18</v>
      </c>
      <c r="B26" s="27">
        <f>'Ячейка 24'!D29+'Ячейка 2'!D29</f>
        <v>7468.1999999957043</v>
      </c>
      <c r="C26" s="27"/>
      <c r="D26" s="133">
        <f>'Ячейка 24'!H29+'Ячейка 2'!H29</f>
        <v>3371.4000000009037</v>
      </c>
      <c r="E26" s="133"/>
      <c r="F26" s="132">
        <f t="shared" si="0"/>
        <v>0.4514340805017063</v>
      </c>
      <c r="G26" s="132"/>
      <c r="H26" s="106"/>
      <c r="I26" s="106"/>
      <c r="J26" s="106"/>
      <c r="K26" s="106"/>
      <c r="L26" s="106"/>
      <c r="N26" s="21" t="s">
        <v>138</v>
      </c>
      <c r="O26" s="97" t="s">
        <v>188</v>
      </c>
      <c r="P26" s="97"/>
      <c r="Q26" s="97"/>
      <c r="R26" s="97"/>
      <c r="S26" s="97"/>
      <c r="T26" s="97"/>
      <c r="U26" s="97"/>
      <c r="V26" s="97"/>
    </row>
    <row r="27" spans="1:23" ht="20.100000000000001" customHeight="1">
      <c r="A27" s="5" t="s">
        <v>19</v>
      </c>
      <c r="B27" s="27">
        <f>'Ячейка 24'!D30+'Ячейка 2'!D30</f>
        <v>7327.7999999982057</v>
      </c>
      <c r="C27" s="27"/>
      <c r="D27" s="133">
        <f>'Ячейка 24'!H30+'Ячейка 2'!H30</f>
        <v>3347.9999999985921</v>
      </c>
      <c r="E27" s="133"/>
      <c r="F27" s="132">
        <f t="shared" si="0"/>
        <v>0.45689019896823219</v>
      </c>
      <c r="G27" s="132"/>
      <c r="H27" s="106"/>
      <c r="I27" s="106"/>
      <c r="J27" s="106"/>
      <c r="K27" s="106"/>
      <c r="L27" s="106"/>
      <c r="N27" s="21" t="s">
        <v>139</v>
      </c>
      <c r="O27" s="97" t="s">
        <v>140</v>
      </c>
      <c r="P27" s="97"/>
      <c r="Q27" s="97"/>
      <c r="R27" s="97"/>
      <c r="S27" s="97"/>
      <c r="T27" s="97"/>
      <c r="U27" s="97"/>
      <c r="V27" s="97"/>
    </row>
    <row r="28" spans="1:23" ht="20.100000000000001" customHeight="1">
      <c r="A28" s="5" t="s">
        <v>20</v>
      </c>
      <c r="B28" s="27">
        <f>'Ячейка 24'!D31+'Ячейка 2'!D31</f>
        <v>7059.6000000041386</v>
      </c>
      <c r="C28" s="27"/>
      <c r="D28" s="133">
        <f>'Ячейка 24'!H31+'Ячейка 2'!H31</f>
        <v>3265.1999999907275</v>
      </c>
      <c r="E28" s="133"/>
      <c r="F28" s="132">
        <f t="shared" si="0"/>
        <v>0.46251912289489677</v>
      </c>
      <c r="G28" s="132"/>
      <c r="H28" s="106"/>
      <c r="I28" s="106"/>
      <c r="J28" s="106"/>
      <c r="K28" s="106"/>
      <c r="L28" s="106"/>
      <c r="N28" s="21"/>
      <c r="O28" s="97" t="s">
        <v>141</v>
      </c>
      <c r="P28" s="97"/>
      <c r="Q28" s="97"/>
      <c r="R28" s="97"/>
      <c r="S28" s="97"/>
      <c r="T28" s="97"/>
      <c r="U28" s="97"/>
      <c r="V28" s="97"/>
    </row>
    <row r="29" spans="1:23" ht="20.100000000000001" customHeight="1">
      <c r="A29" s="5" t="s">
        <v>21</v>
      </c>
      <c r="B29" s="27">
        <f>'Ячейка 24'!D32+'Ячейка 2'!D32</f>
        <v>7014.6000000031563</v>
      </c>
      <c r="C29" s="27"/>
      <c r="D29" s="133">
        <f>'Ячейка 24'!H32+'Ячейка 2'!H32</f>
        <v>3198.6000000033528</v>
      </c>
      <c r="E29" s="133"/>
      <c r="F29" s="132">
        <f t="shared" si="0"/>
        <v>0.45599178855557176</v>
      </c>
      <c r="G29" s="132"/>
      <c r="H29" s="106"/>
      <c r="I29" s="106"/>
      <c r="J29" s="106"/>
      <c r="K29" s="106"/>
      <c r="L29" s="106"/>
      <c r="N29" s="21"/>
      <c r="O29" s="97" t="s">
        <v>142</v>
      </c>
      <c r="P29" s="97"/>
      <c r="Q29" s="97"/>
      <c r="R29" s="97"/>
      <c r="S29" s="97"/>
      <c r="T29" s="97"/>
      <c r="U29" s="97"/>
      <c r="V29" s="97"/>
    </row>
    <row r="30" spans="1:23" ht="20.100000000000001" customHeight="1">
      <c r="A30" s="5" t="s">
        <v>22</v>
      </c>
      <c r="B30" s="27">
        <f>'Ячейка 24'!D33+'Ячейка 2'!D33</f>
        <v>6893.9999999884094</v>
      </c>
      <c r="C30" s="27"/>
      <c r="D30" s="133">
        <f>'Ячейка 24'!H33+'Ячейка 2'!H33</f>
        <v>3162.6000000001113</v>
      </c>
      <c r="E30" s="133"/>
      <c r="F30" s="132">
        <f t="shared" si="0"/>
        <v>0.45874673629321561</v>
      </c>
      <c r="G30" s="132"/>
      <c r="H30" s="106"/>
      <c r="I30" s="106"/>
      <c r="J30" s="106"/>
      <c r="K30" s="106"/>
      <c r="L30" s="106"/>
      <c r="N30" s="21" t="s">
        <v>143</v>
      </c>
      <c r="O30" s="97" t="s">
        <v>144</v>
      </c>
      <c r="P30" s="97"/>
      <c r="Q30" s="97"/>
      <c r="R30" s="97"/>
      <c r="S30" s="97"/>
      <c r="T30" s="97"/>
      <c r="U30" s="97"/>
      <c r="V30" s="97"/>
    </row>
    <row r="31" spans="1:23" ht="20.100000000000001" customHeight="1">
      <c r="A31" s="5" t="s">
        <v>23</v>
      </c>
      <c r="B31" s="27">
        <f>'Ячейка 24'!D34+'Ячейка 2'!D34</f>
        <v>6825.6000000055792</v>
      </c>
      <c r="C31" s="27"/>
      <c r="D31" s="133">
        <f>'Ячейка 24'!H34+'Ячейка 2'!H34</f>
        <v>3148.1999999955406</v>
      </c>
      <c r="E31" s="133"/>
      <c r="F31" s="132">
        <f t="shared" si="0"/>
        <v>0.46123417721415955</v>
      </c>
      <c r="G31" s="132"/>
      <c r="H31" s="106"/>
      <c r="I31" s="106"/>
      <c r="J31" s="106"/>
      <c r="K31" s="106"/>
      <c r="L31" s="106"/>
      <c r="N31" s="21"/>
      <c r="O31" s="97" t="s">
        <v>145</v>
      </c>
      <c r="P31" s="97"/>
      <c r="Q31" s="97"/>
      <c r="R31" s="97"/>
      <c r="S31" s="97"/>
      <c r="T31" s="97"/>
      <c r="U31" s="97"/>
      <c r="V31" s="97"/>
    </row>
    <row r="32" spans="1:23" ht="20.100000000000001" customHeight="1">
      <c r="A32" s="5" t="s">
        <v>24</v>
      </c>
      <c r="B32" s="27">
        <f>'Ячейка 24'!D35+'Ячейка 2'!D35</f>
        <v>6798.600000008264</v>
      </c>
      <c r="C32" s="27"/>
      <c r="D32" s="133">
        <f>'Ячейка 24'!H35+'Ячейка 2'!H35</f>
        <v>3088.8000000104512</v>
      </c>
      <c r="E32" s="133"/>
      <c r="F32" s="132">
        <f t="shared" si="0"/>
        <v>0.45432883240765698</v>
      </c>
      <c r="G32" s="132"/>
      <c r="H32" s="106"/>
      <c r="I32" s="106"/>
      <c r="J32" s="106"/>
      <c r="K32" s="106"/>
      <c r="L32" s="106"/>
      <c r="N32" s="21" t="s">
        <v>146</v>
      </c>
      <c r="O32" s="97" t="s">
        <v>147</v>
      </c>
      <c r="P32" s="97"/>
      <c r="Q32" s="97"/>
      <c r="R32" s="97"/>
      <c r="S32" s="97"/>
      <c r="T32" s="97"/>
      <c r="U32" s="97"/>
      <c r="V32" s="97"/>
    </row>
    <row r="33" spans="1:24" ht="20.100000000000001" customHeight="1">
      <c r="A33" s="5" t="s">
        <v>25</v>
      </c>
      <c r="B33" s="27">
        <f>'Ячейка 24'!D36+'Ячейка 2'!D36</f>
        <v>6719.399999995403</v>
      </c>
      <c r="C33" s="27"/>
      <c r="D33" s="133">
        <f>'Ячейка 24'!H36+'Ячейка 2'!H36</f>
        <v>2951.9999999915854</v>
      </c>
      <c r="E33" s="133"/>
      <c r="F33" s="132">
        <f t="shared" si="0"/>
        <v>0.4393249397258096</v>
      </c>
      <c r="G33" s="132"/>
      <c r="H33" s="106"/>
      <c r="I33" s="106"/>
      <c r="J33" s="106"/>
      <c r="K33" s="106"/>
      <c r="L33" s="106"/>
      <c r="N33" s="21" t="s">
        <v>148</v>
      </c>
      <c r="O33" s="97" t="s">
        <v>149</v>
      </c>
      <c r="P33" s="97"/>
      <c r="Q33" s="97"/>
      <c r="R33" s="97"/>
      <c r="S33" s="97"/>
      <c r="T33" s="97"/>
      <c r="U33" s="97"/>
      <c r="V33" s="97"/>
    </row>
    <row r="34" spans="1:24" ht="20.100000000000001" customHeight="1">
      <c r="A34" s="5" t="s">
        <v>26</v>
      </c>
      <c r="B34" s="27">
        <f>'Ячейка 24'!D37+'Ячейка 2'!D37</f>
        <v>6755.4000000027372</v>
      </c>
      <c r="C34" s="27"/>
      <c r="D34" s="133">
        <f>'Ячейка 24'!H37+'Ячейка 2'!H37</f>
        <v>3023.9999999980682</v>
      </c>
      <c r="E34" s="133"/>
      <c r="F34" s="132">
        <f t="shared" si="0"/>
        <v>0.44764188649034004</v>
      </c>
      <c r="G34" s="132"/>
      <c r="H34" s="106"/>
      <c r="I34" s="106"/>
      <c r="J34" s="106"/>
      <c r="K34" s="106"/>
      <c r="L34" s="106"/>
    </row>
    <row r="35" spans="1:24" ht="20.100000000000001" customHeight="1">
      <c r="A35" s="5" t="s">
        <v>27</v>
      </c>
      <c r="B35" s="27">
        <f>'Ячейка 24'!D38+'Ячейка 2'!D38</f>
        <v>6708.6000000062995</v>
      </c>
      <c r="C35" s="27"/>
      <c r="D35" s="133">
        <f>'Ячейка 24'!H38+'Ячейка 2'!H38</f>
        <v>3013.2000000089647</v>
      </c>
      <c r="E35" s="133"/>
      <c r="F35" s="132">
        <f t="shared" si="0"/>
        <v>0.44915481620697839</v>
      </c>
      <c r="G35" s="132"/>
      <c r="H35" s="106"/>
      <c r="I35" s="106"/>
      <c r="J35" s="106"/>
      <c r="K35" s="106"/>
      <c r="L35" s="106"/>
    </row>
    <row r="36" spans="1:24" ht="20.100000000000001" customHeight="1">
      <c r="A36" s="5" t="s">
        <v>28</v>
      </c>
      <c r="B36" s="27">
        <f>'Ячейка 24'!D39+'Ячейка 2'!D39</f>
        <v>6836.3999999864973</v>
      </c>
      <c r="C36" s="27"/>
      <c r="D36" s="133">
        <f>'Ячейка 24'!H39+'Ячейка 2'!H39</f>
        <v>3099.599999995462</v>
      </c>
      <c r="E36" s="133"/>
      <c r="F36" s="132">
        <f t="shared" si="0"/>
        <v>0.45339652448680356</v>
      </c>
      <c r="G36" s="132"/>
      <c r="H36" s="106"/>
      <c r="I36" s="106"/>
      <c r="J36" s="106"/>
      <c r="K36" s="106"/>
      <c r="L36" s="106"/>
    </row>
    <row r="37" spans="1:24" ht="20.100000000000001" customHeight="1">
      <c r="A37" s="5" t="s">
        <v>29</v>
      </c>
      <c r="B37" s="27">
        <f>'Ячейка 24'!D40+'Ячейка 2'!D40</f>
        <v>6823.8000000019383</v>
      </c>
      <c r="C37" s="27"/>
      <c r="D37" s="133">
        <f>'Ячейка 24'!H40+'Ячейка 2'!H40</f>
        <v>3196.7999999956191</v>
      </c>
      <c r="E37" s="133"/>
      <c r="F37" s="132">
        <f t="shared" si="0"/>
        <v>0.46847797414852593</v>
      </c>
      <c r="G37" s="132"/>
      <c r="H37" s="106"/>
      <c r="I37" s="106"/>
      <c r="J37" s="106"/>
      <c r="K37" s="106"/>
      <c r="L37" s="106"/>
    </row>
    <row r="38" spans="1:24" ht="20.100000000000001" customHeight="1">
      <c r="A38" s="5" t="s">
        <v>30</v>
      </c>
      <c r="B38" s="27">
        <f>'Ячейка 24'!D41+'Ячейка 2'!D41</f>
        <v>6622.2000000034313</v>
      </c>
      <c r="C38" s="27"/>
      <c r="D38" s="133">
        <f>'Ячейка 24'!H41+'Ячейка 2'!H41</f>
        <v>3146.4000000041779</v>
      </c>
      <c r="E38" s="133"/>
      <c r="F38" s="132">
        <f t="shared" si="0"/>
        <v>0.47512911117189871</v>
      </c>
      <c r="G38" s="132"/>
      <c r="H38" s="106"/>
      <c r="I38" s="106"/>
      <c r="J38" s="106"/>
      <c r="K38" s="106"/>
      <c r="L38" s="106"/>
    </row>
    <row r="39" spans="1:24" ht="20.100000000000001" customHeight="1">
      <c r="A39" s="5" t="s">
        <v>31</v>
      </c>
      <c r="B39" s="27">
        <f>'Ячейка 24'!D42+'Ячейка 2'!D42</f>
        <v>6447.6000000022395</v>
      </c>
      <c r="C39" s="27"/>
      <c r="D39" s="133">
        <f>'Ячейка 24'!H42+'Ячейка 2'!H42</f>
        <v>3056.4000000144915</v>
      </c>
      <c r="E39" s="133"/>
      <c r="F39" s="132">
        <f t="shared" si="0"/>
        <v>0.47403685092335596</v>
      </c>
      <c r="G39" s="132"/>
      <c r="H39" s="106"/>
      <c r="I39" s="106"/>
      <c r="J39" s="106"/>
      <c r="K39" s="106"/>
      <c r="L39" s="106"/>
      <c r="P39" s="57" t="s">
        <v>150</v>
      </c>
      <c r="Q39" s="57"/>
      <c r="R39" s="57"/>
      <c r="S39" s="56" t="s">
        <v>391</v>
      </c>
      <c r="T39" s="56"/>
      <c r="U39" s="56"/>
      <c r="V39" s="56"/>
      <c r="W39" s="56"/>
      <c r="X39" s="56"/>
    </row>
    <row r="40" spans="1:24" ht="20.100000000000001" customHeight="1">
      <c r="A40" s="5" t="s">
        <v>32</v>
      </c>
      <c r="B40" s="27">
        <f>SUM(B15:B39)</f>
        <v>159852.60000000289</v>
      </c>
      <c r="C40" s="27"/>
      <c r="D40" s="133">
        <f>SUM(D15:E39)</f>
        <v>73452.600000011909</v>
      </c>
      <c r="E40" s="133"/>
      <c r="F40" s="132">
        <f>IF(OR(B40="",D40=""),"",IF(ISERROR(D40/B40),IF(D40=0,0,""),D40/B40))</f>
        <v>0.45950206627862533</v>
      </c>
      <c r="G40" s="132"/>
      <c r="H40" s="106"/>
      <c r="I40" s="106"/>
      <c r="J40" s="106"/>
      <c r="K40" s="106"/>
      <c r="L40" s="106"/>
    </row>
    <row r="41" spans="1:24" ht="20.100000000000001" customHeight="1">
      <c r="A41" s="5" t="s">
        <v>33</v>
      </c>
      <c r="B41" s="5"/>
      <c r="C41" s="5"/>
      <c r="D41" s="123"/>
      <c r="E41" s="123"/>
      <c r="F41" s="132"/>
      <c r="G41" s="132"/>
      <c r="H41" s="106"/>
      <c r="I41" s="106"/>
      <c r="J41" s="106"/>
      <c r="K41" s="106"/>
      <c r="L41" s="106"/>
    </row>
    <row r="42" spans="1:24" ht="20.100000000000001" customHeight="1">
      <c r="A42" s="131" t="s">
        <v>2</v>
      </c>
      <c r="B42" s="107" t="s">
        <v>37</v>
      </c>
      <c r="C42" s="108"/>
      <c r="D42" s="131"/>
      <c r="E42" s="107" t="s">
        <v>40</v>
      </c>
      <c r="F42" s="108"/>
      <c r="G42" s="108"/>
      <c r="H42" s="108"/>
      <c r="I42" s="131"/>
      <c r="J42" s="100" t="s">
        <v>5</v>
      </c>
      <c r="K42" s="112"/>
      <c r="L42" s="112"/>
    </row>
    <row r="43" spans="1:24" ht="36" customHeight="1">
      <c r="A43" s="131"/>
      <c r="B43" s="123" t="s">
        <v>38</v>
      </c>
      <c r="C43" s="123"/>
      <c r="D43" s="5" t="s">
        <v>39</v>
      </c>
      <c r="E43" s="107" t="s">
        <v>41</v>
      </c>
      <c r="F43" s="108"/>
      <c r="G43" s="131"/>
      <c r="H43" s="107" t="s">
        <v>42</v>
      </c>
      <c r="I43" s="131"/>
      <c r="J43" s="103"/>
      <c r="K43" s="111"/>
      <c r="L43" s="111"/>
    </row>
    <row r="44" spans="1:24" ht="20.100000000000001" customHeight="1">
      <c r="A44" s="4" t="s">
        <v>153</v>
      </c>
      <c r="B44" s="128">
        <f>SUM(B24:B26)</f>
        <v>21864.599999991697</v>
      </c>
      <c r="C44" s="129"/>
      <c r="D44" s="27">
        <f>SUM(D24:E26)</f>
        <v>9748.8000000003012</v>
      </c>
      <c r="E44" s="128">
        <f>B44/3</f>
        <v>7288.1999999972322</v>
      </c>
      <c r="F44" s="130"/>
      <c r="G44" s="129"/>
      <c r="H44" s="128">
        <f>D44/3</f>
        <v>3249.6000000001004</v>
      </c>
      <c r="I44" s="129"/>
      <c r="J44" s="125">
        <f>H44/E44</f>
        <v>0.44587140857843288</v>
      </c>
      <c r="K44" s="126"/>
      <c r="L44" s="126"/>
    </row>
    <row r="45" spans="1:24" ht="20.100000000000001" customHeight="1">
      <c r="A45" s="4" t="s">
        <v>43</v>
      </c>
      <c r="B45" s="128">
        <f>SUM(B33:B36)</f>
        <v>27019.799999990937</v>
      </c>
      <c r="C45" s="129"/>
      <c r="D45" s="27">
        <f>SUM(D33:E36)</f>
        <v>12088.79999999408</v>
      </c>
      <c r="E45" s="128">
        <f>B45/4</f>
        <v>6754.9499999977343</v>
      </c>
      <c r="F45" s="130"/>
      <c r="G45" s="129"/>
      <c r="H45" s="128">
        <f>D45/4</f>
        <v>3022.1999999985201</v>
      </c>
      <c r="I45" s="129"/>
      <c r="J45" s="125">
        <f>H45/E45</f>
        <v>0.44740523616008021</v>
      </c>
      <c r="K45" s="126"/>
      <c r="L45" s="126"/>
    </row>
    <row r="46" spans="1:24" ht="20.100000000000001" customHeight="1">
      <c r="A46" s="4" t="s">
        <v>44</v>
      </c>
      <c r="B46" s="128">
        <f>SUM(B16:B39)</f>
        <v>159852.60000000289</v>
      </c>
      <c r="C46" s="129"/>
      <c r="D46" s="27">
        <f>SUM(D16:E39)</f>
        <v>73452.600000011909</v>
      </c>
      <c r="E46" s="128">
        <f>B46/24</f>
        <v>6660.5250000001206</v>
      </c>
      <c r="F46" s="130"/>
      <c r="G46" s="129"/>
      <c r="H46" s="128">
        <f>D46/24</f>
        <v>3060.5250000004962</v>
      </c>
      <c r="I46" s="129"/>
      <c r="J46" s="125">
        <f>H46/E46</f>
        <v>0.45950206627862533</v>
      </c>
      <c r="K46" s="126"/>
      <c r="L46" s="126"/>
    </row>
    <row r="47" spans="1:24" ht="20.100000000000001" customHeight="1"/>
    <row r="48" spans="1:24" ht="20.100000000000001" customHeight="1"/>
    <row r="49" spans="3:9" ht="20.100000000000001" customHeight="1"/>
    <row r="50" spans="3:9" ht="20.100000000000001" customHeight="1">
      <c r="C50" s="91" t="s">
        <v>194</v>
      </c>
      <c r="D50" s="91"/>
      <c r="E50" s="91"/>
      <c r="F50" s="91"/>
      <c r="G50" s="91"/>
      <c r="H50" s="91"/>
      <c r="I50" s="91"/>
    </row>
    <row r="51" spans="3:9" ht="20.100000000000001" customHeight="1"/>
  </sheetData>
  <sheetProtection sheet="1" objects="1" scenarios="1"/>
  <mergeCells count="173">
    <mergeCell ref="F5:H6"/>
    <mergeCell ref="I5:L6"/>
    <mergeCell ref="F3:H4"/>
    <mergeCell ref="I3:L4"/>
    <mergeCell ref="F1:H2"/>
    <mergeCell ref="I1:L2"/>
    <mergeCell ref="N4:Q4"/>
    <mergeCell ref="N5:Q5"/>
    <mergeCell ref="N6:Q6"/>
    <mergeCell ref="N7:Q7"/>
    <mergeCell ref="N8:Q8"/>
    <mergeCell ref="N9:Q9"/>
    <mergeCell ref="M1:M3"/>
    <mergeCell ref="N1:Q3"/>
    <mergeCell ref="R1:T1"/>
    <mergeCell ref="U14:U18"/>
    <mergeCell ref="V14:V18"/>
    <mergeCell ref="W14:W18"/>
    <mergeCell ref="U1:W1"/>
    <mergeCell ref="R2:R3"/>
    <mergeCell ref="U2:U3"/>
    <mergeCell ref="S2:T2"/>
    <mergeCell ref="S3:T3"/>
    <mergeCell ref="V2:W2"/>
    <mergeCell ref="V3:W3"/>
    <mergeCell ref="N19:Q19"/>
    <mergeCell ref="N20:Q20"/>
    <mergeCell ref="N21:Q21"/>
    <mergeCell ref="N10:Q10"/>
    <mergeCell ref="N11:Q11"/>
    <mergeCell ref="M14:M18"/>
    <mergeCell ref="N14:Q18"/>
    <mergeCell ref="R14:T14"/>
    <mergeCell ref="T15:T18"/>
    <mergeCell ref="S15:S18"/>
    <mergeCell ref="R15:R18"/>
    <mergeCell ref="O30:V30"/>
    <mergeCell ref="O31:V31"/>
    <mergeCell ref="O32:V32"/>
    <mergeCell ref="O33:V33"/>
    <mergeCell ref="P39:R39"/>
    <mergeCell ref="N24:V24"/>
    <mergeCell ref="O25:V25"/>
    <mergeCell ref="O26:V26"/>
    <mergeCell ref="O27:V27"/>
    <mergeCell ref="O28:V28"/>
    <mergeCell ref="O29:V29"/>
    <mergeCell ref="S39:X39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D36:E36"/>
    <mergeCell ref="D38:E38"/>
    <mergeCell ref="D39:E39"/>
    <mergeCell ref="D37:E37"/>
    <mergeCell ref="D29:E29"/>
    <mergeCell ref="F21:G21"/>
    <mergeCell ref="D21:E21"/>
    <mergeCell ref="A7:L7"/>
    <mergeCell ref="F12:G13"/>
    <mergeCell ref="H12:L12"/>
    <mergeCell ref="I9:L9"/>
    <mergeCell ref="F9:H9"/>
    <mergeCell ref="A9:E9"/>
    <mergeCell ref="A8:L8"/>
    <mergeCell ref="D25:E25"/>
    <mergeCell ref="D26:E26"/>
    <mergeCell ref="D14:E14"/>
    <mergeCell ref="D15:E15"/>
    <mergeCell ref="D16:E16"/>
    <mergeCell ref="D17:E17"/>
    <mergeCell ref="D18:E18"/>
    <mergeCell ref="D19:E19"/>
    <mergeCell ref="D20:E20"/>
    <mergeCell ref="F14:G14"/>
    <mergeCell ref="F15:G15"/>
    <mergeCell ref="F16:G16"/>
    <mergeCell ref="F17:G17"/>
    <mergeCell ref="F22:G22"/>
    <mergeCell ref="F18:G18"/>
    <mergeCell ref="F19:G19"/>
    <mergeCell ref="F20:G20"/>
    <mergeCell ref="F34:G34"/>
    <mergeCell ref="D30:E30"/>
    <mergeCell ref="D31:E31"/>
    <mergeCell ref="D32:E32"/>
    <mergeCell ref="D23:E23"/>
    <mergeCell ref="D24:E24"/>
    <mergeCell ref="F23:G23"/>
    <mergeCell ref="F24:G24"/>
    <mergeCell ref="F25:G25"/>
    <mergeCell ref="F26:G26"/>
    <mergeCell ref="F33:G33"/>
    <mergeCell ref="H23:L23"/>
    <mergeCell ref="H24:L24"/>
    <mergeCell ref="H25:L25"/>
    <mergeCell ref="H26:L26"/>
    <mergeCell ref="H27:L27"/>
    <mergeCell ref="H28:L28"/>
    <mergeCell ref="D22:E22"/>
    <mergeCell ref="F27:G27"/>
    <mergeCell ref="F28:G28"/>
    <mergeCell ref="H14:L14"/>
    <mergeCell ref="H15:L15"/>
    <mergeCell ref="H16:L16"/>
    <mergeCell ref="H17:L17"/>
    <mergeCell ref="H18:L18"/>
    <mergeCell ref="H19:L19"/>
    <mergeCell ref="H20:L20"/>
    <mergeCell ref="H21:L21"/>
    <mergeCell ref="H22:L22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  <mergeCell ref="F35:G35"/>
    <mergeCell ref="F36:G36"/>
    <mergeCell ref="F37:G37"/>
    <mergeCell ref="F38:G38"/>
    <mergeCell ref="F39:G39"/>
    <mergeCell ref="F40:G40"/>
    <mergeCell ref="F29:G29"/>
    <mergeCell ref="F30:G30"/>
    <mergeCell ref="F31:G31"/>
    <mergeCell ref="F32:G32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B45:C45"/>
    <mergeCell ref="J44:L44"/>
    <mergeCell ref="J45:L45"/>
    <mergeCell ref="D41:E41"/>
    <mergeCell ref="E45:G45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9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1.xml><?xml version="1.0" encoding="utf-8"?>
<worksheet xmlns="http://schemas.openxmlformats.org/spreadsheetml/2006/main" xmlns:r="http://schemas.openxmlformats.org/officeDocument/2006/relationships">
  <sheetPr codeName="Лист20"/>
  <dimension ref="A1:X51"/>
  <sheetViews>
    <sheetView view="pageBreakPreview" zoomScale="75" zoomScaleNormal="100" workbookViewId="0">
      <selection activeCell="F37" sqref="F37:G37"/>
    </sheetView>
  </sheetViews>
  <sheetFormatPr defaultRowHeight="18.75"/>
  <cols>
    <col min="1" max="1" width="16.710937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.42578125" style="2" customWidth="1"/>
    <col min="21" max="21" width="12.7109375" style="2" customWidth="1"/>
    <col min="22" max="22" width="11.85546875" style="2" customWidth="1"/>
    <col min="23" max="23" width="14.28515625" style="2" customWidth="1"/>
    <col min="24" max="28" width="10.28515625" style="2" customWidth="1"/>
    <col min="29" max="16384" width="9.140625" style="2"/>
  </cols>
  <sheetData>
    <row r="1" spans="1:23" ht="26.25">
      <c r="A1" s="59" t="s">
        <v>161</v>
      </c>
      <c r="B1" s="59"/>
      <c r="C1" s="59"/>
      <c r="D1" s="59"/>
      <c r="E1" s="59"/>
      <c r="F1" s="63" t="s">
        <v>154</v>
      </c>
      <c r="G1" s="63"/>
      <c r="H1" s="63"/>
      <c r="I1" s="59" t="s">
        <v>163</v>
      </c>
      <c r="J1" s="59"/>
      <c r="K1" s="59"/>
      <c r="L1" s="59"/>
      <c r="M1" s="104" t="s">
        <v>115</v>
      </c>
      <c r="N1" s="98" t="s">
        <v>116</v>
      </c>
      <c r="O1" s="98"/>
      <c r="P1" s="98"/>
      <c r="Q1" s="98"/>
      <c r="R1" s="123" t="s">
        <v>117</v>
      </c>
      <c r="S1" s="123"/>
      <c r="T1" s="123"/>
      <c r="U1" s="123" t="s">
        <v>118</v>
      </c>
      <c r="V1" s="123"/>
      <c r="W1" s="107"/>
    </row>
    <row r="2" spans="1:23" ht="18.75" customHeight="1">
      <c r="A2" s="61" t="s">
        <v>45</v>
      </c>
      <c r="B2" s="61"/>
      <c r="C2" s="61"/>
      <c r="D2" s="61"/>
      <c r="E2" s="61"/>
      <c r="F2" s="63"/>
      <c r="G2" s="63"/>
      <c r="H2" s="63"/>
      <c r="I2" s="59"/>
      <c r="J2" s="59"/>
      <c r="K2" s="59"/>
      <c r="L2" s="59"/>
      <c r="M2" s="95"/>
      <c r="N2" s="99"/>
      <c r="O2" s="99"/>
      <c r="P2" s="99"/>
      <c r="Q2" s="99"/>
      <c r="R2" s="99" t="s">
        <v>119</v>
      </c>
      <c r="S2" s="99" t="s">
        <v>120</v>
      </c>
      <c r="T2" s="99"/>
      <c r="U2" s="99" t="s">
        <v>119</v>
      </c>
      <c r="V2" s="99" t="s">
        <v>120</v>
      </c>
      <c r="W2" s="101"/>
    </row>
    <row r="3" spans="1:23" ht="21.75" customHeight="1">
      <c r="A3" s="59" t="s">
        <v>162</v>
      </c>
      <c r="B3" s="59"/>
      <c r="C3" s="59"/>
      <c r="D3" s="59"/>
      <c r="E3" s="59"/>
      <c r="F3" s="63" t="s">
        <v>155</v>
      </c>
      <c r="G3" s="63"/>
      <c r="H3" s="63"/>
      <c r="I3" s="59" t="s">
        <v>234</v>
      </c>
      <c r="J3" s="59"/>
      <c r="K3" s="59"/>
      <c r="L3" s="59"/>
      <c r="M3" s="96"/>
      <c r="N3" s="102"/>
      <c r="O3" s="102"/>
      <c r="P3" s="102"/>
      <c r="Q3" s="102"/>
      <c r="R3" s="102"/>
      <c r="S3" s="102" t="s">
        <v>121</v>
      </c>
      <c r="T3" s="102"/>
      <c r="U3" s="102"/>
      <c r="V3" s="102" t="s">
        <v>121</v>
      </c>
      <c r="W3" s="103"/>
    </row>
    <row r="4" spans="1:23" ht="29.25" customHeight="1">
      <c r="A4" s="61" t="s">
        <v>46</v>
      </c>
      <c r="B4" s="61"/>
      <c r="C4" s="61"/>
      <c r="D4" s="61"/>
      <c r="E4" s="61"/>
      <c r="F4" s="63"/>
      <c r="G4" s="63"/>
      <c r="H4" s="63"/>
      <c r="I4" s="59"/>
      <c r="J4" s="59"/>
      <c r="K4" s="59"/>
      <c r="L4" s="59"/>
      <c r="M4" s="10"/>
      <c r="N4" s="136" t="s">
        <v>122</v>
      </c>
      <c r="O4" s="136"/>
      <c r="P4" s="136"/>
      <c r="Q4" s="136"/>
      <c r="R4" s="8"/>
      <c r="S4" s="9"/>
      <c r="T4" s="10"/>
      <c r="U4" s="8"/>
      <c r="V4" s="9"/>
      <c r="W4" s="22"/>
    </row>
    <row r="5" spans="1:23" ht="18" customHeight="1">
      <c r="A5" s="127" t="s">
        <v>184</v>
      </c>
      <c r="B5" s="127"/>
      <c r="C5" s="127"/>
      <c r="D5" s="127"/>
      <c r="E5" s="127"/>
      <c r="F5" s="63" t="s">
        <v>156</v>
      </c>
      <c r="G5" s="63"/>
      <c r="H5" s="63"/>
      <c r="I5" s="59" t="s">
        <v>261</v>
      </c>
      <c r="J5" s="59"/>
      <c r="K5" s="59"/>
      <c r="L5" s="59"/>
      <c r="M5" s="10"/>
      <c r="N5" s="137" t="s">
        <v>123</v>
      </c>
      <c r="O5" s="137"/>
      <c r="P5" s="137"/>
      <c r="Q5" s="137"/>
      <c r="R5" s="8"/>
      <c r="S5" s="9"/>
      <c r="T5" s="10"/>
      <c r="U5" s="8"/>
      <c r="V5" s="9"/>
      <c r="W5" s="22"/>
    </row>
    <row r="6" spans="1:23">
      <c r="A6" s="61" t="s">
        <v>47</v>
      </c>
      <c r="B6" s="61"/>
      <c r="C6" s="61"/>
      <c r="D6" s="61"/>
      <c r="E6" s="61"/>
      <c r="F6" s="63"/>
      <c r="G6" s="63"/>
      <c r="H6" s="63"/>
      <c r="I6" s="59"/>
      <c r="J6" s="59"/>
      <c r="K6" s="59"/>
      <c r="L6" s="59"/>
      <c r="M6" s="10"/>
      <c r="N6" s="137" t="s">
        <v>124</v>
      </c>
      <c r="O6" s="137"/>
      <c r="P6" s="137"/>
      <c r="Q6" s="137"/>
      <c r="R6" s="8"/>
      <c r="S6" s="9"/>
      <c r="T6" s="10"/>
      <c r="U6" s="8"/>
      <c r="V6" s="9"/>
      <c r="W6" s="22"/>
    </row>
    <row r="7" spans="1:23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10"/>
      <c r="N7" s="139" t="s">
        <v>125</v>
      </c>
      <c r="O7" s="139"/>
      <c r="P7" s="139"/>
      <c r="Q7" s="139"/>
      <c r="R7" s="8"/>
      <c r="S7" s="9"/>
      <c r="T7" s="10"/>
      <c r="U7" s="8"/>
      <c r="V7" s="9"/>
      <c r="W7" s="22"/>
    </row>
    <row r="8" spans="1:23" ht="22.5">
      <c r="A8" s="94" t="s">
        <v>0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10"/>
      <c r="N8" s="137" t="s">
        <v>126</v>
      </c>
      <c r="O8" s="137"/>
      <c r="P8" s="137"/>
      <c r="Q8" s="137"/>
      <c r="R8" s="8"/>
      <c r="S8" s="9"/>
      <c r="T8" s="10"/>
      <c r="U8" s="8"/>
      <c r="V8" s="9"/>
      <c r="W8" s="22"/>
    </row>
    <row r="9" spans="1:23">
      <c r="A9" s="135" t="s">
        <v>152</v>
      </c>
      <c r="B9" s="135"/>
      <c r="C9" s="135"/>
      <c r="D9" s="135"/>
      <c r="E9" s="135"/>
      <c r="F9" s="81" t="s">
        <v>386</v>
      </c>
      <c r="G9" s="81"/>
      <c r="H9" s="81"/>
      <c r="I9" s="134" t="s">
        <v>384</v>
      </c>
      <c r="J9" s="134"/>
      <c r="K9" s="134"/>
      <c r="L9" s="134"/>
      <c r="M9" s="10"/>
      <c r="N9" s="137" t="s">
        <v>127</v>
      </c>
      <c r="O9" s="137"/>
      <c r="P9" s="137"/>
      <c r="Q9" s="137"/>
      <c r="R9" s="8"/>
      <c r="S9" s="9"/>
      <c r="T9" s="10"/>
      <c r="U9" s="8"/>
      <c r="V9" s="9"/>
      <c r="W9" s="22"/>
    </row>
    <row r="10" spans="1:23" ht="19.5" customHeight="1">
      <c r="A10" s="135" t="s">
        <v>151</v>
      </c>
      <c r="B10" s="135"/>
      <c r="C10" s="81" t="s">
        <v>260</v>
      </c>
      <c r="D10" s="81"/>
      <c r="E10" s="81"/>
      <c r="F10" s="81"/>
      <c r="G10" s="81"/>
      <c r="H10" s="81"/>
      <c r="I10" s="3"/>
      <c r="J10" s="3"/>
      <c r="K10" s="3"/>
      <c r="L10" s="3"/>
      <c r="M10" s="10"/>
      <c r="N10" s="139" t="s">
        <v>128</v>
      </c>
      <c r="O10" s="139"/>
      <c r="P10" s="139"/>
      <c r="Q10" s="139"/>
      <c r="R10" s="8"/>
      <c r="S10" s="9"/>
      <c r="T10" s="10"/>
      <c r="U10" s="8"/>
      <c r="V10" s="9"/>
      <c r="W10" s="22"/>
    </row>
    <row r="11" spans="1:23">
      <c r="A11" s="124" t="s">
        <v>1</v>
      </c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0"/>
      <c r="N11" s="140" t="s">
        <v>129</v>
      </c>
      <c r="O11" s="140"/>
      <c r="P11" s="140"/>
      <c r="Q11" s="140"/>
      <c r="R11" s="8"/>
      <c r="S11" s="9"/>
      <c r="T11" s="10"/>
      <c r="U11" s="8"/>
      <c r="V11" s="9"/>
      <c r="W11" s="22"/>
    </row>
    <row r="12" spans="1:23" ht="20.100000000000001" customHeight="1">
      <c r="A12" s="131" t="s">
        <v>2</v>
      </c>
      <c r="B12" s="123" t="s">
        <v>36</v>
      </c>
      <c r="C12" s="123"/>
      <c r="D12" s="123"/>
      <c r="E12" s="123"/>
      <c r="F12" s="123" t="s">
        <v>5</v>
      </c>
      <c r="G12" s="123"/>
      <c r="H12" s="100" t="s">
        <v>34</v>
      </c>
      <c r="I12" s="112"/>
      <c r="J12" s="112"/>
      <c r="K12" s="112"/>
      <c r="L12" s="112"/>
      <c r="N12" s="1"/>
      <c r="O12" s="1"/>
      <c r="P12" s="1"/>
      <c r="Q12" s="1"/>
    </row>
    <row r="13" spans="1:23" ht="20.100000000000001" customHeight="1">
      <c r="A13" s="131"/>
      <c r="B13" s="123" t="s">
        <v>3</v>
      </c>
      <c r="C13" s="123"/>
      <c r="D13" s="123" t="s">
        <v>4</v>
      </c>
      <c r="E13" s="123"/>
      <c r="F13" s="123"/>
      <c r="G13" s="123"/>
      <c r="H13" s="103" t="s">
        <v>35</v>
      </c>
      <c r="I13" s="111"/>
      <c r="J13" s="111"/>
      <c r="K13" s="111"/>
      <c r="L13" s="111"/>
    </row>
    <row r="14" spans="1:23" ht="20.100000000000001" customHeight="1">
      <c r="A14" s="5" t="s">
        <v>6</v>
      </c>
      <c r="B14" s="8"/>
      <c r="C14" s="5"/>
      <c r="D14" s="89"/>
      <c r="E14" s="105"/>
      <c r="F14" s="125" t="str">
        <f t="shared" ref="F14:F40" si="0">IF(OR(B14="",D14=""),"",IF(ISERROR(D14/B14),IF(D14=0,0,""),D14/B14))</f>
        <v/>
      </c>
      <c r="G14" s="142"/>
      <c r="H14" s="89"/>
      <c r="I14" s="90"/>
      <c r="J14" s="90"/>
      <c r="K14" s="90"/>
      <c r="L14" s="90"/>
      <c r="M14" s="131" t="s">
        <v>115</v>
      </c>
      <c r="N14" s="123" t="s">
        <v>116</v>
      </c>
      <c r="O14" s="123"/>
      <c r="P14" s="123"/>
      <c r="Q14" s="123"/>
      <c r="R14" s="123" t="s">
        <v>117</v>
      </c>
      <c r="S14" s="123"/>
      <c r="T14" s="123"/>
      <c r="U14" s="123" t="s">
        <v>130</v>
      </c>
      <c r="V14" s="123" t="s">
        <v>69</v>
      </c>
      <c r="W14" s="107" t="s">
        <v>131</v>
      </c>
    </row>
    <row r="15" spans="1:23" ht="20.100000000000001" customHeight="1">
      <c r="A15" s="5" t="s">
        <v>7</v>
      </c>
      <c r="B15" s="5"/>
      <c r="C15" s="5"/>
      <c r="D15" s="107"/>
      <c r="E15" s="131"/>
      <c r="F15" s="125" t="str">
        <f t="shared" si="0"/>
        <v/>
      </c>
      <c r="G15" s="142"/>
      <c r="H15" s="89"/>
      <c r="I15" s="90"/>
      <c r="J15" s="90"/>
      <c r="K15" s="90"/>
      <c r="L15" s="90"/>
      <c r="M15" s="131"/>
      <c r="N15" s="123"/>
      <c r="O15" s="123"/>
      <c r="P15" s="123"/>
      <c r="Q15" s="123"/>
      <c r="R15" s="141" t="s">
        <v>130</v>
      </c>
      <c r="S15" s="123" t="s">
        <v>69</v>
      </c>
      <c r="T15" s="123" t="s">
        <v>131</v>
      </c>
      <c r="U15" s="123"/>
      <c r="V15" s="123"/>
      <c r="W15" s="107"/>
    </row>
    <row r="16" spans="1:23" ht="20.100000000000001" customHeight="1">
      <c r="A16" s="5" t="s">
        <v>8</v>
      </c>
      <c r="B16" s="27">
        <f>'Ячейка 3'!D19+'Ячейка 4'!D19</f>
        <v>3365.9999999817956</v>
      </c>
      <c r="C16" s="27"/>
      <c r="D16" s="128">
        <f>'Ячейка 3'!H19+'Ячейка 4'!H19</f>
        <v>2156.3999999989392</v>
      </c>
      <c r="E16" s="129"/>
      <c r="F16" s="125">
        <f t="shared" si="0"/>
        <v>0.64064171123309621</v>
      </c>
      <c r="G16" s="142"/>
      <c r="H16" s="89"/>
      <c r="I16" s="90"/>
      <c r="J16" s="90"/>
      <c r="K16" s="90"/>
      <c r="L16" s="90"/>
      <c r="M16" s="131"/>
      <c r="N16" s="123"/>
      <c r="O16" s="123"/>
      <c r="P16" s="123"/>
      <c r="Q16" s="123"/>
      <c r="R16" s="141"/>
      <c r="S16" s="123"/>
      <c r="T16" s="123"/>
      <c r="U16" s="123"/>
      <c r="V16" s="123"/>
      <c r="W16" s="107"/>
    </row>
    <row r="17" spans="1:23" ht="20.100000000000001" customHeight="1">
      <c r="A17" s="5" t="s">
        <v>9</v>
      </c>
      <c r="B17" s="27">
        <f>'Ячейка 3'!D20+'Ячейка 4'!D20</f>
        <v>3348.0000000108703</v>
      </c>
      <c r="C17" s="27"/>
      <c r="D17" s="128">
        <f>'Ячейка 3'!H20+'Ячейка 4'!H20</f>
        <v>2152.8000000080283</v>
      </c>
      <c r="E17" s="129"/>
      <c r="F17" s="125">
        <f t="shared" si="0"/>
        <v>0.64301075268848229</v>
      </c>
      <c r="G17" s="142"/>
      <c r="H17" s="89"/>
      <c r="I17" s="90"/>
      <c r="J17" s="90"/>
      <c r="K17" s="90"/>
      <c r="L17" s="90"/>
      <c r="M17" s="131"/>
      <c r="N17" s="123"/>
      <c r="O17" s="123"/>
      <c r="P17" s="123"/>
      <c r="Q17" s="123"/>
      <c r="R17" s="141"/>
      <c r="S17" s="123"/>
      <c r="T17" s="123"/>
      <c r="U17" s="123"/>
      <c r="V17" s="123"/>
      <c r="W17" s="107"/>
    </row>
    <row r="18" spans="1:23" ht="20.100000000000001" customHeight="1">
      <c r="A18" s="5" t="s">
        <v>10</v>
      </c>
      <c r="B18" s="27">
        <f>'Ячейка 3'!D21+'Ячейка 4'!D21</f>
        <v>3459.6000000074127</v>
      </c>
      <c r="C18" s="27"/>
      <c r="D18" s="128">
        <f>'Ячейка 3'!H21+'Ячейка 4'!H21</f>
        <v>2206.7999999862877</v>
      </c>
      <c r="E18" s="129"/>
      <c r="F18" s="125">
        <f t="shared" si="0"/>
        <v>0.63787721123296315</v>
      </c>
      <c r="G18" s="142"/>
      <c r="H18" s="89"/>
      <c r="I18" s="90"/>
      <c r="J18" s="90"/>
      <c r="K18" s="90"/>
      <c r="L18" s="90"/>
      <c r="M18" s="131"/>
      <c r="N18" s="123"/>
      <c r="O18" s="123"/>
      <c r="P18" s="123"/>
      <c r="Q18" s="123"/>
      <c r="R18" s="141"/>
      <c r="S18" s="123"/>
      <c r="T18" s="123"/>
      <c r="U18" s="123"/>
      <c r="V18" s="123"/>
      <c r="W18" s="107"/>
    </row>
    <row r="19" spans="1:23" ht="20.100000000000001" customHeight="1">
      <c r="A19" s="5" t="s">
        <v>11</v>
      </c>
      <c r="B19" s="27">
        <f>'Ячейка 3'!D22+'Ячейка 4'!D22</f>
        <v>3391.2000000000262</v>
      </c>
      <c r="C19" s="27"/>
      <c r="D19" s="128">
        <f>'Ячейка 3'!H22+'Ячейка 4'!H22</f>
        <v>2206.8000000108441</v>
      </c>
      <c r="E19" s="129"/>
      <c r="F19" s="125">
        <f t="shared" si="0"/>
        <v>0.65074309979087841</v>
      </c>
      <c r="G19" s="142"/>
      <c r="H19" s="89"/>
      <c r="I19" s="90"/>
      <c r="J19" s="90"/>
      <c r="K19" s="90"/>
      <c r="L19" s="90"/>
      <c r="M19" s="10"/>
      <c r="N19" s="136" t="s">
        <v>132</v>
      </c>
      <c r="O19" s="136"/>
      <c r="P19" s="136"/>
      <c r="Q19" s="136"/>
      <c r="R19" s="8"/>
      <c r="S19" s="8"/>
      <c r="T19" s="8"/>
      <c r="U19" s="8"/>
      <c r="V19" s="8"/>
      <c r="W19" s="9"/>
    </row>
    <row r="20" spans="1:23" ht="20.100000000000001" customHeight="1">
      <c r="A20" s="5" t="s">
        <v>12</v>
      </c>
      <c r="B20" s="27">
        <f>'Ячейка 3'!D23+'Ячейка 4'!D23</f>
        <v>3279.6000000034837</v>
      </c>
      <c r="C20" s="27"/>
      <c r="D20" s="128">
        <f>'Ячейка 3'!H23+'Ячейка 4'!H23</f>
        <v>2138.3999999952721</v>
      </c>
      <c r="E20" s="129"/>
      <c r="F20" s="125">
        <f t="shared" si="0"/>
        <v>0.65203073545340917</v>
      </c>
      <c r="G20" s="142"/>
      <c r="H20" s="89"/>
      <c r="I20" s="90"/>
      <c r="J20" s="90"/>
      <c r="K20" s="90"/>
      <c r="L20" s="90"/>
      <c r="M20" s="10"/>
      <c r="N20" s="137" t="s">
        <v>133</v>
      </c>
      <c r="O20" s="137"/>
      <c r="P20" s="137"/>
      <c r="Q20" s="137"/>
      <c r="R20" s="8"/>
      <c r="S20" s="8"/>
      <c r="T20" s="8"/>
      <c r="U20" s="8"/>
      <c r="V20" s="8"/>
      <c r="W20" s="9"/>
    </row>
    <row r="21" spans="1:23" ht="20.100000000000001" customHeight="1">
      <c r="A21" s="5" t="s">
        <v>13</v>
      </c>
      <c r="B21" s="27">
        <f>'Ячейка 3'!D24+'Ячейка 4'!D24</f>
        <v>3301.1999999980617</v>
      </c>
      <c r="C21" s="27"/>
      <c r="D21" s="128">
        <f>'Ячейка 3'!H24+'Ячейка 4'!H24</f>
        <v>2138.4000000034575</v>
      </c>
      <c r="E21" s="129"/>
      <c r="F21" s="125">
        <f t="shared" si="0"/>
        <v>0.64776444929259458</v>
      </c>
      <c r="G21" s="142"/>
      <c r="H21" s="89"/>
      <c r="I21" s="90"/>
      <c r="J21" s="90"/>
      <c r="K21" s="90"/>
      <c r="L21" s="90"/>
      <c r="M21" s="10"/>
      <c r="N21" s="138" t="s">
        <v>134</v>
      </c>
      <c r="O21" s="138"/>
      <c r="P21" s="138"/>
      <c r="Q21" s="138"/>
      <c r="R21" s="8"/>
      <c r="S21" s="8"/>
      <c r="T21" s="8"/>
      <c r="U21" s="8"/>
      <c r="V21" s="8"/>
      <c r="W21" s="9"/>
    </row>
    <row r="22" spans="1:23" ht="20.100000000000001" customHeight="1">
      <c r="A22" s="5" t="s">
        <v>14</v>
      </c>
      <c r="B22" s="27">
        <f>'Ячейка 3'!D25+'Ячейка 4'!D25</f>
        <v>3297.5999999907799</v>
      </c>
      <c r="C22" s="27"/>
      <c r="D22" s="128">
        <f>'Ячейка 3'!H25+'Ячейка 4'!H25</f>
        <v>2105.9999999870342</v>
      </c>
      <c r="E22" s="129"/>
      <c r="F22" s="125">
        <f t="shared" si="0"/>
        <v>0.63864628820746072</v>
      </c>
      <c r="G22" s="142"/>
      <c r="H22" s="89"/>
      <c r="I22" s="90"/>
      <c r="J22" s="90"/>
      <c r="K22" s="90"/>
      <c r="L22" s="90"/>
    </row>
    <row r="23" spans="1:23" ht="20.100000000000001" customHeight="1">
      <c r="A23" s="5" t="s">
        <v>15</v>
      </c>
      <c r="B23" s="27">
        <f>'Ячейка 3'!D26+'Ячейка 4'!D26</f>
        <v>3459.6000000074127</v>
      </c>
      <c r="C23" s="27"/>
      <c r="D23" s="128">
        <f>'Ячейка 3'!H26+'Ячейка 4'!H26</f>
        <v>2185.2000000080807</v>
      </c>
      <c r="E23" s="129"/>
      <c r="F23" s="125">
        <f t="shared" si="0"/>
        <v>0.63163371488131537</v>
      </c>
      <c r="G23" s="142"/>
      <c r="H23" s="89"/>
      <c r="I23" s="90"/>
      <c r="J23" s="90"/>
      <c r="K23" s="90"/>
      <c r="L23" s="90"/>
    </row>
    <row r="24" spans="1:23" ht="20.100000000000001" customHeight="1">
      <c r="A24" s="5" t="s">
        <v>16</v>
      </c>
      <c r="B24" s="27">
        <f>'Ячейка 3'!D27+'Ячейка 4'!D27</f>
        <v>3589.2000000076223</v>
      </c>
      <c r="C24" s="27"/>
      <c r="D24" s="128">
        <f>'Ячейка 3'!H27+'Ячейка 4'!H27</f>
        <v>2264.4000000127562</v>
      </c>
      <c r="E24" s="129"/>
      <c r="F24" s="125">
        <f t="shared" si="0"/>
        <v>0.63089267803631655</v>
      </c>
      <c r="G24" s="142"/>
      <c r="H24" s="89"/>
      <c r="I24" s="90"/>
      <c r="J24" s="90"/>
      <c r="K24" s="90"/>
      <c r="L24" s="90"/>
      <c r="N24" s="97" t="s">
        <v>135</v>
      </c>
      <c r="O24" s="97"/>
      <c r="P24" s="97"/>
      <c r="Q24" s="97"/>
      <c r="R24" s="97"/>
      <c r="S24" s="97"/>
      <c r="T24" s="97"/>
      <c r="U24" s="97"/>
      <c r="V24" s="97"/>
    </row>
    <row r="25" spans="1:23" ht="20.100000000000001" customHeight="1">
      <c r="A25" s="5" t="s">
        <v>17</v>
      </c>
      <c r="B25" s="27">
        <f>'Ячейка 3'!D28+'Ячейка 4'!D28</f>
        <v>3610.7999999858293</v>
      </c>
      <c r="C25" s="27"/>
      <c r="D25" s="128">
        <f>'Ячейка 3'!H28+'Ячейка 4'!H28</f>
        <v>2221.1999999908585</v>
      </c>
      <c r="E25" s="129"/>
      <c r="F25" s="125">
        <f t="shared" si="0"/>
        <v>0.61515453639070994</v>
      </c>
      <c r="G25" s="142"/>
      <c r="H25" s="89"/>
      <c r="I25" s="90"/>
      <c r="J25" s="90"/>
      <c r="K25" s="90"/>
      <c r="L25" s="90"/>
      <c r="N25" s="21" t="s">
        <v>136</v>
      </c>
      <c r="O25" s="97" t="s">
        <v>137</v>
      </c>
      <c r="P25" s="97"/>
      <c r="Q25" s="97"/>
      <c r="R25" s="97"/>
      <c r="S25" s="97"/>
      <c r="T25" s="97"/>
      <c r="U25" s="97"/>
      <c r="V25" s="97"/>
    </row>
    <row r="26" spans="1:23" ht="20.100000000000001" customHeight="1">
      <c r="A26" s="5" t="s">
        <v>18</v>
      </c>
      <c r="B26" s="27">
        <f>'Ячейка 3'!D29+'Ячейка 4'!D29</f>
        <v>3596.4000000058149</v>
      </c>
      <c r="C26" s="27"/>
      <c r="D26" s="128">
        <f>'Ячейка 3'!H29+'Ячейка 4'!H29</f>
        <v>2160.0000000062209</v>
      </c>
      <c r="E26" s="129"/>
      <c r="F26" s="125">
        <f t="shared" si="0"/>
        <v>0.60060060060135922</v>
      </c>
      <c r="G26" s="142"/>
      <c r="H26" s="89"/>
      <c r="I26" s="90"/>
      <c r="J26" s="90"/>
      <c r="K26" s="90"/>
      <c r="L26" s="90"/>
      <c r="N26" s="21" t="s">
        <v>138</v>
      </c>
      <c r="O26" s="97" t="s">
        <v>188</v>
      </c>
      <c r="P26" s="97"/>
      <c r="Q26" s="97"/>
      <c r="R26" s="97"/>
      <c r="S26" s="97"/>
      <c r="T26" s="97"/>
      <c r="U26" s="97"/>
      <c r="V26" s="97"/>
    </row>
    <row r="27" spans="1:23" ht="20.100000000000001" customHeight="1">
      <c r="A27" s="5" t="s">
        <v>19</v>
      </c>
      <c r="B27" s="27">
        <f>'Ячейка 3'!D30+'Ячейка 4'!D30</f>
        <v>3614.400000009482</v>
      </c>
      <c r="C27" s="27"/>
      <c r="D27" s="128">
        <f>'Ячейка 3'!H30+'Ячейка 4'!H30</f>
        <v>2177.9999999935171</v>
      </c>
      <c r="E27" s="129"/>
      <c r="F27" s="125">
        <f t="shared" si="0"/>
        <v>0.60258964143088845</v>
      </c>
      <c r="G27" s="142"/>
      <c r="H27" s="89"/>
      <c r="I27" s="90"/>
      <c r="J27" s="90"/>
      <c r="K27" s="90"/>
      <c r="L27" s="90"/>
      <c r="N27" s="21" t="s">
        <v>139</v>
      </c>
      <c r="O27" s="97" t="s">
        <v>140</v>
      </c>
      <c r="P27" s="97"/>
      <c r="Q27" s="97"/>
      <c r="R27" s="97"/>
      <c r="S27" s="97"/>
      <c r="T27" s="97"/>
      <c r="U27" s="97"/>
      <c r="V27" s="97"/>
    </row>
    <row r="28" spans="1:23" ht="20.100000000000001" customHeight="1">
      <c r="A28" s="5" t="s">
        <v>20</v>
      </c>
      <c r="B28" s="27">
        <f>'Ячейка 3'!D31+'Ячейка 4'!D31</f>
        <v>3668.3999999877415</v>
      </c>
      <c r="C28" s="27"/>
      <c r="D28" s="128">
        <f>'Ячейка 3'!H31+'Ячейка 4'!H31</f>
        <v>2228.3999999972366</v>
      </c>
      <c r="E28" s="129"/>
      <c r="F28" s="125">
        <f t="shared" si="0"/>
        <v>0.60745829244484872</v>
      </c>
      <c r="G28" s="142"/>
      <c r="H28" s="89"/>
      <c r="I28" s="90"/>
      <c r="J28" s="90"/>
      <c r="K28" s="90"/>
      <c r="L28" s="90"/>
      <c r="N28" s="21"/>
      <c r="O28" s="97" t="s">
        <v>141</v>
      </c>
      <c r="P28" s="97"/>
      <c r="Q28" s="97"/>
      <c r="R28" s="97"/>
      <c r="S28" s="97"/>
      <c r="T28" s="97"/>
      <c r="U28" s="97"/>
      <c r="V28" s="97"/>
    </row>
    <row r="29" spans="1:23" ht="20.100000000000001" customHeight="1">
      <c r="A29" s="5" t="s">
        <v>21</v>
      </c>
      <c r="B29" s="27">
        <f>'Ячейка 3'!D32+'Ячейка 4'!D32</f>
        <v>3474.000000003798</v>
      </c>
      <c r="C29" s="27"/>
      <c r="D29" s="128">
        <f>'Ячейка 3'!H32+'Ячейка 4'!H32</f>
        <v>2181.5999999926134</v>
      </c>
      <c r="E29" s="129"/>
      <c r="F29" s="125">
        <f t="shared" si="0"/>
        <v>0.62797927460858616</v>
      </c>
      <c r="G29" s="142"/>
      <c r="H29" s="89"/>
      <c r="I29" s="90"/>
      <c r="J29" s="90"/>
      <c r="K29" s="90"/>
      <c r="L29" s="90"/>
      <c r="N29" s="21"/>
      <c r="O29" s="97" t="s">
        <v>142</v>
      </c>
      <c r="P29" s="97"/>
      <c r="Q29" s="97"/>
      <c r="R29" s="97"/>
      <c r="S29" s="97"/>
      <c r="T29" s="97"/>
      <c r="U29" s="97"/>
      <c r="V29" s="97"/>
    </row>
    <row r="30" spans="1:23" ht="20.100000000000001" customHeight="1">
      <c r="A30" s="5" t="s">
        <v>22</v>
      </c>
      <c r="B30" s="27">
        <f>'Ячейка 3'!D33+'Ячейка 4'!D33</f>
        <v>3517.2000000093249</v>
      </c>
      <c r="C30" s="27"/>
      <c r="D30" s="128">
        <f>'Ячейка 3'!H33+'Ячейка 4'!H33</f>
        <v>2224.8000000063257</v>
      </c>
      <c r="E30" s="129"/>
      <c r="F30" s="125">
        <f t="shared" si="0"/>
        <v>0.63254861821915931</v>
      </c>
      <c r="G30" s="142"/>
      <c r="H30" s="89"/>
      <c r="I30" s="90"/>
      <c r="J30" s="90"/>
      <c r="K30" s="90"/>
      <c r="L30" s="90"/>
      <c r="N30" s="21" t="s">
        <v>143</v>
      </c>
      <c r="O30" s="97" t="s">
        <v>144</v>
      </c>
      <c r="P30" s="97"/>
      <c r="Q30" s="97"/>
      <c r="R30" s="97"/>
      <c r="S30" s="97"/>
      <c r="T30" s="97"/>
      <c r="U30" s="97"/>
      <c r="V30" s="97"/>
    </row>
    <row r="31" spans="1:23" ht="20.100000000000001" customHeight="1">
      <c r="A31" s="5" t="s">
        <v>23</v>
      </c>
      <c r="B31" s="27">
        <f>'Ячейка 3'!D34+'Ячейка 4'!D34</f>
        <v>3545.9999999857246</v>
      </c>
      <c r="C31" s="27"/>
      <c r="D31" s="128">
        <f>'Ячейка 3'!H34+'Ячейка 4'!H34</f>
        <v>2235.6000000118001</v>
      </c>
      <c r="E31" s="129"/>
      <c r="F31" s="125">
        <f t="shared" si="0"/>
        <v>0.63045685279774399</v>
      </c>
      <c r="G31" s="142"/>
      <c r="H31" s="89"/>
      <c r="I31" s="90"/>
      <c r="J31" s="90"/>
      <c r="K31" s="90"/>
      <c r="L31" s="90"/>
      <c r="N31" s="21"/>
      <c r="O31" s="97" t="s">
        <v>145</v>
      </c>
      <c r="P31" s="97"/>
      <c r="Q31" s="97"/>
      <c r="R31" s="97"/>
      <c r="S31" s="97"/>
      <c r="T31" s="97"/>
      <c r="U31" s="97"/>
      <c r="V31" s="97"/>
    </row>
    <row r="32" spans="1:23" ht="20.100000000000001" customHeight="1">
      <c r="A32" s="5" t="s">
        <v>24</v>
      </c>
      <c r="B32" s="27">
        <f>'Ячейка 3'!D35+'Ячейка 4'!D35</f>
        <v>3538.7999999875319</v>
      </c>
      <c r="C32" s="27"/>
      <c r="D32" s="128">
        <f>'Ячейка 3'!H35+'Ячейка 4'!H35</f>
        <v>2199.5999999962805</v>
      </c>
      <c r="E32" s="129"/>
      <c r="F32" s="125">
        <f t="shared" si="0"/>
        <v>0.62156663275800561</v>
      </c>
      <c r="G32" s="142"/>
      <c r="H32" s="89"/>
      <c r="I32" s="90"/>
      <c r="J32" s="90"/>
      <c r="K32" s="90"/>
      <c r="L32" s="90"/>
      <c r="N32" s="21" t="s">
        <v>146</v>
      </c>
      <c r="O32" s="97" t="s">
        <v>147</v>
      </c>
      <c r="P32" s="97"/>
      <c r="Q32" s="97"/>
      <c r="R32" s="97"/>
      <c r="S32" s="97"/>
      <c r="T32" s="97"/>
      <c r="U32" s="97"/>
      <c r="V32" s="97"/>
    </row>
    <row r="33" spans="1:24" ht="20.100000000000001" customHeight="1">
      <c r="A33" s="5" t="s">
        <v>25</v>
      </c>
      <c r="B33" s="27">
        <f>'Ячейка 3'!D36+'Ячейка 4'!D36</f>
        <v>3610.8000000022002</v>
      </c>
      <c r="C33" s="27"/>
      <c r="D33" s="128">
        <f>'Ячейка 3'!H36+'Ячейка 4'!H36</f>
        <v>2188.7999999989916</v>
      </c>
      <c r="E33" s="129"/>
      <c r="F33" s="125">
        <f t="shared" si="0"/>
        <v>0.60618145563245207</v>
      </c>
      <c r="G33" s="142"/>
      <c r="H33" s="89"/>
      <c r="I33" s="90"/>
      <c r="J33" s="90"/>
      <c r="K33" s="90"/>
      <c r="L33" s="90"/>
      <c r="N33" s="21" t="s">
        <v>148</v>
      </c>
      <c r="O33" s="97" t="s">
        <v>149</v>
      </c>
      <c r="P33" s="97"/>
      <c r="Q33" s="97"/>
      <c r="R33" s="97"/>
      <c r="S33" s="97"/>
      <c r="T33" s="97"/>
      <c r="U33" s="97"/>
      <c r="V33" s="97"/>
    </row>
    <row r="34" spans="1:24" ht="20.100000000000001" customHeight="1">
      <c r="A34" s="5" t="s">
        <v>26</v>
      </c>
      <c r="B34" s="27">
        <f>'Ячейка 3'!D37+'Ячейка 4'!D37</f>
        <v>3574.800000011237</v>
      </c>
      <c r="C34" s="27"/>
      <c r="D34" s="128">
        <f>'Ячейка 3'!H37+'Ячейка 4'!H37</f>
        <v>2152.7999999916574</v>
      </c>
      <c r="E34" s="129"/>
      <c r="F34" s="125">
        <f t="shared" si="0"/>
        <v>0.60221550855569272</v>
      </c>
      <c r="G34" s="142"/>
      <c r="H34" s="89"/>
      <c r="I34" s="90"/>
      <c r="J34" s="90"/>
      <c r="K34" s="90"/>
      <c r="L34" s="90"/>
    </row>
    <row r="35" spans="1:24" ht="20.100000000000001" customHeight="1">
      <c r="A35" s="5" t="s">
        <v>27</v>
      </c>
      <c r="B35" s="27">
        <f>'Ячейка 3'!D38+'Ячейка 4'!D38</f>
        <v>3596.399999989444</v>
      </c>
      <c r="C35" s="27"/>
      <c r="D35" s="128">
        <f>'Ячейка 3'!H38+'Ячейка 4'!H38</f>
        <v>2160.0000000062209</v>
      </c>
      <c r="E35" s="129"/>
      <c r="F35" s="125">
        <f t="shared" si="0"/>
        <v>0.60060060060409326</v>
      </c>
      <c r="G35" s="142"/>
      <c r="H35" s="89"/>
      <c r="I35" s="90"/>
      <c r="J35" s="90"/>
      <c r="K35" s="90"/>
      <c r="L35" s="90"/>
    </row>
    <row r="36" spans="1:24" ht="20.100000000000001" customHeight="1">
      <c r="A36" s="5" t="s">
        <v>28</v>
      </c>
      <c r="B36" s="27">
        <f>'Ячейка 3'!D39+'Ячейка 4'!D39</f>
        <v>3567.5999999966734</v>
      </c>
      <c r="C36" s="27"/>
      <c r="D36" s="128">
        <f>'Ячейка 3'!H39+'Ячейка 4'!H39</f>
        <v>2170.7999999953245</v>
      </c>
      <c r="E36" s="129"/>
      <c r="F36" s="125">
        <f t="shared" si="0"/>
        <v>0.60847628657846975</v>
      </c>
      <c r="G36" s="142"/>
      <c r="H36" s="89"/>
      <c r="I36" s="90"/>
      <c r="J36" s="90"/>
      <c r="K36" s="90"/>
      <c r="L36" s="90"/>
    </row>
    <row r="37" spans="1:24" ht="20.100000000000001" customHeight="1">
      <c r="A37" s="5" t="s">
        <v>29</v>
      </c>
      <c r="B37" s="27">
        <f>'Ячейка 3'!D40+'Ячейка 4'!D40</f>
        <v>3567.6000000130443</v>
      </c>
      <c r="C37" s="27"/>
      <c r="D37" s="128">
        <f>'Ячейка 3'!H40+'Ячейка 4'!H40</f>
        <v>2196.0000000053697</v>
      </c>
      <c r="E37" s="129"/>
      <c r="F37" s="125">
        <f t="shared" si="0"/>
        <v>0.61553985872781147</v>
      </c>
      <c r="G37" s="142"/>
      <c r="H37" s="89"/>
      <c r="I37" s="90"/>
      <c r="J37" s="90"/>
      <c r="K37" s="90"/>
      <c r="L37" s="90"/>
    </row>
    <row r="38" spans="1:24" ht="20.100000000000001" customHeight="1">
      <c r="A38" s="5" t="s">
        <v>30</v>
      </c>
      <c r="B38" s="27">
        <f>'Ячейка 3'!D41+'Ячейка 4'!D41</f>
        <v>3603.6000000040076</v>
      </c>
      <c r="C38" s="27"/>
      <c r="D38" s="128">
        <f>'Ячейка 3'!H41+'Ячейка 4'!H41</f>
        <v>2231.9999999963329</v>
      </c>
      <c r="E38" s="129"/>
      <c r="F38" s="125">
        <f t="shared" si="0"/>
        <v>0.61938061937891298</v>
      </c>
      <c r="G38" s="142"/>
      <c r="H38" s="89"/>
      <c r="I38" s="90"/>
      <c r="J38" s="90"/>
      <c r="K38" s="90"/>
      <c r="L38" s="90"/>
    </row>
    <row r="39" spans="1:24" ht="20.100000000000001" customHeight="1">
      <c r="A39" s="5" t="s">
        <v>31</v>
      </c>
      <c r="B39" s="27">
        <f>'Ячейка 3'!D42+'Ячейка 4'!D42</f>
        <v>3553.1999999675463</v>
      </c>
      <c r="C39" s="27"/>
      <c r="D39" s="128">
        <f>'Ячейка 3'!H42+'Ячейка 4'!H42</f>
        <v>2195.9999999971842</v>
      </c>
      <c r="E39" s="129"/>
      <c r="F39" s="125">
        <f t="shared" si="0"/>
        <v>0.61803444782653427</v>
      </c>
      <c r="G39" s="142"/>
      <c r="H39" s="89"/>
      <c r="I39" s="90"/>
      <c r="J39" s="90"/>
      <c r="K39" s="90"/>
      <c r="L39" s="90"/>
      <c r="P39" s="57" t="s">
        <v>150</v>
      </c>
      <c r="Q39" s="57"/>
      <c r="R39" s="57"/>
      <c r="S39" s="56" t="s">
        <v>391</v>
      </c>
      <c r="T39" s="56"/>
      <c r="U39" s="56"/>
      <c r="V39" s="56"/>
      <c r="W39" s="56"/>
      <c r="X39" s="56"/>
    </row>
    <row r="40" spans="1:24" ht="20.100000000000001" customHeight="1">
      <c r="A40" s="5" t="s">
        <v>32</v>
      </c>
      <c r="B40" s="27">
        <f>SUM(B15:B39)</f>
        <v>84131.999999966865</v>
      </c>
      <c r="C40" s="27"/>
      <c r="D40" s="128">
        <f>SUM(D15:E39)</f>
        <v>52480.799999996634</v>
      </c>
      <c r="E40" s="129"/>
      <c r="F40" s="125">
        <f t="shared" si="0"/>
        <v>0.6237911852804795</v>
      </c>
      <c r="G40" s="142"/>
      <c r="H40" s="89"/>
      <c r="I40" s="90"/>
      <c r="J40" s="90"/>
      <c r="K40" s="90"/>
      <c r="L40" s="90"/>
    </row>
    <row r="41" spans="1:24" ht="20.100000000000001" customHeight="1">
      <c r="A41" s="5" t="s">
        <v>33</v>
      </c>
      <c r="B41" s="5"/>
      <c r="C41" s="5"/>
      <c r="D41" s="107"/>
      <c r="E41" s="131"/>
      <c r="F41" s="125"/>
      <c r="G41" s="142"/>
      <c r="H41" s="89"/>
      <c r="I41" s="90"/>
      <c r="J41" s="90"/>
      <c r="K41" s="90"/>
      <c r="L41" s="90"/>
    </row>
    <row r="42" spans="1:24" ht="20.100000000000001" customHeight="1">
      <c r="A42" s="131" t="s">
        <v>2</v>
      </c>
      <c r="B42" s="107" t="s">
        <v>37</v>
      </c>
      <c r="C42" s="108"/>
      <c r="D42" s="131"/>
      <c r="E42" s="107" t="s">
        <v>40</v>
      </c>
      <c r="F42" s="108"/>
      <c r="G42" s="108"/>
      <c r="H42" s="108"/>
      <c r="I42" s="131"/>
      <c r="J42" s="100" t="s">
        <v>5</v>
      </c>
      <c r="K42" s="112"/>
      <c r="L42" s="112"/>
    </row>
    <row r="43" spans="1:24" ht="39" customHeight="1">
      <c r="A43" s="131"/>
      <c r="B43" s="123" t="s">
        <v>38</v>
      </c>
      <c r="C43" s="123"/>
      <c r="D43" s="5" t="s">
        <v>39</v>
      </c>
      <c r="E43" s="107" t="s">
        <v>41</v>
      </c>
      <c r="F43" s="108"/>
      <c r="G43" s="131"/>
      <c r="H43" s="107" t="s">
        <v>42</v>
      </c>
      <c r="I43" s="131"/>
      <c r="J43" s="103"/>
      <c r="K43" s="111"/>
      <c r="L43" s="111"/>
    </row>
    <row r="44" spans="1:24" ht="20.100000000000001" customHeight="1">
      <c r="A44" s="4" t="s">
        <v>153</v>
      </c>
      <c r="B44" s="128">
        <f>SUM(B24:B26)</f>
        <v>10796.399999999267</v>
      </c>
      <c r="C44" s="129"/>
      <c r="D44" s="27">
        <f>SUM(D24:E26)</f>
        <v>6645.6000000098356</v>
      </c>
      <c r="E44" s="128">
        <f>B44/3</f>
        <v>3598.7999999997555</v>
      </c>
      <c r="F44" s="130"/>
      <c r="G44" s="129"/>
      <c r="H44" s="128">
        <f>D44/3</f>
        <v>2215.2000000032785</v>
      </c>
      <c r="I44" s="129"/>
      <c r="J44" s="125">
        <f>H44/E44</f>
        <v>0.61553851283856531</v>
      </c>
      <c r="K44" s="126"/>
      <c r="L44" s="126"/>
    </row>
    <row r="45" spans="1:24" ht="20.100000000000001" customHeight="1">
      <c r="A45" s="4" t="s">
        <v>43</v>
      </c>
      <c r="B45" s="128">
        <f>SUM(B33:B36)</f>
        <v>14349.599999999555</v>
      </c>
      <c r="C45" s="129"/>
      <c r="D45" s="27">
        <f>SUM(D33:E36)</f>
        <v>8672.3999999921944</v>
      </c>
      <c r="E45" s="128">
        <f>B45/4</f>
        <v>3587.3999999998887</v>
      </c>
      <c r="F45" s="130"/>
      <c r="G45" s="129"/>
      <c r="H45" s="128">
        <f>D45/4</f>
        <v>2168.0999999980486</v>
      </c>
      <c r="I45" s="129"/>
      <c r="J45" s="125">
        <f>H45/E45</f>
        <v>0.60436527847413613</v>
      </c>
      <c r="K45" s="126"/>
      <c r="L45" s="126"/>
    </row>
    <row r="46" spans="1:24" ht="20.100000000000001" customHeight="1">
      <c r="A46" s="4" t="s">
        <v>44</v>
      </c>
      <c r="B46" s="128">
        <f>SUM(B16:B39)</f>
        <v>84131.999999966865</v>
      </c>
      <c r="C46" s="129"/>
      <c r="D46" s="27">
        <f>SUM(D16:E39)</f>
        <v>52480.799999996634</v>
      </c>
      <c r="E46" s="128">
        <f>B46/24</f>
        <v>3505.4999999986194</v>
      </c>
      <c r="F46" s="130"/>
      <c r="G46" s="129"/>
      <c r="H46" s="128">
        <f>D46/24</f>
        <v>2186.6999999998598</v>
      </c>
      <c r="I46" s="129"/>
      <c r="J46" s="125">
        <f>H46/E46</f>
        <v>0.6237911852804795</v>
      </c>
      <c r="K46" s="126"/>
      <c r="L46" s="126"/>
    </row>
    <row r="47" spans="1:24" ht="20.100000000000001" customHeight="1"/>
    <row r="48" spans="1:24" ht="20.100000000000001" customHeight="1"/>
    <row r="49" spans="3:9" ht="20.100000000000001" customHeight="1"/>
    <row r="50" spans="3:9" ht="20.100000000000001" customHeight="1">
      <c r="C50" s="91" t="s">
        <v>194</v>
      </c>
      <c r="D50" s="91"/>
      <c r="E50" s="91"/>
      <c r="F50" s="91"/>
      <c r="G50" s="91"/>
      <c r="H50" s="91"/>
      <c r="I50" s="91"/>
    </row>
    <row r="51" spans="3:9" ht="20.100000000000001" customHeight="1"/>
  </sheetData>
  <sheetProtection sheet="1" objects="1" scenarios="1"/>
  <mergeCells count="173">
    <mergeCell ref="S39:X39"/>
    <mergeCell ref="H46:I46"/>
    <mergeCell ref="E42:I42"/>
    <mergeCell ref="E43:G43"/>
    <mergeCell ref="H43:I43"/>
    <mergeCell ref="E44:G44"/>
    <mergeCell ref="H44:I44"/>
    <mergeCell ref="J46:L46"/>
    <mergeCell ref="J42:L43"/>
    <mergeCell ref="J44:L44"/>
    <mergeCell ref="J45:L45"/>
    <mergeCell ref="H45:I45"/>
    <mergeCell ref="H41:L41"/>
    <mergeCell ref="H40:L40"/>
    <mergeCell ref="A1:E1"/>
    <mergeCell ref="A2:E2"/>
    <mergeCell ref="A3:E3"/>
    <mergeCell ref="A4:E4"/>
    <mergeCell ref="A5:E5"/>
    <mergeCell ref="A6:E6"/>
    <mergeCell ref="B46:C46"/>
    <mergeCell ref="E46:G46"/>
    <mergeCell ref="B44:C44"/>
    <mergeCell ref="B45:C45"/>
    <mergeCell ref="D41:E41"/>
    <mergeCell ref="E45:G45"/>
    <mergeCell ref="F41:G41"/>
    <mergeCell ref="B42:D42"/>
    <mergeCell ref="F40:G40"/>
    <mergeCell ref="D38:E38"/>
    <mergeCell ref="F23:G23"/>
    <mergeCell ref="F39:G39"/>
    <mergeCell ref="F16:G16"/>
    <mergeCell ref="F17:G17"/>
    <mergeCell ref="F18:G18"/>
    <mergeCell ref="F19:G19"/>
    <mergeCell ref="F20:G20"/>
    <mergeCell ref="F35:G35"/>
    <mergeCell ref="H35:L35"/>
    <mergeCell ref="H36:L36"/>
    <mergeCell ref="H19:L19"/>
    <mergeCell ref="H38:L38"/>
    <mergeCell ref="H39:L39"/>
    <mergeCell ref="H29:L29"/>
    <mergeCell ref="H30:L30"/>
    <mergeCell ref="H31:L31"/>
    <mergeCell ref="H32:L32"/>
    <mergeCell ref="H25:L25"/>
    <mergeCell ref="H26:L26"/>
    <mergeCell ref="H27:L27"/>
    <mergeCell ref="H20:L20"/>
    <mergeCell ref="F33:G33"/>
    <mergeCell ref="F34:G34"/>
    <mergeCell ref="F27:G27"/>
    <mergeCell ref="F28:G28"/>
    <mergeCell ref="F29:G29"/>
    <mergeCell ref="F30:G30"/>
    <mergeCell ref="H28:L28"/>
    <mergeCell ref="H24:L24"/>
    <mergeCell ref="H33:L33"/>
    <mergeCell ref="H34:L34"/>
    <mergeCell ref="A42:A43"/>
    <mergeCell ref="B43:C43"/>
    <mergeCell ref="D26:E26"/>
    <mergeCell ref="D40:E40"/>
    <mergeCell ref="D33:E33"/>
    <mergeCell ref="D34:E34"/>
    <mergeCell ref="D28:E28"/>
    <mergeCell ref="D39:E39"/>
    <mergeCell ref="F21:G21"/>
    <mergeCell ref="F22:G22"/>
    <mergeCell ref="D37:E37"/>
    <mergeCell ref="D25:E25"/>
    <mergeCell ref="F24:G24"/>
    <mergeCell ref="F25:G25"/>
    <mergeCell ref="F26:G26"/>
    <mergeCell ref="D21:E21"/>
    <mergeCell ref="D22:E22"/>
    <mergeCell ref="D29:E29"/>
    <mergeCell ref="D30:E30"/>
    <mergeCell ref="D31:E31"/>
    <mergeCell ref="D32:E32"/>
    <mergeCell ref="F36:G36"/>
    <mergeCell ref="F37:G37"/>
    <mergeCell ref="F31:G31"/>
    <mergeCell ref="D35:E35"/>
    <mergeCell ref="D36:E36"/>
    <mergeCell ref="F38:G38"/>
    <mergeCell ref="A7:L7"/>
    <mergeCell ref="F12:G13"/>
    <mergeCell ref="H12:L12"/>
    <mergeCell ref="I9:L9"/>
    <mergeCell ref="F9:H9"/>
    <mergeCell ref="A9:E9"/>
    <mergeCell ref="A8:L8"/>
    <mergeCell ref="D14:E14"/>
    <mergeCell ref="D15:E15"/>
    <mergeCell ref="F14:G14"/>
    <mergeCell ref="F15:G15"/>
    <mergeCell ref="H14:L14"/>
    <mergeCell ref="H15:L15"/>
    <mergeCell ref="H16:L16"/>
    <mergeCell ref="H17:L17"/>
    <mergeCell ref="H18:L18"/>
    <mergeCell ref="H21:L21"/>
    <mergeCell ref="H22:L22"/>
    <mergeCell ref="H23:L23"/>
    <mergeCell ref="H37:L37"/>
    <mergeCell ref="F32:G32"/>
    <mergeCell ref="O33:V33"/>
    <mergeCell ref="O26:V26"/>
    <mergeCell ref="O27:V27"/>
    <mergeCell ref="O28:V28"/>
    <mergeCell ref="O29:V29"/>
    <mergeCell ref="P39:R39"/>
    <mergeCell ref="C50:I50"/>
    <mergeCell ref="A10:B10"/>
    <mergeCell ref="C10:H10"/>
    <mergeCell ref="A11:L11"/>
    <mergeCell ref="H13:L13"/>
    <mergeCell ref="A12:A13"/>
    <mergeCell ref="B13:C13"/>
    <mergeCell ref="D13:E13"/>
    <mergeCell ref="D20:E20"/>
    <mergeCell ref="D27:E27"/>
    <mergeCell ref="B12:E12"/>
    <mergeCell ref="D16:E16"/>
    <mergeCell ref="D17:E17"/>
    <mergeCell ref="D18:E18"/>
    <mergeCell ref="D19:E19"/>
    <mergeCell ref="D23:E23"/>
    <mergeCell ref="D24:E24"/>
    <mergeCell ref="N20:Q20"/>
    <mergeCell ref="N24:V24"/>
    <mergeCell ref="O25:V25"/>
    <mergeCell ref="U14:U18"/>
    <mergeCell ref="V14:V18"/>
    <mergeCell ref="O30:V30"/>
    <mergeCell ref="O31:V31"/>
    <mergeCell ref="O32:V32"/>
    <mergeCell ref="N10:Q10"/>
    <mergeCell ref="N11:Q11"/>
    <mergeCell ref="W14:W18"/>
    <mergeCell ref="N19:Q19"/>
    <mergeCell ref="M14:M18"/>
    <mergeCell ref="N14:Q18"/>
    <mergeCell ref="R14:T14"/>
    <mergeCell ref="T15:T18"/>
    <mergeCell ref="S15:S18"/>
    <mergeCell ref="R15:R18"/>
    <mergeCell ref="N21:Q21"/>
    <mergeCell ref="U1:W1"/>
    <mergeCell ref="R2:R3"/>
    <mergeCell ref="U2:U3"/>
    <mergeCell ref="S2:T2"/>
    <mergeCell ref="S3:T3"/>
    <mergeCell ref="V2:W2"/>
    <mergeCell ref="V3:W3"/>
    <mergeCell ref="N8:Q8"/>
    <mergeCell ref="N9:Q9"/>
    <mergeCell ref="N4:Q4"/>
    <mergeCell ref="N5:Q5"/>
    <mergeCell ref="N6:Q6"/>
    <mergeCell ref="N7:Q7"/>
    <mergeCell ref="F1:H2"/>
    <mergeCell ref="I1:L2"/>
    <mergeCell ref="M1:M3"/>
    <mergeCell ref="N1:Q3"/>
    <mergeCell ref="F5:H6"/>
    <mergeCell ref="I5:L6"/>
    <mergeCell ref="F3:H4"/>
    <mergeCell ref="I3:L4"/>
    <mergeCell ref="R1:T1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5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2.xml><?xml version="1.0" encoding="utf-8"?>
<worksheet xmlns="http://schemas.openxmlformats.org/spreadsheetml/2006/main" xmlns:r="http://schemas.openxmlformats.org/officeDocument/2006/relationships">
  <sheetPr codeName="Лист21"/>
  <dimension ref="A1:X51"/>
  <sheetViews>
    <sheetView view="pageBreakPreview" topLeftCell="A13" zoomScale="75" zoomScaleNormal="100" workbookViewId="0">
      <selection activeCell="F37" sqref="F37:G37"/>
    </sheetView>
  </sheetViews>
  <sheetFormatPr defaultRowHeight="18.75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1" width="12.7109375" style="2" customWidth="1"/>
    <col min="22" max="22" width="13.28515625" style="2" customWidth="1"/>
    <col min="23" max="23" width="14.7109375" style="2" customWidth="1"/>
    <col min="24" max="28" width="10.28515625" style="2" customWidth="1"/>
    <col min="29" max="16384" width="9.140625" style="2"/>
  </cols>
  <sheetData>
    <row r="1" spans="1:23" ht="26.25">
      <c r="A1" s="59" t="s">
        <v>161</v>
      </c>
      <c r="B1" s="59"/>
      <c r="C1" s="59"/>
      <c r="D1" s="59"/>
      <c r="E1" s="59"/>
      <c r="F1" s="63" t="s">
        <v>154</v>
      </c>
      <c r="G1" s="63"/>
      <c r="H1" s="63"/>
      <c r="I1" s="59" t="s">
        <v>163</v>
      </c>
      <c r="J1" s="59"/>
      <c r="K1" s="59"/>
      <c r="L1" s="59"/>
      <c r="M1" s="104" t="s">
        <v>115</v>
      </c>
      <c r="N1" s="98" t="s">
        <v>116</v>
      </c>
      <c r="O1" s="98"/>
      <c r="P1" s="98"/>
      <c r="Q1" s="98"/>
      <c r="R1" s="123" t="s">
        <v>117</v>
      </c>
      <c r="S1" s="123"/>
      <c r="T1" s="123"/>
      <c r="U1" s="123" t="s">
        <v>118</v>
      </c>
      <c r="V1" s="123"/>
      <c r="W1" s="107"/>
    </row>
    <row r="2" spans="1:23" ht="18.75" customHeight="1">
      <c r="A2" s="61" t="s">
        <v>45</v>
      </c>
      <c r="B2" s="61"/>
      <c r="C2" s="61"/>
      <c r="D2" s="61"/>
      <c r="E2" s="61"/>
      <c r="F2" s="63"/>
      <c r="G2" s="63"/>
      <c r="H2" s="63"/>
      <c r="I2" s="59"/>
      <c r="J2" s="59"/>
      <c r="K2" s="59"/>
      <c r="L2" s="59"/>
      <c r="M2" s="95"/>
      <c r="N2" s="99"/>
      <c r="O2" s="99"/>
      <c r="P2" s="99"/>
      <c r="Q2" s="99"/>
      <c r="R2" s="99" t="s">
        <v>119</v>
      </c>
      <c r="S2" s="99" t="s">
        <v>120</v>
      </c>
      <c r="T2" s="99"/>
      <c r="U2" s="99" t="s">
        <v>119</v>
      </c>
      <c r="V2" s="99" t="s">
        <v>120</v>
      </c>
      <c r="W2" s="101"/>
    </row>
    <row r="3" spans="1:23" ht="21.75" customHeight="1">
      <c r="A3" s="59" t="s">
        <v>162</v>
      </c>
      <c r="B3" s="59"/>
      <c r="C3" s="59"/>
      <c r="D3" s="59"/>
      <c r="E3" s="59"/>
      <c r="F3" s="63" t="s">
        <v>155</v>
      </c>
      <c r="G3" s="63"/>
      <c r="H3" s="63"/>
      <c r="I3" s="59" t="s">
        <v>234</v>
      </c>
      <c r="J3" s="59"/>
      <c r="K3" s="59"/>
      <c r="L3" s="59"/>
      <c r="M3" s="96"/>
      <c r="N3" s="102"/>
      <c r="O3" s="102"/>
      <c r="P3" s="102"/>
      <c r="Q3" s="102"/>
      <c r="R3" s="102"/>
      <c r="S3" s="102" t="s">
        <v>121</v>
      </c>
      <c r="T3" s="102"/>
      <c r="U3" s="102"/>
      <c r="V3" s="102" t="s">
        <v>121</v>
      </c>
      <c r="W3" s="103"/>
    </row>
    <row r="4" spans="1:23" ht="29.25" customHeight="1">
      <c r="A4" s="61" t="s">
        <v>46</v>
      </c>
      <c r="B4" s="61"/>
      <c r="C4" s="61"/>
      <c r="D4" s="61"/>
      <c r="E4" s="61"/>
      <c r="F4" s="63"/>
      <c r="G4" s="63"/>
      <c r="H4" s="63"/>
      <c r="I4" s="59"/>
      <c r="J4" s="59"/>
      <c r="K4" s="59"/>
      <c r="L4" s="59"/>
      <c r="M4" s="10"/>
      <c r="N4" s="136" t="s">
        <v>122</v>
      </c>
      <c r="O4" s="136"/>
      <c r="P4" s="136"/>
      <c r="Q4" s="136"/>
      <c r="R4" s="8"/>
      <c r="S4" s="9"/>
      <c r="T4" s="10"/>
      <c r="U4" s="8"/>
      <c r="V4" s="9"/>
      <c r="W4" s="22"/>
    </row>
    <row r="5" spans="1:23" ht="18" customHeight="1">
      <c r="A5" s="127" t="s">
        <v>183</v>
      </c>
      <c r="B5" s="127"/>
      <c r="C5" s="127"/>
      <c r="D5" s="127"/>
      <c r="E5" s="127"/>
      <c r="F5" s="63" t="s">
        <v>156</v>
      </c>
      <c r="G5" s="63"/>
      <c r="H5" s="63"/>
      <c r="I5" s="59" t="s">
        <v>259</v>
      </c>
      <c r="J5" s="59"/>
      <c r="K5" s="59"/>
      <c r="L5" s="59"/>
      <c r="M5" s="10"/>
      <c r="N5" s="137" t="s">
        <v>123</v>
      </c>
      <c r="O5" s="137"/>
      <c r="P5" s="137"/>
      <c r="Q5" s="137"/>
      <c r="R5" s="8"/>
      <c r="S5" s="9"/>
      <c r="T5" s="10"/>
      <c r="U5" s="8"/>
      <c r="V5" s="9"/>
      <c r="W5" s="22"/>
    </row>
    <row r="6" spans="1:23">
      <c r="A6" s="61" t="s">
        <v>47</v>
      </c>
      <c r="B6" s="61"/>
      <c r="C6" s="61"/>
      <c r="D6" s="61"/>
      <c r="E6" s="61"/>
      <c r="F6" s="63"/>
      <c r="G6" s="63"/>
      <c r="H6" s="63"/>
      <c r="I6" s="59"/>
      <c r="J6" s="59"/>
      <c r="K6" s="59"/>
      <c r="L6" s="59"/>
      <c r="M6" s="10"/>
      <c r="N6" s="137" t="s">
        <v>124</v>
      </c>
      <c r="O6" s="137"/>
      <c r="P6" s="137"/>
      <c r="Q6" s="137"/>
      <c r="R6" s="8"/>
      <c r="S6" s="9"/>
      <c r="T6" s="10"/>
      <c r="U6" s="8"/>
      <c r="V6" s="9"/>
      <c r="W6" s="22"/>
    </row>
    <row r="7" spans="1:23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10"/>
      <c r="N7" s="139" t="s">
        <v>125</v>
      </c>
      <c r="O7" s="139"/>
      <c r="P7" s="139"/>
      <c r="Q7" s="139"/>
      <c r="R7" s="8"/>
      <c r="S7" s="9"/>
      <c r="T7" s="10"/>
      <c r="U7" s="8"/>
      <c r="V7" s="9"/>
      <c r="W7" s="22"/>
    </row>
    <row r="8" spans="1:23" ht="22.5">
      <c r="A8" s="94" t="s">
        <v>0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10"/>
      <c r="N8" s="137" t="s">
        <v>126</v>
      </c>
      <c r="O8" s="137"/>
      <c r="P8" s="137"/>
      <c r="Q8" s="137"/>
      <c r="R8" s="8"/>
      <c r="S8" s="9"/>
      <c r="T8" s="10"/>
      <c r="U8" s="8"/>
      <c r="V8" s="9"/>
      <c r="W8" s="22"/>
    </row>
    <row r="9" spans="1:23">
      <c r="A9" s="135" t="s">
        <v>152</v>
      </c>
      <c r="B9" s="135"/>
      <c r="C9" s="135"/>
      <c r="D9" s="135"/>
      <c r="E9" s="135"/>
      <c r="F9" s="81" t="s">
        <v>385</v>
      </c>
      <c r="G9" s="81"/>
      <c r="H9" s="81"/>
      <c r="I9" s="134" t="s">
        <v>384</v>
      </c>
      <c r="J9" s="134"/>
      <c r="K9" s="134"/>
      <c r="L9" s="134"/>
      <c r="M9" s="10"/>
      <c r="N9" s="137" t="s">
        <v>127</v>
      </c>
      <c r="O9" s="137"/>
      <c r="P9" s="137"/>
      <c r="Q9" s="137"/>
      <c r="R9" s="8"/>
      <c r="S9" s="9"/>
      <c r="T9" s="10"/>
      <c r="U9" s="8"/>
      <c r="V9" s="9"/>
      <c r="W9" s="22"/>
    </row>
    <row r="10" spans="1:23" ht="19.5" customHeight="1">
      <c r="A10" s="135" t="s">
        <v>151</v>
      </c>
      <c r="B10" s="135"/>
      <c r="C10" s="81" t="s">
        <v>258</v>
      </c>
      <c r="D10" s="81"/>
      <c r="E10" s="81"/>
      <c r="F10" s="81"/>
      <c r="G10" s="81"/>
      <c r="H10" s="81"/>
      <c r="I10" s="3"/>
      <c r="J10" s="3"/>
      <c r="K10" s="3"/>
      <c r="L10" s="3"/>
      <c r="M10" s="10"/>
      <c r="N10" s="139" t="s">
        <v>128</v>
      </c>
      <c r="O10" s="139"/>
      <c r="P10" s="139"/>
      <c r="Q10" s="139"/>
      <c r="R10" s="8"/>
      <c r="S10" s="9"/>
      <c r="T10" s="10"/>
      <c r="U10" s="8"/>
      <c r="V10" s="9"/>
      <c r="W10" s="22"/>
    </row>
    <row r="11" spans="1:23">
      <c r="A11" s="124" t="s">
        <v>1</v>
      </c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0"/>
      <c r="N11" s="140" t="s">
        <v>129</v>
      </c>
      <c r="O11" s="140"/>
      <c r="P11" s="140"/>
      <c r="Q11" s="140"/>
      <c r="R11" s="8"/>
      <c r="S11" s="9"/>
      <c r="T11" s="10"/>
      <c r="U11" s="8"/>
      <c r="V11" s="9"/>
      <c r="W11" s="22"/>
    </row>
    <row r="12" spans="1:23" ht="20.100000000000001" customHeight="1">
      <c r="A12" s="131" t="s">
        <v>2</v>
      </c>
      <c r="B12" s="123" t="s">
        <v>36</v>
      </c>
      <c r="C12" s="123"/>
      <c r="D12" s="123"/>
      <c r="E12" s="123"/>
      <c r="F12" s="123" t="s">
        <v>5</v>
      </c>
      <c r="G12" s="123"/>
      <c r="H12" s="100" t="s">
        <v>34</v>
      </c>
      <c r="I12" s="112"/>
      <c r="J12" s="112"/>
      <c r="K12" s="112"/>
      <c r="L12" s="112"/>
      <c r="N12" s="1"/>
      <c r="O12" s="1"/>
      <c r="P12" s="1"/>
      <c r="Q12" s="1"/>
    </row>
    <row r="13" spans="1:23" ht="20.100000000000001" customHeight="1">
      <c r="A13" s="131"/>
      <c r="B13" s="123" t="s">
        <v>3</v>
      </c>
      <c r="C13" s="123"/>
      <c r="D13" s="123" t="s">
        <v>4</v>
      </c>
      <c r="E13" s="123"/>
      <c r="F13" s="123"/>
      <c r="G13" s="123"/>
      <c r="H13" s="103" t="s">
        <v>35</v>
      </c>
      <c r="I13" s="111"/>
      <c r="J13" s="111"/>
      <c r="K13" s="111"/>
      <c r="L13" s="111"/>
    </row>
    <row r="14" spans="1:23" ht="20.100000000000001" customHeight="1">
      <c r="A14" s="5" t="s">
        <v>6</v>
      </c>
      <c r="B14" s="8"/>
      <c r="C14" s="5"/>
      <c r="D14" s="89"/>
      <c r="E14" s="105"/>
      <c r="F14" s="125" t="str">
        <f t="shared" ref="F14:F40" si="0">IF(OR(B14="",D14=""),"",IF(ISERROR(D14/B14),IF(D14=0,0,""),D14/B14))</f>
        <v/>
      </c>
      <c r="G14" s="142"/>
      <c r="H14" s="89"/>
      <c r="I14" s="90"/>
      <c r="J14" s="90"/>
      <c r="K14" s="90"/>
      <c r="L14" s="90"/>
      <c r="M14" s="131" t="s">
        <v>115</v>
      </c>
      <c r="N14" s="123" t="s">
        <v>116</v>
      </c>
      <c r="O14" s="123"/>
      <c r="P14" s="123"/>
      <c r="Q14" s="123"/>
      <c r="R14" s="123" t="s">
        <v>117</v>
      </c>
      <c r="S14" s="123"/>
      <c r="T14" s="123"/>
      <c r="U14" s="123" t="s">
        <v>130</v>
      </c>
      <c r="V14" s="123" t="s">
        <v>69</v>
      </c>
      <c r="W14" s="107" t="s">
        <v>131</v>
      </c>
    </row>
    <row r="15" spans="1:23" ht="20.100000000000001" customHeight="1">
      <c r="A15" s="5" t="s">
        <v>7</v>
      </c>
      <c r="B15" s="5"/>
      <c r="C15" s="5"/>
      <c r="D15" s="107"/>
      <c r="E15" s="131"/>
      <c r="F15" s="125" t="str">
        <f t="shared" si="0"/>
        <v/>
      </c>
      <c r="G15" s="142"/>
      <c r="H15" s="89"/>
      <c r="I15" s="90"/>
      <c r="J15" s="90"/>
      <c r="K15" s="90"/>
      <c r="L15" s="90"/>
      <c r="M15" s="131"/>
      <c r="N15" s="123"/>
      <c r="O15" s="123"/>
      <c r="P15" s="123"/>
      <c r="Q15" s="123"/>
      <c r="R15" s="141" t="s">
        <v>130</v>
      </c>
      <c r="S15" s="123" t="s">
        <v>69</v>
      </c>
      <c r="T15" s="123" t="s">
        <v>131</v>
      </c>
      <c r="U15" s="123"/>
      <c r="V15" s="123"/>
      <c r="W15" s="107"/>
    </row>
    <row r="16" spans="1:23" ht="20.100000000000001" customHeight="1">
      <c r="A16" s="5" t="s">
        <v>8</v>
      </c>
      <c r="B16" s="27">
        <f>'Ячейка 36'!D19+'Ячейка 37'!D19</f>
        <v>2563.2000000114203</v>
      </c>
      <c r="C16" s="27"/>
      <c r="D16" s="128">
        <f>'Ячейка 36'!H19+'Ячейка 37'!H19</f>
        <v>1900.7999999976164</v>
      </c>
      <c r="E16" s="129"/>
      <c r="F16" s="125">
        <f t="shared" si="0"/>
        <v>0.74157303370363115</v>
      </c>
      <c r="G16" s="142"/>
      <c r="H16" s="89"/>
      <c r="I16" s="90"/>
      <c r="J16" s="90"/>
      <c r="K16" s="90"/>
      <c r="L16" s="90"/>
      <c r="M16" s="131"/>
      <c r="N16" s="123"/>
      <c r="O16" s="123"/>
      <c r="P16" s="123"/>
      <c r="Q16" s="123"/>
      <c r="R16" s="141"/>
      <c r="S16" s="123"/>
      <c r="T16" s="123"/>
      <c r="U16" s="123"/>
      <c r="V16" s="123"/>
      <c r="W16" s="107"/>
    </row>
    <row r="17" spans="1:23" ht="20.100000000000001" customHeight="1">
      <c r="A17" s="5" t="s">
        <v>9</v>
      </c>
      <c r="B17" s="27">
        <f>'Ячейка 36'!D20+'Ячейка 37'!D20</f>
        <v>2473.1999999930849</v>
      </c>
      <c r="C17" s="27"/>
      <c r="D17" s="128">
        <f>'Ячейка 36'!H20+'Ячейка 37'!H20</f>
        <v>1846.7999999948006</v>
      </c>
      <c r="E17" s="129"/>
      <c r="F17" s="125">
        <f t="shared" si="0"/>
        <v>0.74672489082967985</v>
      </c>
      <c r="G17" s="142"/>
      <c r="H17" s="89"/>
      <c r="I17" s="90"/>
      <c r="J17" s="90"/>
      <c r="K17" s="90"/>
      <c r="L17" s="90"/>
      <c r="M17" s="131"/>
      <c r="N17" s="123"/>
      <c r="O17" s="123"/>
      <c r="P17" s="123"/>
      <c r="Q17" s="123"/>
      <c r="R17" s="141"/>
      <c r="S17" s="123"/>
      <c r="T17" s="123"/>
      <c r="U17" s="123"/>
      <c r="V17" s="123"/>
      <c r="W17" s="107"/>
    </row>
    <row r="18" spans="1:23" ht="20.100000000000001" customHeight="1">
      <c r="A18" s="5" t="s">
        <v>10</v>
      </c>
      <c r="B18" s="27">
        <f>'Ячейка 36'!D21+'Ячейка 37'!D21</f>
        <v>2465.9999999948923</v>
      </c>
      <c r="C18" s="27"/>
      <c r="D18" s="128">
        <f>'Ячейка 36'!H21+'Ячейка 37'!H21</f>
        <v>1843.2000000120752</v>
      </c>
      <c r="E18" s="129"/>
      <c r="F18" s="125">
        <f t="shared" si="0"/>
        <v>0.74744525548089735</v>
      </c>
      <c r="G18" s="142"/>
      <c r="H18" s="89"/>
      <c r="I18" s="90"/>
      <c r="J18" s="90"/>
      <c r="K18" s="90"/>
      <c r="L18" s="90"/>
      <c r="M18" s="131"/>
      <c r="N18" s="123"/>
      <c r="O18" s="123"/>
      <c r="P18" s="123"/>
      <c r="Q18" s="123"/>
      <c r="R18" s="141"/>
      <c r="S18" s="123"/>
      <c r="T18" s="123"/>
      <c r="U18" s="123"/>
      <c r="V18" s="123"/>
      <c r="W18" s="107"/>
    </row>
    <row r="19" spans="1:23" ht="20.100000000000001" customHeight="1">
      <c r="A19" s="5" t="s">
        <v>11</v>
      </c>
      <c r="B19" s="27">
        <f>'Ячейка 36'!D22+'Ячейка 37'!D22</f>
        <v>2563.1999999950494</v>
      </c>
      <c r="C19" s="27"/>
      <c r="D19" s="128">
        <f>'Ячейка 36'!H22+'Ячейка 37'!H22</f>
        <v>1893.5999999994237</v>
      </c>
      <c r="E19" s="129"/>
      <c r="F19" s="125">
        <f t="shared" si="0"/>
        <v>0.73876404494502224</v>
      </c>
      <c r="G19" s="142"/>
      <c r="H19" s="89"/>
      <c r="I19" s="90"/>
      <c r="J19" s="90"/>
      <c r="K19" s="90"/>
      <c r="L19" s="90"/>
      <c r="M19" s="10"/>
      <c r="N19" s="136" t="s">
        <v>132</v>
      </c>
      <c r="O19" s="136"/>
      <c r="P19" s="136"/>
      <c r="Q19" s="136"/>
      <c r="R19" s="8"/>
      <c r="S19" s="8"/>
      <c r="T19" s="8"/>
      <c r="U19" s="8"/>
      <c r="V19" s="8"/>
      <c r="W19" s="9"/>
    </row>
    <row r="20" spans="1:23" ht="20.100000000000001" customHeight="1">
      <c r="A20" s="5" t="s">
        <v>12</v>
      </c>
      <c r="B20" s="27">
        <f>'Ячейка 36'!D23+'Ячейка 37'!D23</f>
        <v>2570.400000009613</v>
      </c>
      <c r="C20" s="27"/>
      <c r="D20" s="128">
        <f>'Ячейка 36'!H23+'Ячейка 37'!H23</f>
        <v>1918.8000000012835</v>
      </c>
      <c r="E20" s="129"/>
      <c r="F20" s="125">
        <f t="shared" si="0"/>
        <v>0.74649859943748342</v>
      </c>
      <c r="G20" s="142"/>
      <c r="H20" s="89"/>
      <c r="I20" s="90"/>
      <c r="J20" s="90"/>
      <c r="K20" s="90"/>
      <c r="L20" s="90"/>
      <c r="M20" s="10"/>
      <c r="N20" s="137" t="s">
        <v>133</v>
      </c>
      <c r="O20" s="137"/>
      <c r="P20" s="137"/>
      <c r="Q20" s="137"/>
      <c r="R20" s="8"/>
      <c r="S20" s="8"/>
      <c r="T20" s="8"/>
      <c r="U20" s="8"/>
      <c r="V20" s="8"/>
      <c r="W20" s="9"/>
    </row>
    <row r="21" spans="1:23" ht="20.100000000000001" customHeight="1">
      <c r="A21" s="5" t="s">
        <v>13</v>
      </c>
      <c r="B21" s="27">
        <f>'Ячейка 36'!D24+'Ячейка 37'!D24</f>
        <v>2559.6000000041386</v>
      </c>
      <c r="C21" s="27"/>
      <c r="D21" s="128">
        <f>'Ячейка 36'!H24+'Ячейка 37'!H24</f>
        <v>1900.7999999976164</v>
      </c>
      <c r="E21" s="129"/>
      <c r="F21" s="125">
        <f t="shared" si="0"/>
        <v>0.74261603375314233</v>
      </c>
      <c r="G21" s="142"/>
      <c r="H21" s="89"/>
      <c r="I21" s="90"/>
      <c r="J21" s="90"/>
      <c r="K21" s="90"/>
      <c r="L21" s="90"/>
      <c r="M21" s="10"/>
      <c r="N21" s="138" t="s">
        <v>134</v>
      </c>
      <c r="O21" s="138"/>
      <c r="P21" s="138"/>
      <c r="Q21" s="138"/>
      <c r="R21" s="8"/>
      <c r="S21" s="8"/>
      <c r="T21" s="8"/>
      <c r="U21" s="8"/>
      <c r="V21" s="8"/>
      <c r="W21" s="9"/>
    </row>
    <row r="22" spans="1:23" ht="20.100000000000001" customHeight="1">
      <c r="A22" s="5" t="s">
        <v>14</v>
      </c>
      <c r="B22" s="27">
        <f>'Ячейка 36'!D25+'Ячейка 37'!D25</f>
        <v>2570.3999999932421</v>
      </c>
      <c r="C22" s="27"/>
      <c r="D22" s="128">
        <f>'Ячейка 36'!H25+'Ячейка 37'!H25</f>
        <v>1907.999999995809</v>
      </c>
      <c r="E22" s="129"/>
      <c r="F22" s="125">
        <f t="shared" si="0"/>
        <v>0.74229691876782811</v>
      </c>
      <c r="G22" s="142"/>
      <c r="H22" s="89"/>
      <c r="I22" s="90"/>
      <c r="J22" s="90"/>
      <c r="K22" s="90"/>
      <c r="L22" s="90"/>
    </row>
    <row r="23" spans="1:23" ht="20.100000000000001" customHeight="1">
      <c r="A23" s="5" t="s">
        <v>15</v>
      </c>
      <c r="B23" s="27">
        <f>'Ячейка 36'!D26+'Ячейка 37'!D26</f>
        <v>2570.400000009613</v>
      </c>
      <c r="C23" s="27"/>
      <c r="D23" s="128">
        <f>'Ячейка 36'!H26+'Ячейка 37'!H26</f>
        <v>1900.8000000058018</v>
      </c>
      <c r="E23" s="129"/>
      <c r="F23" s="125">
        <f t="shared" si="0"/>
        <v>0.73949579831881929</v>
      </c>
      <c r="G23" s="142"/>
      <c r="H23" s="89"/>
      <c r="I23" s="90"/>
      <c r="J23" s="90"/>
      <c r="K23" s="90"/>
      <c r="L23" s="90"/>
    </row>
    <row r="24" spans="1:23" ht="20.100000000000001" customHeight="1">
      <c r="A24" s="5" t="s">
        <v>16</v>
      </c>
      <c r="B24" s="27">
        <f>'Ячейка 36'!D27+'Ячейка 37'!D27</f>
        <v>2620.7999999805907</v>
      </c>
      <c r="C24" s="27"/>
      <c r="D24" s="128">
        <f>'Ячейка 36'!H27+'Ячейка 37'!H27</f>
        <v>1890.0000000003274</v>
      </c>
      <c r="E24" s="129"/>
      <c r="F24" s="125">
        <f t="shared" si="0"/>
        <v>0.72115384615931188</v>
      </c>
      <c r="G24" s="142"/>
      <c r="H24" s="89"/>
      <c r="I24" s="90"/>
      <c r="J24" s="90"/>
      <c r="K24" s="90"/>
      <c r="L24" s="90"/>
      <c r="N24" s="97" t="s">
        <v>135</v>
      </c>
      <c r="O24" s="97"/>
      <c r="P24" s="97"/>
      <c r="Q24" s="97"/>
      <c r="R24" s="97"/>
      <c r="S24" s="97"/>
      <c r="T24" s="97"/>
      <c r="U24" s="97"/>
      <c r="V24" s="97"/>
    </row>
    <row r="25" spans="1:23" ht="20.100000000000001" customHeight="1">
      <c r="A25" s="5" t="s">
        <v>17</v>
      </c>
      <c r="B25" s="27">
        <f>'Ячейка 36'!D28+'Ячейка 37'!D28</f>
        <v>2505.6000000095082</v>
      </c>
      <c r="C25" s="27"/>
      <c r="D25" s="128">
        <f>'Ячейка 36'!H28+'Ячейка 37'!H28</f>
        <v>1828.799999999319</v>
      </c>
      <c r="E25" s="129"/>
      <c r="F25" s="125">
        <f t="shared" si="0"/>
        <v>0.72988505746822285</v>
      </c>
      <c r="G25" s="142"/>
      <c r="H25" s="89"/>
      <c r="I25" s="90"/>
      <c r="J25" s="90"/>
      <c r="K25" s="90"/>
      <c r="L25" s="90"/>
      <c r="N25" s="21" t="s">
        <v>136</v>
      </c>
      <c r="O25" s="97" t="s">
        <v>137</v>
      </c>
      <c r="P25" s="97"/>
      <c r="Q25" s="97"/>
      <c r="R25" s="97"/>
      <c r="S25" s="97"/>
      <c r="T25" s="97"/>
      <c r="U25" s="97"/>
      <c r="V25" s="97"/>
    </row>
    <row r="26" spans="1:23" ht="20.100000000000001" customHeight="1">
      <c r="A26" s="5" t="s">
        <v>18</v>
      </c>
      <c r="B26" s="27">
        <f>'Ячейка 36'!D29+'Ячейка 37'!D29</f>
        <v>2505.5999999931373</v>
      </c>
      <c r="C26" s="27"/>
      <c r="D26" s="128">
        <f>'Ячейка 36'!H29+'Ячейка 37'!H29</f>
        <v>1810.7999999956519</v>
      </c>
      <c r="E26" s="129"/>
      <c r="F26" s="125">
        <f t="shared" si="0"/>
        <v>0.72270114942553143</v>
      </c>
      <c r="G26" s="142"/>
      <c r="H26" s="89"/>
      <c r="I26" s="90"/>
      <c r="J26" s="90"/>
      <c r="K26" s="90"/>
      <c r="L26" s="90"/>
      <c r="N26" s="21" t="s">
        <v>138</v>
      </c>
      <c r="O26" s="97" t="s">
        <v>188</v>
      </c>
      <c r="P26" s="97"/>
      <c r="Q26" s="97"/>
      <c r="R26" s="97"/>
      <c r="S26" s="97"/>
      <c r="T26" s="97"/>
      <c r="U26" s="97"/>
      <c r="V26" s="97"/>
    </row>
    <row r="27" spans="1:23" ht="20.100000000000001" customHeight="1">
      <c r="A27" s="5" t="s">
        <v>19</v>
      </c>
      <c r="B27" s="27">
        <f>'Ячейка 36'!D30+'Ячейка 37'!D30</f>
        <v>2574.0000000168948</v>
      </c>
      <c r="C27" s="27"/>
      <c r="D27" s="128">
        <f>'Ячейка 36'!H30+'Ячейка 37'!H30</f>
        <v>1853.9999999929933</v>
      </c>
      <c r="E27" s="129"/>
      <c r="F27" s="125">
        <f t="shared" si="0"/>
        <v>0.7202797202722705</v>
      </c>
      <c r="G27" s="142"/>
      <c r="H27" s="89"/>
      <c r="I27" s="90"/>
      <c r="J27" s="90"/>
      <c r="K27" s="90"/>
      <c r="L27" s="90"/>
      <c r="N27" s="21" t="s">
        <v>139</v>
      </c>
      <c r="O27" s="97" t="s">
        <v>140</v>
      </c>
      <c r="P27" s="97"/>
      <c r="Q27" s="97"/>
      <c r="R27" s="97"/>
      <c r="S27" s="97"/>
      <c r="T27" s="97"/>
      <c r="U27" s="97"/>
      <c r="V27" s="97"/>
    </row>
    <row r="28" spans="1:23" ht="20.100000000000001" customHeight="1">
      <c r="A28" s="5" t="s">
        <v>20</v>
      </c>
      <c r="B28" s="27">
        <f>'Ячейка 36'!D31+'Ячейка 37'!D31</f>
        <v>2599.1999999860127</v>
      </c>
      <c r="C28" s="27"/>
      <c r="D28" s="128">
        <f>'Ячейка 36'!H31+'Ячейка 37'!H31</f>
        <v>1879.2000000112239</v>
      </c>
      <c r="E28" s="129"/>
      <c r="F28" s="125">
        <f t="shared" si="0"/>
        <v>0.72299168975890138</v>
      </c>
      <c r="G28" s="142"/>
      <c r="H28" s="89"/>
      <c r="I28" s="90"/>
      <c r="J28" s="90"/>
      <c r="K28" s="90"/>
      <c r="L28" s="90"/>
      <c r="N28" s="21"/>
      <c r="O28" s="97" t="s">
        <v>141</v>
      </c>
      <c r="P28" s="97"/>
      <c r="Q28" s="97"/>
      <c r="R28" s="97"/>
      <c r="S28" s="97"/>
      <c r="T28" s="97"/>
      <c r="U28" s="97"/>
      <c r="V28" s="97"/>
    </row>
    <row r="29" spans="1:23" ht="20.100000000000001" customHeight="1">
      <c r="A29" s="5" t="s">
        <v>21</v>
      </c>
      <c r="B29" s="27">
        <f>'Ячейка 36'!D32+'Ячейка 37'!D32</f>
        <v>2581.2000000150874</v>
      </c>
      <c r="C29" s="27"/>
      <c r="D29" s="128">
        <f>'Ячейка 36'!H32+'Ячейка 37'!H32</f>
        <v>1868.399999997564</v>
      </c>
      <c r="E29" s="129"/>
      <c r="F29" s="125">
        <f t="shared" si="0"/>
        <v>0.72384937237976255</v>
      </c>
      <c r="G29" s="142"/>
      <c r="H29" s="89"/>
      <c r="I29" s="90"/>
      <c r="J29" s="90"/>
      <c r="K29" s="90"/>
      <c r="L29" s="90"/>
      <c r="N29" s="21"/>
      <c r="O29" s="97" t="s">
        <v>142</v>
      </c>
      <c r="P29" s="97"/>
      <c r="Q29" s="97"/>
      <c r="R29" s="97"/>
      <c r="S29" s="97"/>
      <c r="T29" s="97"/>
      <c r="U29" s="97"/>
      <c r="V29" s="97"/>
    </row>
    <row r="30" spans="1:23" ht="20.100000000000001" customHeight="1">
      <c r="A30" s="5" t="s">
        <v>22</v>
      </c>
      <c r="B30" s="27">
        <f>'Ячейка 36'!D33+'Ячейка 37'!D33</f>
        <v>2584.7999999896274</v>
      </c>
      <c r="C30" s="27"/>
      <c r="D30" s="128">
        <f>'Ячейка 36'!H33+'Ячейка 37'!H33</f>
        <v>1868.399999997564</v>
      </c>
      <c r="E30" s="129"/>
      <c r="F30" s="125">
        <f t="shared" si="0"/>
        <v>0.72284122562869924</v>
      </c>
      <c r="G30" s="142"/>
      <c r="H30" s="89"/>
      <c r="I30" s="90"/>
      <c r="J30" s="90"/>
      <c r="K30" s="90"/>
      <c r="L30" s="90"/>
      <c r="N30" s="21" t="s">
        <v>143</v>
      </c>
      <c r="O30" s="97" t="s">
        <v>144</v>
      </c>
      <c r="P30" s="97"/>
      <c r="Q30" s="97"/>
      <c r="R30" s="97"/>
      <c r="S30" s="97"/>
      <c r="T30" s="97"/>
      <c r="U30" s="97"/>
      <c r="V30" s="97"/>
    </row>
    <row r="31" spans="1:23" ht="20.100000000000001" customHeight="1">
      <c r="A31" s="5" t="s">
        <v>23</v>
      </c>
      <c r="B31" s="27">
        <f>'Ячейка 36'!D34+'Ячейка 37'!D34</f>
        <v>2455.2000000057888</v>
      </c>
      <c r="C31" s="27"/>
      <c r="D31" s="128">
        <f>'Ячейка 36'!H34+'Ячейка 37'!H34</f>
        <v>1778.400000003785</v>
      </c>
      <c r="E31" s="129"/>
      <c r="F31" s="125">
        <f t="shared" si="0"/>
        <v>0.724340175952913</v>
      </c>
      <c r="G31" s="142"/>
      <c r="H31" s="89"/>
      <c r="I31" s="90"/>
      <c r="J31" s="90"/>
      <c r="K31" s="90"/>
      <c r="L31" s="90"/>
      <c r="N31" s="21"/>
      <c r="O31" s="97" t="s">
        <v>145</v>
      </c>
      <c r="P31" s="97"/>
      <c r="Q31" s="97"/>
      <c r="R31" s="97"/>
      <c r="S31" s="97"/>
      <c r="T31" s="97"/>
      <c r="U31" s="97"/>
      <c r="V31" s="97"/>
    </row>
    <row r="32" spans="1:23" ht="20.100000000000001" customHeight="1">
      <c r="A32" s="5" t="s">
        <v>24</v>
      </c>
      <c r="B32" s="27">
        <f>'Ячейка 36'!D35+'Ячейка 37'!D35</f>
        <v>2465.9999999948923</v>
      </c>
      <c r="C32" s="27"/>
      <c r="D32" s="128">
        <f>'Ячейка 36'!H35+'Ячейка 37'!H35</f>
        <v>1771.1999999974068</v>
      </c>
      <c r="E32" s="129"/>
      <c r="F32" s="125">
        <f t="shared" si="0"/>
        <v>0.71824817518291784</v>
      </c>
      <c r="G32" s="142"/>
      <c r="H32" s="89"/>
      <c r="I32" s="90"/>
      <c r="J32" s="90"/>
      <c r="K32" s="90"/>
      <c r="L32" s="90"/>
      <c r="N32" s="21" t="s">
        <v>146</v>
      </c>
      <c r="O32" s="97" t="s">
        <v>147</v>
      </c>
      <c r="P32" s="97"/>
      <c r="Q32" s="97"/>
      <c r="R32" s="97"/>
      <c r="S32" s="97"/>
      <c r="T32" s="97"/>
      <c r="U32" s="97"/>
      <c r="V32" s="97"/>
    </row>
    <row r="33" spans="1:24" ht="20.100000000000001" customHeight="1">
      <c r="A33" s="5" t="s">
        <v>25</v>
      </c>
      <c r="B33" s="27">
        <f>'Ячейка 36'!D36+'Ячейка 37'!D36</f>
        <v>2581.1999999987165</v>
      </c>
      <c r="C33" s="27"/>
      <c r="D33" s="128">
        <f>'Ячейка 36'!H36+'Ячейка 37'!H36</f>
        <v>1825.2000000002226</v>
      </c>
      <c r="E33" s="129"/>
      <c r="F33" s="125">
        <f t="shared" si="0"/>
        <v>0.70711297071173496</v>
      </c>
      <c r="G33" s="142"/>
      <c r="H33" s="89"/>
      <c r="I33" s="90"/>
      <c r="J33" s="90"/>
      <c r="K33" s="90"/>
      <c r="L33" s="90"/>
      <c r="N33" s="21" t="s">
        <v>148</v>
      </c>
      <c r="O33" s="97" t="s">
        <v>149</v>
      </c>
      <c r="P33" s="97"/>
      <c r="Q33" s="97"/>
      <c r="R33" s="97"/>
      <c r="S33" s="97"/>
      <c r="T33" s="97"/>
      <c r="U33" s="97"/>
      <c r="V33" s="97"/>
    </row>
    <row r="34" spans="1:24" ht="20.100000000000001" customHeight="1">
      <c r="A34" s="5" t="s">
        <v>26</v>
      </c>
      <c r="B34" s="27">
        <f>'Ячейка 36'!D37+'Ячейка 37'!D37</f>
        <v>2606.3999999842054</v>
      </c>
      <c r="C34" s="27"/>
      <c r="D34" s="128">
        <f>'Ячейка 36'!H37+'Ячейка 37'!H37</f>
        <v>1846.8000000029861</v>
      </c>
      <c r="E34" s="129"/>
      <c r="F34" s="125">
        <f t="shared" si="0"/>
        <v>0.70856353591704169</v>
      </c>
      <c r="G34" s="142"/>
      <c r="H34" s="89"/>
      <c r="I34" s="90"/>
      <c r="J34" s="90"/>
      <c r="K34" s="90"/>
      <c r="L34" s="90"/>
    </row>
    <row r="35" spans="1:24" ht="20.100000000000001" customHeight="1">
      <c r="A35" s="5" t="s">
        <v>27</v>
      </c>
      <c r="B35" s="27">
        <f>'Ячейка 36'!D38+'Ячейка 37'!D38</f>
        <v>2624.4000000042433</v>
      </c>
      <c r="C35" s="27"/>
      <c r="D35" s="128">
        <f>'Ячейка 36'!H38+'Ячейка 37'!H38</f>
        <v>1893.5999999994237</v>
      </c>
      <c r="E35" s="129"/>
      <c r="F35" s="125">
        <f t="shared" si="0"/>
        <v>0.72153635116459458</v>
      </c>
      <c r="G35" s="142"/>
      <c r="H35" s="89"/>
      <c r="I35" s="90"/>
      <c r="J35" s="90"/>
      <c r="K35" s="90"/>
      <c r="L35" s="90"/>
    </row>
    <row r="36" spans="1:24" ht="20.100000000000001" customHeight="1">
      <c r="A36" s="5" t="s">
        <v>28</v>
      </c>
      <c r="B36" s="27">
        <f>'Ячейка 36'!D39+'Ячейка 37'!D39</f>
        <v>2541.6000000004715</v>
      </c>
      <c r="C36" s="27"/>
      <c r="D36" s="128">
        <f>'Ячейка 36'!H39+'Ячейка 37'!H39</f>
        <v>1857.600000000275</v>
      </c>
      <c r="E36" s="129"/>
      <c r="F36" s="125">
        <f t="shared" si="0"/>
        <v>0.73087818696881113</v>
      </c>
      <c r="G36" s="142"/>
      <c r="H36" s="89"/>
      <c r="I36" s="90"/>
      <c r="J36" s="90"/>
      <c r="K36" s="90"/>
      <c r="L36" s="90"/>
    </row>
    <row r="37" spans="1:24" ht="20.100000000000001" customHeight="1">
      <c r="A37" s="5" t="s">
        <v>29</v>
      </c>
      <c r="B37" s="27">
        <f>'Ячейка 36'!D40+'Ячейка 37'!D40</f>
        <v>2512.8000000077009</v>
      </c>
      <c r="C37" s="27"/>
      <c r="D37" s="128">
        <f>'Ячейка 36'!H40+'Ячейка 37'!H40</f>
        <v>1843.1999999957043</v>
      </c>
      <c r="E37" s="129"/>
      <c r="F37" s="125">
        <f t="shared" si="0"/>
        <v>0.73352435529690208</v>
      </c>
      <c r="G37" s="142"/>
      <c r="H37" s="89"/>
      <c r="I37" s="90"/>
      <c r="J37" s="90"/>
      <c r="K37" s="90"/>
      <c r="L37" s="90"/>
    </row>
    <row r="38" spans="1:24" ht="20.100000000000001" customHeight="1">
      <c r="A38" s="5" t="s">
        <v>30</v>
      </c>
      <c r="B38" s="27">
        <f>'Ячейка 36'!D41+'Ячейка 37'!D41</f>
        <v>2555.9999999968568</v>
      </c>
      <c r="C38" s="27"/>
      <c r="D38" s="128">
        <f>'Ячейка 36'!H41+'Ячейка 37'!H41</f>
        <v>1872.0000000048458</v>
      </c>
      <c r="E38" s="129"/>
      <c r="F38" s="125">
        <f t="shared" si="0"/>
        <v>0.73239436619997955</v>
      </c>
      <c r="G38" s="142"/>
      <c r="H38" s="89"/>
      <c r="I38" s="90"/>
      <c r="J38" s="90"/>
      <c r="K38" s="90"/>
      <c r="L38" s="90"/>
    </row>
    <row r="39" spans="1:24" ht="20.100000000000001" customHeight="1">
      <c r="A39" s="5" t="s">
        <v>31</v>
      </c>
      <c r="B39" s="27">
        <f>'Ячейка 36'!D42+'Ячейка 37'!D42</f>
        <v>2656.8000000042957</v>
      </c>
      <c r="C39" s="27"/>
      <c r="D39" s="128">
        <f>'Ячейка 36'!H42+'Ячейка 37'!H42</f>
        <v>1904.3999999885273</v>
      </c>
      <c r="E39" s="129"/>
      <c r="F39" s="125">
        <f t="shared" si="0"/>
        <v>0.716802168016203</v>
      </c>
      <c r="G39" s="142"/>
      <c r="H39" s="89"/>
      <c r="I39" s="90"/>
      <c r="J39" s="90"/>
      <c r="K39" s="90"/>
      <c r="L39" s="90"/>
      <c r="P39" s="57" t="s">
        <v>150</v>
      </c>
      <c r="Q39" s="57"/>
      <c r="R39" s="57"/>
      <c r="S39" s="56" t="s">
        <v>391</v>
      </c>
      <c r="T39" s="56"/>
      <c r="U39" s="56"/>
      <c r="V39" s="56"/>
      <c r="W39" s="56"/>
      <c r="X39" s="56"/>
    </row>
    <row r="40" spans="1:24" ht="20.100000000000001" customHeight="1">
      <c r="A40" s="5" t="s">
        <v>32</v>
      </c>
      <c r="B40" s="27">
        <f>SUM(B15:B39)</f>
        <v>61307.999999999083</v>
      </c>
      <c r="C40" s="27"/>
      <c r="D40" s="128">
        <f>SUM(D15:E39)</f>
        <v>44704.799999992247</v>
      </c>
      <c r="E40" s="129"/>
      <c r="F40" s="125">
        <f t="shared" si="0"/>
        <v>0.72918379330581518</v>
      </c>
      <c r="G40" s="142"/>
      <c r="H40" s="89"/>
      <c r="I40" s="90"/>
      <c r="J40" s="90"/>
      <c r="K40" s="90"/>
      <c r="L40" s="90"/>
    </row>
    <row r="41" spans="1:24" ht="20.100000000000001" customHeight="1">
      <c r="A41" s="5" t="s">
        <v>33</v>
      </c>
      <c r="B41" s="5"/>
      <c r="C41" s="5"/>
      <c r="D41" s="107"/>
      <c r="E41" s="131"/>
      <c r="F41" s="125"/>
      <c r="G41" s="142"/>
      <c r="H41" s="89"/>
      <c r="I41" s="90"/>
      <c r="J41" s="90"/>
      <c r="K41" s="90"/>
      <c r="L41" s="90"/>
    </row>
    <row r="42" spans="1:24" ht="20.100000000000001" customHeight="1">
      <c r="A42" s="131" t="s">
        <v>2</v>
      </c>
      <c r="B42" s="107" t="s">
        <v>37</v>
      </c>
      <c r="C42" s="108"/>
      <c r="D42" s="131"/>
      <c r="E42" s="107" t="s">
        <v>40</v>
      </c>
      <c r="F42" s="108"/>
      <c r="G42" s="108"/>
      <c r="H42" s="108"/>
      <c r="I42" s="131"/>
      <c r="J42" s="100" t="s">
        <v>5</v>
      </c>
      <c r="K42" s="112"/>
      <c r="L42" s="112"/>
    </row>
    <row r="43" spans="1:24" ht="37.5" customHeight="1">
      <c r="A43" s="131"/>
      <c r="B43" s="123" t="s">
        <v>38</v>
      </c>
      <c r="C43" s="123"/>
      <c r="D43" s="5" t="s">
        <v>39</v>
      </c>
      <c r="E43" s="107" t="s">
        <v>41</v>
      </c>
      <c r="F43" s="108"/>
      <c r="G43" s="131"/>
      <c r="H43" s="107" t="s">
        <v>42</v>
      </c>
      <c r="I43" s="131"/>
      <c r="J43" s="103"/>
      <c r="K43" s="111"/>
      <c r="L43" s="111"/>
    </row>
    <row r="44" spans="1:24" ht="20.100000000000001" customHeight="1">
      <c r="A44" s="4" t="s">
        <v>153</v>
      </c>
      <c r="B44" s="128">
        <f>SUM(B24:B26)</f>
        <v>7631.9999999832362</v>
      </c>
      <c r="C44" s="129"/>
      <c r="D44" s="27">
        <f>SUM(D24:E26)</f>
        <v>5529.5999999952983</v>
      </c>
      <c r="E44" s="128">
        <f>B44/3</f>
        <v>2543.9999999944121</v>
      </c>
      <c r="F44" s="130"/>
      <c r="G44" s="129"/>
      <c r="H44" s="128">
        <f>D44/3</f>
        <v>1843.1999999984328</v>
      </c>
      <c r="I44" s="129"/>
      <c r="J44" s="125">
        <f>H44/E44</f>
        <v>0.72452830188776784</v>
      </c>
      <c r="K44" s="126"/>
      <c r="L44" s="126"/>
    </row>
    <row r="45" spans="1:24" ht="20.100000000000001" customHeight="1">
      <c r="A45" s="4" t="s">
        <v>43</v>
      </c>
      <c r="B45" s="128">
        <f>SUM(B33:B36)</f>
        <v>10353.599999987637</v>
      </c>
      <c r="C45" s="129"/>
      <c r="D45" s="27">
        <f>SUM(D33:E36)</f>
        <v>7423.2000000029075</v>
      </c>
      <c r="E45" s="128">
        <f>B45/4</f>
        <v>2588.3999999969092</v>
      </c>
      <c r="F45" s="130"/>
      <c r="G45" s="129"/>
      <c r="H45" s="128">
        <f>D45/4</f>
        <v>1855.8000000007269</v>
      </c>
      <c r="I45" s="129"/>
      <c r="J45" s="125">
        <f>H45/E45</f>
        <v>0.71696801112770159</v>
      </c>
      <c r="K45" s="126"/>
      <c r="L45" s="126"/>
    </row>
    <row r="46" spans="1:24" ht="20.100000000000001" customHeight="1">
      <c r="A46" s="4" t="s">
        <v>44</v>
      </c>
      <c r="B46" s="128">
        <f>SUM(B16:B39)</f>
        <v>61307.999999999083</v>
      </c>
      <c r="C46" s="129"/>
      <c r="D46" s="27">
        <f>SUM(D16:E39)</f>
        <v>44704.799999992247</v>
      </c>
      <c r="E46" s="128">
        <f>B46/24</f>
        <v>2554.4999999999618</v>
      </c>
      <c r="F46" s="130"/>
      <c r="G46" s="129"/>
      <c r="H46" s="128">
        <f>D46/24</f>
        <v>1862.6999999996769</v>
      </c>
      <c r="I46" s="129"/>
      <c r="J46" s="125">
        <f>H46/E46</f>
        <v>0.72918379330581518</v>
      </c>
      <c r="K46" s="126"/>
      <c r="L46" s="126"/>
    </row>
    <row r="47" spans="1:24" ht="20.100000000000001" customHeight="1"/>
    <row r="48" spans="1:24" ht="20.100000000000001" customHeight="1"/>
    <row r="49" spans="3:9" ht="20.100000000000001" customHeight="1"/>
    <row r="50" spans="3:9" ht="20.100000000000001" customHeight="1">
      <c r="C50" s="91" t="s">
        <v>194</v>
      </c>
      <c r="D50" s="91"/>
      <c r="E50" s="91"/>
      <c r="F50" s="91"/>
      <c r="G50" s="91"/>
      <c r="H50" s="91"/>
      <c r="I50" s="91"/>
    </row>
    <row r="51" spans="3:9" ht="20.100000000000001" customHeight="1"/>
  </sheetData>
  <sheetProtection sheet="1" objects="1" scenarios="1"/>
  <mergeCells count="173">
    <mergeCell ref="S39:X39"/>
    <mergeCell ref="H46:I46"/>
    <mergeCell ref="E42:I42"/>
    <mergeCell ref="E43:G43"/>
    <mergeCell ref="H43:I43"/>
    <mergeCell ref="E44:G44"/>
    <mergeCell ref="H44:I44"/>
    <mergeCell ref="J46:L46"/>
    <mergeCell ref="J42:L43"/>
    <mergeCell ref="J44:L44"/>
    <mergeCell ref="J45:L45"/>
    <mergeCell ref="H45:I45"/>
    <mergeCell ref="H41:L41"/>
    <mergeCell ref="H40:L40"/>
    <mergeCell ref="A1:E1"/>
    <mergeCell ref="A2:E2"/>
    <mergeCell ref="A3:E3"/>
    <mergeCell ref="A4:E4"/>
    <mergeCell ref="A5:E5"/>
    <mergeCell ref="A6:E6"/>
    <mergeCell ref="B46:C46"/>
    <mergeCell ref="E46:G46"/>
    <mergeCell ref="B44:C44"/>
    <mergeCell ref="B45:C45"/>
    <mergeCell ref="D41:E41"/>
    <mergeCell ref="E45:G45"/>
    <mergeCell ref="F41:G41"/>
    <mergeCell ref="B42:D42"/>
    <mergeCell ref="F40:G40"/>
    <mergeCell ref="D38:E38"/>
    <mergeCell ref="F23:G23"/>
    <mergeCell ref="F39:G39"/>
    <mergeCell ref="F16:G16"/>
    <mergeCell ref="F17:G17"/>
    <mergeCell ref="F18:G18"/>
    <mergeCell ref="F19:G19"/>
    <mergeCell ref="F20:G20"/>
    <mergeCell ref="F35:G35"/>
    <mergeCell ref="H35:L35"/>
    <mergeCell ref="H36:L36"/>
    <mergeCell ref="H19:L19"/>
    <mergeCell ref="H38:L38"/>
    <mergeCell ref="H39:L39"/>
    <mergeCell ref="H29:L29"/>
    <mergeCell ref="H30:L30"/>
    <mergeCell ref="H31:L31"/>
    <mergeCell ref="H32:L32"/>
    <mergeCell ref="H25:L25"/>
    <mergeCell ref="H26:L26"/>
    <mergeCell ref="H27:L27"/>
    <mergeCell ref="H20:L20"/>
    <mergeCell ref="F33:G33"/>
    <mergeCell ref="F34:G34"/>
    <mergeCell ref="F27:G27"/>
    <mergeCell ref="F28:G28"/>
    <mergeCell ref="F29:G29"/>
    <mergeCell ref="F30:G30"/>
    <mergeCell ref="H28:L28"/>
    <mergeCell ref="H24:L24"/>
    <mergeCell ref="H33:L33"/>
    <mergeCell ref="H34:L34"/>
    <mergeCell ref="A42:A43"/>
    <mergeCell ref="B43:C43"/>
    <mergeCell ref="D26:E26"/>
    <mergeCell ref="D40:E40"/>
    <mergeCell ref="D33:E33"/>
    <mergeCell ref="D34:E34"/>
    <mergeCell ref="D28:E28"/>
    <mergeCell ref="D39:E39"/>
    <mergeCell ref="F21:G21"/>
    <mergeCell ref="F22:G22"/>
    <mergeCell ref="D37:E37"/>
    <mergeCell ref="D25:E25"/>
    <mergeCell ref="F24:G24"/>
    <mergeCell ref="F25:G25"/>
    <mergeCell ref="F26:G26"/>
    <mergeCell ref="D21:E21"/>
    <mergeCell ref="D22:E22"/>
    <mergeCell ref="D29:E29"/>
    <mergeCell ref="D30:E30"/>
    <mergeCell ref="D31:E31"/>
    <mergeCell ref="D32:E32"/>
    <mergeCell ref="F36:G36"/>
    <mergeCell ref="F37:G37"/>
    <mergeCell ref="F31:G31"/>
    <mergeCell ref="D35:E35"/>
    <mergeCell ref="D36:E36"/>
    <mergeCell ref="F38:G38"/>
    <mergeCell ref="A7:L7"/>
    <mergeCell ref="F12:G13"/>
    <mergeCell ref="H12:L12"/>
    <mergeCell ref="I9:L9"/>
    <mergeCell ref="F9:H9"/>
    <mergeCell ref="A9:E9"/>
    <mergeCell ref="A8:L8"/>
    <mergeCell ref="D14:E14"/>
    <mergeCell ref="D15:E15"/>
    <mergeCell ref="F14:G14"/>
    <mergeCell ref="F15:G15"/>
    <mergeCell ref="H14:L14"/>
    <mergeCell ref="H15:L15"/>
    <mergeCell ref="H16:L16"/>
    <mergeCell ref="H17:L17"/>
    <mergeCell ref="H18:L18"/>
    <mergeCell ref="H21:L21"/>
    <mergeCell ref="H22:L22"/>
    <mergeCell ref="H23:L23"/>
    <mergeCell ref="H37:L37"/>
    <mergeCell ref="F32:G32"/>
    <mergeCell ref="O33:V33"/>
    <mergeCell ref="O26:V26"/>
    <mergeCell ref="O27:V27"/>
    <mergeCell ref="O28:V28"/>
    <mergeCell ref="O29:V29"/>
    <mergeCell ref="P39:R39"/>
    <mergeCell ref="C50:I50"/>
    <mergeCell ref="A10:B10"/>
    <mergeCell ref="C10:H10"/>
    <mergeCell ref="A11:L11"/>
    <mergeCell ref="H13:L13"/>
    <mergeCell ref="A12:A13"/>
    <mergeCell ref="B13:C13"/>
    <mergeCell ref="D13:E13"/>
    <mergeCell ref="D20:E20"/>
    <mergeCell ref="D27:E27"/>
    <mergeCell ref="B12:E12"/>
    <mergeCell ref="D16:E16"/>
    <mergeCell ref="D17:E17"/>
    <mergeCell ref="D18:E18"/>
    <mergeCell ref="D19:E19"/>
    <mergeCell ref="D23:E23"/>
    <mergeCell ref="D24:E24"/>
    <mergeCell ref="N20:Q20"/>
    <mergeCell ref="N24:V24"/>
    <mergeCell ref="O25:V25"/>
    <mergeCell ref="U14:U18"/>
    <mergeCell ref="V14:V18"/>
    <mergeCell ref="O30:V30"/>
    <mergeCell ref="O31:V31"/>
    <mergeCell ref="O32:V32"/>
    <mergeCell ref="N10:Q10"/>
    <mergeCell ref="N11:Q11"/>
    <mergeCell ref="W14:W18"/>
    <mergeCell ref="N19:Q19"/>
    <mergeCell ref="M14:M18"/>
    <mergeCell ref="N14:Q18"/>
    <mergeCell ref="R14:T14"/>
    <mergeCell ref="T15:T18"/>
    <mergeCell ref="S15:S18"/>
    <mergeCell ref="R15:R18"/>
    <mergeCell ref="N21:Q21"/>
    <mergeCell ref="U1:W1"/>
    <mergeCell ref="R2:R3"/>
    <mergeCell ref="U2:U3"/>
    <mergeCell ref="S2:T2"/>
    <mergeCell ref="S3:T3"/>
    <mergeCell ref="V2:W2"/>
    <mergeCell ref="V3:W3"/>
    <mergeCell ref="N8:Q8"/>
    <mergeCell ref="N9:Q9"/>
    <mergeCell ref="N4:Q4"/>
    <mergeCell ref="N5:Q5"/>
    <mergeCell ref="N6:Q6"/>
    <mergeCell ref="N7:Q7"/>
    <mergeCell ref="F1:H2"/>
    <mergeCell ref="I1:L2"/>
    <mergeCell ref="M1:M3"/>
    <mergeCell ref="N1:Q3"/>
    <mergeCell ref="F5:H6"/>
    <mergeCell ref="I5:L6"/>
    <mergeCell ref="F3:H4"/>
    <mergeCell ref="I3:L4"/>
    <mergeCell ref="R1:T1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5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3.xml><?xml version="1.0" encoding="utf-8"?>
<worksheet xmlns="http://schemas.openxmlformats.org/spreadsheetml/2006/main" xmlns:r="http://schemas.openxmlformats.org/officeDocument/2006/relationships">
  <sheetPr codeName="Лист22"/>
  <dimension ref="A1:X51"/>
  <sheetViews>
    <sheetView view="pageBreakPreview" topLeftCell="A10" zoomScale="75" zoomScaleNormal="100" workbookViewId="0">
      <selection activeCell="F37" sqref="F37:G37"/>
    </sheetView>
  </sheetViews>
  <sheetFormatPr defaultRowHeight="18.75"/>
  <cols>
    <col min="1" max="1" width="16.710937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140625" style="2" customWidth="1"/>
    <col min="20" max="20" width="14.28515625" style="2" customWidth="1"/>
    <col min="21" max="21" width="12" style="2" customWidth="1"/>
    <col min="22" max="22" width="14.7109375" style="2" customWidth="1"/>
    <col min="23" max="23" width="12.7109375" style="2" customWidth="1"/>
    <col min="24" max="28" width="10.28515625" style="2" customWidth="1"/>
    <col min="29" max="16384" width="9.140625" style="2"/>
  </cols>
  <sheetData>
    <row r="1" spans="1:23" ht="26.25">
      <c r="A1" s="59" t="s">
        <v>161</v>
      </c>
      <c r="B1" s="59"/>
      <c r="C1" s="59"/>
      <c r="D1" s="59"/>
      <c r="E1" s="59"/>
      <c r="F1" s="63" t="s">
        <v>154</v>
      </c>
      <c r="G1" s="63"/>
      <c r="H1" s="63"/>
      <c r="I1" s="59" t="s">
        <v>163</v>
      </c>
      <c r="J1" s="59"/>
      <c r="K1" s="59"/>
      <c r="L1" s="59"/>
      <c r="M1" s="104" t="s">
        <v>115</v>
      </c>
      <c r="N1" s="98" t="s">
        <v>116</v>
      </c>
      <c r="O1" s="98"/>
      <c r="P1" s="98"/>
      <c r="Q1" s="98"/>
      <c r="R1" s="123" t="s">
        <v>117</v>
      </c>
      <c r="S1" s="123"/>
      <c r="T1" s="123"/>
      <c r="U1" s="123" t="s">
        <v>118</v>
      </c>
      <c r="V1" s="123"/>
      <c r="W1" s="107"/>
    </row>
    <row r="2" spans="1:23" ht="18.75" customHeight="1">
      <c r="A2" s="61" t="s">
        <v>45</v>
      </c>
      <c r="B2" s="61"/>
      <c r="C2" s="61"/>
      <c r="D2" s="61"/>
      <c r="E2" s="61"/>
      <c r="F2" s="63"/>
      <c r="G2" s="63"/>
      <c r="H2" s="63"/>
      <c r="I2" s="59"/>
      <c r="J2" s="59"/>
      <c r="K2" s="59"/>
      <c r="L2" s="59"/>
      <c r="M2" s="95"/>
      <c r="N2" s="99"/>
      <c r="O2" s="99"/>
      <c r="P2" s="99"/>
      <c r="Q2" s="99"/>
      <c r="R2" s="99" t="s">
        <v>119</v>
      </c>
      <c r="S2" s="99" t="s">
        <v>120</v>
      </c>
      <c r="T2" s="99"/>
      <c r="U2" s="99" t="s">
        <v>119</v>
      </c>
      <c r="V2" s="99" t="s">
        <v>120</v>
      </c>
      <c r="W2" s="101"/>
    </row>
    <row r="3" spans="1:23" ht="21.75" customHeight="1">
      <c r="A3" s="59" t="s">
        <v>162</v>
      </c>
      <c r="B3" s="59"/>
      <c r="C3" s="59"/>
      <c r="D3" s="59"/>
      <c r="E3" s="59"/>
      <c r="F3" s="63" t="s">
        <v>155</v>
      </c>
      <c r="G3" s="63"/>
      <c r="H3" s="63"/>
      <c r="I3" s="59" t="s">
        <v>235</v>
      </c>
      <c r="J3" s="59"/>
      <c r="K3" s="59"/>
      <c r="L3" s="59"/>
      <c r="M3" s="96"/>
      <c r="N3" s="102"/>
      <c r="O3" s="102"/>
      <c r="P3" s="102"/>
      <c r="Q3" s="102"/>
      <c r="R3" s="102"/>
      <c r="S3" s="102" t="s">
        <v>121</v>
      </c>
      <c r="T3" s="102"/>
      <c r="U3" s="102"/>
      <c r="V3" s="102" t="s">
        <v>121</v>
      </c>
      <c r="W3" s="103"/>
    </row>
    <row r="4" spans="1:23" ht="29.25" customHeight="1">
      <c r="A4" s="61" t="s">
        <v>46</v>
      </c>
      <c r="B4" s="61"/>
      <c r="C4" s="61"/>
      <c r="D4" s="61"/>
      <c r="E4" s="61"/>
      <c r="F4" s="63"/>
      <c r="G4" s="63"/>
      <c r="H4" s="63"/>
      <c r="I4" s="59"/>
      <c r="J4" s="59"/>
      <c r="K4" s="59"/>
      <c r="L4" s="59"/>
      <c r="M4" s="10"/>
      <c r="N4" s="136" t="s">
        <v>122</v>
      </c>
      <c r="O4" s="136"/>
      <c r="P4" s="136"/>
      <c r="Q4" s="136"/>
      <c r="R4" s="8"/>
      <c r="S4" s="9"/>
      <c r="T4" s="8"/>
      <c r="U4" s="8"/>
      <c r="V4" s="8"/>
      <c r="W4" s="22"/>
    </row>
    <row r="5" spans="1:23" ht="18" customHeight="1">
      <c r="A5" s="127" t="s">
        <v>183</v>
      </c>
      <c r="B5" s="127"/>
      <c r="C5" s="127"/>
      <c r="D5" s="127"/>
      <c r="E5" s="127"/>
      <c r="F5" s="63" t="s">
        <v>156</v>
      </c>
      <c r="G5" s="63"/>
      <c r="H5" s="63"/>
      <c r="I5" s="59" t="s">
        <v>257</v>
      </c>
      <c r="J5" s="59"/>
      <c r="K5" s="59"/>
      <c r="L5" s="59"/>
      <c r="M5" s="10"/>
      <c r="N5" s="137" t="s">
        <v>123</v>
      </c>
      <c r="O5" s="137"/>
      <c r="P5" s="137"/>
      <c r="Q5" s="137"/>
      <c r="R5" s="8"/>
      <c r="S5" s="9"/>
      <c r="T5" s="8"/>
      <c r="U5" s="8"/>
      <c r="V5" s="8"/>
      <c r="W5" s="22"/>
    </row>
    <row r="6" spans="1:23">
      <c r="A6" s="61" t="s">
        <v>47</v>
      </c>
      <c r="B6" s="61"/>
      <c r="C6" s="61"/>
      <c r="D6" s="61"/>
      <c r="E6" s="61"/>
      <c r="F6" s="63"/>
      <c r="G6" s="63"/>
      <c r="H6" s="63"/>
      <c r="I6" s="59"/>
      <c r="J6" s="59"/>
      <c r="K6" s="59"/>
      <c r="L6" s="59"/>
      <c r="M6" s="10"/>
      <c r="N6" s="137" t="s">
        <v>124</v>
      </c>
      <c r="O6" s="137"/>
      <c r="P6" s="137"/>
      <c r="Q6" s="137"/>
      <c r="R6" s="8"/>
      <c r="S6" s="9"/>
      <c r="T6" s="8"/>
      <c r="U6" s="8"/>
      <c r="V6" s="8"/>
      <c r="W6" s="22"/>
    </row>
    <row r="7" spans="1:23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10"/>
      <c r="N7" s="139" t="s">
        <v>125</v>
      </c>
      <c r="O7" s="139"/>
      <c r="P7" s="139"/>
      <c r="Q7" s="139"/>
      <c r="R7" s="8"/>
      <c r="S7" s="9"/>
      <c r="T7" s="8"/>
      <c r="U7" s="8"/>
      <c r="V7" s="8"/>
      <c r="W7" s="22"/>
    </row>
    <row r="8" spans="1:23" ht="22.5">
      <c r="A8" s="94" t="s">
        <v>0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10"/>
      <c r="N8" s="137" t="s">
        <v>126</v>
      </c>
      <c r="O8" s="137"/>
      <c r="P8" s="137"/>
      <c r="Q8" s="137"/>
      <c r="R8" s="8"/>
      <c r="S8" s="9"/>
      <c r="T8" s="8"/>
      <c r="U8" s="8"/>
      <c r="V8" s="8"/>
      <c r="W8" s="22"/>
    </row>
    <row r="9" spans="1:23">
      <c r="A9" s="135" t="s">
        <v>152</v>
      </c>
      <c r="B9" s="135"/>
      <c r="C9" s="135"/>
      <c r="D9" s="135"/>
      <c r="E9" s="135"/>
      <c r="F9" s="81" t="s">
        <v>385</v>
      </c>
      <c r="G9" s="81"/>
      <c r="H9" s="81"/>
      <c r="I9" s="134" t="s">
        <v>384</v>
      </c>
      <c r="J9" s="134"/>
      <c r="K9" s="134"/>
      <c r="L9" s="134"/>
      <c r="M9" s="10"/>
      <c r="N9" s="137" t="s">
        <v>127</v>
      </c>
      <c r="O9" s="137"/>
      <c r="P9" s="137"/>
      <c r="Q9" s="137"/>
      <c r="R9" s="8"/>
      <c r="S9" s="9"/>
      <c r="T9" s="8"/>
      <c r="U9" s="8"/>
      <c r="V9" s="8"/>
      <c r="W9" s="22"/>
    </row>
    <row r="10" spans="1:23" ht="19.5" customHeight="1">
      <c r="A10" s="135" t="s">
        <v>151</v>
      </c>
      <c r="B10" s="135"/>
      <c r="C10" s="81" t="s">
        <v>256</v>
      </c>
      <c r="D10" s="81"/>
      <c r="E10" s="81"/>
      <c r="F10" s="81"/>
      <c r="G10" s="81"/>
      <c r="H10" s="81"/>
      <c r="I10" s="3"/>
      <c r="J10" s="3"/>
      <c r="K10" s="3"/>
      <c r="L10" s="3"/>
      <c r="M10" s="10"/>
      <c r="N10" s="139" t="s">
        <v>128</v>
      </c>
      <c r="O10" s="139"/>
      <c r="P10" s="139"/>
      <c r="Q10" s="139"/>
      <c r="R10" s="8"/>
      <c r="S10" s="9"/>
      <c r="T10" s="8"/>
      <c r="U10" s="8"/>
      <c r="V10" s="8"/>
      <c r="W10" s="22"/>
    </row>
    <row r="11" spans="1:23">
      <c r="A11" s="124" t="s">
        <v>1</v>
      </c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0"/>
      <c r="N11" s="140" t="s">
        <v>129</v>
      </c>
      <c r="O11" s="140"/>
      <c r="P11" s="140"/>
      <c r="Q11" s="140"/>
      <c r="R11" s="8"/>
      <c r="S11" s="9"/>
      <c r="T11" s="8"/>
      <c r="U11" s="8"/>
      <c r="V11" s="8"/>
      <c r="W11" s="22"/>
    </row>
    <row r="12" spans="1:23" ht="20.100000000000001" customHeight="1">
      <c r="A12" s="131" t="s">
        <v>2</v>
      </c>
      <c r="B12" s="123" t="s">
        <v>36</v>
      </c>
      <c r="C12" s="123"/>
      <c r="D12" s="123"/>
      <c r="E12" s="123"/>
      <c r="F12" s="123" t="s">
        <v>5</v>
      </c>
      <c r="G12" s="123"/>
      <c r="H12" s="100" t="s">
        <v>34</v>
      </c>
      <c r="I12" s="112"/>
      <c r="J12" s="112"/>
      <c r="K12" s="112"/>
      <c r="L12" s="112"/>
      <c r="N12" s="1"/>
      <c r="O12" s="1"/>
      <c r="P12" s="1"/>
      <c r="Q12" s="1"/>
    </row>
    <row r="13" spans="1:23" ht="20.100000000000001" customHeight="1">
      <c r="A13" s="131"/>
      <c r="B13" s="123" t="s">
        <v>3</v>
      </c>
      <c r="C13" s="123"/>
      <c r="D13" s="123" t="s">
        <v>4</v>
      </c>
      <c r="E13" s="123"/>
      <c r="F13" s="123"/>
      <c r="G13" s="123"/>
      <c r="H13" s="103" t="s">
        <v>35</v>
      </c>
      <c r="I13" s="111"/>
      <c r="J13" s="111"/>
      <c r="K13" s="111"/>
      <c r="L13" s="111"/>
    </row>
    <row r="14" spans="1:23" ht="20.100000000000001" customHeight="1">
      <c r="A14" s="5" t="s">
        <v>6</v>
      </c>
      <c r="B14" s="8"/>
      <c r="C14" s="5"/>
      <c r="D14" s="89"/>
      <c r="E14" s="105"/>
      <c r="F14" s="125" t="str">
        <f t="shared" ref="F14:F40" si="0">IF(OR(B14="",D14=""),"",IF(ISERROR(D14/B14),IF(D14=0,0,""),D14/B14))</f>
        <v/>
      </c>
      <c r="G14" s="142"/>
      <c r="H14" s="89"/>
      <c r="I14" s="90"/>
      <c r="J14" s="90"/>
      <c r="K14" s="90"/>
      <c r="L14" s="90"/>
      <c r="M14" s="131" t="s">
        <v>115</v>
      </c>
      <c r="N14" s="123" t="s">
        <v>116</v>
      </c>
      <c r="O14" s="123"/>
      <c r="P14" s="123"/>
      <c r="Q14" s="123"/>
      <c r="R14" s="123" t="s">
        <v>117</v>
      </c>
      <c r="S14" s="123"/>
      <c r="T14" s="123"/>
      <c r="U14" s="123" t="s">
        <v>130</v>
      </c>
      <c r="V14" s="123" t="s">
        <v>69</v>
      </c>
      <c r="W14" s="107" t="s">
        <v>131</v>
      </c>
    </row>
    <row r="15" spans="1:23" ht="20.100000000000001" customHeight="1">
      <c r="A15" s="5" t="s">
        <v>7</v>
      </c>
      <c r="B15" s="5"/>
      <c r="C15" s="5"/>
      <c r="D15" s="107"/>
      <c r="E15" s="131"/>
      <c r="F15" s="125" t="str">
        <f t="shared" si="0"/>
        <v/>
      </c>
      <c r="G15" s="142"/>
      <c r="H15" s="89"/>
      <c r="I15" s="90"/>
      <c r="J15" s="90"/>
      <c r="K15" s="90"/>
      <c r="L15" s="90"/>
      <c r="M15" s="131"/>
      <c r="N15" s="123"/>
      <c r="O15" s="123"/>
      <c r="P15" s="123"/>
      <c r="Q15" s="123"/>
      <c r="R15" s="141" t="s">
        <v>130</v>
      </c>
      <c r="S15" s="123" t="s">
        <v>69</v>
      </c>
      <c r="T15" s="123" t="s">
        <v>131</v>
      </c>
      <c r="U15" s="123"/>
      <c r="V15" s="123"/>
      <c r="W15" s="107"/>
    </row>
    <row r="16" spans="1:23" ht="20.100000000000001" customHeight="1">
      <c r="A16" s="5" t="s">
        <v>8</v>
      </c>
      <c r="B16" s="27">
        <f>'Ячейка 3'!D19+'Ячейка 4'!D19+'Ячейка 36'!D19+'Ячейка 37'!D19</f>
        <v>5929.1999999932159</v>
      </c>
      <c r="C16" s="27"/>
      <c r="D16" s="128">
        <f>'Ячейка 3'!H19+'Ячейка 4'!H19+'Ячейка 36'!H19+'Ячейка 37'!H19</f>
        <v>4057.1999999965556</v>
      </c>
      <c r="E16" s="129"/>
      <c r="F16" s="125">
        <f t="shared" si="0"/>
        <v>0.68427443837300106</v>
      </c>
      <c r="G16" s="142"/>
      <c r="H16" s="89"/>
      <c r="I16" s="90"/>
      <c r="J16" s="90"/>
      <c r="K16" s="90"/>
      <c r="L16" s="90"/>
      <c r="M16" s="131"/>
      <c r="N16" s="123"/>
      <c r="O16" s="123"/>
      <c r="P16" s="123"/>
      <c r="Q16" s="123"/>
      <c r="R16" s="141"/>
      <c r="S16" s="123"/>
      <c r="T16" s="123"/>
      <c r="U16" s="123"/>
      <c r="V16" s="123"/>
      <c r="W16" s="107"/>
    </row>
    <row r="17" spans="1:23" ht="20.100000000000001" customHeight="1">
      <c r="A17" s="5" t="s">
        <v>9</v>
      </c>
      <c r="B17" s="27">
        <f>'Ячейка 3'!D20+'Ячейка 4'!D20+'Ячейка 36'!D20+'Ячейка 37'!D20</f>
        <v>5821.2000000039552</v>
      </c>
      <c r="C17" s="27"/>
      <c r="D17" s="128">
        <f>'Ячейка 3'!H20+'Ячейка 4'!H20+'Ячейка 36'!H20+'Ячейка 37'!H20</f>
        <v>3999.6000000028289</v>
      </c>
      <c r="E17" s="129"/>
      <c r="F17" s="125">
        <f t="shared" si="0"/>
        <v>0.68707482993199187</v>
      </c>
      <c r="G17" s="142"/>
      <c r="H17" s="89"/>
      <c r="I17" s="90"/>
      <c r="J17" s="90"/>
      <c r="K17" s="90"/>
      <c r="L17" s="90"/>
      <c r="M17" s="131"/>
      <c r="N17" s="123"/>
      <c r="O17" s="123"/>
      <c r="P17" s="123"/>
      <c r="Q17" s="123"/>
      <c r="R17" s="141"/>
      <c r="S17" s="123"/>
      <c r="T17" s="123"/>
      <c r="U17" s="123"/>
      <c r="V17" s="123"/>
      <c r="W17" s="107"/>
    </row>
    <row r="18" spans="1:23" ht="20.100000000000001" customHeight="1">
      <c r="A18" s="5" t="s">
        <v>10</v>
      </c>
      <c r="B18" s="27">
        <f>'Ячейка 3'!D21+'Ячейка 4'!D21+'Ячейка 36'!D21+'Ячейка 37'!D21</f>
        <v>5925.600000002305</v>
      </c>
      <c r="C18" s="27"/>
      <c r="D18" s="128">
        <f>'Ячейка 3'!H21+'Ячейка 4'!H21+'Ячейка 36'!H21+'Ячейка 37'!H21</f>
        <v>4049.9999999983629</v>
      </c>
      <c r="E18" s="129"/>
      <c r="F18" s="125">
        <f t="shared" si="0"/>
        <v>0.68347509112947002</v>
      </c>
      <c r="G18" s="142"/>
      <c r="H18" s="89"/>
      <c r="I18" s="90"/>
      <c r="J18" s="90"/>
      <c r="K18" s="90"/>
      <c r="L18" s="90"/>
      <c r="M18" s="131"/>
      <c r="N18" s="123"/>
      <c r="O18" s="123"/>
      <c r="P18" s="123"/>
      <c r="Q18" s="123"/>
      <c r="R18" s="141"/>
      <c r="S18" s="123"/>
      <c r="T18" s="123"/>
      <c r="U18" s="123"/>
      <c r="V18" s="123"/>
      <c r="W18" s="107"/>
    </row>
    <row r="19" spans="1:23" ht="20.100000000000001" customHeight="1">
      <c r="A19" s="5" t="s">
        <v>11</v>
      </c>
      <c r="B19" s="27">
        <f>'Ячейка 3'!D22+'Ячейка 4'!D22+'Ячейка 36'!D22+'Ячейка 37'!D22</f>
        <v>5954.3999999950756</v>
      </c>
      <c r="C19" s="27"/>
      <c r="D19" s="128">
        <f>'Ячейка 3'!H22+'Ячейка 4'!H22+'Ячейка 36'!H22+'Ячейка 37'!H22</f>
        <v>4100.4000000102678</v>
      </c>
      <c r="E19" s="129"/>
      <c r="F19" s="125">
        <f t="shared" si="0"/>
        <v>0.68863361547992386</v>
      </c>
      <c r="G19" s="142"/>
      <c r="H19" s="89"/>
      <c r="I19" s="90"/>
      <c r="J19" s="90"/>
      <c r="K19" s="90"/>
      <c r="L19" s="90"/>
      <c r="M19" s="10"/>
      <c r="N19" s="136" t="s">
        <v>132</v>
      </c>
      <c r="O19" s="136"/>
      <c r="P19" s="136"/>
      <c r="Q19" s="136"/>
      <c r="R19" s="8"/>
      <c r="S19" s="8"/>
      <c r="T19" s="8"/>
      <c r="U19" s="8"/>
      <c r="V19" s="8"/>
      <c r="W19" s="9"/>
    </row>
    <row r="20" spans="1:23" ht="20.100000000000001" customHeight="1">
      <c r="A20" s="5" t="s">
        <v>12</v>
      </c>
      <c r="B20" s="27">
        <f>'Ячейка 3'!D23+'Ячейка 4'!D23+'Ячейка 36'!D23+'Ячейка 37'!D23</f>
        <v>5850.0000000130967</v>
      </c>
      <c r="C20" s="27"/>
      <c r="D20" s="128">
        <f>'Ячейка 3'!H23+'Ячейка 4'!H23+'Ячейка 36'!H23+'Ячейка 37'!H23</f>
        <v>4057.1999999965556</v>
      </c>
      <c r="E20" s="129"/>
      <c r="F20" s="125">
        <f t="shared" si="0"/>
        <v>0.69353846153632004</v>
      </c>
      <c r="G20" s="142"/>
      <c r="H20" s="89" t="s">
        <v>195</v>
      </c>
      <c r="I20" s="90"/>
      <c r="J20" s="90"/>
      <c r="K20" s="90"/>
      <c r="L20" s="90"/>
      <c r="M20" s="10"/>
      <c r="N20" s="137" t="s">
        <v>133</v>
      </c>
      <c r="O20" s="137"/>
      <c r="P20" s="137"/>
      <c r="Q20" s="137"/>
      <c r="R20" s="8"/>
      <c r="S20" s="8">
        <v>500</v>
      </c>
      <c r="T20" s="8"/>
      <c r="U20" s="8"/>
      <c r="V20" s="8"/>
      <c r="W20" s="9"/>
    </row>
    <row r="21" spans="1:23" ht="20.100000000000001" customHeight="1">
      <c r="A21" s="5" t="s">
        <v>13</v>
      </c>
      <c r="B21" s="27">
        <f>'Ячейка 3'!D24+'Ячейка 4'!D24+'Ячейка 36'!D24+'Ячейка 37'!D24</f>
        <v>5860.8000000022002</v>
      </c>
      <c r="C21" s="27"/>
      <c r="D21" s="128">
        <f>'Ячейка 3'!H24+'Ячейка 4'!H24+'Ячейка 36'!H24+'Ячейка 37'!H24</f>
        <v>4039.2000000010739</v>
      </c>
      <c r="E21" s="129"/>
      <c r="F21" s="125">
        <f t="shared" si="0"/>
        <v>0.68918918918911365</v>
      </c>
      <c r="G21" s="142"/>
      <c r="H21" s="89"/>
      <c r="I21" s="90"/>
      <c r="J21" s="90"/>
      <c r="K21" s="90"/>
      <c r="L21" s="90"/>
      <c r="M21" s="10"/>
      <c r="N21" s="138" t="s">
        <v>134</v>
      </c>
      <c r="O21" s="138"/>
      <c r="P21" s="138"/>
      <c r="Q21" s="138"/>
      <c r="R21" s="8"/>
      <c r="S21" s="8">
        <v>1420</v>
      </c>
      <c r="T21" s="8"/>
      <c r="U21" s="8"/>
      <c r="V21" s="8">
        <v>670</v>
      </c>
      <c r="W21" s="9"/>
    </row>
    <row r="22" spans="1:23" ht="20.100000000000001" customHeight="1">
      <c r="A22" s="5" t="s">
        <v>14</v>
      </c>
      <c r="B22" s="27">
        <f>'Ячейка 3'!D25+'Ячейка 4'!D25+'Ячейка 36'!D25+'Ячейка 37'!D25</f>
        <v>5867.999999984022</v>
      </c>
      <c r="C22" s="27"/>
      <c r="D22" s="128">
        <f>'Ячейка 3'!H25+'Ячейка 4'!H25+'Ячейка 36'!H25+'Ячейка 37'!H25</f>
        <v>4013.9999999828433</v>
      </c>
      <c r="E22" s="129"/>
      <c r="F22" s="125">
        <f t="shared" si="0"/>
        <v>0.68404907975354001</v>
      </c>
      <c r="G22" s="142"/>
      <c r="H22" s="89"/>
      <c r="I22" s="90"/>
      <c r="J22" s="90"/>
      <c r="K22" s="90"/>
      <c r="L22" s="90"/>
    </row>
    <row r="23" spans="1:23" ht="20.100000000000001" customHeight="1">
      <c r="A23" s="5" t="s">
        <v>15</v>
      </c>
      <c r="B23" s="27">
        <f>'Ячейка 3'!D26+'Ячейка 4'!D26+'Ячейка 36'!D26+'Ячейка 37'!D26</f>
        <v>6030.0000000170257</v>
      </c>
      <c r="C23" s="27"/>
      <c r="D23" s="128">
        <f>'Ячейка 3'!H26+'Ячейка 4'!H26+'Ячейка 36'!H26+'Ячейка 37'!H26</f>
        <v>4086.0000000138825</v>
      </c>
      <c r="E23" s="129"/>
      <c r="F23" s="125">
        <f t="shared" si="0"/>
        <v>0.67761194029889649</v>
      </c>
      <c r="G23" s="142"/>
      <c r="H23" s="89"/>
      <c r="I23" s="90"/>
      <c r="J23" s="90"/>
      <c r="K23" s="90"/>
      <c r="L23" s="90"/>
    </row>
    <row r="24" spans="1:23" ht="20.100000000000001" customHeight="1">
      <c r="A24" s="5" t="s">
        <v>16</v>
      </c>
      <c r="B24" s="27">
        <f>'Ячейка 3'!D27+'Ячейка 4'!D27+'Ячейка 36'!D27+'Ячейка 37'!D27</f>
        <v>6209.9999999882129</v>
      </c>
      <c r="C24" s="27"/>
      <c r="D24" s="128">
        <f>'Ячейка 3'!H27+'Ячейка 4'!H27+'Ячейка 36'!H27+'Ячейка 37'!H27</f>
        <v>4154.4000000130836</v>
      </c>
      <c r="E24" s="129"/>
      <c r="F24" s="125">
        <f t="shared" si="0"/>
        <v>0.66898550724975347</v>
      </c>
      <c r="G24" s="142"/>
      <c r="H24" s="89"/>
      <c r="I24" s="90"/>
      <c r="J24" s="90"/>
      <c r="K24" s="90"/>
      <c r="L24" s="90"/>
      <c r="N24" s="97" t="s">
        <v>135</v>
      </c>
      <c r="O24" s="97"/>
      <c r="P24" s="97"/>
      <c r="Q24" s="97"/>
      <c r="R24" s="97"/>
      <c r="S24" s="97"/>
      <c r="T24" s="97"/>
      <c r="U24" s="97"/>
      <c r="V24" s="97"/>
    </row>
    <row r="25" spans="1:23" ht="20.100000000000001" customHeight="1">
      <c r="A25" s="5" t="s">
        <v>17</v>
      </c>
      <c r="B25" s="27">
        <f>'Ячейка 3'!D28+'Ячейка 4'!D28+'Ячейка 36'!D28+'Ячейка 37'!D28</f>
        <v>6116.3999999953376</v>
      </c>
      <c r="C25" s="27"/>
      <c r="D25" s="128">
        <f>'Ячейка 3'!H28+'Ячейка 4'!H28+'Ячейка 36'!H28+'Ячейка 37'!H28</f>
        <v>4049.9999999901775</v>
      </c>
      <c r="E25" s="129"/>
      <c r="F25" s="125">
        <f t="shared" si="0"/>
        <v>0.66215420835675642</v>
      </c>
      <c r="G25" s="142"/>
      <c r="H25" s="89"/>
      <c r="I25" s="90"/>
      <c r="J25" s="90"/>
      <c r="K25" s="90"/>
      <c r="L25" s="90"/>
      <c r="N25" s="21" t="s">
        <v>136</v>
      </c>
      <c r="O25" s="97" t="s">
        <v>137</v>
      </c>
      <c r="P25" s="97"/>
      <c r="Q25" s="97"/>
      <c r="R25" s="97"/>
      <c r="S25" s="97"/>
      <c r="T25" s="97"/>
      <c r="U25" s="97"/>
      <c r="V25" s="97"/>
    </row>
    <row r="26" spans="1:23" ht="20.100000000000001" customHeight="1">
      <c r="A26" s="5" t="s">
        <v>18</v>
      </c>
      <c r="B26" s="27">
        <f>'Ячейка 3'!D29+'Ячейка 4'!D29+'Ячейка 36'!D29+'Ячейка 37'!D29</f>
        <v>6101.9999999989523</v>
      </c>
      <c r="C26" s="27"/>
      <c r="D26" s="128">
        <f>'Ячейка 3'!H29+'Ячейка 4'!H29+'Ячейка 36'!H29+'Ячейка 37'!H29</f>
        <v>3970.8000000018728</v>
      </c>
      <c r="E26" s="129"/>
      <c r="F26" s="125">
        <f t="shared" si="0"/>
        <v>0.65073746312726233</v>
      </c>
      <c r="G26" s="142"/>
      <c r="H26" s="89"/>
      <c r="I26" s="90"/>
      <c r="J26" s="90"/>
      <c r="K26" s="90"/>
      <c r="L26" s="90"/>
      <c r="N26" s="21" t="s">
        <v>138</v>
      </c>
      <c r="O26" s="97" t="s">
        <v>188</v>
      </c>
      <c r="P26" s="97"/>
      <c r="Q26" s="97"/>
      <c r="R26" s="97"/>
      <c r="S26" s="97"/>
      <c r="T26" s="97"/>
      <c r="U26" s="97"/>
      <c r="V26" s="97"/>
    </row>
    <row r="27" spans="1:23" ht="20.100000000000001" customHeight="1">
      <c r="A27" s="5" t="s">
        <v>19</v>
      </c>
      <c r="B27" s="27">
        <f>'Ячейка 3'!D30+'Ячейка 4'!D30+'Ячейка 36'!D30+'Ячейка 37'!D30</f>
        <v>6188.4000000263768</v>
      </c>
      <c r="C27" s="27"/>
      <c r="D27" s="128">
        <f>'Ячейка 3'!H30+'Ячейка 4'!H30+'Ячейка 36'!H30+'Ячейка 37'!H30</f>
        <v>4031.9999999865104</v>
      </c>
      <c r="E27" s="129"/>
      <c r="F27" s="125">
        <f t="shared" si="0"/>
        <v>0.65154159394501399</v>
      </c>
      <c r="G27" s="142"/>
      <c r="H27" s="89"/>
      <c r="I27" s="90"/>
      <c r="J27" s="90"/>
      <c r="K27" s="90"/>
      <c r="L27" s="90"/>
      <c r="N27" s="21" t="s">
        <v>139</v>
      </c>
      <c r="O27" s="97" t="s">
        <v>140</v>
      </c>
      <c r="P27" s="97"/>
      <c r="Q27" s="97"/>
      <c r="R27" s="97"/>
      <c r="S27" s="97"/>
      <c r="T27" s="97"/>
      <c r="U27" s="97"/>
      <c r="V27" s="97"/>
    </row>
    <row r="28" spans="1:23" ht="20.100000000000001" customHeight="1">
      <c r="A28" s="5" t="s">
        <v>20</v>
      </c>
      <c r="B28" s="27">
        <f>'Ячейка 3'!D31+'Ячейка 4'!D31+'Ячейка 36'!D31+'Ячейка 37'!D31</f>
        <v>6267.5999999737542</v>
      </c>
      <c r="C28" s="27"/>
      <c r="D28" s="128">
        <f>'Ячейка 3'!H31+'Ячейка 4'!H31+'Ячейка 36'!H31+'Ячейка 37'!H31</f>
        <v>4107.6000000084605</v>
      </c>
      <c r="E28" s="129"/>
      <c r="F28" s="125">
        <f t="shared" si="0"/>
        <v>0.65537047674160143</v>
      </c>
      <c r="G28" s="142"/>
      <c r="H28" s="89"/>
      <c r="I28" s="90"/>
      <c r="J28" s="90"/>
      <c r="K28" s="90"/>
      <c r="L28" s="90"/>
      <c r="N28" s="21"/>
      <c r="O28" s="97" t="s">
        <v>141</v>
      </c>
      <c r="P28" s="97"/>
      <c r="Q28" s="97"/>
      <c r="R28" s="97"/>
      <c r="S28" s="97"/>
      <c r="T28" s="97"/>
      <c r="U28" s="97"/>
      <c r="V28" s="97"/>
    </row>
    <row r="29" spans="1:23" ht="20.100000000000001" customHeight="1">
      <c r="A29" s="5" t="s">
        <v>21</v>
      </c>
      <c r="B29" s="27">
        <f>'Ячейка 3'!D32+'Ячейка 4'!D32+'Ячейка 36'!D32+'Ячейка 37'!D32</f>
        <v>6055.2000000188855</v>
      </c>
      <c r="C29" s="27"/>
      <c r="D29" s="128">
        <f>'Ячейка 3'!H32+'Ячейка 4'!H32+'Ячейка 36'!H32+'Ячейка 37'!H32</f>
        <v>4049.9999999901775</v>
      </c>
      <c r="E29" s="129"/>
      <c r="F29" s="125">
        <f t="shared" si="0"/>
        <v>0.66884661117346178</v>
      </c>
      <c r="G29" s="142"/>
      <c r="H29" s="89"/>
      <c r="I29" s="90"/>
      <c r="J29" s="90"/>
      <c r="K29" s="90"/>
      <c r="L29" s="90"/>
      <c r="N29" s="21"/>
      <c r="O29" s="97" t="s">
        <v>142</v>
      </c>
      <c r="P29" s="97"/>
      <c r="Q29" s="97"/>
      <c r="R29" s="97"/>
      <c r="S29" s="97"/>
      <c r="T29" s="97"/>
      <c r="U29" s="97"/>
      <c r="V29" s="97"/>
    </row>
    <row r="30" spans="1:23" ht="20.100000000000001" customHeight="1">
      <c r="A30" s="5" t="s">
        <v>22</v>
      </c>
      <c r="B30" s="27">
        <f>'Ячейка 3'!D33+'Ячейка 4'!D33+'Ячейка 36'!D33+'Ячейка 37'!D33</f>
        <v>6101.9999999989523</v>
      </c>
      <c r="C30" s="27"/>
      <c r="D30" s="128">
        <f>'Ячейка 3'!H33+'Ячейка 4'!H33+'Ячейка 36'!H33+'Ячейка 37'!H33</f>
        <v>4093.2000000038897</v>
      </c>
      <c r="E30" s="129"/>
      <c r="F30" s="125">
        <f t="shared" si="0"/>
        <v>0.67079646017774375</v>
      </c>
      <c r="G30" s="142"/>
      <c r="H30" s="89"/>
      <c r="I30" s="90"/>
      <c r="J30" s="90"/>
      <c r="K30" s="90"/>
      <c r="L30" s="90"/>
      <c r="N30" s="21" t="s">
        <v>143</v>
      </c>
      <c r="O30" s="97" t="s">
        <v>144</v>
      </c>
      <c r="P30" s="97"/>
      <c r="Q30" s="97"/>
      <c r="R30" s="97"/>
      <c r="S30" s="97"/>
      <c r="T30" s="97"/>
      <c r="U30" s="97"/>
      <c r="V30" s="97"/>
    </row>
    <row r="31" spans="1:23" ht="20.100000000000001" customHeight="1">
      <c r="A31" s="5" t="s">
        <v>23</v>
      </c>
      <c r="B31" s="27">
        <f>'Ячейка 3'!D34+'Ячейка 4'!D34+'Ячейка 36'!D34+'Ячейка 37'!D34</f>
        <v>6001.1999999915133</v>
      </c>
      <c r="C31" s="27"/>
      <c r="D31" s="128">
        <f>'Ячейка 3'!H34+'Ячейка 4'!H34+'Ячейка 36'!H34+'Ячейка 37'!H34</f>
        <v>4014.0000000155851</v>
      </c>
      <c r="E31" s="129"/>
      <c r="F31" s="125">
        <f t="shared" si="0"/>
        <v>0.66886622675819196</v>
      </c>
      <c r="G31" s="142"/>
      <c r="H31" s="89"/>
      <c r="I31" s="90"/>
      <c r="J31" s="90"/>
      <c r="K31" s="90"/>
      <c r="L31" s="90"/>
      <c r="N31" s="21"/>
      <c r="O31" s="97" t="s">
        <v>145</v>
      </c>
      <c r="P31" s="97"/>
      <c r="Q31" s="97"/>
      <c r="R31" s="97"/>
      <c r="S31" s="97"/>
      <c r="T31" s="97"/>
      <c r="U31" s="97"/>
      <c r="V31" s="97"/>
    </row>
    <row r="32" spans="1:23" ht="20.100000000000001" customHeight="1">
      <c r="A32" s="5" t="s">
        <v>24</v>
      </c>
      <c r="B32" s="27">
        <f>'Ячейка 3'!D35+'Ячейка 4'!D35+'Ячейка 36'!D35+'Ячейка 37'!D35</f>
        <v>6004.7999999824242</v>
      </c>
      <c r="C32" s="27"/>
      <c r="D32" s="128">
        <f>'Ячейка 3'!H35+'Ячейка 4'!H35+'Ячейка 36'!H35+'Ячейка 37'!H35</f>
        <v>3970.7999999936874</v>
      </c>
      <c r="E32" s="129"/>
      <c r="F32" s="125">
        <f t="shared" si="0"/>
        <v>0.66127098321431355</v>
      </c>
      <c r="G32" s="142"/>
      <c r="H32" s="89"/>
      <c r="I32" s="90"/>
      <c r="J32" s="90"/>
      <c r="K32" s="90"/>
      <c r="L32" s="90"/>
      <c r="N32" s="21" t="s">
        <v>146</v>
      </c>
      <c r="O32" s="97" t="s">
        <v>147</v>
      </c>
      <c r="P32" s="97"/>
      <c r="Q32" s="97"/>
      <c r="R32" s="97"/>
      <c r="S32" s="97"/>
      <c r="T32" s="97"/>
      <c r="U32" s="97"/>
      <c r="V32" s="97"/>
    </row>
    <row r="33" spans="1:24" ht="20.100000000000001" customHeight="1">
      <c r="A33" s="5" t="s">
        <v>25</v>
      </c>
      <c r="B33" s="27">
        <f>'Ячейка 3'!D36+'Ячейка 4'!D36+'Ячейка 36'!D36+'Ячейка 37'!D36</f>
        <v>6192.0000000009168</v>
      </c>
      <c r="C33" s="27"/>
      <c r="D33" s="128">
        <f>'Ячейка 3'!H36+'Ячейка 4'!H36+'Ячейка 36'!H36+'Ячейка 37'!H36</f>
        <v>4013.9999999992142</v>
      </c>
      <c r="E33" s="129"/>
      <c r="F33" s="125">
        <f t="shared" si="0"/>
        <v>0.64825581395326548</v>
      </c>
      <c r="G33" s="142"/>
      <c r="H33" s="89"/>
      <c r="I33" s="90"/>
      <c r="J33" s="90"/>
      <c r="K33" s="90"/>
      <c r="L33" s="90"/>
      <c r="N33" s="21" t="s">
        <v>148</v>
      </c>
      <c r="O33" s="97" t="s">
        <v>149</v>
      </c>
      <c r="P33" s="97"/>
      <c r="Q33" s="97"/>
      <c r="R33" s="97"/>
      <c r="S33" s="97"/>
      <c r="T33" s="97"/>
      <c r="U33" s="97"/>
      <c r="V33" s="97"/>
    </row>
    <row r="34" spans="1:24" ht="20.100000000000001" customHeight="1">
      <c r="A34" s="5" t="s">
        <v>26</v>
      </c>
      <c r="B34" s="27">
        <f>'Ячейка 3'!D37+'Ячейка 4'!D37+'Ячейка 36'!D37+'Ячейка 37'!D37</f>
        <v>6181.1999999954423</v>
      </c>
      <c r="C34" s="27"/>
      <c r="D34" s="128">
        <f>'Ячейка 3'!H37+'Ячейка 4'!H37+'Ячейка 36'!H37+'Ячейка 37'!H37</f>
        <v>3999.5999999946434</v>
      </c>
      <c r="E34" s="129"/>
      <c r="F34" s="125">
        <f t="shared" si="0"/>
        <v>0.64705882352902233</v>
      </c>
      <c r="G34" s="142"/>
      <c r="H34" s="89"/>
      <c r="I34" s="90"/>
      <c r="J34" s="90"/>
      <c r="K34" s="90"/>
      <c r="L34" s="90"/>
    </row>
    <row r="35" spans="1:24" ht="20.100000000000001" customHeight="1">
      <c r="A35" s="5" t="s">
        <v>27</v>
      </c>
      <c r="B35" s="27">
        <f>'Ячейка 3'!D38+'Ячейка 4'!D38+'Ячейка 36'!D38+'Ячейка 37'!D38</f>
        <v>6220.7999999936874</v>
      </c>
      <c r="C35" s="27"/>
      <c r="D35" s="128">
        <f>'Ячейка 3'!H38+'Ячейка 4'!H38+'Ячейка 36'!H38+'Ячейка 37'!H38</f>
        <v>4053.6000000056447</v>
      </c>
      <c r="E35" s="129"/>
      <c r="F35" s="125">
        <f t="shared" si="0"/>
        <v>0.65162037037193898</v>
      </c>
      <c r="G35" s="142"/>
      <c r="H35" s="89"/>
      <c r="I35" s="90"/>
      <c r="J35" s="90"/>
      <c r="K35" s="90"/>
      <c r="L35" s="90"/>
    </row>
    <row r="36" spans="1:24" ht="20.100000000000001" customHeight="1">
      <c r="A36" s="5" t="s">
        <v>28</v>
      </c>
      <c r="B36" s="27">
        <f>'Ячейка 3'!D39+'Ячейка 4'!D39+'Ячейка 36'!D39+'Ячейка 37'!D39</f>
        <v>6109.1999999971449</v>
      </c>
      <c r="C36" s="27"/>
      <c r="D36" s="128">
        <f>'Ячейка 3'!H39+'Ячейка 4'!H39+'Ячейка 36'!H39+'Ячейка 37'!H39</f>
        <v>4028.3999999955995</v>
      </c>
      <c r="E36" s="129"/>
      <c r="F36" s="125">
        <f t="shared" si="0"/>
        <v>0.65939893930424309</v>
      </c>
      <c r="G36" s="142"/>
      <c r="H36" s="89"/>
      <c r="I36" s="90"/>
      <c r="J36" s="90"/>
      <c r="K36" s="90"/>
      <c r="L36" s="90"/>
    </row>
    <row r="37" spans="1:24" ht="20.100000000000001" customHeight="1">
      <c r="A37" s="5" t="s">
        <v>29</v>
      </c>
      <c r="B37" s="27">
        <f>'Ячейка 3'!D40+'Ячейка 4'!D40+'Ячейка 36'!D40+'Ячейка 37'!D40</f>
        <v>6080.4000000207452</v>
      </c>
      <c r="C37" s="27"/>
      <c r="D37" s="128">
        <f>'Ячейка 3'!H40+'Ячейка 4'!H40+'Ячейка 36'!H40+'Ячейка 37'!H40</f>
        <v>4039.2000000010739</v>
      </c>
      <c r="E37" s="129"/>
      <c r="F37" s="125">
        <f t="shared" si="0"/>
        <v>0.66429840141886931</v>
      </c>
      <c r="G37" s="142"/>
      <c r="H37" s="89"/>
      <c r="I37" s="90"/>
      <c r="J37" s="90"/>
      <c r="K37" s="90"/>
      <c r="L37" s="90"/>
    </row>
    <row r="38" spans="1:24" ht="20.100000000000001" customHeight="1">
      <c r="A38" s="5" t="s">
        <v>30</v>
      </c>
      <c r="B38" s="27">
        <f>'Ячейка 3'!D41+'Ячейка 4'!D41+'Ячейка 36'!D41+'Ячейка 37'!D41</f>
        <v>6159.6000000008644</v>
      </c>
      <c r="C38" s="27"/>
      <c r="D38" s="128">
        <f>'Ячейка 3'!H41+'Ячейка 4'!H41+'Ячейка 36'!H41+'Ячейка 37'!H41</f>
        <v>4104.0000000011787</v>
      </c>
      <c r="E38" s="129"/>
      <c r="F38" s="125">
        <f t="shared" si="0"/>
        <v>0.66627703097613522</v>
      </c>
      <c r="G38" s="142"/>
      <c r="H38" s="89"/>
      <c r="I38" s="90"/>
      <c r="J38" s="90"/>
      <c r="K38" s="90"/>
      <c r="L38" s="90"/>
    </row>
    <row r="39" spans="1:24" ht="20.100000000000001" customHeight="1">
      <c r="A39" s="5" t="s">
        <v>31</v>
      </c>
      <c r="B39" s="27">
        <f>'Ячейка 3'!D42+'Ячейка 4'!D42+'Ячейка 36'!D42+'Ячейка 37'!D42</f>
        <v>6209.999999971842</v>
      </c>
      <c r="C39" s="27"/>
      <c r="D39" s="128">
        <f>'Ячейка 3'!H42+'Ячейка 4'!H42+'Ячейка 36'!H42+'Ячейка 37'!H42</f>
        <v>4100.3999999857115</v>
      </c>
      <c r="E39" s="129"/>
      <c r="F39" s="125">
        <f t="shared" si="0"/>
        <v>0.66028985507315685</v>
      </c>
      <c r="G39" s="142"/>
      <c r="H39" s="89"/>
      <c r="I39" s="90"/>
      <c r="J39" s="90"/>
      <c r="K39" s="90"/>
      <c r="L39" s="90"/>
      <c r="P39" s="57" t="s">
        <v>150</v>
      </c>
      <c r="Q39" s="57"/>
      <c r="R39" s="57"/>
      <c r="S39" s="56" t="s">
        <v>391</v>
      </c>
      <c r="T39" s="56"/>
      <c r="U39" s="56"/>
      <c r="V39" s="56"/>
      <c r="W39" s="56"/>
      <c r="X39" s="56"/>
    </row>
    <row r="40" spans="1:24" ht="20.100000000000001" customHeight="1">
      <c r="A40" s="5" t="s">
        <v>32</v>
      </c>
      <c r="B40" s="27">
        <f>SUM(B15:B39)</f>
        <v>145439.99999996595</v>
      </c>
      <c r="C40" s="27"/>
      <c r="D40" s="128">
        <f>SUM(D15:E39)</f>
        <v>97185.599999988888</v>
      </c>
      <c r="E40" s="129"/>
      <c r="F40" s="125">
        <f t="shared" si="0"/>
        <v>0.6682178217822583</v>
      </c>
      <c r="G40" s="142"/>
      <c r="H40" s="89"/>
      <c r="I40" s="90"/>
      <c r="J40" s="90"/>
      <c r="K40" s="90"/>
      <c r="L40" s="90"/>
    </row>
    <row r="41" spans="1:24" ht="20.100000000000001" customHeight="1">
      <c r="A41" s="5" t="s">
        <v>33</v>
      </c>
      <c r="B41" s="5"/>
      <c r="C41" s="5"/>
      <c r="D41" s="107"/>
      <c r="E41" s="131"/>
      <c r="F41" s="125"/>
      <c r="G41" s="142"/>
      <c r="H41" s="89"/>
      <c r="I41" s="90"/>
      <c r="J41" s="90"/>
      <c r="K41" s="90"/>
      <c r="L41" s="90"/>
    </row>
    <row r="42" spans="1:24" ht="20.100000000000001" customHeight="1">
      <c r="A42" s="131" t="s">
        <v>2</v>
      </c>
      <c r="B42" s="107" t="s">
        <v>37</v>
      </c>
      <c r="C42" s="108"/>
      <c r="D42" s="131"/>
      <c r="E42" s="107" t="s">
        <v>40</v>
      </c>
      <c r="F42" s="108"/>
      <c r="G42" s="108"/>
      <c r="H42" s="108"/>
      <c r="I42" s="131"/>
      <c r="J42" s="100" t="s">
        <v>5</v>
      </c>
      <c r="K42" s="112"/>
      <c r="L42" s="112"/>
    </row>
    <row r="43" spans="1:24" ht="34.5" customHeight="1">
      <c r="A43" s="131"/>
      <c r="B43" s="123" t="s">
        <v>38</v>
      </c>
      <c r="C43" s="123"/>
      <c r="D43" s="5" t="s">
        <v>39</v>
      </c>
      <c r="E43" s="107" t="s">
        <v>41</v>
      </c>
      <c r="F43" s="108"/>
      <c r="G43" s="131"/>
      <c r="H43" s="107" t="s">
        <v>42</v>
      </c>
      <c r="I43" s="131"/>
      <c r="J43" s="103"/>
      <c r="K43" s="111"/>
      <c r="L43" s="111"/>
    </row>
    <row r="44" spans="1:24" ht="20.100000000000001" customHeight="1">
      <c r="A44" s="4" t="s">
        <v>153</v>
      </c>
      <c r="B44" s="128">
        <f>SUM(B24:B26)</f>
        <v>18428.399999982503</v>
      </c>
      <c r="C44" s="129"/>
      <c r="D44" s="27">
        <f>SUM(D24:E26)</f>
        <v>12175.200000005134</v>
      </c>
      <c r="E44" s="128">
        <f>B44/3</f>
        <v>6142.7999999941676</v>
      </c>
      <c r="F44" s="130"/>
      <c r="G44" s="129"/>
      <c r="H44" s="128">
        <f>D44/3</f>
        <v>4058.4000000017113</v>
      </c>
      <c r="I44" s="129"/>
      <c r="J44" s="125">
        <f>H44/E44</f>
        <v>0.66067591326521535</v>
      </c>
      <c r="K44" s="126"/>
      <c r="L44" s="126"/>
    </row>
    <row r="45" spans="1:24" ht="20.100000000000001" customHeight="1">
      <c r="A45" s="4" t="s">
        <v>43</v>
      </c>
      <c r="B45" s="128">
        <f>SUM(B33:B36)</f>
        <v>24703.199999987191</v>
      </c>
      <c r="C45" s="129"/>
      <c r="D45" s="27">
        <f>SUM(D33:E36)</f>
        <v>16095.599999995102</v>
      </c>
      <c r="E45" s="128">
        <f>B45/4</f>
        <v>6175.7999999967979</v>
      </c>
      <c r="F45" s="130"/>
      <c r="G45" s="129"/>
      <c r="H45" s="128">
        <f>D45/4</f>
        <v>4023.8999999987755</v>
      </c>
      <c r="I45" s="129"/>
      <c r="J45" s="125">
        <f>H45/E45</f>
        <v>0.65155931215403051</v>
      </c>
      <c r="K45" s="126"/>
      <c r="L45" s="126"/>
    </row>
    <row r="46" spans="1:24" ht="20.100000000000001" customHeight="1">
      <c r="A46" s="4" t="s">
        <v>44</v>
      </c>
      <c r="B46" s="128">
        <f>SUM(B16:B39)</f>
        <v>145439.99999996595</v>
      </c>
      <c r="C46" s="129"/>
      <c r="D46" s="27">
        <f>SUM(D16:E39)</f>
        <v>97185.599999988888</v>
      </c>
      <c r="E46" s="128">
        <f>B46/24</f>
        <v>6059.9999999985812</v>
      </c>
      <c r="F46" s="130"/>
      <c r="G46" s="129"/>
      <c r="H46" s="128">
        <f>D46/24</f>
        <v>4049.3999999995372</v>
      </c>
      <c r="I46" s="129"/>
      <c r="J46" s="125">
        <f>H46/E46</f>
        <v>0.6682178217822583</v>
      </c>
      <c r="K46" s="126"/>
      <c r="L46" s="126"/>
    </row>
    <row r="47" spans="1:24" ht="20.100000000000001" customHeight="1"/>
    <row r="48" spans="1:24" ht="20.100000000000001" customHeight="1"/>
    <row r="49" spans="3:9" ht="20.100000000000001" customHeight="1"/>
    <row r="50" spans="3:9" ht="20.100000000000001" customHeight="1">
      <c r="C50" s="91" t="s">
        <v>194</v>
      </c>
      <c r="D50" s="91"/>
      <c r="E50" s="91"/>
      <c r="F50" s="91"/>
      <c r="G50" s="91"/>
      <c r="H50" s="91"/>
      <c r="I50" s="91"/>
    </row>
    <row r="51" spans="3:9" ht="20.100000000000001" customHeight="1"/>
  </sheetData>
  <sheetProtection sheet="1" objects="1" scenarios="1"/>
  <mergeCells count="173">
    <mergeCell ref="F5:H6"/>
    <mergeCell ref="I5:L6"/>
    <mergeCell ref="F3:H4"/>
    <mergeCell ref="I3:L4"/>
    <mergeCell ref="F1:H2"/>
    <mergeCell ref="I1:L2"/>
    <mergeCell ref="N4:Q4"/>
    <mergeCell ref="N5:Q5"/>
    <mergeCell ref="N6:Q6"/>
    <mergeCell ref="N7:Q7"/>
    <mergeCell ref="N8:Q8"/>
    <mergeCell ref="N9:Q9"/>
    <mergeCell ref="M1:M3"/>
    <mergeCell ref="N1:Q3"/>
    <mergeCell ref="R1:T1"/>
    <mergeCell ref="U14:U18"/>
    <mergeCell ref="V14:V18"/>
    <mergeCell ref="W14:W18"/>
    <mergeCell ref="U1:W1"/>
    <mergeCell ref="R2:R3"/>
    <mergeCell ref="U2:U3"/>
    <mergeCell ref="S2:T2"/>
    <mergeCell ref="S3:T3"/>
    <mergeCell ref="V2:W2"/>
    <mergeCell ref="V3:W3"/>
    <mergeCell ref="N19:Q19"/>
    <mergeCell ref="N20:Q20"/>
    <mergeCell ref="N21:Q21"/>
    <mergeCell ref="N10:Q10"/>
    <mergeCell ref="N11:Q11"/>
    <mergeCell ref="M14:M18"/>
    <mergeCell ref="N14:Q18"/>
    <mergeCell ref="R14:T14"/>
    <mergeCell ref="T15:T18"/>
    <mergeCell ref="S15:S18"/>
    <mergeCell ref="R15:R18"/>
    <mergeCell ref="O30:V30"/>
    <mergeCell ref="O31:V31"/>
    <mergeCell ref="O32:V32"/>
    <mergeCell ref="O33:V33"/>
    <mergeCell ref="P39:R39"/>
    <mergeCell ref="N24:V24"/>
    <mergeCell ref="O25:V25"/>
    <mergeCell ref="O26:V26"/>
    <mergeCell ref="O27:V27"/>
    <mergeCell ref="O28:V28"/>
    <mergeCell ref="O29:V29"/>
    <mergeCell ref="S39:X39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D36:E36"/>
    <mergeCell ref="D38:E38"/>
    <mergeCell ref="D39:E39"/>
    <mergeCell ref="D37:E37"/>
    <mergeCell ref="D29:E29"/>
    <mergeCell ref="F21:G21"/>
    <mergeCell ref="D21:E21"/>
    <mergeCell ref="A7:L7"/>
    <mergeCell ref="F12:G13"/>
    <mergeCell ref="H12:L12"/>
    <mergeCell ref="I9:L9"/>
    <mergeCell ref="F9:H9"/>
    <mergeCell ref="A9:E9"/>
    <mergeCell ref="A8:L8"/>
    <mergeCell ref="D25:E25"/>
    <mergeCell ref="D26:E26"/>
    <mergeCell ref="D14:E14"/>
    <mergeCell ref="D15:E15"/>
    <mergeCell ref="D16:E16"/>
    <mergeCell ref="D17:E17"/>
    <mergeCell ref="D18:E18"/>
    <mergeCell ref="D19:E19"/>
    <mergeCell ref="D20:E20"/>
    <mergeCell ref="F14:G14"/>
    <mergeCell ref="F15:G15"/>
    <mergeCell ref="F16:G16"/>
    <mergeCell ref="F17:G17"/>
    <mergeCell ref="F22:G22"/>
    <mergeCell ref="F18:G18"/>
    <mergeCell ref="F19:G19"/>
    <mergeCell ref="F20:G20"/>
    <mergeCell ref="F34:G34"/>
    <mergeCell ref="D30:E30"/>
    <mergeCell ref="D31:E31"/>
    <mergeCell ref="D32:E32"/>
    <mergeCell ref="D23:E23"/>
    <mergeCell ref="D24:E24"/>
    <mergeCell ref="F23:G23"/>
    <mergeCell ref="F24:G24"/>
    <mergeCell ref="F25:G25"/>
    <mergeCell ref="F26:G26"/>
    <mergeCell ref="F33:G33"/>
    <mergeCell ref="H23:L23"/>
    <mergeCell ref="H24:L24"/>
    <mergeCell ref="H25:L25"/>
    <mergeCell ref="H26:L26"/>
    <mergeCell ref="H27:L27"/>
    <mergeCell ref="H28:L28"/>
    <mergeCell ref="D22:E22"/>
    <mergeCell ref="F27:G27"/>
    <mergeCell ref="F28:G28"/>
    <mergeCell ref="H14:L14"/>
    <mergeCell ref="H15:L15"/>
    <mergeCell ref="H16:L16"/>
    <mergeCell ref="H17:L17"/>
    <mergeCell ref="H18:L18"/>
    <mergeCell ref="H19:L19"/>
    <mergeCell ref="H20:L20"/>
    <mergeCell ref="H21:L21"/>
    <mergeCell ref="H22:L22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  <mergeCell ref="F35:G35"/>
    <mergeCell ref="F36:G36"/>
    <mergeCell ref="F37:G37"/>
    <mergeCell ref="F38:G38"/>
    <mergeCell ref="F39:G39"/>
    <mergeCell ref="F40:G40"/>
    <mergeCell ref="F29:G29"/>
    <mergeCell ref="F30:G30"/>
    <mergeCell ref="F31:G31"/>
    <mergeCell ref="F32:G32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B45:C45"/>
    <mergeCell ref="J44:L44"/>
    <mergeCell ref="J45:L45"/>
    <mergeCell ref="D41:E41"/>
    <mergeCell ref="E45:G45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4" orientation="portrait" horizontalDpi="180" verticalDpi="180" r:id="rId1"/>
  <headerFooter alignWithMargins="0"/>
  <colBreaks count="1" manualBreakCount="1">
    <brk id="12" max="49" man="1"/>
  </colBreaks>
</worksheet>
</file>

<file path=xl/worksheets/sheet24.xml><?xml version="1.0" encoding="utf-8"?>
<worksheet xmlns="http://schemas.openxmlformats.org/spreadsheetml/2006/main" xmlns:r="http://schemas.openxmlformats.org/officeDocument/2006/relationships">
  <sheetPr codeName="Лист23"/>
  <dimension ref="A1:X51"/>
  <sheetViews>
    <sheetView view="pageBreakPreview" zoomScale="75" zoomScaleNormal="100" workbookViewId="0">
      <selection activeCell="B16" sqref="B16"/>
    </sheetView>
  </sheetViews>
  <sheetFormatPr defaultRowHeight="18.75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4.42578125" style="2" customWidth="1"/>
    <col min="20" max="20" width="13.7109375" style="2" customWidth="1"/>
    <col min="21" max="21" width="13.140625" style="2" customWidth="1"/>
    <col min="22" max="22" width="13.85546875" style="2" customWidth="1"/>
    <col min="23" max="23" width="14.42578125" style="2" customWidth="1"/>
    <col min="24" max="28" width="10.28515625" style="2" customWidth="1"/>
    <col min="29" max="16384" width="9.140625" style="2"/>
  </cols>
  <sheetData>
    <row r="1" spans="1:23" ht="26.25">
      <c r="A1" s="59" t="s">
        <v>161</v>
      </c>
      <c r="B1" s="59"/>
      <c r="C1" s="59"/>
      <c r="D1" s="59"/>
      <c r="E1" s="59"/>
      <c r="F1" s="63" t="s">
        <v>154</v>
      </c>
      <c r="G1" s="63"/>
      <c r="H1" s="63"/>
      <c r="I1" s="59" t="s">
        <v>163</v>
      </c>
      <c r="J1" s="59"/>
      <c r="K1" s="59"/>
      <c r="L1" s="59"/>
      <c r="M1" s="104" t="s">
        <v>115</v>
      </c>
      <c r="N1" s="98" t="s">
        <v>116</v>
      </c>
      <c r="O1" s="98"/>
      <c r="P1" s="98"/>
      <c r="Q1" s="98"/>
      <c r="R1" s="123" t="s">
        <v>117</v>
      </c>
      <c r="S1" s="123"/>
      <c r="T1" s="123"/>
      <c r="U1" s="123" t="s">
        <v>118</v>
      </c>
      <c r="V1" s="123"/>
      <c r="W1" s="107"/>
    </row>
    <row r="2" spans="1:23" ht="18.75" customHeight="1">
      <c r="A2" s="61" t="s">
        <v>45</v>
      </c>
      <c r="B2" s="61"/>
      <c r="C2" s="61"/>
      <c r="D2" s="61"/>
      <c r="E2" s="61"/>
      <c r="F2" s="63"/>
      <c r="G2" s="63"/>
      <c r="H2" s="63"/>
      <c r="I2" s="59"/>
      <c r="J2" s="59"/>
      <c r="K2" s="59"/>
      <c r="L2" s="59"/>
      <c r="M2" s="95"/>
      <c r="N2" s="99"/>
      <c r="O2" s="99"/>
      <c r="P2" s="99"/>
      <c r="Q2" s="99"/>
      <c r="R2" s="99" t="s">
        <v>119</v>
      </c>
      <c r="S2" s="99" t="s">
        <v>120</v>
      </c>
      <c r="T2" s="99"/>
      <c r="U2" s="99" t="s">
        <v>119</v>
      </c>
      <c r="V2" s="99" t="s">
        <v>120</v>
      </c>
      <c r="W2" s="101"/>
    </row>
    <row r="3" spans="1:23" ht="21.75" customHeight="1">
      <c r="A3" s="59" t="s">
        <v>162</v>
      </c>
      <c r="B3" s="59"/>
      <c r="C3" s="59"/>
      <c r="D3" s="59"/>
      <c r="E3" s="59"/>
      <c r="F3" s="63" t="s">
        <v>155</v>
      </c>
      <c r="G3" s="63"/>
      <c r="H3" s="63"/>
      <c r="I3" s="59" t="s">
        <v>236</v>
      </c>
      <c r="J3" s="59"/>
      <c r="K3" s="59"/>
      <c r="L3" s="59"/>
      <c r="M3" s="96"/>
      <c r="N3" s="102"/>
      <c r="O3" s="102"/>
      <c r="P3" s="102"/>
      <c r="Q3" s="102"/>
      <c r="R3" s="102"/>
      <c r="S3" s="102" t="s">
        <v>121</v>
      </c>
      <c r="T3" s="102"/>
      <c r="U3" s="102"/>
      <c r="V3" s="102" t="s">
        <v>121</v>
      </c>
      <c r="W3" s="103"/>
    </row>
    <row r="4" spans="1:23" ht="29.25" customHeight="1">
      <c r="A4" s="61" t="s">
        <v>46</v>
      </c>
      <c r="B4" s="61"/>
      <c r="C4" s="61"/>
      <c r="D4" s="61"/>
      <c r="E4" s="61"/>
      <c r="F4" s="63"/>
      <c r="G4" s="63"/>
      <c r="H4" s="63"/>
      <c r="I4" s="59"/>
      <c r="J4" s="59"/>
      <c r="K4" s="59"/>
      <c r="L4" s="59"/>
      <c r="M4" s="10"/>
      <c r="N4" s="136" t="s">
        <v>122</v>
      </c>
      <c r="O4" s="136"/>
      <c r="P4" s="136"/>
      <c r="Q4" s="136"/>
      <c r="R4" s="8"/>
      <c r="S4" s="9"/>
      <c r="T4" s="10"/>
      <c r="U4" s="8"/>
      <c r="V4" s="9"/>
      <c r="W4" s="22"/>
    </row>
    <row r="5" spans="1:23" ht="18" customHeight="1">
      <c r="A5" s="127" t="s">
        <v>182</v>
      </c>
      <c r="B5" s="127"/>
      <c r="C5" s="127"/>
      <c r="D5" s="127"/>
      <c r="E5" s="127"/>
      <c r="F5" s="63" t="s">
        <v>156</v>
      </c>
      <c r="G5" s="63"/>
      <c r="H5" s="63"/>
      <c r="I5" s="59" t="s">
        <v>264</v>
      </c>
      <c r="J5" s="59"/>
      <c r="K5" s="59"/>
      <c r="L5" s="59"/>
      <c r="M5" s="10"/>
      <c r="N5" s="137" t="s">
        <v>123</v>
      </c>
      <c r="O5" s="137"/>
      <c r="P5" s="137"/>
      <c r="Q5" s="137"/>
      <c r="R5" s="8"/>
      <c r="S5" s="9"/>
      <c r="T5" s="10"/>
      <c r="U5" s="8"/>
      <c r="V5" s="9"/>
      <c r="W5" s="22"/>
    </row>
    <row r="6" spans="1:23">
      <c r="A6" s="61" t="s">
        <v>47</v>
      </c>
      <c r="B6" s="61"/>
      <c r="C6" s="61"/>
      <c r="D6" s="61"/>
      <c r="E6" s="61"/>
      <c r="F6" s="63"/>
      <c r="G6" s="63"/>
      <c r="H6" s="63"/>
      <c r="I6" s="59"/>
      <c r="J6" s="59"/>
      <c r="K6" s="59"/>
      <c r="L6" s="59"/>
      <c r="M6" s="10"/>
      <c r="N6" s="137" t="s">
        <v>124</v>
      </c>
      <c r="O6" s="137"/>
      <c r="P6" s="137"/>
      <c r="Q6" s="137"/>
      <c r="R6" s="8"/>
      <c r="S6" s="9"/>
      <c r="T6" s="10"/>
      <c r="U6" s="8"/>
      <c r="V6" s="9"/>
      <c r="W6" s="22"/>
    </row>
    <row r="7" spans="1:23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10"/>
      <c r="N7" s="139" t="s">
        <v>125</v>
      </c>
      <c r="O7" s="139"/>
      <c r="P7" s="139"/>
      <c r="Q7" s="139"/>
      <c r="R7" s="8"/>
      <c r="S7" s="9"/>
      <c r="T7" s="10"/>
      <c r="U7" s="8"/>
      <c r="V7" s="9"/>
      <c r="W7" s="22"/>
    </row>
    <row r="8" spans="1:23" ht="22.5">
      <c r="A8" s="94" t="s">
        <v>0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10"/>
      <c r="N8" s="137" t="s">
        <v>126</v>
      </c>
      <c r="O8" s="137"/>
      <c r="P8" s="137"/>
      <c r="Q8" s="137"/>
      <c r="R8" s="8"/>
      <c r="S8" s="9"/>
      <c r="T8" s="10"/>
      <c r="U8" s="8"/>
      <c r="V8" s="9"/>
      <c r="W8" s="22"/>
    </row>
    <row r="9" spans="1:23">
      <c r="A9" s="135" t="s">
        <v>152</v>
      </c>
      <c r="B9" s="135"/>
      <c r="C9" s="135"/>
      <c r="D9" s="135"/>
      <c r="E9" s="135"/>
      <c r="F9" s="81" t="s">
        <v>385</v>
      </c>
      <c r="G9" s="81"/>
      <c r="H9" s="81"/>
      <c r="I9" s="134" t="s">
        <v>384</v>
      </c>
      <c r="J9" s="134"/>
      <c r="K9" s="134"/>
      <c r="L9" s="134"/>
      <c r="M9" s="10"/>
      <c r="N9" s="137" t="s">
        <v>127</v>
      </c>
      <c r="O9" s="137"/>
      <c r="P9" s="137"/>
      <c r="Q9" s="137"/>
      <c r="R9" s="8"/>
      <c r="S9" s="9"/>
      <c r="T9" s="10"/>
      <c r="U9" s="8"/>
      <c r="V9" s="9"/>
      <c r="W9" s="22"/>
    </row>
    <row r="10" spans="1:23" ht="19.5" customHeight="1">
      <c r="A10" s="135" t="s">
        <v>151</v>
      </c>
      <c r="B10" s="135"/>
      <c r="C10" s="81" t="s">
        <v>192</v>
      </c>
      <c r="D10" s="81"/>
      <c r="E10" s="81"/>
      <c r="F10" s="81"/>
      <c r="G10" s="81"/>
      <c r="H10" s="81"/>
      <c r="I10" s="3"/>
      <c r="J10" s="3"/>
      <c r="K10" s="3"/>
      <c r="L10" s="3"/>
      <c r="M10" s="10"/>
      <c r="N10" s="139" t="s">
        <v>128</v>
      </c>
      <c r="O10" s="139"/>
      <c r="P10" s="139"/>
      <c r="Q10" s="139"/>
      <c r="R10" s="8"/>
      <c r="S10" s="9"/>
      <c r="T10" s="10"/>
      <c r="U10" s="8"/>
      <c r="V10" s="9"/>
      <c r="W10" s="22"/>
    </row>
    <row r="11" spans="1:23">
      <c r="A11" s="124" t="s">
        <v>1</v>
      </c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0"/>
      <c r="N11" s="140" t="s">
        <v>129</v>
      </c>
      <c r="O11" s="140"/>
      <c r="P11" s="140"/>
      <c r="Q11" s="140"/>
      <c r="R11" s="8"/>
      <c r="S11" s="9"/>
      <c r="T11" s="10"/>
      <c r="U11" s="8"/>
      <c r="V11" s="9"/>
      <c r="W11" s="22"/>
    </row>
    <row r="12" spans="1:23" ht="20.100000000000001" customHeight="1">
      <c r="A12" s="131" t="s">
        <v>2</v>
      </c>
      <c r="B12" s="123" t="s">
        <v>36</v>
      </c>
      <c r="C12" s="123"/>
      <c r="D12" s="123"/>
      <c r="E12" s="123"/>
      <c r="F12" s="123" t="s">
        <v>5</v>
      </c>
      <c r="G12" s="123"/>
      <c r="H12" s="100" t="s">
        <v>34</v>
      </c>
      <c r="I12" s="112"/>
      <c r="J12" s="112"/>
      <c r="K12" s="112"/>
      <c r="L12" s="112"/>
      <c r="N12" s="1"/>
      <c r="O12" s="1"/>
      <c r="P12" s="1"/>
      <c r="Q12" s="1"/>
    </row>
    <row r="13" spans="1:23" ht="20.100000000000001" customHeight="1">
      <c r="A13" s="131"/>
      <c r="B13" s="123" t="s">
        <v>3</v>
      </c>
      <c r="C13" s="123"/>
      <c r="D13" s="123" t="s">
        <v>4</v>
      </c>
      <c r="E13" s="123"/>
      <c r="F13" s="123"/>
      <c r="G13" s="123"/>
      <c r="H13" s="103" t="s">
        <v>35</v>
      </c>
      <c r="I13" s="111"/>
      <c r="J13" s="111"/>
      <c r="K13" s="111"/>
      <c r="L13" s="111"/>
    </row>
    <row r="14" spans="1:23" ht="20.100000000000001" customHeight="1">
      <c r="A14" s="5" t="s">
        <v>6</v>
      </c>
      <c r="B14" s="8"/>
      <c r="C14" s="5"/>
      <c r="D14" s="106"/>
      <c r="E14" s="106"/>
      <c r="F14" s="132" t="str">
        <f t="shared" ref="F14:F40" si="0">IF(OR(B14="",D14=""),"",IF(ISERROR(D14/B14),IF(D14=0,0,""),D14/B14))</f>
        <v/>
      </c>
      <c r="G14" s="132"/>
      <c r="H14" s="106"/>
      <c r="I14" s="106"/>
      <c r="J14" s="106"/>
      <c r="K14" s="106"/>
      <c r="L14" s="106"/>
      <c r="M14" s="131" t="s">
        <v>115</v>
      </c>
      <c r="N14" s="123" t="s">
        <v>116</v>
      </c>
      <c r="O14" s="123"/>
      <c r="P14" s="123"/>
      <c r="Q14" s="123"/>
      <c r="R14" s="123" t="s">
        <v>117</v>
      </c>
      <c r="S14" s="123"/>
      <c r="T14" s="123"/>
      <c r="U14" s="123" t="s">
        <v>130</v>
      </c>
      <c r="V14" s="123" t="s">
        <v>69</v>
      </c>
      <c r="W14" s="107" t="s">
        <v>131</v>
      </c>
    </row>
    <row r="15" spans="1:23" ht="20.100000000000001" customHeight="1">
      <c r="A15" s="5" t="s">
        <v>7</v>
      </c>
      <c r="B15" s="5"/>
      <c r="C15" s="5"/>
      <c r="D15" s="123"/>
      <c r="E15" s="123"/>
      <c r="F15" s="132" t="str">
        <f t="shared" si="0"/>
        <v/>
      </c>
      <c r="G15" s="132"/>
      <c r="H15" s="106"/>
      <c r="I15" s="106"/>
      <c r="J15" s="106"/>
      <c r="K15" s="106"/>
      <c r="L15" s="106"/>
      <c r="M15" s="131"/>
      <c r="N15" s="123"/>
      <c r="O15" s="123"/>
      <c r="P15" s="123"/>
      <c r="Q15" s="123"/>
      <c r="R15" s="141" t="s">
        <v>130</v>
      </c>
      <c r="S15" s="123" t="s">
        <v>69</v>
      </c>
      <c r="T15" s="123" t="s">
        <v>131</v>
      </c>
      <c r="U15" s="123"/>
      <c r="V15" s="123"/>
      <c r="W15" s="107"/>
    </row>
    <row r="16" spans="1:23" ht="20.100000000000001" customHeight="1">
      <c r="A16" s="5" t="s">
        <v>8</v>
      </c>
      <c r="B16" s="27">
        <f>'Ячейка 24'!D19+'Ячейка 2'!D19+'Ячейка 3'!D19+'Ячейка 4'!D19+'Ячейка 36'!D19+'Ячейка 37'!D19</f>
        <v>11978.999999992993</v>
      </c>
      <c r="C16" s="27"/>
      <c r="D16" s="133">
        <f>'Ячейка 24'!H19+'Ячейка 2'!H19+'Ячейка 3'!H19+'Ячейка 4'!H19+'Ячейка 36'!H19+'Ячейка 37'!H19</f>
        <v>7007.4000000008709</v>
      </c>
      <c r="E16" s="133"/>
      <c r="F16" s="132">
        <f t="shared" si="0"/>
        <v>0.58497370398238335</v>
      </c>
      <c r="G16" s="132"/>
      <c r="H16" s="106"/>
      <c r="I16" s="106"/>
      <c r="J16" s="106"/>
      <c r="K16" s="106"/>
      <c r="L16" s="106"/>
      <c r="M16" s="131"/>
      <c r="N16" s="123"/>
      <c r="O16" s="123"/>
      <c r="P16" s="123"/>
      <c r="Q16" s="123"/>
      <c r="R16" s="141"/>
      <c r="S16" s="123"/>
      <c r="T16" s="123"/>
      <c r="U16" s="123"/>
      <c r="V16" s="123"/>
      <c r="W16" s="107"/>
    </row>
    <row r="17" spans="1:23" ht="20.100000000000001" customHeight="1">
      <c r="A17" s="5" t="s">
        <v>9</v>
      </c>
      <c r="B17" s="27">
        <f>'Ячейка 24'!D20+'Ячейка 2'!D20+'Ячейка 3'!D20+'Ячейка 4'!D20+'Ячейка 36'!D20+'Ячейка 37'!D20</f>
        <v>11881.800000009207</v>
      </c>
      <c r="C17" s="27"/>
      <c r="D17" s="133">
        <f>'Ячейка 24'!H20+'Ячейка 2'!H20+'Ячейка 3'!H20+'Ячейка 4'!H20+'Ячейка 36'!H20+'Ячейка 37'!H20</f>
        <v>6946.199999991677</v>
      </c>
      <c r="E17" s="133"/>
      <c r="F17" s="132">
        <f t="shared" si="0"/>
        <v>0.58460839266662412</v>
      </c>
      <c r="G17" s="132"/>
      <c r="H17" s="106"/>
      <c r="I17" s="106"/>
      <c r="J17" s="106"/>
      <c r="K17" s="106"/>
      <c r="L17" s="106"/>
      <c r="M17" s="131"/>
      <c r="N17" s="123"/>
      <c r="O17" s="123"/>
      <c r="P17" s="123"/>
      <c r="Q17" s="123"/>
      <c r="R17" s="141"/>
      <c r="S17" s="123"/>
      <c r="T17" s="123"/>
      <c r="U17" s="123"/>
      <c r="V17" s="123"/>
      <c r="W17" s="107"/>
    </row>
    <row r="18" spans="1:23" ht="20.100000000000001" customHeight="1">
      <c r="A18" s="5" t="s">
        <v>10</v>
      </c>
      <c r="B18" s="27">
        <f>'Ячейка 24'!D21+'Ячейка 2'!D21+'Ячейка 3'!D21+'Ячейка 4'!D21+'Ячейка 36'!D21+'Ячейка 37'!D21</f>
        <v>11950.200000000223</v>
      </c>
      <c r="C18" s="27"/>
      <c r="D18" s="133">
        <f>'Ячейка 24'!H21+'Ячейка 2'!H21+'Ячейка 3'!H21+'Ячейка 4'!H21+'Ячейка 36'!H21+'Ячейка 37'!H21</f>
        <v>6976.8000000085522</v>
      </c>
      <c r="E18" s="133"/>
      <c r="F18" s="132">
        <f t="shared" si="0"/>
        <v>0.58382286488999535</v>
      </c>
      <c r="G18" s="132"/>
      <c r="H18" s="106"/>
      <c r="I18" s="106"/>
      <c r="J18" s="106"/>
      <c r="K18" s="106"/>
      <c r="L18" s="106"/>
      <c r="M18" s="131"/>
      <c r="N18" s="123"/>
      <c r="O18" s="123"/>
      <c r="P18" s="123"/>
      <c r="Q18" s="123"/>
      <c r="R18" s="141"/>
      <c r="S18" s="123"/>
      <c r="T18" s="123"/>
      <c r="U18" s="123"/>
      <c r="V18" s="123"/>
      <c r="W18" s="107"/>
    </row>
    <row r="19" spans="1:23" ht="20.100000000000001" customHeight="1">
      <c r="A19" s="5" t="s">
        <v>11</v>
      </c>
      <c r="B19" s="27">
        <f>'Ячейка 24'!D22+'Ячейка 2'!D22+'Ячейка 3'!D22+'Ячейка 4'!D22+'Ячейка 36'!D22+'Ячейка 37'!D22</f>
        <v>12045.599999988553</v>
      </c>
      <c r="C19" s="27"/>
      <c r="D19" s="133">
        <f>'Ячейка 24'!H22+'Ячейка 2'!H22+'Ячейка 3'!H22+'Ячейка 4'!H22+'Ячейка 36'!H22+'Ячейка 37'!H22</f>
        <v>7032.6000000068234</v>
      </c>
      <c r="E19" s="133"/>
      <c r="F19" s="132">
        <f t="shared" si="0"/>
        <v>0.58383144052712244</v>
      </c>
      <c r="G19" s="132"/>
      <c r="H19" s="106"/>
      <c r="I19" s="106"/>
      <c r="J19" s="106"/>
      <c r="K19" s="106"/>
      <c r="L19" s="106"/>
      <c r="M19" s="10"/>
      <c r="N19" s="136" t="s">
        <v>132</v>
      </c>
      <c r="O19" s="136"/>
      <c r="P19" s="136"/>
      <c r="Q19" s="136"/>
      <c r="R19" s="8"/>
      <c r="S19" s="8"/>
      <c r="T19" s="8"/>
      <c r="U19" s="8"/>
      <c r="V19" s="8"/>
      <c r="W19" s="9"/>
    </row>
    <row r="20" spans="1:23" ht="20.100000000000001" customHeight="1">
      <c r="A20" s="5" t="s">
        <v>12</v>
      </c>
      <c r="B20" s="27">
        <f>'Ячейка 24'!D23+'Ячейка 2'!D23+'Ячейка 3'!D23+'Ячейка 4'!D23+'Ячейка 36'!D23+'Ячейка 37'!D23</f>
        <v>11860.200000022814</v>
      </c>
      <c r="C20" s="27"/>
      <c r="D20" s="133">
        <f>'Ячейка 24'!H23+'Ячейка 2'!H23+'Ячейка 3'!H23+'Ячейка 4'!H23+'Ячейка 36'!H23+'Ячейка 37'!H23</f>
        <v>6922.7999999893655</v>
      </c>
      <c r="E20" s="133"/>
      <c r="F20" s="132">
        <f t="shared" si="0"/>
        <v>0.58370010623564939</v>
      </c>
      <c r="G20" s="132"/>
      <c r="H20" s="106"/>
      <c r="I20" s="106"/>
      <c r="J20" s="106"/>
      <c r="K20" s="106"/>
      <c r="L20" s="106"/>
      <c r="M20" s="10"/>
      <c r="N20" s="137" t="s">
        <v>133</v>
      </c>
      <c r="O20" s="137"/>
      <c r="P20" s="137"/>
      <c r="Q20" s="137"/>
      <c r="R20" s="8"/>
      <c r="S20" s="8"/>
      <c r="T20" s="8"/>
      <c r="U20" s="8"/>
      <c r="V20" s="8"/>
      <c r="W20" s="9"/>
    </row>
    <row r="21" spans="1:23" ht="20.100000000000001" customHeight="1">
      <c r="A21" s="5" t="s">
        <v>13</v>
      </c>
      <c r="B21" s="27">
        <f>'Ячейка 24'!D24+'Ячейка 2'!D24+'Ячейка 3'!D24+'Ячейка 4'!D24+'Ячейка 36'!D24+'Ячейка 37'!D24</f>
        <v>11933.999999992011</v>
      </c>
      <c r="C21" s="27"/>
      <c r="D21" s="133">
        <f>'Ячейка 24'!H24+'Ячейка 2'!H24+'Ячейка 3'!H24+'Ячейка 4'!H24+'Ячейка 36'!H24+'Ячейка 37'!H24</f>
        <v>6818.4000000114793</v>
      </c>
      <c r="E21" s="133"/>
      <c r="F21" s="132">
        <f t="shared" si="0"/>
        <v>0.57134238310843333</v>
      </c>
      <c r="G21" s="132"/>
      <c r="H21" s="106"/>
      <c r="I21" s="106"/>
      <c r="J21" s="106"/>
      <c r="K21" s="106"/>
      <c r="L21" s="106"/>
      <c r="M21" s="10"/>
      <c r="N21" s="138" t="s">
        <v>134</v>
      </c>
      <c r="O21" s="138"/>
      <c r="P21" s="138"/>
      <c r="Q21" s="138"/>
      <c r="R21" s="8"/>
      <c r="S21" s="8"/>
      <c r="T21" s="8"/>
      <c r="U21" s="8"/>
      <c r="V21" s="8"/>
      <c r="W21" s="9"/>
    </row>
    <row r="22" spans="1:23" ht="20.100000000000001" customHeight="1">
      <c r="A22" s="5" t="s">
        <v>14</v>
      </c>
      <c r="B22" s="27">
        <f>'Ячейка 24'!D25+'Ячейка 2'!D25+'Ячейка 3'!D25+'Ячейка 4'!D25+'Ячейка 36'!D25+'Ячейка 37'!D25</f>
        <v>12095.999999992273</v>
      </c>
      <c r="C22" s="27"/>
      <c r="D22" s="133">
        <f>'Ячейка 24'!H25+'Ячейка 2'!H25+'Ячейка 3'!H25+'Ячейка 4'!H25+'Ячейка 36'!H25+'Ячейка 37'!H25</f>
        <v>6769.7999999868443</v>
      </c>
      <c r="E22" s="133"/>
      <c r="F22" s="132">
        <f t="shared" si="0"/>
        <v>0.55967261904688892</v>
      </c>
      <c r="G22" s="132"/>
      <c r="H22" s="106"/>
      <c r="I22" s="106"/>
      <c r="J22" s="106"/>
      <c r="K22" s="106"/>
      <c r="L22" s="106"/>
    </row>
    <row r="23" spans="1:23" ht="20.100000000000001" customHeight="1">
      <c r="A23" s="5" t="s">
        <v>15</v>
      </c>
      <c r="B23" s="27">
        <f>'Ячейка 24'!D26+'Ячейка 2'!D26+'Ячейка 3'!D26+'Ячейка 4'!D26+'Ячейка 36'!D26+'Ячейка 37'!D26</f>
        <v>12646.80000001772</v>
      </c>
      <c r="C23" s="27"/>
      <c r="D23" s="133">
        <f>'Ячейка 24'!H26+'Ячейка 2'!H26+'Ячейка 3'!H26+'Ячейка 4'!H26+'Ячейка 36'!H26+'Ячейка 37'!H26</f>
        <v>6933.6000000112108</v>
      </c>
      <c r="E23" s="133"/>
      <c r="F23" s="132">
        <f t="shared" si="0"/>
        <v>0.54824935952189457</v>
      </c>
      <c r="G23" s="132"/>
      <c r="H23" s="106"/>
      <c r="I23" s="106"/>
      <c r="J23" s="106"/>
      <c r="K23" s="106"/>
      <c r="L23" s="106"/>
    </row>
    <row r="24" spans="1:23" ht="20.100000000000001" customHeight="1">
      <c r="A24" s="5" t="s">
        <v>16</v>
      </c>
      <c r="B24" s="27">
        <f>'Ячейка 24'!D27+'Ячейка 2'!D27+'Ячейка 3'!D27+'Ячейка 4'!D27+'Ячейка 36'!D27+'Ячейка 37'!D27</f>
        <v>13262.399999985973</v>
      </c>
      <c r="C24" s="27"/>
      <c r="D24" s="133">
        <f>'Ячейка 24'!H27+'Ячейка 2'!H27+'Ячейка 3'!H27+'Ячейка 4'!H27+'Ячейка 36'!H27+'Ячейка 37'!H27</f>
        <v>7308.0000000113614</v>
      </c>
      <c r="E24" s="133"/>
      <c r="F24" s="132">
        <f t="shared" si="0"/>
        <v>0.55103148751501163</v>
      </c>
      <c r="G24" s="132"/>
      <c r="H24" s="106"/>
      <c r="I24" s="106"/>
      <c r="J24" s="106"/>
      <c r="K24" s="106"/>
      <c r="L24" s="106"/>
      <c r="N24" s="97" t="s">
        <v>135</v>
      </c>
      <c r="O24" s="97"/>
      <c r="P24" s="97"/>
      <c r="Q24" s="97"/>
      <c r="R24" s="97"/>
      <c r="S24" s="97"/>
      <c r="T24" s="97"/>
      <c r="U24" s="97"/>
      <c r="V24" s="97"/>
    </row>
    <row r="25" spans="1:23" ht="20.100000000000001" customHeight="1">
      <c r="A25" s="5" t="s">
        <v>17</v>
      </c>
      <c r="B25" s="27">
        <f>'Ячейка 24'!D28+'Ячейка 2'!D28+'Ячейка 3'!D28+'Ячейка 4'!D28+'Ячейка 36'!D28+'Ячейка 37'!D28</f>
        <v>13460.39999999357</v>
      </c>
      <c r="C25" s="27"/>
      <c r="D25" s="133">
        <f>'Ячейка 24'!H28+'Ячейка 2'!H28+'Ячейка 3'!H28+'Ячейка 4'!H28+'Ячейка 36'!H28+'Ячейка 37'!H28</f>
        <v>7273.7999999912972</v>
      </c>
      <c r="E25" s="133"/>
      <c r="F25" s="132">
        <f t="shared" si="0"/>
        <v>0.54038512971343888</v>
      </c>
      <c r="G25" s="132"/>
      <c r="H25" s="106"/>
      <c r="I25" s="106"/>
      <c r="J25" s="106"/>
      <c r="K25" s="106"/>
      <c r="L25" s="106"/>
      <c r="N25" s="21" t="s">
        <v>136</v>
      </c>
      <c r="O25" s="97" t="s">
        <v>137</v>
      </c>
      <c r="P25" s="97"/>
      <c r="Q25" s="97"/>
      <c r="R25" s="97"/>
      <c r="S25" s="97"/>
      <c r="T25" s="97"/>
      <c r="U25" s="97"/>
      <c r="V25" s="97"/>
    </row>
    <row r="26" spans="1:23" ht="20.100000000000001" customHeight="1">
      <c r="A26" s="5" t="s">
        <v>18</v>
      </c>
      <c r="B26" s="27">
        <f>'Ячейка 24'!D29+'Ячейка 2'!D29+'Ячейка 3'!D29+'Ячейка 4'!D29+'Ячейка 36'!D29+'Ячейка 37'!D29</f>
        <v>13570.199999994657</v>
      </c>
      <c r="C26" s="27"/>
      <c r="D26" s="133">
        <f>'Ячейка 24'!H29+'Ячейка 2'!H29+'Ячейка 3'!H29+'Ячейка 4'!H29+'Ячейка 36'!H29+'Ячейка 37'!H29</f>
        <v>7342.2000000027765</v>
      </c>
      <c r="E26" s="133"/>
      <c r="F26" s="132">
        <f t="shared" si="0"/>
        <v>0.54105319007867736</v>
      </c>
      <c r="G26" s="132"/>
      <c r="H26" s="106"/>
      <c r="I26" s="106"/>
      <c r="J26" s="106"/>
      <c r="K26" s="106"/>
      <c r="L26" s="106"/>
      <c r="N26" s="21" t="s">
        <v>138</v>
      </c>
      <c r="O26" s="97" t="s">
        <v>188</v>
      </c>
      <c r="P26" s="97"/>
      <c r="Q26" s="97"/>
      <c r="R26" s="97"/>
      <c r="S26" s="97"/>
      <c r="T26" s="97"/>
      <c r="U26" s="97"/>
      <c r="V26" s="97"/>
    </row>
    <row r="27" spans="1:23" ht="20.100000000000001" customHeight="1">
      <c r="A27" s="5" t="s">
        <v>19</v>
      </c>
      <c r="B27" s="27">
        <f>'Ячейка 24'!D30+'Ячейка 2'!D30+'Ячейка 3'!D30+'Ячейка 4'!D30+'Ячейка 36'!D30+'Ячейка 37'!D30</f>
        <v>13516.200000024583</v>
      </c>
      <c r="C27" s="27"/>
      <c r="D27" s="133">
        <f>'Ячейка 24'!H30+'Ячейка 2'!H30+'Ячейка 3'!H30+'Ячейка 4'!H30+'Ячейка 36'!H30+'Ячейка 37'!H30</f>
        <v>7379.9999999851025</v>
      </c>
      <c r="E27" s="133"/>
      <c r="F27" s="132">
        <f t="shared" si="0"/>
        <v>0.54601145292106357</v>
      </c>
      <c r="G27" s="132"/>
      <c r="H27" s="106"/>
      <c r="I27" s="106"/>
      <c r="J27" s="106"/>
      <c r="K27" s="106"/>
      <c r="L27" s="106"/>
      <c r="N27" s="21" t="s">
        <v>139</v>
      </c>
      <c r="O27" s="97" t="s">
        <v>140</v>
      </c>
      <c r="P27" s="97"/>
      <c r="Q27" s="97"/>
      <c r="R27" s="97"/>
      <c r="S27" s="97"/>
      <c r="T27" s="97"/>
      <c r="U27" s="97"/>
      <c r="V27" s="97"/>
    </row>
    <row r="28" spans="1:23" ht="20.100000000000001" customHeight="1">
      <c r="A28" s="5" t="s">
        <v>20</v>
      </c>
      <c r="B28" s="27">
        <f>'Ячейка 24'!D31+'Ячейка 2'!D31+'Ячейка 3'!D31+'Ячейка 4'!D31+'Ячейка 36'!D31+'Ячейка 37'!D31</f>
        <v>13327.199999977893</v>
      </c>
      <c r="C28" s="27"/>
      <c r="D28" s="133">
        <f>'Ячейка 24'!H31+'Ячейка 2'!H31+'Ячейка 3'!H31+'Ячейка 4'!H31+'Ячейка 36'!H31+'Ячейка 37'!H31</f>
        <v>7372.799999999188</v>
      </c>
      <c r="E28" s="133"/>
      <c r="F28" s="132">
        <f t="shared" si="0"/>
        <v>0.55321447866104045</v>
      </c>
      <c r="G28" s="132"/>
      <c r="H28" s="106"/>
      <c r="I28" s="106"/>
      <c r="J28" s="106"/>
      <c r="K28" s="106"/>
      <c r="L28" s="106"/>
      <c r="N28" s="21"/>
      <c r="O28" s="97" t="s">
        <v>141</v>
      </c>
      <c r="P28" s="97"/>
      <c r="Q28" s="97"/>
      <c r="R28" s="97"/>
      <c r="S28" s="97"/>
      <c r="T28" s="97"/>
      <c r="U28" s="97"/>
      <c r="V28" s="97"/>
    </row>
    <row r="29" spans="1:23" ht="20.100000000000001" customHeight="1">
      <c r="A29" s="5" t="s">
        <v>21</v>
      </c>
      <c r="B29" s="27">
        <f>'Ячейка 24'!D32+'Ячейка 2'!D32+'Ячейка 3'!D32+'Ячейка 4'!D32+'Ячейка 36'!D32+'Ячейка 37'!D32</f>
        <v>13069.800000022042</v>
      </c>
      <c r="C29" s="27"/>
      <c r="D29" s="133">
        <f>'Ячейка 24'!H32+'Ячейка 2'!H32+'Ячейка 3'!H32+'Ячейка 4'!H32+'Ячейка 36'!H32+'Ячейка 37'!H32</f>
        <v>7248.5999999935302</v>
      </c>
      <c r="E29" s="133"/>
      <c r="F29" s="132">
        <f t="shared" si="0"/>
        <v>0.55460680346916602</v>
      </c>
      <c r="G29" s="132"/>
      <c r="H29" s="106"/>
      <c r="I29" s="106"/>
      <c r="J29" s="106"/>
      <c r="K29" s="106"/>
      <c r="L29" s="106"/>
      <c r="N29" s="21"/>
      <c r="O29" s="97" t="s">
        <v>142</v>
      </c>
      <c r="P29" s="97"/>
      <c r="Q29" s="97"/>
      <c r="R29" s="97"/>
      <c r="S29" s="97"/>
      <c r="T29" s="97"/>
      <c r="U29" s="97"/>
      <c r="V29" s="97"/>
    </row>
    <row r="30" spans="1:23" ht="20.100000000000001" customHeight="1">
      <c r="A30" s="5" t="s">
        <v>22</v>
      </c>
      <c r="B30" s="27">
        <f>'Ячейка 24'!D33+'Ячейка 2'!D33+'Ячейка 3'!D33+'Ячейка 4'!D33+'Ячейка 36'!D33+'Ячейка 37'!D33</f>
        <v>12995.999999987362</v>
      </c>
      <c r="C30" s="27"/>
      <c r="D30" s="133">
        <f>'Ячейка 24'!H33+'Ячейка 2'!H33+'Ячейка 3'!H33+'Ячейка 4'!H33+'Ячейка 36'!H33+'Ячейка 37'!H33</f>
        <v>7255.800000004001</v>
      </c>
      <c r="E30" s="133"/>
      <c r="F30" s="132">
        <f t="shared" si="0"/>
        <v>0.55831024930833006</v>
      </c>
      <c r="G30" s="132"/>
      <c r="H30" s="106"/>
      <c r="I30" s="106"/>
      <c r="J30" s="106"/>
      <c r="K30" s="106"/>
      <c r="L30" s="106"/>
      <c r="N30" s="21" t="s">
        <v>143</v>
      </c>
      <c r="O30" s="97" t="s">
        <v>144</v>
      </c>
      <c r="P30" s="97"/>
      <c r="Q30" s="97"/>
      <c r="R30" s="97"/>
      <c r="S30" s="97"/>
      <c r="T30" s="97"/>
      <c r="U30" s="97"/>
      <c r="V30" s="97"/>
    </row>
    <row r="31" spans="1:23" ht="20.100000000000001" customHeight="1">
      <c r="A31" s="5" t="s">
        <v>23</v>
      </c>
      <c r="B31" s="27">
        <f>'Ячейка 24'!D34+'Ячейка 2'!D34+'Ячейка 3'!D34+'Ячейка 4'!D34+'Ячейка 36'!D34+'Ячейка 37'!D34</f>
        <v>12826.799999997093</v>
      </c>
      <c r="C31" s="27"/>
      <c r="D31" s="133">
        <f>'Ячейка 24'!H34+'Ячейка 2'!H34+'Ячейка 3'!H34+'Ячейка 4'!H34+'Ячейка 36'!H34+'Ячейка 37'!H34</f>
        <v>7162.2000000111257</v>
      </c>
      <c r="E31" s="133"/>
      <c r="F31" s="132">
        <f t="shared" si="0"/>
        <v>0.55837777154183033</v>
      </c>
      <c r="G31" s="132"/>
      <c r="H31" s="106"/>
      <c r="I31" s="106"/>
      <c r="J31" s="106"/>
      <c r="K31" s="106"/>
      <c r="L31" s="106"/>
      <c r="N31" s="21"/>
      <c r="O31" s="97" t="s">
        <v>145</v>
      </c>
      <c r="P31" s="97"/>
      <c r="Q31" s="97"/>
      <c r="R31" s="97"/>
      <c r="S31" s="97"/>
      <c r="T31" s="97"/>
      <c r="U31" s="97"/>
      <c r="V31" s="97"/>
    </row>
    <row r="32" spans="1:23" ht="20.100000000000001" customHeight="1">
      <c r="A32" s="5" t="s">
        <v>24</v>
      </c>
      <c r="B32" s="27">
        <f>'Ячейка 24'!D35+'Ячейка 2'!D35+'Ячейка 3'!D35+'Ячейка 4'!D35+'Ячейка 36'!D35+'Ячейка 37'!D35</f>
        <v>12803.399999990688</v>
      </c>
      <c r="C32" s="27"/>
      <c r="D32" s="133">
        <f>'Ячейка 24'!H35+'Ячейка 2'!H35+'Ячейка 3'!H35+'Ячейка 4'!H35+'Ячейка 36'!H35+'Ячейка 37'!H35</f>
        <v>7059.6000000041386</v>
      </c>
      <c r="E32" s="133"/>
      <c r="F32" s="132">
        <f t="shared" si="0"/>
        <v>0.55138478841630134</v>
      </c>
      <c r="G32" s="132"/>
      <c r="H32" s="106"/>
      <c r="I32" s="106"/>
      <c r="J32" s="106"/>
      <c r="K32" s="106"/>
      <c r="L32" s="106"/>
      <c r="N32" s="21" t="s">
        <v>146</v>
      </c>
      <c r="O32" s="97" t="s">
        <v>147</v>
      </c>
      <c r="P32" s="97"/>
      <c r="Q32" s="97"/>
      <c r="R32" s="97"/>
      <c r="S32" s="97"/>
      <c r="T32" s="97"/>
      <c r="U32" s="97"/>
      <c r="V32" s="97"/>
    </row>
    <row r="33" spans="1:24" ht="20.100000000000001" customHeight="1">
      <c r="A33" s="5" t="s">
        <v>25</v>
      </c>
      <c r="B33" s="27">
        <f>'Ячейка 24'!D36+'Ячейка 2'!D36+'Ячейка 3'!D36+'Ячейка 4'!D36+'Ячейка 36'!D36+'Ячейка 37'!D36</f>
        <v>12911.39999999632</v>
      </c>
      <c r="C33" s="27"/>
      <c r="D33" s="133">
        <f>'Ячейка 24'!H36+'Ячейка 2'!H36+'Ячейка 3'!H36+'Ячейка 4'!H36+'Ячейка 36'!H36+'Ячейка 37'!H36</f>
        <v>6965.9999999907996</v>
      </c>
      <c r="E33" s="133"/>
      <c r="F33" s="132">
        <f t="shared" si="0"/>
        <v>0.53952321204461062</v>
      </c>
      <c r="G33" s="132"/>
      <c r="H33" s="106"/>
      <c r="I33" s="106"/>
      <c r="J33" s="106"/>
      <c r="K33" s="106"/>
      <c r="L33" s="106"/>
      <c r="N33" s="21" t="s">
        <v>148</v>
      </c>
      <c r="O33" s="97" t="s">
        <v>149</v>
      </c>
      <c r="P33" s="97"/>
      <c r="Q33" s="97"/>
      <c r="R33" s="97"/>
      <c r="S33" s="97"/>
      <c r="T33" s="97"/>
      <c r="U33" s="97"/>
      <c r="V33" s="97"/>
    </row>
    <row r="34" spans="1:24" ht="20.100000000000001" customHeight="1">
      <c r="A34" s="5" t="s">
        <v>26</v>
      </c>
      <c r="B34" s="27">
        <f>'Ячейка 24'!D37+'Ячейка 2'!D37+'Ячейка 3'!D37+'Ячейка 4'!D37+'Ячейка 36'!D37+'Ячейка 37'!D37</f>
        <v>12936.59999999818</v>
      </c>
      <c r="C34" s="27"/>
      <c r="D34" s="133">
        <f>'Ячейка 24'!H37+'Ячейка 2'!H37+'Ячейка 3'!H37+'Ячейка 4'!H37+'Ячейка 36'!H37+'Ячейка 37'!H37</f>
        <v>7023.5999999927117</v>
      </c>
      <c r="E34" s="133"/>
      <c r="F34" s="132">
        <f t="shared" si="0"/>
        <v>0.54292472519778767</v>
      </c>
      <c r="G34" s="132"/>
      <c r="H34" s="106"/>
      <c r="I34" s="106"/>
      <c r="J34" s="106"/>
      <c r="K34" s="106"/>
      <c r="L34" s="106"/>
    </row>
    <row r="35" spans="1:24" ht="20.100000000000001" customHeight="1">
      <c r="A35" s="5" t="s">
        <v>27</v>
      </c>
      <c r="B35" s="27">
        <f>'Ячейка 24'!D38+'Ячейка 2'!D38+'Ячейка 3'!D38+'Ячейка 4'!D38+'Ячейка 36'!D38+'Ячейка 37'!D38</f>
        <v>12929.399999999987</v>
      </c>
      <c r="C35" s="27"/>
      <c r="D35" s="133">
        <f>'Ячейка 24'!H38+'Ячейка 2'!H38+'Ячейка 3'!H38+'Ячейка 4'!H38+'Ячейка 36'!H38+'Ячейка 37'!H38</f>
        <v>7066.8000000146094</v>
      </c>
      <c r="E35" s="133"/>
      <c r="F35" s="132">
        <f t="shared" si="0"/>
        <v>0.54656828623251008</v>
      </c>
      <c r="G35" s="132"/>
      <c r="H35" s="106"/>
      <c r="I35" s="106"/>
      <c r="J35" s="106"/>
      <c r="K35" s="106"/>
      <c r="L35" s="106"/>
    </row>
    <row r="36" spans="1:24" ht="20.100000000000001" customHeight="1">
      <c r="A36" s="5" t="s">
        <v>28</v>
      </c>
      <c r="B36" s="27">
        <f>'Ячейка 24'!D39+'Ячейка 2'!D39+'Ячейка 3'!D39+'Ячейка 4'!D39+'Ячейка 36'!D39+'Ячейка 37'!D39</f>
        <v>12945.599999983642</v>
      </c>
      <c r="C36" s="27"/>
      <c r="D36" s="133">
        <f>'Ячейка 24'!H39+'Ячейка 2'!H39+'Ячейка 3'!H39+'Ячейка 4'!H39+'Ячейка 36'!H39+'Ячейка 37'!H39</f>
        <v>7127.9999999910615</v>
      </c>
      <c r="E36" s="133"/>
      <c r="F36" s="132">
        <f t="shared" si="0"/>
        <v>0.55061179087875944</v>
      </c>
      <c r="G36" s="132"/>
      <c r="H36" s="106"/>
      <c r="I36" s="106"/>
      <c r="J36" s="106"/>
      <c r="K36" s="106"/>
      <c r="L36" s="106"/>
    </row>
    <row r="37" spans="1:24" ht="20.100000000000001" customHeight="1">
      <c r="A37" s="5" t="s">
        <v>29</v>
      </c>
      <c r="B37" s="27">
        <f>'Ячейка 24'!D40+'Ячейка 2'!D40+'Ячейка 3'!D40+'Ячейка 4'!D40+'Ячейка 36'!D40+'Ячейка 37'!D40</f>
        <v>12904.200000022684</v>
      </c>
      <c r="C37" s="27"/>
      <c r="D37" s="133">
        <f>'Ячейка 24'!H40+'Ячейка 2'!H40+'Ячейка 3'!H40+'Ячейка 4'!H40+'Ячейка 36'!H40+'Ячейка 37'!H40</f>
        <v>7235.9999999966931</v>
      </c>
      <c r="E37" s="133"/>
      <c r="F37" s="132">
        <f t="shared" si="0"/>
        <v>0.56074766355015992</v>
      </c>
      <c r="G37" s="132"/>
      <c r="H37" s="106"/>
      <c r="I37" s="106"/>
      <c r="J37" s="106"/>
      <c r="K37" s="106"/>
      <c r="L37" s="106"/>
    </row>
    <row r="38" spans="1:24" ht="20.100000000000001" customHeight="1">
      <c r="A38" s="5" t="s">
        <v>30</v>
      </c>
      <c r="B38" s="27">
        <f>'Ячейка 24'!D41+'Ячейка 2'!D41+'Ячейка 3'!D41+'Ячейка 4'!D41+'Ячейка 36'!D41+'Ячейка 37'!D41</f>
        <v>12781.800000004296</v>
      </c>
      <c r="C38" s="27"/>
      <c r="D38" s="133">
        <f>'Ячейка 24'!H41+'Ячейка 2'!H41+'Ячейка 3'!H41+'Ячейка 4'!H41+'Ячейка 36'!H41+'Ячейка 37'!H41</f>
        <v>7250.4000000053566</v>
      </c>
      <c r="E38" s="133"/>
      <c r="F38" s="132">
        <f t="shared" si="0"/>
        <v>0.56724405013401236</v>
      </c>
      <c r="G38" s="132"/>
      <c r="H38" s="106"/>
      <c r="I38" s="106"/>
      <c r="J38" s="106"/>
      <c r="K38" s="106"/>
      <c r="L38" s="106"/>
    </row>
    <row r="39" spans="1:24" ht="20.100000000000001" customHeight="1">
      <c r="A39" s="5" t="s">
        <v>31</v>
      </c>
      <c r="B39" s="27">
        <f>'Ячейка 24'!D42+'Ячейка 2'!D42+'Ячейка 3'!D42+'Ячейка 4'!D42+'Ячейка 36'!D42+'Ячейка 37'!D42</f>
        <v>12657.599999974082</v>
      </c>
      <c r="C39" s="27"/>
      <c r="D39" s="133">
        <f>'Ячейка 24'!H42+'Ячейка 2'!H42+'Ячейка 3'!H42+'Ячейка 4'!H42+'Ячейка 36'!H42+'Ячейка 37'!H42</f>
        <v>7156.800000000203</v>
      </c>
      <c r="E39" s="133"/>
      <c r="F39" s="132">
        <f t="shared" si="0"/>
        <v>0.56541524459730574</v>
      </c>
      <c r="G39" s="132"/>
      <c r="H39" s="106"/>
      <c r="I39" s="106"/>
      <c r="J39" s="106"/>
      <c r="K39" s="106"/>
      <c r="L39" s="106"/>
      <c r="P39" s="57" t="s">
        <v>150</v>
      </c>
      <c r="Q39" s="57"/>
      <c r="R39" s="57"/>
      <c r="S39" s="56" t="s">
        <v>391</v>
      </c>
      <c r="T39" s="56"/>
      <c r="U39" s="56"/>
      <c r="V39" s="56"/>
      <c r="W39" s="56"/>
      <c r="X39" s="56"/>
    </row>
    <row r="40" spans="1:24" ht="20.100000000000001" customHeight="1">
      <c r="A40" s="5" t="s">
        <v>32</v>
      </c>
      <c r="B40" s="27">
        <f>SUM(B15:B39)</f>
        <v>305292.59999996889</v>
      </c>
      <c r="C40" s="27"/>
      <c r="D40" s="133">
        <f>SUM(D15:E39)</f>
        <v>170638.20000000077</v>
      </c>
      <c r="E40" s="133"/>
      <c r="F40" s="132">
        <f t="shared" si="0"/>
        <v>0.55893329874362552</v>
      </c>
      <c r="G40" s="132"/>
      <c r="H40" s="106"/>
      <c r="I40" s="106"/>
      <c r="J40" s="106"/>
      <c r="K40" s="106"/>
      <c r="L40" s="106"/>
    </row>
    <row r="41" spans="1:24" ht="20.100000000000001" customHeight="1">
      <c r="A41" s="5" t="s">
        <v>33</v>
      </c>
      <c r="B41" s="5"/>
      <c r="C41" s="5"/>
      <c r="D41" s="123"/>
      <c r="E41" s="123"/>
      <c r="F41" s="132"/>
      <c r="G41" s="132"/>
      <c r="H41" s="106"/>
      <c r="I41" s="106"/>
      <c r="J41" s="106"/>
      <c r="K41" s="106"/>
      <c r="L41" s="106"/>
    </row>
    <row r="42" spans="1:24" ht="20.100000000000001" customHeight="1">
      <c r="A42" s="131" t="s">
        <v>2</v>
      </c>
      <c r="B42" s="107" t="s">
        <v>37</v>
      </c>
      <c r="C42" s="108"/>
      <c r="D42" s="131"/>
      <c r="E42" s="107" t="s">
        <v>40</v>
      </c>
      <c r="F42" s="108"/>
      <c r="G42" s="108"/>
      <c r="H42" s="108"/>
      <c r="I42" s="131"/>
      <c r="J42" s="100" t="s">
        <v>5</v>
      </c>
      <c r="K42" s="112"/>
      <c r="L42" s="112"/>
    </row>
    <row r="43" spans="1:24" ht="39" customHeight="1">
      <c r="A43" s="131"/>
      <c r="B43" s="123" t="s">
        <v>38</v>
      </c>
      <c r="C43" s="123"/>
      <c r="D43" s="5" t="s">
        <v>39</v>
      </c>
      <c r="E43" s="107" t="s">
        <v>41</v>
      </c>
      <c r="F43" s="108"/>
      <c r="G43" s="131"/>
      <c r="H43" s="107" t="s">
        <v>42</v>
      </c>
      <c r="I43" s="131"/>
      <c r="J43" s="103"/>
      <c r="K43" s="111"/>
      <c r="L43" s="111"/>
    </row>
    <row r="44" spans="1:24" ht="20.100000000000001" customHeight="1">
      <c r="A44" s="4" t="s">
        <v>153</v>
      </c>
      <c r="B44" s="128">
        <f>SUM(B24:B26)</f>
        <v>40292.999999974199</v>
      </c>
      <c r="C44" s="129"/>
      <c r="D44" s="27">
        <f>SUM(D24:E26)</f>
        <v>21924.000000005435</v>
      </c>
      <c r="E44" s="128">
        <f>B44/3</f>
        <v>13430.9999999914</v>
      </c>
      <c r="F44" s="130"/>
      <c r="G44" s="129"/>
      <c r="H44" s="128">
        <f>D44/3</f>
        <v>7308.0000000018117</v>
      </c>
      <c r="I44" s="129"/>
      <c r="J44" s="125">
        <f>H44/E44</f>
        <v>0.54411436229666377</v>
      </c>
      <c r="K44" s="126"/>
      <c r="L44" s="126"/>
    </row>
    <row r="45" spans="1:24" ht="20.100000000000001" customHeight="1">
      <c r="A45" s="4" t="s">
        <v>43</v>
      </c>
      <c r="B45" s="128">
        <f>SUM(B33:B36)</f>
        <v>51722.999999978128</v>
      </c>
      <c r="C45" s="129"/>
      <c r="D45" s="27">
        <f>SUM(D33:E36)</f>
        <v>28184.399999989182</v>
      </c>
      <c r="E45" s="128">
        <f>B45/4</f>
        <v>12930.749999994532</v>
      </c>
      <c r="F45" s="130"/>
      <c r="G45" s="129"/>
      <c r="H45" s="128">
        <f>D45/4</f>
        <v>7046.0999999972955</v>
      </c>
      <c r="I45" s="129"/>
      <c r="J45" s="125">
        <f>H45/E45</f>
        <v>0.54491038802855785</v>
      </c>
      <c r="K45" s="126"/>
      <c r="L45" s="126"/>
    </row>
    <row r="46" spans="1:24" ht="20.100000000000001" customHeight="1">
      <c r="A46" s="4" t="s">
        <v>44</v>
      </c>
      <c r="B46" s="128">
        <f>SUM(B16:B39)</f>
        <v>305292.59999996889</v>
      </c>
      <c r="C46" s="129"/>
      <c r="D46" s="27">
        <f>SUM(D16:E39)</f>
        <v>170638.20000000077</v>
      </c>
      <c r="E46" s="128">
        <f>B46/24</f>
        <v>12720.524999998705</v>
      </c>
      <c r="F46" s="130"/>
      <c r="G46" s="129"/>
      <c r="H46" s="128">
        <f>D46/24</f>
        <v>7109.925000000032</v>
      </c>
      <c r="I46" s="129"/>
      <c r="J46" s="125">
        <f>H46/E46</f>
        <v>0.55893329874362541</v>
      </c>
      <c r="K46" s="126"/>
      <c r="L46" s="126"/>
    </row>
    <row r="47" spans="1:24" ht="20.100000000000001" customHeight="1"/>
    <row r="48" spans="1:24" ht="20.100000000000001" customHeight="1"/>
    <row r="49" spans="3:9" ht="20.100000000000001" customHeight="1"/>
    <row r="50" spans="3:9" ht="20.100000000000001" customHeight="1">
      <c r="C50" s="91" t="s">
        <v>194</v>
      </c>
      <c r="D50" s="91"/>
      <c r="E50" s="91"/>
      <c r="F50" s="91"/>
      <c r="G50" s="91"/>
      <c r="H50" s="91"/>
      <c r="I50" s="91"/>
    </row>
    <row r="51" spans="3:9" ht="20.100000000000001" customHeight="1"/>
  </sheetData>
  <mergeCells count="173">
    <mergeCell ref="S39:X39"/>
    <mergeCell ref="H46:I46"/>
    <mergeCell ref="E42:I42"/>
    <mergeCell ref="E43:G43"/>
    <mergeCell ref="H43:I43"/>
    <mergeCell ref="E44:G44"/>
    <mergeCell ref="H44:I44"/>
    <mergeCell ref="J46:L46"/>
    <mergeCell ref="J42:L43"/>
    <mergeCell ref="J44:L44"/>
    <mergeCell ref="J45:L45"/>
    <mergeCell ref="H45:I45"/>
    <mergeCell ref="H41:L41"/>
    <mergeCell ref="H40:L40"/>
    <mergeCell ref="A1:E1"/>
    <mergeCell ref="A2:E2"/>
    <mergeCell ref="A3:E3"/>
    <mergeCell ref="A4:E4"/>
    <mergeCell ref="A5:E5"/>
    <mergeCell ref="A6:E6"/>
    <mergeCell ref="B46:C46"/>
    <mergeCell ref="E46:G46"/>
    <mergeCell ref="B44:C44"/>
    <mergeCell ref="B45:C45"/>
    <mergeCell ref="D41:E41"/>
    <mergeCell ref="E45:G45"/>
    <mergeCell ref="F41:G41"/>
    <mergeCell ref="B42:D42"/>
    <mergeCell ref="F40:G40"/>
    <mergeCell ref="D38:E38"/>
    <mergeCell ref="F23:G23"/>
    <mergeCell ref="F39:G39"/>
    <mergeCell ref="F16:G16"/>
    <mergeCell ref="F17:G17"/>
    <mergeCell ref="F18:G18"/>
    <mergeCell ref="F19:G19"/>
    <mergeCell ref="F20:G20"/>
    <mergeCell ref="F35:G35"/>
    <mergeCell ref="H35:L35"/>
    <mergeCell ref="H36:L36"/>
    <mergeCell ref="H19:L19"/>
    <mergeCell ref="H38:L38"/>
    <mergeCell ref="H39:L39"/>
    <mergeCell ref="H29:L29"/>
    <mergeCell ref="H30:L30"/>
    <mergeCell ref="H31:L31"/>
    <mergeCell ref="H32:L32"/>
    <mergeCell ref="H25:L25"/>
    <mergeCell ref="H26:L26"/>
    <mergeCell ref="H27:L27"/>
    <mergeCell ref="H20:L20"/>
    <mergeCell ref="F33:G33"/>
    <mergeCell ref="F34:G34"/>
    <mergeCell ref="F27:G27"/>
    <mergeCell ref="F28:G28"/>
    <mergeCell ref="F29:G29"/>
    <mergeCell ref="F30:G30"/>
    <mergeCell ref="H28:L28"/>
    <mergeCell ref="H24:L24"/>
    <mergeCell ref="H33:L33"/>
    <mergeCell ref="H34:L34"/>
    <mergeCell ref="A42:A43"/>
    <mergeCell ref="B43:C43"/>
    <mergeCell ref="D26:E26"/>
    <mergeCell ref="D40:E40"/>
    <mergeCell ref="D33:E33"/>
    <mergeCell ref="D34:E34"/>
    <mergeCell ref="D28:E28"/>
    <mergeCell ref="D39:E39"/>
    <mergeCell ref="F21:G21"/>
    <mergeCell ref="F22:G22"/>
    <mergeCell ref="D37:E37"/>
    <mergeCell ref="D25:E25"/>
    <mergeCell ref="F24:G24"/>
    <mergeCell ref="F25:G25"/>
    <mergeCell ref="F26:G26"/>
    <mergeCell ref="D21:E21"/>
    <mergeCell ref="D22:E22"/>
    <mergeCell ref="D29:E29"/>
    <mergeCell ref="D30:E30"/>
    <mergeCell ref="D31:E31"/>
    <mergeCell ref="D32:E32"/>
    <mergeCell ref="F36:G36"/>
    <mergeCell ref="F37:G37"/>
    <mergeCell ref="F31:G31"/>
    <mergeCell ref="D35:E35"/>
    <mergeCell ref="D36:E36"/>
    <mergeCell ref="F38:G38"/>
    <mergeCell ref="A7:L7"/>
    <mergeCell ref="F12:G13"/>
    <mergeCell ref="H12:L12"/>
    <mergeCell ref="I9:L9"/>
    <mergeCell ref="F9:H9"/>
    <mergeCell ref="A9:E9"/>
    <mergeCell ref="A8:L8"/>
    <mergeCell ref="D14:E14"/>
    <mergeCell ref="D15:E15"/>
    <mergeCell ref="F14:G14"/>
    <mergeCell ref="F15:G15"/>
    <mergeCell ref="H14:L14"/>
    <mergeCell ref="H15:L15"/>
    <mergeCell ref="H16:L16"/>
    <mergeCell ref="H17:L17"/>
    <mergeCell ref="H18:L18"/>
    <mergeCell ref="H21:L21"/>
    <mergeCell ref="H22:L22"/>
    <mergeCell ref="H23:L23"/>
    <mergeCell ref="H37:L37"/>
    <mergeCell ref="F32:G32"/>
    <mergeCell ref="O33:V33"/>
    <mergeCell ref="O26:V26"/>
    <mergeCell ref="O27:V27"/>
    <mergeCell ref="O28:V28"/>
    <mergeCell ref="O29:V29"/>
    <mergeCell ref="P39:R39"/>
    <mergeCell ref="C50:I50"/>
    <mergeCell ref="A10:B10"/>
    <mergeCell ref="C10:H10"/>
    <mergeCell ref="A11:L11"/>
    <mergeCell ref="H13:L13"/>
    <mergeCell ref="A12:A13"/>
    <mergeCell ref="B13:C13"/>
    <mergeCell ref="D13:E13"/>
    <mergeCell ref="D20:E20"/>
    <mergeCell ref="D27:E27"/>
    <mergeCell ref="B12:E12"/>
    <mergeCell ref="D16:E16"/>
    <mergeCell ref="D17:E17"/>
    <mergeCell ref="D18:E18"/>
    <mergeCell ref="D19:E19"/>
    <mergeCell ref="D23:E23"/>
    <mergeCell ref="D24:E24"/>
    <mergeCell ref="N20:Q20"/>
    <mergeCell ref="N24:V24"/>
    <mergeCell ref="O25:V25"/>
    <mergeCell ref="U14:U18"/>
    <mergeCell ref="V14:V18"/>
    <mergeCell ref="O30:V30"/>
    <mergeCell ref="O31:V31"/>
    <mergeCell ref="O32:V32"/>
    <mergeCell ref="N10:Q10"/>
    <mergeCell ref="N11:Q11"/>
    <mergeCell ref="W14:W18"/>
    <mergeCell ref="N19:Q19"/>
    <mergeCell ref="M14:M18"/>
    <mergeCell ref="N14:Q18"/>
    <mergeCell ref="R14:T14"/>
    <mergeCell ref="T15:T18"/>
    <mergeCell ref="S15:S18"/>
    <mergeCell ref="R15:R18"/>
    <mergeCell ref="N21:Q21"/>
    <mergeCell ref="U1:W1"/>
    <mergeCell ref="R2:R3"/>
    <mergeCell ref="U2:U3"/>
    <mergeCell ref="S2:T2"/>
    <mergeCell ref="S3:T3"/>
    <mergeCell ref="V2:W2"/>
    <mergeCell ref="V3:W3"/>
    <mergeCell ref="N8:Q8"/>
    <mergeCell ref="N9:Q9"/>
    <mergeCell ref="N4:Q4"/>
    <mergeCell ref="N5:Q5"/>
    <mergeCell ref="N6:Q6"/>
    <mergeCell ref="N7:Q7"/>
    <mergeCell ref="F1:H2"/>
    <mergeCell ref="I1:L2"/>
    <mergeCell ref="M1:M3"/>
    <mergeCell ref="N1:Q3"/>
    <mergeCell ref="F5:H6"/>
    <mergeCell ref="I5:L6"/>
    <mergeCell ref="F3:H4"/>
    <mergeCell ref="I3:L4"/>
    <mergeCell ref="R1:T1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3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5.xml><?xml version="1.0" encoding="utf-8"?>
<worksheet xmlns="http://schemas.openxmlformats.org/spreadsheetml/2006/main" xmlns:r="http://schemas.openxmlformats.org/officeDocument/2006/relationships">
  <sheetPr codeName="Лист24"/>
  <dimension ref="A1:X51"/>
  <sheetViews>
    <sheetView tabSelected="1" view="pageBreakPreview" topLeftCell="A13" zoomScale="75" zoomScaleNormal="100" workbookViewId="0">
      <selection activeCell="B16" sqref="B16"/>
    </sheetView>
  </sheetViews>
  <sheetFormatPr defaultRowHeight="18.75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" style="2" customWidth="1"/>
    <col min="21" max="21" width="12.42578125" style="2" customWidth="1"/>
    <col min="22" max="22" width="13.140625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>
      <c r="A1" s="59" t="s">
        <v>161</v>
      </c>
      <c r="B1" s="59"/>
      <c r="C1" s="59"/>
      <c r="D1" s="59"/>
      <c r="E1" s="59"/>
      <c r="F1" s="63" t="s">
        <v>154</v>
      </c>
      <c r="G1" s="63"/>
      <c r="H1" s="63"/>
      <c r="I1" s="59" t="s">
        <v>163</v>
      </c>
      <c r="J1" s="59"/>
      <c r="K1" s="59"/>
      <c r="L1" s="59"/>
      <c r="M1" s="104" t="s">
        <v>115</v>
      </c>
      <c r="N1" s="98" t="s">
        <v>116</v>
      </c>
      <c r="O1" s="98"/>
      <c r="P1" s="98"/>
      <c r="Q1" s="98"/>
      <c r="R1" s="123" t="s">
        <v>117</v>
      </c>
      <c r="S1" s="123"/>
      <c r="T1" s="123"/>
      <c r="U1" s="123" t="s">
        <v>118</v>
      </c>
      <c r="V1" s="123"/>
      <c r="W1" s="107"/>
    </row>
    <row r="2" spans="1:23" ht="18.75" customHeight="1">
      <c r="A2" s="61" t="s">
        <v>45</v>
      </c>
      <c r="B2" s="61"/>
      <c r="C2" s="61"/>
      <c r="D2" s="61"/>
      <c r="E2" s="61"/>
      <c r="F2" s="63"/>
      <c r="G2" s="63"/>
      <c r="H2" s="63"/>
      <c r="I2" s="59"/>
      <c r="J2" s="59"/>
      <c r="K2" s="59"/>
      <c r="L2" s="59"/>
      <c r="M2" s="95"/>
      <c r="N2" s="99"/>
      <c r="O2" s="99"/>
      <c r="P2" s="99"/>
      <c r="Q2" s="99"/>
      <c r="R2" s="99" t="s">
        <v>119</v>
      </c>
      <c r="S2" s="99" t="s">
        <v>120</v>
      </c>
      <c r="T2" s="99"/>
      <c r="U2" s="99" t="s">
        <v>119</v>
      </c>
      <c r="V2" s="99" t="s">
        <v>120</v>
      </c>
      <c r="W2" s="101"/>
    </row>
    <row r="3" spans="1:23" ht="21.75" customHeight="1">
      <c r="A3" s="59" t="s">
        <v>181</v>
      </c>
      <c r="B3" s="59"/>
      <c r="C3" s="59"/>
      <c r="D3" s="59"/>
      <c r="E3" s="59"/>
      <c r="F3" s="63" t="s">
        <v>155</v>
      </c>
      <c r="G3" s="63"/>
      <c r="H3" s="63"/>
      <c r="I3" s="59" t="s">
        <v>237</v>
      </c>
      <c r="J3" s="59"/>
      <c r="K3" s="59"/>
      <c r="L3" s="59"/>
      <c r="M3" s="96"/>
      <c r="N3" s="102"/>
      <c r="O3" s="102"/>
      <c r="P3" s="102"/>
      <c r="Q3" s="102"/>
      <c r="R3" s="102"/>
      <c r="S3" s="102" t="s">
        <v>121</v>
      </c>
      <c r="T3" s="102"/>
      <c r="U3" s="102"/>
      <c r="V3" s="102" t="s">
        <v>121</v>
      </c>
      <c r="W3" s="103"/>
    </row>
    <row r="4" spans="1:23" ht="29.25" customHeight="1">
      <c r="A4" s="61" t="s">
        <v>46</v>
      </c>
      <c r="B4" s="61"/>
      <c r="C4" s="61"/>
      <c r="D4" s="61"/>
      <c r="E4" s="61"/>
      <c r="F4" s="63"/>
      <c r="G4" s="63"/>
      <c r="H4" s="63"/>
      <c r="I4" s="59"/>
      <c r="J4" s="59"/>
      <c r="K4" s="59"/>
      <c r="L4" s="59"/>
      <c r="M4" s="10"/>
      <c r="N4" s="136" t="s">
        <v>122</v>
      </c>
      <c r="O4" s="136"/>
      <c r="P4" s="136"/>
      <c r="Q4" s="136"/>
      <c r="R4" s="8"/>
      <c r="S4" s="89"/>
      <c r="T4" s="105"/>
      <c r="U4" s="8"/>
      <c r="V4" s="89"/>
      <c r="W4" s="90"/>
    </row>
    <row r="5" spans="1:23" ht="36.75" customHeight="1">
      <c r="A5" s="143" t="s">
        <v>159</v>
      </c>
      <c r="B5" s="143"/>
      <c r="C5" s="143"/>
      <c r="D5" s="143"/>
      <c r="E5" s="143"/>
      <c r="F5" s="63" t="s">
        <v>156</v>
      </c>
      <c r="G5" s="63"/>
      <c r="H5" s="63"/>
      <c r="I5" s="143" t="s">
        <v>274</v>
      </c>
      <c r="J5" s="143"/>
      <c r="K5" s="143"/>
      <c r="L5" s="143"/>
      <c r="M5" s="10"/>
      <c r="N5" s="137" t="s">
        <v>123</v>
      </c>
      <c r="O5" s="137"/>
      <c r="P5" s="137"/>
      <c r="Q5" s="137"/>
      <c r="R5" s="8"/>
      <c r="S5" s="89"/>
      <c r="T5" s="105"/>
      <c r="U5" s="8"/>
      <c r="V5" s="89"/>
      <c r="W5" s="90"/>
    </row>
    <row r="6" spans="1:23" ht="34.5" customHeight="1">
      <c r="A6" s="61" t="s">
        <v>47</v>
      </c>
      <c r="B6" s="61"/>
      <c r="C6" s="61"/>
      <c r="D6" s="61"/>
      <c r="E6" s="61"/>
      <c r="F6" s="63"/>
      <c r="G6" s="63"/>
      <c r="H6" s="63"/>
      <c r="I6" s="143"/>
      <c r="J6" s="143"/>
      <c r="K6" s="143"/>
      <c r="L6" s="143"/>
      <c r="M6" s="10"/>
      <c r="N6" s="137" t="s">
        <v>124</v>
      </c>
      <c r="O6" s="137"/>
      <c r="P6" s="137"/>
      <c r="Q6" s="137"/>
      <c r="R6" s="8"/>
      <c r="S6" s="89"/>
      <c r="T6" s="105"/>
      <c r="U6" s="8"/>
      <c r="V6" s="89"/>
      <c r="W6" s="90"/>
    </row>
    <row r="7" spans="1:23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10"/>
      <c r="N7" s="139" t="s">
        <v>125</v>
      </c>
      <c r="O7" s="139"/>
      <c r="P7" s="139"/>
      <c r="Q7" s="139"/>
      <c r="R7" s="8"/>
      <c r="S7" s="89"/>
      <c r="T7" s="105"/>
      <c r="U7" s="8"/>
      <c r="V7" s="89"/>
      <c r="W7" s="90"/>
    </row>
    <row r="8" spans="1:23" ht="22.5">
      <c r="A8" s="94" t="s">
        <v>0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10"/>
      <c r="N8" s="137" t="s">
        <v>126</v>
      </c>
      <c r="O8" s="137"/>
      <c r="P8" s="137"/>
      <c r="Q8" s="137"/>
      <c r="R8" s="8"/>
      <c r="S8" s="89"/>
      <c r="T8" s="105"/>
      <c r="U8" s="8"/>
      <c r="V8" s="89"/>
      <c r="W8" s="90"/>
    </row>
    <row r="9" spans="1:23">
      <c r="A9" s="135" t="s">
        <v>152</v>
      </c>
      <c r="B9" s="135"/>
      <c r="C9" s="135"/>
      <c r="D9" s="135"/>
      <c r="E9" s="135"/>
      <c r="F9" s="81" t="s">
        <v>385</v>
      </c>
      <c r="G9" s="81"/>
      <c r="H9" s="81"/>
      <c r="I9" s="134" t="s">
        <v>384</v>
      </c>
      <c r="J9" s="134"/>
      <c r="K9" s="134"/>
      <c r="L9" s="134"/>
      <c r="M9" s="10"/>
      <c r="N9" s="137" t="s">
        <v>127</v>
      </c>
      <c r="O9" s="137"/>
      <c r="P9" s="137"/>
      <c r="Q9" s="137"/>
      <c r="R9" s="8"/>
      <c r="S9" s="89"/>
      <c r="T9" s="105"/>
      <c r="U9" s="8"/>
      <c r="V9" s="89"/>
      <c r="W9" s="90"/>
    </row>
    <row r="10" spans="1:23" ht="19.5" customHeight="1">
      <c r="A10" s="135" t="s">
        <v>151</v>
      </c>
      <c r="B10" s="135"/>
      <c r="C10" s="81" t="s">
        <v>193</v>
      </c>
      <c r="D10" s="81"/>
      <c r="E10" s="81"/>
      <c r="F10" s="81"/>
      <c r="G10" s="81"/>
      <c r="H10" s="81"/>
      <c r="I10" s="3"/>
      <c r="J10" s="3"/>
      <c r="K10" s="3"/>
      <c r="L10" s="3"/>
      <c r="M10" s="10"/>
      <c r="N10" s="139" t="s">
        <v>128</v>
      </c>
      <c r="O10" s="139"/>
      <c r="P10" s="139"/>
      <c r="Q10" s="139"/>
      <c r="R10" s="8"/>
      <c r="S10" s="89"/>
      <c r="T10" s="105"/>
      <c r="U10" s="8"/>
      <c r="V10" s="89"/>
      <c r="W10" s="90"/>
    </row>
    <row r="11" spans="1:23">
      <c r="A11" s="124" t="s">
        <v>1</v>
      </c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0"/>
      <c r="N11" s="140" t="s">
        <v>129</v>
      </c>
      <c r="O11" s="140"/>
      <c r="P11" s="140"/>
      <c r="Q11" s="140"/>
      <c r="R11" s="8"/>
      <c r="S11" s="89"/>
      <c r="T11" s="105"/>
      <c r="U11" s="8"/>
      <c r="V11" s="89"/>
      <c r="W11" s="90"/>
    </row>
    <row r="12" spans="1:23" ht="20.100000000000001" customHeight="1">
      <c r="A12" s="131" t="s">
        <v>2</v>
      </c>
      <c r="B12" s="123" t="s">
        <v>36</v>
      </c>
      <c r="C12" s="123"/>
      <c r="D12" s="123"/>
      <c r="E12" s="123"/>
      <c r="F12" s="123" t="s">
        <v>5</v>
      </c>
      <c r="G12" s="123"/>
      <c r="H12" s="100" t="s">
        <v>34</v>
      </c>
      <c r="I12" s="112"/>
      <c r="J12" s="112"/>
      <c r="K12" s="112"/>
      <c r="L12" s="112"/>
      <c r="N12" s="1"/>
      <c r="O12" s="1"/>
      <c r="P12" s="1"/>
      <c r="Q12" s="1"/>
    </row>
    <row r="13" spans="1:23" ht="20.100000000000001" customHeight="1">
      <c r="A13" s="131"/>
      <c r="B13" s="123" t="s">
        <v>3</v>
      </c>
      <c r="C13" s="123"/>
      <c r="D13" s="123" t="s">
        <v>4</v>
      </c>
      <c r="E13" s="123"/>
      <c r="F13" s="123"/>
      <c r="G13" s="123"/>
      <c r="H13" s="103" t="s">
        <v>35</v>
      </c>
      <c r="I13" s="111"/>
      <c r="J13" s="111"/>
      <c r="K13" s="111"/>
      <c r="L13" s="111"/>
    </row>
    <row r="14" spans="1:23" ht="20.100000000000001" customHeight="1">
      <c r="A14" s="5" t="s">
        <v>6</v>
      </c>
      <c r="B14" s="8"/>
      <c r="C14" s="5"/>
      <c r="D14" s="106"/>
      <c r="E14" s="106"/>
      <c r="F14" s="132" t="str">
        <f t="shared" ref="F14:F40" si="0">IF(OR(B14="",D14=""),"",IF(ISERROR(D14/B14),IF(D14=0,0,""),D14/B14))</f>
        <v/>
      </c>
      <c r="G14" s="132"/>
      <c r="H14" s="106"/>
      <c r="I14" s="106"/>
      <c r="J14" s="106"/>
      <c r="K14" s="106"/>
      <c r="L14" s="106"/>
      <c r="M14" s="131" t="s">
        <v>115</v>
      </c>
      <c r="N14" s="123" t="s">
        <v>116</v>
      </c>
      <c r="O14" s="123"/>
      <c r="P14" s="123"/>
      <c r="Q14" s="123"/>
      <c r="R14" s="123" t="s">
        <v>117</v>
      </c>
      <c r="S14" s="123"/>
      <c r="T14" s="123"/>
      <c r="U14" s="123" t="s">
        <v>130</v>
      </c>
      <c r="V14" s="123" t="s">
        <v>69</v>
      </c>
      <c r="W14" s="107" t="s">
        <v>131</v>
      </c>
    </row>
    <row r="15" spans="1:23" ht="20.100000000000001" customHeight="1">
      <c r="A15" s="5" t="s">
        <v>7</v>
      </c>
      <c r="B15" s="5"/>
      <c r="C15" s="5"/>
      <c r="D15" s="123"/>
      <c r="E15" s="123"/>
      <c r="F15" s="132" t="str">
        <f t="shared" si="0"/>
        <v/>
      </c>
      <c r="G15" s="132"/>
      <c r="H15" s="106"/>
      <c r="I15" s="106"/>
      <c r="J15" s="106"/>
      <c r="K15" s="106"/>
      <c r="L15" s="106"/>
      <c r="M15" s="131"/>
      <c r="N15" s="123"/>
      <c r="O15" s="123"/>
      <c r="P15" s="123"/>
      <c r="Q15" s="123"/>
      <c r="R15" s="141" t="s">
        <v>130</v>
      </c>
      <c r="S15" s="123" t="s">
        <v>69</v>
      </c>
      <c r="T15" s="123" t="s">
        <v>131</v>
      </c>
      <c r="U15" s="123"/>
      <c r="V15" s="123"/>
      <c r="W15" s="107"/>
    </row>
    <row r="16" spans="1:23" ht="20.100000000000001" customHeight="1">
      <c r="A16" s="5" t="s">
        <v>8</v>
      </c>
      <c r="B16" s="27">
        <f>'Ячейка 30'!D19+'Ячейка 27'!D19+'Ячейка 10'!D19+'Ячейка 16'!D19+'Ячейка 14 '!D19+'Ячейка 13Л'!D19+'Ячейка 32Л'!D19+'ячейка 25Л'!D19+'Ячейка 3Гео'!D19+'Ячейка 26Гео '!D19+'Ячейка 1 РП18'!D19+'Ячейка 13 РП18 '!D19</f>
        <v>4634.3399999962912</v>
      </c>
      <c r="C16" s="27"/>
      <c r="D16" s="133">
        <f>'Ячейка 30'!H19+'Ячейка 27'!H19+'Ячейка 10'!H19+'Ячейка 16'!H19+'Ячейка 14 '!H19+'Ячейка 13Л'!H19+'Ячейка 32Л'!H19+'ячейка 25Л'!H19+'Ячейка 3Гео'!H19+'Ячейка 26Гео '!H19+'Ячейка 1 РП18'!H19+'Ячейка 13 РП18 '!H19</f>
        <v>2850.8399999989706</v>
      </c>
      <c r="E16" s="133"/>
      <c r="F16" s="132">
        <f t="shared" si="0"/>
        <v>0.61515555613124029</v>
      </c>
      <c r="G16" s="132"/>
      <c r="H16" s="106"/>
      <c r="I16" s="106"/>
      <c r="J16" s="106"/>
      <c r="K16" s="106"/>
      <c r="L16" s="106"/>
      <c r="M16" s="131"/>
      <c r="N16" s="123"/>
      <c r="O16" s="123"/>
      <c r="P16" s="123"/>
      <c r="Q16" s="123"/>
      <c r="R16" s="141"/>
      <c r="S16" s="123"/>
      <c r="T16" s="123"/>
      <c r="U16" s="123"/>
      <c r="V16" s="123"/>
      <c r="W16" s="107"/>
    </row>
    <row r="17" spans="1:23" ht="20.100000000000001" customHeight="1">
      <c r="A17" s="5" t="s">
        <v>9</v>
      </c>
      <c r="B17" s="27">
        <f>'Ячейка 30'!D20+'Ячейка 27'!D20+'Ячейка 10'!D20+'Ячейка 16'!D20+'Ячейка 14 '!D20+'Ячейка 13Л'!D20+'Ячейка 32Л'!D20+'ячейка 25Л'!D20+'Ячейка 3Гео'!D20+'Ячейка 26Гео '!D20+'Ячейка 1 РП18'!D20+'Ячейка 13 РП18 '!D20</f>
        <v>4615.4400000154965</v>
      </c>
      <c r="C17" s="27"/>
      <c r="D17" s="133">
        <f>'Ячейка 30'!H20+'Ячейка 27'!H20+'Ячейка 10'!H20+'Ячейка 16'!H20+'Ячейка 14 '!H20+'Ячейка 13Л'!H20+'Ячейка 32Л'!H20+'ячейка 25Л'!H20+'Ячейка 3Гео'!H20+'Ячейка 26Гео '!H20+'Ячейка 1 РП18'!H20+'Ячейка 13 РП18 '!H20</f>
        <v>2849.400000001242</v>
      </c>
      <c r="E17" s="133"/>
      <c r="F17" s="132">
        <f t="shared" si="0"/>
        <v>0.6173625916470965</v>
      </c>
      <c r="G17" s="132"/>
      <c r="H17" s="106"/>
      <c r="I17" s="106"/>
      <c r="J17" s="106"/>
      <c r="K17" s="106"/>
      <c r="L17" s="106"/>
      <c r="M17" s="131"/>
      <c r="N17" s="123"/>
      <c r="O17" s="123"/>
      <c r="P17" s="123"/>
      <c r="Q17" s="123"/>
      <c r="R17" s="141"/>
      <c r="S17" s="123"/>
      <c r="T17" s="123"/>
      <c r="U17" s="123"/>
      <c r="V17" s="123"/>
      <c r="W17" s="107"/>
    </row>
    <row r="18" spans="1:23" ht="20.100000000000001" customHeight="1">
      <c r="A18" s="5" t="s">
        <v>10</v>
      </c>
      <c r="B18" s="27">
        <f>'Ячейка 30'!D21+'Ячейка 27'!D21+'Ячейка 10'!D21+'Ячейка 16'!D21+'Ячейка 14 '!D21+'Ячейка 13Л'!D21+'Ячейка 32Л'!D21+'ячейка 25Л'!D21+'Ячейка 3Гео'!D21+'Ячейка 26Гео '!D21+'Ячейка 1 РП18'!D21+'Ячейка 13 РП18 '!D21</f>
        <v>4695.2999999910844</v>
      </c>
      <c r="C18" s="27"/>
      <c r="D18" s="133">
        <f>'Ячейка 30'!H21+'Ячейка 27'!H21+'Ячейка 10'!H21+'Ячейка 16'!H21+'Ячейка 14 '!H21+'Ячейка 13Л'!H21+'Ячейка 32Л'!H21+'ячейка 25Л'!H21+'Ячейка 3Гео'!H21+'Ячейка 26Гео '!H21+'Ячейка 1 РП18'!H21+'Ячейка 13 РП18 '!H21</f>
        <v>2909.939999998187</v>
      </c>
      <c r="E18" s="133"/>
      <c r="F18" s="132">
        <f t="shared" si="0"/>
        <v>0.61975592613969555</v>
      </c>
      <c r="G18" s="132"/>
      <c r="H18" s="106"/>
      <c r="I18" s="106"/>
      <c r="J18" s="106"/>
      <c r="K18" s="106"/>
      <c r="L18" s="106"/>
      <c r="M18" s="131"/>
      <c r="N18" s="123"/>
      <c r="O18" s="123"/>
      <c r="P18" s="123"/>
      <c r="Q18" s="123"/>
      <c r="R18" s="141"/>
      <c r="S18" s="123"/>
      <c r="T18" s="123"/>
      <c r="U18" s="123"/>
      <c r="V18" s="123"/>
      <c r="W18" s="107"/>
    </row>
    <row r="19" spans="1:23" ht="20.100000000000001" customHeight="1">
      <c r="A19" s="5" t="s">
        <v>11</v>
      </c>
      <c r="B19" s="27">
        <f>'Ячейка 30'!D22+'Ячейка 27'!D22+'Ячейка 10'!D22+'Ячейка 16'!D22+'Ячейка 14 '!D22+'Ячейка 13Л'!D22+'Ячейка 32Л'!D22+'ячейка 25Л'!D22+'Ячейка 3Гео'!D22+'Ячейка 26Гео '!D22+'Ячейка 1 РП18'!D22+'Ячейка 13 РП18 '!D22</f>
        <v>4705.1400000070998</v>
      </c>
      <c r="C19" s="27"/>
      <c r="D19" s="133">
        <f>'Ячейка 30'!H22+'Ячейка 27'!H22+'Ячейка 10'!H22+'Ячейка 16'!H22+'Ячейка 14 '!H22+'Ячейка 13Л'!H22+'Ячейка 32Л'!H22+'ячейка 25Л'!H22+'Ячейка 3Гео'!H22+'Ячейка 26Гео '!H22+'Ячейка 1 РП18'!H22+'Ячейка 13 РП18 '!H22</f>
        <v>2891.2199999994755</v>
      </c>
      <c r="E19" s="133"/>
      <c r="F19" s="132">
        <f t="shared" si="0"/>
        <v>0.61448118440580146</v>
      </c>
      <c r="G19" s="132"/>
      <c r="H19" s="106"/>
      <c r="I19" s="106"/>
      <c r="J19" s="106"/>
      <c r="K19" s="106"/>
      <c r="L19" s="106"/>
      <c r="M19" s="10"/>
      <c r="N19" s="136" t="s">
        <v>132</v>
      </c>
      <c r="O19" s="136"/>
      <c r="P19" s="136"/>
      <c r="Q19" s="136"/>
      <c r="R19" s="8"/>
      <c r="S19" s="8"/>
      <c r="T19" s="8"/>
      <c r="U19" s="8"/>
      <c r="V19" s="8"/>
      <c r="W19" s="9"/>
    </row>
    <row r="20" spans="1:23" ht="20.100000000000001" customHeight="1">
      <c r="A20" s="5" t="s">
        <v>12</v>
      </c>
      <c r="B20" s="27">
        <f>'Ячейка 30'!D23+'Ячейка 27'!D23+'Ячейка 10'!D23+'Ячейка 16'!D23+'Ячейка 14 '!D23+'Ячейка 13Л'!D23+'Ячейка 32Л'!D23+'ячейка 25Л'!D23+'Ячейка 3Гео'!D23+'Ячейка 26Гео '!D23+'Ячейка 1 РП18'!D23+'Ячейка 13 РП18 '!D23</f>
        <v>4562.6999999961981</v>
      </c>
      <c r="C20" s="27"/>
      <c r="D20" s="133">
        <f>'Ячейка 30'!H23+'Ячейка 27'!H23+'Ячейка 10'!H23+'Ячейка 16'!H23+'Ячейка 14 '!H23+'Ячейка 13Л'!H23+'Ячейка 32Л'!H23+'ячейка 25Л'!H23+'Ячейка 3Гео'!H23+'Ячейка 26Гео '!H23+'Ячейка 1 РП18'!H23+'Ячейка 13 РП18 '!H23</f>
        <v>2814.8399999999583</v>
      </c>
      <c r="E20" s="133"/>
      <c r="F20" s="132">
        <f t="shared" si="0"/>
        <v>0.61692418962506934</v>
      </c>
      <c r="G20" s="132"/>
      <c r="H20" s="106"/>
      <c r="I20" s="106"/>
      <c r="J20" s="106"/>
      <c r="K20" s="106"/>
      <c r="L20" s="106"/>
      <c r="M20" s="10"/>
      <c r="N20" s="137" t="s">
        <v>133</v>
      </c>
      <c r="O20" s="137"/>
      <c r="P20" s="137"/>
      <c r="Q20" s="137"/>
      <c r="R20" s="8"/>
      <c r="S20" s="8"/>
      <c r="T20" s="8"/>
      <c r="U20" s="8"/>
      <c r="V20" s="8"/>
      <c r="W20" s="9"/>
    </row>
    <row r="21" spans="1:23" ht="20.100000000000001" customHeight="1">
      <c r="A21" s="5" t="s">
        <v>13</v>
      </c>
      <c r="B21" s="27">
        <f>'Ячейка 30'!D24+'Ячейка 27'!D24+'Ячейка 10'!D24+'Ячейка 16'!D24+'Ячейка 14 '!D24+'Ячейка 13Л'!D24+'Ячейка 32Л'!D24+'ячейка 25Л'!D24+'Ячейка 3Гео'!D24+'Ячейка 26Гео '!D24+'Ячейка 1 РП18'!D24+'Ячейка 13 РП18 '!D24</f>
        <v>4630.7399999973995</v>
      </c>
      <c r="C21" s="27"/>
      <c r="D21" s="133">
        <f>'Ячейка 30'!H24+'Ячейка 27'!H24+'Ячейка 10'!H24+'Ячейка 16'!H24+'Ячейка 14 '!H24+'Ячейка 13Л'!H24+'Ячейка 32Л'!H24+'ячейка 25Л'!H24+'Ячейка 3Гео'!H24+'Ячейка 26Гео '!H24+'Ячейка 1 РП18'!H24+'Ячейка 13 РП18 '!H24</f>
        <v>2809.980000004316</v>
      </c>
      <c r="E21" s="133"/>
      <c r="F21" s="132">
        <f t="shared" si="0"/>
        <v>0.60681014265665834</v>
      </c>
      <c r="G21" s="132"/>
      <c r="H21" s="106"/>
      <c r="I21" s="106"/>
      <c r="J21" s="106"/>
      <c r="K21" s="106"/>
      <c r="L21" s="106"/>
      <c r="M21" s="10"/>
      <c r="N21" s="138" t="s">
        <v>134</v>
      </c>
      <c r="O21" s="138"/>
      <c r="P21" s="138"/>
      <c r="Q21" s="138"/>
      <c r="R21" s="8"/>
      <c r="S21" s="8"/>
      <c r="T21" s="8"/>
      <c r="U21" s="8"/>
      <c r="V21" s="8"/>
      <c r="W21" s="9"/>
    </row>
    <row r="22" spans="1:23" ht="20.100000000000001" customHeight="1">
      <c r="A22" s="5" t="s">
        <v>14</v>
      </c>
      <c r="B22" s="27">
        <f>'Ячейка 30'!D25+'Ячейка 27'!D25+'Ячейка 10'!D25+'Ячейка 16'!D25+'Ячейка 14 '!D25+'Ячейка 13Л'!D25+'Ячейка 32Л'!D25+'ячейка 25Л'!D25+'Ячейка 3Гео'!D25+'Ячейка 26Гео '!D25+'Ячейка 1 РП18'!D25+'Ячейка 13 РП18 '!D25</f>
        <v>4689.3599999970775</v>
      </c>
      <c r="C22" s="27"/>
      <c r="D22" s="133">
        <f>'Ячейка 30'!H25+'Ячейка 27'!H25+'Ячейка 10'!H25+'Ячейка 16'!H25+'Ячейка 14 '!H25+'Ячейка 13Л'!H25+'Ячейка 32Л'!H25+'ячейка 25Л'!H25+'Ячейка 3Гео'!H25+'Ячейка 26Гео '!H25+'Ячейка 1 РП18'!H25+'Ячейка 13 РП18 '!H25</f>
        <v>2790.1799999990544</v>
      </c>
      <c r="E22" s="133"/>
      <c r="F22" s="132">
        <f t="shared" si="0"/>
        <v>0.59500230308630464</v>
      </c>
      <c r="G22" s="132"/>
      <c r="H22" s="106"/>
      <c r="I22" s="106"/>
      <c r="J22" s="106"/>
      <c r="K22" s="106"/>
      <c r="L22" s="106"/>
    </row>
    <row r="23" spans="1:23" ht="20.100000000000001" customHeight="1">
      <c r="A23" s="5" t="s">
        <v>15</v>
      </c>
      <c r="B23" s="27">
        <f>'Ячейка 30'!D26+'Ячейка 27'!D26+'Ячейка 10'!D26+'Ячейка 16'!D26+'Ячейка 14 '!D26+'Ячейка 13Л'!D26+'Ячейка 32Л'!D26+'ячейка 25Л'!D26+'Ячейка 3Гео'!D26+'Ячейка 26Гео '!D26+'Ячейка 1 РП18'!D26+'Ячейка 13 РП18 '!D26</f>
        <v>5098.3199999962608</v>
      </c>
      <c r="C23" s="27"/>
      <c r="D23" s="133">
        <f>'Ячейка 30'!H26+'Ячейка 27'!H26+'Ячейка 10'!H26+'Ячейка 16'!H26+'Ячейка 14 '!H26+'Ячейка 13Л'!H26+'Ячейка 32Л'!H26+'ячейка 25Л'!H26+'Ячейка 3Гео'!H26+'Ячейка 26Гео '!H26+'Ячейка 1 РП18'!H26+'Ячейка 13 РП18 '!H26</f>
        <v>2961.4199999956327</v>
      </c>
      <c r="E23" s="133"/>
      <c r="F23" s="132">
        <f t="shared" si="0"/>
        <v>0.58086193098860106</v>
      </c>
      <c r="G23" s="132"/>
      <c r="H23" s="106"/>
      <c r="I23" s="106"/>
      <c r="J23" s="106"/>
      <c r="K23" s="106"/>
      <c r="L23" s="106"/>
    </row>
    <row r="24" spans="1:23" ht="20.100000000000001" customHeight="1">
      <c r="A24" s="5" t="s">
        <v>16</v>
      </c>
      <c r="B24" s="27">
        <f>'Ячейка 30'!D27+'Ячейка 27'!D27+'Ячейка 10'!D27+'Ячейка 16'!D27+'Ячейка 14 '!D27+'Ячейка 13Л'!D27+'Ячейка 32Л'!D27+'ячейка 25Л'!D27+'Ячейка 3Гео'!D27+'Ячейка 26Гео '!D27+'Ячейка 1 РП18'!D27+'Ячейка 13 РП18 '!D27</f>
        <v>5360.2199999960703</v>
      </c>
      <c r="C24" s="27"/>
      <c r="D24" s="133">
        <f>'Ячейка 30'!H27+'Ячейка 27'!H27+'Ячейка 10'!H27+'Ячейка 16'!H27+'Ячейка 14 '!H27+'Ячейка 13Л'!H27+'Ячейка 32Л'!H27+'ячейка 25Л'!H27+'Ячейка 3Гео'!H27+'Ячейка 26Гео '!H27+'Ячейка 1 РП18'!H27+'Ячейка 13 РП18 '!H27</f>
        <v>3060.2400000019315</v>
      </c>
      <c r="E24" s="133"/>
      <c r="F24" s="132">
        <f t="shared" si="0"/>
        <v>0.57091686535332042</v>
      </c>
      <c r="G24" s="132"/>
      <c r="H24" s="106"/>
      <c r="I24" s="106"/>
      <c r="J24" s="106"/>
      <c r="K24" s="106"/>
      <c r="L24" s="106"/>
      <c r="N24" s="97" t="s">
        <v>135</v>
      </c>
      <c r="O24" s="97"/>
      <c r="P24" s="97"/>
      <c r="Q24" s="97"/>
      <c r="R24" s="97"/>
      <c r="S24" s="97"/>
      <c r="T24" s="97"/>
      <c r="U24" s="97"/>
      <c r="V24" s="97"/>
    </row>
    <row r="25" spans="1:23" ht="20.100000000000001" customHeight="1">
      <c r="A25" s="5" t="s">
        <v>17</v>
      </c>
      <c r="B25" s="27">
        <f>'Ячейка 30'!D28+'Ячейка 27'!D28+'Ячейка 10'!D28+'Ячейка 16'!D28+'Ячейка 14 '!D28+'Ячейка 13Л'!D28+'Ячейка 32Л'!D28+'ячейка 25Л'!D28+'Ячейка 3Гео'!D28+'Ячейка 26Гео '!D28+'Ячейка 1 РП18'!D28+'Ячейка 13 РП18 '!D28</f>
        <v>5518.0800000136742</v>
      </c>
      <c r="C25" s="27"/>
      <c r="D25" s="133">
        <f>'Ячейка 30'!H28+'Ячейка 27'!H28+'Ячейка 10'!H28+'Ячейка 16'!H28+'Ячейка 14 '!H28+'Ячейка 13Л'!H28+'Ячейка 32Л'!H28+'ячейка 25Л'!H28+'Ячейка 3Гео'!H28+'Ячейка 26Гео '!H28+'Ячейка 1 РП18'!H28+'Ячейка 13 РП18 '!H28</f>
        <v>3093.5400000032587</v>
      </c>
      <c r="E25" s="133"/>
      <c r="F25" s="132">
        <f t="shared" si="0"/>
        <v>0.56061891092474059</v>
      </c>
      <c r="G25" s="132"/>
      <c r="H25" s="106"/>
      <c r="I25" s="106"/>
      <c r="J25" s="106"/>
      <c r="K25" s="106"/>
      <c r="L25" s="106"/>
      <c r="N25" s="21" t="s">
        <v>136</v>
      </c>
      <c r="O25" s="97" t="s">
        <v>137</v>
      </c>
      <c r="P25" s="97"/>
      <c r="Q25" s="97"/>
      <c r="R25" s="97"/>
      <c r="S25" s="97"/>
      <c r="T25" s="97"/>
      <c r="U25" s="97"/>
      <c r="V25" s="97"/>
    </row>
    <row r="26" spans="1:23" ht="20.100000000000001" customHeight="1">
      <c r="A26" s="5" t="s">
        <v>18</v>
      </c>
      <c r="B26" s="27">
        <f>'Ячейка 30'!D29+'Ячейка 27'!D29+'Ячейка 10'!D29+'Ячейка 16'!D29+'Ячейка 14 '!D29+'Ячейка 13Л'!D29+'Ячейка 32Л'!D29+'ячейка 25Л'!D29+'Ячейка 3Гео'!D29+'Ячейка 26Гео '!D29+'Ячейка 1 РП18'!D29+'Ячейка 13 РП18 '!D29</f>
        <v>5449.8599999929411</v>
      </c>
      <c r="C26" s="27"/>
      <c r="D26" s="133">
        <f>'Ячейка 30'!H29+'Ячейка 27'!H29+'Ячейка 10'!H29+'Ячейка 16'!H29+'Ячейка 14 '!H29+'Ячейка 13Л'!H29+'Ячейка 32Л'!H29+'ячейка 25Л'!H29+'Ячейка 3Гео'!H29+'Ячейка 26Гео '!H29+'Ячейка 1 РП18'!H29+'Ячейка 13 РП18 '!H29</f>
        <v>3049.9199999971552</v>
      </c>
      <c r="E26" s="133"/>
      <c r="F26" s="132">
        <f t="shared" si="0"/>
        <v>0.55963272451055723</v>
      </c>
      <c r="G26" s="132"/>
      <c r="H26" s="106"/>
      <c r="I26" s="106"/>
      <c r="J26" s="106"/>
      <c r="K26" s="106"/>
      <c r="L26" s="106"/>
      <c r="N26" s="21" t="s">
        <v>138</v>
      </c>
      <c r="O26" s="97" t="s">
        <v>188</v>
      </c>
      <c r="P26" s="97"/>
      <c r="Q26" s="97"/>
      <c r="R26" s="97"/>
      <c r="S26" s="97"/>
      <c r="T26" s="97"/>
      <c r="U26" s="97"/>
      <c r="V26" s="97"/>
    </row>
    <row r="27" spans="1:23" ht="20.100000000000001" customHeight="1">
      <c r="A27" s="5" t="s">
        <v>19</v>
      </c>
      <c r="B27" s="27">
        <f>'Ячейка 30'!D30+'Ячейка 27'!D30+'Ячейка 10'!D30+'Ячейка 16'!D30+'Ячейка 14 '!D30+'Ячейка 13Л'!D30+'Ячейка 32Л'!D30+'ячейка 25Л'!D30+'Ячейка 3Гео'!D30+'Ячейка 26Гео '!D30+'Ячейка 1 РП18'!D30+'Ячейка 13 РП18 '!D30</f>
        <v>5509.1400000047997</v>
      </c>
      <c r="C27" s="27"/>
      <c r="D27" s="133">
        <f>'Ячейка 30'!H30+'Ячейка 27'!H30+'Ячейка 10'!H30+'Ячейка 16'!H30+'Ячейка 14 '!H30+'Ячейка 13Л'!H30+'Ячейка 32Л'!H30+'ячейка 25Л'!H30+'Ячейка 3Гео'!H30+'Ячейка 26Гео '!H30+'Ячейка 1 РП18'!H30+'Ячейка 13 РП18 '!H30</f>
        <v>3150.7200000020021</v>
      </c>
      <c r="E27" s="133"/>
      <c r="F27" s="132">
        <f t="shared" si="0"/>
        <v>0.57190777507909707</v>
      </c>
      <c r="G27" s="132"/>
      <c r="H27" s="106"/>
      <c r="I27" s="106"/>
      <c r="J27" s="106"/>
      <c r="K27" s="106"/>
      <c r="L27" s="106"/>
      <c r="N27" s="21" t="s">
        <v>139</v>
      </c>
      <c r="O27" s="97" t="s">
        <v>140</v>
      </c>
      <c r="P27" s="97"/>
      <c r="Q27" s="97"/>
      <c r="R27" s="97"/>
      <c r="S27" s="97"/>
      <c r="T27" s="97"/>
      <c r="U27" s="97"/>
      <c r="V27" s="97"/>
    </row>
    <row r="28" spans="1:23" ht="20.100000000000001" customHeight="1">
      <c r="A28" s="5" t="s">
        <v>20</v>
      </c>
      <c r="B28" s="27">
        <f>'Ячейка 30'!D31+'Ячейка 27'!D31+'Ячейка 10'!D31+'Ячейка 16'!D31+'Ячейка 14 '!D31+'Ячейка 13Л'!D31+'Ячейка 32Л'!D31+'ячейка 25Л'!D31+'Ячейка 3Гео'!D31+'Ячейка 26Гео '!D31+'Ячейка 1 РП18'!D31+'Ячейка 13 РП18 '!D31</f>
        <v>5364.8999999978287</v>
      </c>
      <c r="C28" s="27"/>
      <c r="D28" s="133">
        <f>'Ячейка 30'!H31+'Ячейка 27'!H31+'Ячейка 10'!H31+'Ячейка 16'!H31+'Ячейка 14 '!H31+'Ячейка 13Л'!H31+'Ячейка 32Л'!H31+'ячейка 25Л'!H31+'Ячейка 3Гео'!H31+'Ячейка 26Гео '!H31+'Ячейка 1 РП18'!H31+'Ячейка 13 РП18 '!H31</f>
        <v>3178.6799999970299</v>
      </c>
      <c r="E28" s="133"/>
      <c r="F28" s="132">
        <f t="shared" si="0"/>
        <v>0.59249566627491967</v>
      </c>
      <c r="G28" s="132"/>
      <c r="H28" s="106"/>
      <c r="I28" s="106"/>
      <c r="J28" s="106"/>
      <c r="K28" s="106"/>
      <c r="L28" s="106"/>
      <c r="N28" s="21"/>
      <c r="O28" s="97" t="s">
        <v>141</v>
      </c>
      <c r="P28" s="97"/>
      <c r="Q28" s="97"/>
      <c r="R28" s="97"/>
      <c r="S28" s="97"/>
      <c r="T28" s="97"/>
      <c r="U28" s="97"/>
      <c r="V28" s="97"/>
    </row>
    <row r="29" spans="1:23" ht="20.100000000000001" customHeight="1">
      <c r="A29" s="5" t="s">
        <v>21</v>
      </c>
      <c r="B29" s="27">
        <f>'Ячейка 30'!D32+'Ячейка 27'!D32+'Ячейка 10'!D32+'Ячейка 16'!D32+'Ячейка 14 '!D32+'Ячейка 13Л'!D32+'Ячейка 32Л'!D32+'ячейка 25Л'!D32+'Ячейка 3Гео'!D32+'Ячейка 26Гео '!D32+'Ячейка 1 РП18'!D32+'Ячейка 13 РП18 '!D32</f>
        <v>5337.5399999980118</v>
      </c>
      <c r="C29" s="27"/>
      <c r="D29" s="133">
        <f>'Ячейка 30'!H32+'Ячейка 27'!H32+'Ячейка 10'!H32+'Ячейка 16'!H32+'Ячейка 14 '!H32+'Ячейка 13Л'!H32+'Ячейка 32Л'!H32+'ячейка 25Л'!H32+'Ячейка 3Гео'!H32+'Ячейка 26Гео '!H32+'Ячейка 1 РП18'!H32+'Ячейка 13 РП18 '!H32</f>
        <v>3152.1000000064305</v>
      </c>
      <c r="E29" s="133"/>
      <c r="F29" s="132">
        <f t="shared" si="0"/>
        <v>0.5905529513610398</v>
      </c>
      <c r="G29" s="132"/>
      <c r="H29" s="106"/>
      <c r="I29" s="106"/>
      <c r="J29" s="106"/>
      <c r="K29" s="106"/>
      <c r="L29" s="106"/>
      <c r="N29" s="21"/>
      <c r="O29" s="97" t="s">
        <v>142</v>
      </c>
      <c r="P29" s="97"/>
      <c r="Q29" s="97"/>
      <c r="R29" s="97"/>
      <c r="S29" s="97"/>
      <c r="T29" s="97"/>
      <c r="U29" s="97"/>
      <c r="V29" s="97"/>
    </row>
    <row r="30" spans="1:23" ht="20.100000000000001" customHeight="1">
      <c r="A30" s="5" t="s">
        <v>22</v>
      </c>
      <c r="B30" s="27">
        <f>'Ячейка 30'!D33+'Ячейка 27'!D33+'Ячейка 10'!D33+'Ячейка 16'!D33+'Ячейка 14 '!D33+'Ячейка 13Л'!D33+'Ячейка 32Л'!D33+'ячейка 25Л'!D33+'Ячейка 3Гео'!D33+'Ячейка 26Гео '!D33+'Ячейка 1 РП18'!D33+'Ячейка 13 РП18 '!D33</f>
        <v>5226.9600000076935</v>
      </c>
      <c r="C30" s="27"/>
      <c r="D30" s="133">
        <f>'Ячейка 30'!H33+'Ячейка 27'!H33+'Ячейка 10'!H33+'Ячейка 16'!H33+'Ячейка 14 '!H33+'Ячейка 13Л'!H33+'Ячейка 32Л'!H33+'ячейка 25Л'!H33+'Ячейка 3Гео'!H33+'Ячейка 26Гео '!H33+'Ячейка 1 РП18'!H33+'Ячейка 13 РП18 '!H33</f>
        <v>3101.6999999957534</v>
      </c>
      <c r="E30" s="133"/>
      <c r="F30" s="132">
        <f t="shared" si="0"/>
        <v>0.59340419670156042</v>
      </c>
      <c r="G30" s="132"/>
      <c r="H30" s="106"/>
      <c r="I30" s="106"/>
      <c r="J30" s="106"/>
      <c r="K30" s="106"/>
      <c r="L30" s="106"/>
      <c r="N30" s="21" t="s">
        <v>143</v>
      </c>
      <c r="O30" s="97" t="s">
        <v>144</v>
      </c>
      <c r="P30" s="97"/>
      <c r="Q30" s="97"/>
      <c r="R30" s="97"/>
      <c r="S30" s="97"/>
      <c r="T30" s="97"/>
      <c r="U30" s="97"/>
      <c r="V30" s="97"/>
    </row>
    <row r="31" spans="1:23" ht="20.100000000000001" customHeight="1">
      <c r="A31" s="5" t="s">
        <v>23</v>
      </c>
      <c r="B31" s="27">
        <f>'Ячейка 30'!D34+'Ячейка 27'!D34+'Ячейка 10'!D34+'Ячейка 16'!D34+'Ячейка 14 '!D34+'Ячейка 13Л'!D34+'Ячейка 32Л'!D34+'ячейка 25Л'!D34+'Ячейка 3Гео'!D34+'Ячейка 26Гео '!D34+'Ячейка 1 РП18'!D34+'Ячейка 13 РП18 '!D34</f>
        <v>5065.3799999932744</v>
      </c>
      <c r="C31" s="27"/>
      <c r="D31" s="133">
        <f>'Ячейка 30'!H34+'Ячейка 27'!H34+'Ячейка 10'!H34+'Ячейка 16'!H34+'Ячейка 14 '!H34+'Ячейка 13Л'!H34+'Ячейка 32Л'!H34+'ячейка 25Л'!H34+'Ячейка 3Гео'!H34+'Ячейка 26Гео '!H34+'Ячейка 1 РП18'!H34+'Ячейка 13 РП18 '!H34</f>
        <v>3006.7199999991317</v>
      </c>
      <c r="E31" s="133"/>
      <c r="F31" s="132">
        <f t="shared" si="0"/>
        <v>0.59358231761548474</v>
      </c>
      <c r="G31" s="132"/>
      <c r="H31" s="106"/>
      <c r="I31" s="106"/>
      <c r="J31" s="106"/>
      <c r="K31" s="106"/>
      <c r="L31" s="106"/>
      <c r="N31" s="21"/>
      <c r="O31" s="97" t="s">
        <v>145</v>
      </c>
      <c r="P31" s="97"/>
      <c r="Q31" s="97"/>
      <c r="R31" s="97"/>
      <c r="S31" s="97"/>
      <c r="T31" s="97"/>
      <c r="U31" s="97"/>
      <c r="V31" s="97"/>
    </row>
    <row r="32" spans="1:23" ht="20.100000000000001" customHeight="1">
      <c r="A32" s="5" t="s">
        <v>24</v>
      </c>
      <c r="B32" s="27">
        <f>'Ячейка 30'!D35+'Ячейка 27'!D35+'Ячейка 10'!D35+'Ячейка 16'!D35+'Ячейка 14 '!D35+'Ячейка 13Л'!D35+'Ячейка 32Л'!D35+'ячейка 25Л'!D35+'Ячейка 3Гео'!D35+'Ячейка 26Гео '!D35+'Ячейка 1 РП18'!D35+'Ячейка 13 РП18 '!D35</f>
        <v>5053.6799999948471</v>
      </c>
      <c r="C32" s="27"/>
      <c r="D32" s="133">
        <f>'Ячейка 30'!H35+'Ячейка 27'!H35+'Ячейка 10'!H35+'Ячейка 16'!H35+'Ячейка 14 '!H35+'Ячейка 13Л'!H35+'Ячейка 32Л'!H35+'ячейка 25Л'!H35+'Ячейка 3Гео'!H35+'Ячейка 26Гео '!H35+'Ячейка 1 РП18'!H35+'Ячейка 13 РП18 '!H35</f>
        <v>2977.0799999993415</v>
      </c>
      <c r="E32" s="133"/>
      <c r="F32" s="132">
        <f t="shared" si="0"/>
        <v>0.58909151351141686</v>
      </c>
      <c r="G32" s="132"/>
      <c r="H32" s="106"/>
      <c r="I32" s="106"/>
      <c r="J32" s="106"/>
      <c r="K32" s="106"/>
      <c r="L32" s="106"/>
      <c r="N32" s="21" t="s">
        <v>146</v>
      </c>
      <c r="O32" s="97" t="s">
        <v>147</v>
      </c>
      <c r="P32" s="97"/>
      <c r="Q32" s="97"/>
      <c r="R32" s="97"/>
      <c r="S32" s="97"/>
      <c r="T32" s="97"/>
      <c r="U32" s="97"/>
      <c r="V32" s="97"/>
    </row>
    <row r="33" spans="1:24" ht="20.100000000000001" customHeight="1">
      <c r="A33" s="5" t="s">
        <v>25</v>
      </c>
      <c r="B33" s="27">
        <f>'Ячейка 30'!D36+'Ячейка 27'!D36+'Ячейка 10'!D36+'Ячейка 16'!D36+'Ячейка 14 '!D36+'Ячейка 13Л'!D36+'Ячейка 32Л'!D36+'ячейка 25Л'!D36+'Ячейка 3Гео'!D36+'Ячейка 26Гео '!D36+'Ячейка 1 РП18'!D36+'Ячейка 13 РП18 '!D36</f>
        <v>5049.6000000052163</v>
      </c>
      <c r="C33" s="27"/>
      <c r="D33" s="133">
        <f>'Ячейка 30'!H36+'Ячейка 27'!H36+'Ячейка 10'!H36+'Ячейка 16'!H36+'Ячейка 14 '!H36+'Ячейка 13Л'!H36+'Ячейка 32Л'!H36+'ячейка 25Л'!H36+'Ячейка 3Гео'!H36+'Ячейка 26Гео '!H36+'Ячейка 1 РП18'!H36+'Ячейка 13 РП18 '!H36</f>
        <v>2855.2199999989625</v>
      </c>
      <c r="E33" s="133"/>
      <c r="F33" s="132">
        <f t="shared" si="0"/>
        <v>0.5654348859307694</v>
      </c>
      <c r="G33" s="132"/>
      <c r="H33" s="106"/>
      <c r="I33" s="106"/>
      <c r="J33" s="106"/>
      <c r="K33" s="106"/>
      <c r="L33" s="106"/>
      <c r="N33" s="21" t="s">
        <v>148</v>
      </c>
      <c r="O33" s="97" t="s">
        <v>149</v>
      </c>
      <c r="P33" s="97"/>
      <c r="Q33" s="97"/>
      <c r="R33" s="97"/>
      <c r="S33" s="97"/>
      <c r="T33" s="97"/>
      <c r="U33" s="97"/>
      <c r="V33" s="97"/>
    </row>
    <row r="34" spans="1:24" ht="20.100000000000001" customHeight="1">
      <c r="A34" s="5" t="s">
        <v>26</v>
      </c>
      <c r="B34" s="27">
        <f>'Ячейка 30'!D37+'Ячейка 27'!D37+'Ячейка 10'!D37+'Ячейка 16'!D37+'Ячейка 14 '!D37+'Ячейка 13Л'!D37+'Ячейка 32Л'!D37+'ячейка 25Л'!D37+'Ячейка 3Гео'!D37+'Ячейка 26Гео '!D37+'Ячейка 1 РП18'!D37+'Ячейка 13 РП18 '!D37</f>
        <v>5123.9400000017667</v>
      </c>
      <c r="C34" s="27"/>
      <c r="D34" s="133">
        <f>'Ячейка 30'!H37+'Ячейка 27'!H37+'Ячейка 10'!H37+'Ячейка 16'!H37+'Ячейка 14 '!H37+'Ячейка 13Л'!H37+'Ячейка 32Л'!H37+'ячейка 25Л'!H37+'Ячейка 3Гео'!H37+'Ячейка 26Гео '!H37+'Ячейка 1 РП18'!H37+'Ячейка 13 РП18 '!H37</f>
        <v>2858.5200000027726</v>
      </c>
      <c r="E34" s="133"/>
      <c r="F34" s="132">
        <f t="shared" si="0"/>
        <v>0.55787538495801803</v>
      </c>
      <c r="G34" s="132"/>
      <c r="H34" s="106"/>
      <c r="I34" s="106"/>
      <c r="J34" s="106"/>
      <c r="K34" s="106"/>
      <c r="L34" s="106"/>
    </row>
    <row r="35" spans="1:24" ht="20.100000000000001" customHeight="1">
      <c r="A35" s="5" t="s">
        <v>27</v>
      </c>
      <c r="B35" s="27">
        <f>'Ячейка 30'!D38+'Ячейка 27'!D38+'Ячейка 10'!D38+'Ячейка 16'!D38+'Ячейка 14 '!D38+'Ячейка 13Л'!D38+'Ячейка 32Л'!D38+'ячейка 25Л'!D38+'Ячейка 3Гео'!D38+'Ячейка 26Гео '!D38+'Ячейка 1 РП18'!D38+'Ячейка 13 РП18 '!D38</f>
        <v>5288.4599999873444</v>
      </c>
      <c r="C35" s="27"/>
      <c r="D35" s="133">
        <f>'Ячейка 30'!H38+'Ячейка 27'!H38+'Ячейка 10'!H38+'Ячейка 16'!H38+'Ячейка 14 '!H38+'Ячейка 13Л'!H38+'Ячейка 32Л'!H38+'ячейка 25Л'!H38+'Ячейка 3Гео'!H38+'Ячейка 26Гео '!H38+'Ячейка 1 РП18'!H38+'Ячейка 13 РП18 '!H38</f>
        <v>2996.5200000008736</v>
      </c>
      <c r="E35" s="133"/>
      <c r="F35" s="132">
        <f t="shared" si="0"/>
        <v>0.56661485574402459</v>
      </c>
      <c r="G35" s="132"/>
      <c r="H35" s="106"/>
      <c r="I35" s="106"/>
      <c r="J35" s="106"/>
      <c r="K35" s="106"/>
      <c r="L35" s="106"/>
    </row>
    <row r="36" spans="1:24" ht="20.100000000000001" customHeight="1">
      <c r="A36" s="5" t="s">
        <v>28</v>
      </c>
      <c r="B36" s="27">
        <f>'Ячейка 30'!D39+'Ячейка 27'!D39+'Ячейка 10'!D39+'Ячейка 16'!D39+'Ячейка 14 '!D39+'Ячейка 13Л'!D39+'Ячейка 32Л'!D39+'ячейка 25Л'!D39+'Ячейка 3Гео'!D39+'Ячейка 26Гео '!D39+'Ячейка 1 РП18'!D39+'Ячейка 13 РП18 '!D39</f>
        <v>5367.9600000061328</v>
      </c>
      <c r="C36" s="27"/>
      <c r="D36" s="133">
        <f>'Ячейка 30'!H39+'Ячейка 27'!H39+'Ячейка 10'!H39+'Ячейка 16'!H39+'Ячейка 14 '!H39+'Ячейка 13Л'!H39+'Ячейка 32Л'!H39+'ячейка 25Л'!H39+'Ячейка 3Гео'!H39+'Ячейка 26Гео '!H39+'Ячейка 1 РП18'!H39+'Ячейка 13 РП18 '!H39</f>
        <v>3091.6799999994964</v>
      </c>
      <c r="E36" s="133"/>
      <c r="F36" s="132">
        <f t="shared" si="0"/>
        <v>0.57595064046601763</v>
      </c>
      <c r="G36" s="132"/>
      <c r="H36" s="106"/>
      <c r="I36" s="106"/>
      <c r="J36" s="106"/>
      <c r="K36" s="106"/>
      <c r="L36" s="106"/>
    </row>
    <row r="37" spans="1:24" ht="20.100000000000001" customHeight="1">
      <c r="A37" s="5" t="s">
        <v>29</v>
      </c>
      <c r="B37" s="27">
        <f>'Ячейка 30'!D40+'Ячейка 27'!D40+'Ячейка 10'!D40+'Ячейка 16'!D40+'Ячейка 14 '!D40+'Ячейка 13Л'!D40+'Ячейка 32Л'!D40+'ячейка 25Л'!D40+'Ячейка 3Гео'!D40+'Ячейка 26Гео '!D40+'Ячейка 1 РП18'!D40+'Ячейка 13 РП18 '!D40</f>
        <v>5131.8000000099573</v>
      </c>
      <c r="C37" s="27"/>
      <c r="D37" s="133">
        <f>'Ячейка 30'!H40+'Ячейка 27'!H40+'Ячейка 10'!H40+'Ячейка 16'!H40+'Ячейка 14 '!H40+'Ячейка 13Л'!H40+'Ячейка 32Л'!H40+'ячейка 25Л'!H40+'Ячейка 3Гео'!H40+'Ячейка 26Гео '!H40+'Ячейка 1 РП18'!H40+'Ячейка 13 РП18 '!H40</f>
        <v>2979.8400000012407</v>
      </c>
      <c r="E37" s="133"/>
      <c r="F37" s="132">
        <f t="shared" si="0"/>
        <v>0.58066175610808268</v>
      </c>
      <c r="G37" s="132"/>
      <c r="H37" s="106"/>
      <c r="I37" s="106"/>
      <c r="J37" s="106"/>
      <c r="K37" s="106"/>
      <c r="L37" s="106"/>
    </row>
    <row r="38" spans="1:24" ht="20.100000000000001" customHeight="1">
      <c r="A38" s="5" t="s">
        <v>30</v>
      </c>
      <c r="B38" s="27">
        <f>'Ячейка 30'!D41+'Ячейка 27'!D41+'Ячейка 10'!D41+'Ячейка 16'!D41+'Ячейка 14 '!D41+'Ячейка 13Л'!D41+'Ячейка 32Л'!D41+'ячейка 25Л'!D41+'Ячейка 3Гео'!D41+'Ячейка 26Гео '!D41+'Ячейка 1 РП18'!D41+'Ячейка 13 РП18 '!D41</f>
        <v>4982.6399999913974</v>
      </c>
      <c r="C38" s="27"/>
      <c r="D38" s="133">
        <f>'Ячейка 30'!H41+'Ячейка 27'!H41+'Ячейка 10'!H41+'Ячейка 16'!H41+'Ячейка 14 '!H41+'Ячейка 13Л'!H41+'Ячейка 32Л'!H41+'ячейка 25Л'!H41+'Ячейка 3Гео'!H41+'Ячейка 26Гео '!H41+'Ячейка 1 РП18'!H41+'Ячейка 13 РП18 '!H41</f>
        <v>2912.6399999990099</v>
      </c>
      <c r="E38" s="133"/>
      <c r="F38" s="132">
        <f t="shared" si="0"/>
        <v>0.58455758393222035</v>
      </c>
      <c r="G38" s="132"/>
      <c r="H38" s="106"/>
      <c r="I38" s="106"/>
      <c r="J38" s="106"/>
      <c r="K38" s="106"/>
      <c r="L38" s="106"/>
    </row>
    <row r="39" spans="1:24" ht="20.100000000000001" customHeight="1">
      <c r="A39" s="5" t="s">
        <v>31</v>
      </c>
      <c r="B39" s="27">
        <f>'Ячейка 30'!D42+'Ячейка 27'!D42+'Ячейка 10'!D42+'Ячейка 16'!D42+'Ячейка 14 '!D42+'Ячейка 13Л'!D42+'Ячейка 32Л'!D42+'ячейка 25Л'!D42+'Ячейка 3Гео'!D42+'Ячейка 26Гео '!D42+'Ячейка 1 РП18'!D42+'Ячейка 13 РП18 '!D42</f>
        <v>4934.2800000126772</v>
      </c>
      <c r="C39" s="27"/>
      <c r="D39" s="133">
        <f>'Ячейка 30'!H42+'Ячейка 27'!H42+'Ячейка 10'!H42+'Ячейка 16'!H42+'Ячейка 14 '!H42+'Ячейка 13Л'!H42+'Ячейка 32Л'!H42+'ячейка 25Л'!H42+'Ячейка 3Гео'!H42+'Ячейка 26Гео '!H42+'Ячейка 1 РП18'!H42+'Ячейка 13 РП18 '!H42</f>
        <v>2891.9399999999428</v>
      </c>
      <c r="E39" s="133"/>
      <c r="F39" s="132">
        <f t="shared" si="0"/>
        <v>0.58609158782892601</v>
      </c>
      <c r="G39" s="132"/>
      <c r="H39" s="106"/>
      <c r="I39" s="106"/>
      <c r="J39" s="106"/>
      <c r="K39" s="106"/>
      <c r="L39" s="106"/>
      <c r="P39" s="57" t="s">
        <v>150</v>
      </c>
      <c r="Q39" s="57"/>
      <c r="R39" s="57"/>
      <c r="S39" s="56" t="s">
        <v>391</v>
      </c>
      <c r="T39" s="56"/>
      <c r="U39" s="56"/>
      <c r="V39" s="56"/>
      <c r="W39" s="56"/>
      <c r="X39" s="56"/>
    </row>
    <row r="40" spans="1:24" ht="20.100000000000001" customHeight="1">
      <c r="A40" s="5" t="s">
        <v>32</v>
      </c>
      <c r="B40" s="27">
        <f>SUM(B15:B39)</f>
        <v>121395.78000001053</v>
      </c>
      <c r="C40" s="27"/>
      <c r="D40" s="133">
        <f>SUM(D15:E39)</f>
        <v>71234.880000001169</v>
      </c>
      <c r="E40" s="133"/>
      <c r="F40" s="132">
        <f t="shared" si="0"/>
        <v>0.58679865148520804</v>
      </c>
      <c r="G40" s="132"/>
      <c r="H40" s="106"/>
      <c r="I40" s="106"/>
      <c r="J40" s="106"/>
      <c r="K40" s="106"/>
      <c r="L40" s="106"/>
    </row>
    <row r="41" spans="1:24" ht="20.100000000000001" customHeight="1">
      <c r="A41" s="5" t="s">
        <v>33</v>
      </c>
      <c r="B41" s="5"/>
      <c r="C41" s="5"/>
      <c r="D41" s="123"/>
      <c r="E41" s="123"/>
      <c r="F41" s="132"/>
      <c r="G41" s="132"/>
      <c r="H41" s="106"/>
      <c r="I41" s="106"/>
      <c r="J41" s="106"/>
      <c r="K41" s="106"/>
      <c r="L41" s="106"/>
    </row>
    <row r="42" spans="1:24" ht="20.100000000000001" customHeight="1">
      <c r="A42" s="131" t="s">
        <v>2</v>
      </c>
      <c r="B42" s="107" t="s">
        <v>37</v>
      </c>
      <c r="C42" s="108"/>
      <c r="D42" s="131"/>
      <c r="E42" s="107" t="s">
        <v>40</v>
      </c>
      <c r="F42" s="108"/>
      <c r="G42" s="108"/>
      <c r="H42" s="108"/>
      <c r="I42" s="131"/>
      <c r="J42" s="100" t="s">
        <v>5</v>
      </c>
      <c r="K42" s="112"/>
      <c r="L42" s="112"/>
    </row>
    <row r="43" spans="1:24" ht="36" customHeight="1">
      <c r="A43" s="131"/>
      <c r="B43" s="123" t="s">
        <v>38</v>
      </c>
      <c r="C43" s="123"/>
      <c r="D43" s="5" t="s">
        <v>39</v>
      </c>
      <c r="E43" s="107" t="s">
        <v>41</v>
      </c>
      <c r="F43" s="108"/>
      <c r="G43" s="131"/>
      <c r="H43" s="107" t="s">
        <v>42</v>
      </c>
      <c r="I43" s="131"/>
      <c r="J43" s="103"/>
      <c r="K43" s="111"/>
      <c r="L43" s="111"/>
    </row>
    <row r="44" spans="1:24" ht="20.100000000000001" customHeight="1">
      <c r="A44" s="4" t="s">
        <v>153</v>
      </c>
      <c r="B44" s="128">
        <f>SUM(B24:B26)</f>
        <v>16328.160000002687</v>
      </c>
      <c r="C44" s="129"/>
      <c r="D44" s="27">
        <f>SUM(D24:E26)</f>
        <v>9203.7000000023454</v>
      </c>
      <c r="E44" s="128">
        <f>B44/3</f>
        <v>5442.7200000008952</v>
      </c>
      <c r="F44" s="130"/>
      <c r="G44" s="129"/>
      <c r="H44" s="128">
        <f>D44/3</f>
        <v>3067.9000000007818</v>
      </c>
      <c r="I44" s="129"/>
      <c r="J44" s="125">
        <f>H44/E44</f>
        <v>0.56367037069705539</v>
      </c>
      <c r="K44" s="126"/>
      <c r="L44" s="126"/>
    </row>
    <row r="45" spans="1:24" ht="20.100000000000001" customHeight="1">
      <c r="A45" s="4" t="s">
        <v>43</v>
      </c>
      <c r="B45" s="128">
        <f>SUM(B33:B36)</f>
        <v>20829.960000000458</v>
      </c>
      <c r="C45" s="129"/>
      <c r="D45" s="27">
        <f>SUM(D33:E36)</f>
        <v>11801.940000002105</v>
      </c>
      <c r="E45" s="128">
        <f>B45/4</f>
        <v>5207.4900000001144</v>
      </c>
      <c r="F45" s="130"/>
      <c r="G45" s="129"/>
      <c r="H45" s="128">
        <f>D45/4</f>
        <v>2950.4850000005263</v>
      </c>
      <c r="I45" s="129"/>
      <c r="J45" s="125">
        <f>H45/E45</f>
        <v>0.56658486142084985</v>
      </c>
      <c r="K45" s="126"/>
      <c r="L45" s="126"/>
    </row>
    <row r="46" spans="1:24" ht="20.100000000000001" customHeight="1">
      <c r="A46" s="4" t="s">
        <v>44</v>
      </c>
      <c r="B46" s="128">
        <f>SUM(B16:B39)</f>
        <v>121395.78000001053</v>
      </c>
      <c r="C46" s="129"/>
      <c r="D46" s="27">
        <f>SUM(D16:E39)</f>
        <v>71234.880000001169</v>
      </c>
      <c r="E46" s="128">
        <f>B46/24</f>
        <v>5058.1575000004386</v>
      </c>
      <c r="F46" s="130"/>
      <c r="G46" s="129"/>
      <c r="H46" s="128">
        <f>D46/24</f>
        <v>2968.1200000000485</v>
      </c>
      <c r="I46" s="129"/>
      <c r="J46" s="125">
        <f>H46/E46</f>
        <v>0.58679865148520804</v>
      </c>
      <c r="K46" s="126"/>
      <c r="L46" s="126"/>
    </row>
    <row r="47" spans="1:24" ht="20.100000000000001" customHeight="1"/>
    <row r="48" spans="1:24" ht="20.100000000000001" customHeight="1"/>
    <row r="49" spans="3:9" ht="20.100000000000001" customHeight="1"/>
    <row r="50" spans="3:9" ht="20.100000000000001" customHeight="1">
      <c r="C50" s="91" t="s">
        <v>194</v>
      </c>
      <c r="D50" s="91"/>
      <c r="E50" s="91"/>
      <c r="F50" s="91"/>
      <c r="G50" s="91"/>
      <c r="H50" s="91"/>
      <c r="I50" s="91"/>
    </row>
    <row r="51" spans="3:9" ht="20.100000000000001" customHeight="1"/>
  </sheetData>
  <mergeCells count="189">
    <mergeCell ref="V8:W8"/>
    <mergeCell ref="V9:W9"/>
    <mergeCell ref="V10:W10"/>
    <mergeCell ref="V11:W11"/>
    <mergeCell ref="V4:W4"/>
    <mergeCell ref="V5:W5"/>
    <mergeCell ref="V6:W6"/>
    <mergeCell ref="V7:W7"/>
    <mergeCell ref="S39:X39"/>
    <mergeCell ref="U14:U18"/>
    <mergeCell ref="V14:V18"/>
    <mergeCell ref="W14:W18"/>
    <mergeCell ref="O30:V30"/>
    <mergeCell ref="O31:V31"/>
    <mergeCell ref="O32:V32"/>
    <mergeCell ref="O33:V33"/>
    <mergeCell ref="P39:R39"/>
    <mergeCell ref="N24:V24"/>
    <mergeCell ref="O25:V25"/>
    <mergeCell ref="O26:V26"/>
    <mergeCell ref="O27:V27"/>
    <mergeCell ref="O28:V28"/>
    <mergeCell ref="O29:V29"/>
    <mergeCell ref="U1:W1"/>
    <mergeCell ref="R2:R3"/>
    <mergeCell ref="U2:U3"/>
    <mergeCell ref="S2:T2"/>
    <mergeCell ref="S3:T3"/>
    <mergeCell ref="V2:W2"/>
    <mergeCell ref="V3:W3"/>
    <mergeCell ref="F5:H6"/>
    <mergeCell ref="I5:L6"/>
    <mergeCell ref="F3:H4"/>
    <mergeCell ref="I3:L4"/>
    <mergeCell ref="F1:H2"/>
    <mergeCell ref="I1:L2"/>
    <mergeCell ref="S4:T4"/>
    <mergeCell ref="S5:T5"/>
    <mergeCell ref="S6:T6"/>
    <mergeCell ref="N4:Q4"/>
    <mergeCell ref="N5:Q5"/>
    <mergeCell ref="N6:Q6"/>
    <mergeCell ref="N7:Q7"/>
    <mergeCell ref="N8:Q8"/>
    <mergeCell ref="N9:Q9"/>
    <mergeCell ref="M1:M3"/>
    <mergeCell ref="N1:Q3"/>
    <mergeCell ref="R1:T1"/>
    <mergeCell ref="S8:T8"/>
    <mergeCell ref="S9:T9"/>
    <mergeCell ref="S7:T7"/>
    <mergeCell ref="N19:Q19"/>
    <mergeCell ref="N20:Q20"/>
    <mergeCell ref="N21:Q21"/>
    <mergeCell ref="N10:Q10"/>
    <mergeCell ref="N11:Q11"/>
    <mergeCell ref="M14:M18"/>
    <mergeCell ref="N14:Q18"/>
    <mergeCell ref="R14:T14"/>
    <mergeCell ref="T15:T18"/>
    <mergeCell ref="S15:S18"/>
    <mergeCell ref="R15:R18"/>
    <mergeCell ref="S10:T10"/>
    <mergeCell ref="S11:T11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D36:E36"/>
    <mergeCell ref="D38:E38"/>
    <mergeCell ref="D39:E39"/>
    <mergeCell ref="D37:E37"/>
    <mergeCell ref="D29:E29"/>
    <mergeCell ref="F21:G21"/>
    <mergeCell ref="D21:E21"/>
    <mergeCell ref="A7:L7"/>
    <mergeCell ref="F12:G13"/>
    <mergeCell ref="H12:L12"/>
    <mergeCell ref="I9:L9"/>
    <mergeCell ref="F9:H9"/>
    <mergeCell ref="A9:E9"/>
    <mergeCell ref="A8:L8"/>
    <mergeCell ref="D25:E25"/>
    <mergeCell ref="D26:E26"/>
    <mergeCell ref="D14:E14"/>
    <mergeCell ref="D15:E15"/>
    <mergeCell ref="D16:E16"/>
    <mergeCell ref="D17:E17"/>
    <mergeCell ref="D18:E18"/>
    <mergeCell ref="D19:E19"/>
    <mergeCell ref="D20:E20"/>
    <mergeCell ref="F14:G14"/>
    <mergeCell ref="F15:G15"/>
    <mergeCell ref="F16:G16"/>
    <mergeCell ref="F17:G17"/>
    <mergeCell ref="F22:G22"/>
    <mergeCell ref="F18:G18"/>
    <mergeCell ref="F19:G19"/>
    <mergeCell ref="F20:G20"/>
    <mergeCell ref="F34:G34"/>
    <mergeCell ref="D30:E30"/>
    <mergeCell ref="D31:E31"/>
    <mergeCell ref="D32:E32"/>
    <mergeCell ref="D23:E23"/>
    <mergeCell ref="D24:E24"/>
    <mergeCell ref="F23:G23"/>
    <mergeCell ref="F24:G24"/>
    <mergeCell ref="F25:G25"/>
    <mergeCell ref="F26:G26"/>
    <mergeCell ref="F33:G33"/>
    <mergeCell ref="H23:L23"/>
    <mergeCell ref="H24:L24"/>
    <mergeCell ref="H25:L25"/>
    <mergeCell ref="H26:L26"/>
    <mergeCell ref="H27:L27"/>
    <mergeCell ref="H28:L28"/>
    <mergeCell ref="D22:E22"/>
    <mergeCell ref="F27:G27"/>
    <mergeCell ref="F28:G28"/>
    <mergeCell ref="H14:L14"/>
    <mergeCell ref="H15:L15"/>
    <mergeCell ref="H16:L16"/>
    <mergeCell ref="H17:L17"/>
    <mergeCell ref="H18:L18"/>
    <mergeCell ref="H19:L19"/>
    <mergeCell ref="H20:L20"/>
    <mergeCell ref="H21:L21"/>
    <mergeCell ref="H22:L22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  <mergeCell ref="F35:G35"/>
    <mergeCell ref="F36:G36"/>
    <mergeCell ref="F37:G37"/>
    <mergeCell ref="F38:G38"/>
    <mergeCell ref="F39:G39"/>
    <mergeCell ref="F40:G40"/>
    <mergeCell ref="F29:G29"/>
    <mergeCell ref="F30:G30"/>
    <mergeCell ref="F31:G31"/>
    <mergeCell ref="F32:G32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B45:C45"/>
    <mergeCell ref="J44:L44"/>
    <mergeCell ref="J45:L45"/>
    <mergeCell ref="D41:E41"/>
    <mergeCell ref="E45:G45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4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6.xml><?xml version="1.0" encoding="utf-8"?>
<worksheet xmlns="http://schemas.openxmlformats.org/spreadsheetml/2006/main" xmlns:r="http://schemas.openxmlformats.org/officeDocument/2006/relationships">
  <sheetPr codeName="Лист25"/>
  <dimension ref="A1:X51"/>
  <sheetViews>
    <sheetView view="pageBreakPreview" topLeftCell="A13" zoomScale="75" zoomScaleNormal="100" workbookViewId="0">
      <selection activeCell="B20" sqref="B20"/>
    </sheetView>
  </sheetViews>
  <sheetFormatPr defaultRowHeight="18.75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" style="2" customWidth="1"/>
    <col min="21" max="21" width="12.42578125" style="2" customWidth="1"/>
    <col min="22" max="22" width="13.140625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>
      <c r="A1" s="59" t="s">
        <v>161</v>
      </c>
      <c r="B1" s="59"/>
      <c r="C1" s="59"/>
      <c r="D1" s="59"/>
      <c r="E1" s="59"/>
      <c r="F1" s="63" t="s">
        <v>154</v>
      </c>
      <c r="G1" s="63"/>
      <c r="H1" s="63"/>
      <c r="I1" s="59" t="s">
        <v>163</v>
      </c>
      <c r="J1" s="59"/>
      <c r="K1" s="59"/>
      <c r="L1" s="59"/>
      <c r="M1" s="104" t="s">
        <v>115</v>
      </c>
      <c r="N1" s="98" t="s">
        <v>116</v>
      </c>
      <c r="O1" s="98"/>
      <c r="P1" s="98"/>
      <c r="Q1" s="98"/>
      <c r="R1" s="123" t="s">
        <v>117</v>
      </c>
      <c r="S1" s="123"/>
      <c r="T1" s="123"/>
      <c r="U1" s="123" t="s">
        <v>118</v>
      </c>
      <c r="V1" s="123"/>
      <c r="W1" s="107"/>
    </row>
    <row r="2" spans="1:23" ht="18.75" customHeight="1">
      <c r="A2" s="61" t="s">
        <v>45</v>
      </c>
      <c r="B2" s="61"/>
      <c r="C2" s="61"/>
      <c r="D2" s="61"/>
      <c r="E2" s="61"/>
      <c r="F2" s="63"/>
      <c r="G2" s="63"/>
      <c r="H2" s="63"/>
      <c r="I2" s="59"/>
      <c r="J2" s="59"/>
      <c r="K2" s="59"/>
      <c r="L2" s="59"/>
      <c r="M2" s="95"/>
      <c r="N2" s="99"/>
      <c r="O2" s="99"/>
      <c r="P2" s="99"/>
      <c r="Q2" s="99"/>
      <c r="R2" s="99" t="s">
        <v>119</v>
      </c>
      <c r="S2" s="99" t="s">
        <v>120</v>
      </c>
      <c r="T2" s="99"/>
      <c r="U2" s="99" t="s">
        <v>119</v>
      </c>
      <c r="V2" s="99" t="s">
        <v>120</v>
      </c>
      <c r="W2" s="101"/>
    </row>
    <row r="3" spans="1:23" ht="21.75" customHeight="1">
      <c r="A3" s="59" t="s">
        <v>181</v>
      </c>
      <c r="B3" s="59"/>
      <c r="C3" s="59"/>
      <c r="D3" s="59"/>
      <c r="E3" s="59"/>
      <c r="F3" s="63" t="s">
        <v>155</v>
      </c>
      <c r="G3" s="63"/>
      <c r="H3" s="63"/>
      <c r="I3" s="59" t="s">
        <v>237</v>
      </c>
      <c r="J3" s="59"/>
      <c r="K3" s="59"/>
      <c r="L3" s="59"/>
      <c r="M3" s="96"/>
      <c r="N3" s="102"/>
      <c r="O3" s="102"/>
      <c r="P3" s="102"/>
      <c r="Q3" s="102"/>
      <c r="R3" s="102"/>
      <c r="S3" s="102" t="s">
        <v>121</v>
      </c>
      <c r="T3" s="102"/>
      <c r="U3" s="102"/>
      <c r="V3" s="102" t="s">
        <v>121</v>
      </c>
      <c r="W3" s="103"/>
    </row>
    <row r="4" spans="1:23" ht="29.25" customHeight="1">
      <c r="A4" s="61" t="s">
        <v>46</v>
      </c>
      <c r="B4" s="61"/>
      <c r="C4" s="61"/>
      <c r="D4" s="61"/>
      <c r="E4" s="61"/>
      <c r="F4" s="63"/>
      <c r="G4" s="63"/>
      <c r="H4" s="63"/>
      <c r="I4" s="59"/>
      <c r="J4" s="59"/>
      <c r="K4" s="59"/>
      <c r="L4" s="59"/>
      <c r="M4" s="10"/>
      <c r="N4" s="136" t="s">
        <v>122</v>
      </c>
      <c r="O4" s="136"/>
      <c r="P4" s="136"/>
      <c r="Q4" s="136"/>
      <c r="R4" s="8"/>
      <c r="S4" s="89"/>
      <c r="T4" s="105"/>
      <c r="U4" s="8"/>
      <c r="V4" s="89"/>
      <c r="W4" s="90"/>
    </row>
    <row r="5" spans="1:23" ht="21" customHeight="1">
      <c r="A5" s="143" t="s">
        <v>159</v>
      </c>
      <c r="B5" s="143"/>
      <c r="C5" s="143"/>
      <c r="D5" s="143"/>
      <c r="E5" s="143"/>
      <c r="F5" s="63" t="s">
        <v>156</v>
      </c>
      <c r="G5" s="63"/>
      <c r="H5" s="63"/>
      <c r="I5" s="59" t="s">
        <v>251</v>
      </c>
      <c r="J5" s="59"/>
      <c r="K5" s="59"/>
      <c r="L5" s="59"/>
      <c r="M5" s="10"/>
      <c r="N5" s="137" t="s">
        <v>123</v>
      </c>
      <c r="O5" s="137"/>
      <c r="P5" s="137"/>
      <c r="Q5" s="137"/>
      <c r="R5" s="8"/>
      <c r="S5" s="89"/>
      <c r="T5" s="105"/>
      <c r="U5" s="8"/>
      <c r="V5" s="89"/>
      <c r="W5" s="90"/>
    </row>
    <row r="6" spans="1:23">
      <c r="A6" s="61" t="s">
        <v>47</v>
      </c>
      <c r="B6" s="61"/>
      <c r="C6" s="61"/>
      <c r="D6" s="61"/>
      <c r="E6" s="61"/>
      <c r="F6" s="63"/>
      <c r="G6" s="63"/>
      <c r="H6" s="63"/>
      <c r="I6" s="59"/>
      <c r="J6" s="59"/>
      <c r="K6" s="59"/>
      <c r="L6" s="59"/>
      <c r="M6" s="10"/>
      <c r="N6" s="137" t="s">
        <v>124</v>
      </c>
      <c r="O6" s="137"/>
      <c r="P6" s="137"/>
      <c r="Q6" s="137"/>
      <c r="R6" s="8"/>
      <c r="S6" s="89"/>
      <c r="T6" s="105"/>
      <c r="U6" s="8"/>
      <c r="V6" s="89"/>
      <c r="W6" s="90"/>
    </row>
    <row r="7" spans="1:23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10"/>
      <c r="N7" s="139" t="s">
        <v>125</v>
      </c>
      <c r="O7" s="139"/>
      <c r="P7" s="139"/>
      <c r="Q7" s="139"/>
      <c r="R7" s="8"/>
      <c r="S7" s="89"/>
      <c r="T7" s="105"/>
      <c r="U7" s="8"/>
      <c r="V7" s="89"/>
      <c r="W7" s="90"/>
    </row>
    <row r="8" spans="1:23" ht="22.5">
      <c r="A8" s="94" t="s">
        <v>0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10"/>
      <c r="N8" s="137" t="s">
        <v>126</v>
      </c>
      <c r="O8" s="137"/>
      <c r="P8" s="137"/>
      <c r="Q8" s="137"/>
      <c r="R8" s="8"/>
      <c r="S8" s="89"/>
      <c r="T8" s="105"/>
      <c r="U8" s="8"/>
      <c r="V8" s="89"/>
      <c r="W8" s="90"/>
    </row>
    <row r="9" spans="1:23">
      <c r="A9" s="135" t="s">
        <v>152</v>
      </c>
      <c r="B9" s="135"/>
      <c r="C9" s="135"/>
      <c r="D9" s="135"/>
      <c r="E9" s="135"/>
      <c r="F9" s="81" t="s">
        <v>385</v>
      </c>
      <c r="G9" s="81"/>
      <c r="H9" s="81"/>
      <c r="I9" s="134" t="s">
        <v>384</v>
      </c>
      <c r="J9" s="134"/>
      <c r="K9" s="134"/>
      <c r="L9" s="134"/>
      <c r="M9" s="10"/>
      <c r="N9" s="137" t="s">
        <v>127</v>
      </c>
      <c r="O9" s="137"/>
      <c r="P9" s="137"/>
      <c r="Q9" s="137"/>
      <c r="R9" s="8"/>
      <c r="S9" s="89"/>
      <c r="T9" s="105"/>
      <c r="U9" s="8"/>
      <c r="V9" s="89"/>
      <c r="W9" s="90"/>
    </row>
    <row r="10" spans="1:23" ht="19.5" customHeight="1">
      <c r="A10" s="135" t="s">
        <v>151</v>
      </c>
      <c r="B10" s="135"/>
      <c r="C10" s="81" t="s">
        <v>250</v>
      </c>
      <c r="D10" s="81"/>
      <c r="E10" s="81"/>
      <c r="F10" s="81"/>
      <c r="G10" s="81"/>
      <c r="H10" s="81"/>
      <c r="I10" s="3"/>
      <c r="J10" s="3"/>
      <c r="K10" s="3"/>
      <c r="L10" s="3"/>
      <c r="M10" s="10"/>
      <c r="N10" s="139" t="s">
        <v>128</v>
      </c>
      <c r="O10" s="139"/>
      <c r="P10" s="139"/>
      <c r="Q10" s="139"/>
      <c r="R10" s="8"/>
      <c r="S10" s="89"/>
      <c r="T10" s="105"/>
      <c r="U10" s="8"/>
      <c r="V10" s="89"/>
      <c r="W10" s="90"/>
    </row>
    <row r="11" spans="1:23">
      <c r="A11" s="124" t="s">
        <v>1</v>
      </c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0"/>
      <c r="N11" s="140" t="s">
        <v>129</v>
      </c>
      <c r="O11" s="140"/>
      <c r="P11" s="140"/>
      <c r="Q11" s="140"/>
      <c r="R11" s="8"/>
      <c r="S11" s="89"/>
      <c r="T11" s="105"/>
      <c r="U11" s="8"/>
      <c r="V11" s="89"/>
      <c r="W11" s="90"/>
    </row>
    <row r="12" spans="1:23" ht="20.100000000000001" customHeight="1">
      <c r="A12" s="131" t="s">
        <v>2</v>
      </c>
      <c r="B12" s="123" t="s">
        <v>36</v>
      </c>
      <c r="C12" s="123"/>
      <c r="D12" s="123"/>
      <c r="E12" s="123"/>
      <c r="F12" s="123" t="s">
        <v>5</v>
      </c>
      <c r="G12" s="123"/>
      <c r="H12" s="100" t="s">
        <v>34</v>
      </c>
      <c r="I12" s="112"/>
      <c r="J12" s="112"/>
      <c r="K12" s="112"/>
      <c r="L12" s="112"/>
      <c r="N12" s="1"/>
      <c r="O12" s="1"/>
      <c r="P12" s="1"/>
      <c r="Q12" s="1"/>
    </row>
    <row r="13" spans="1:23" ht="20.100000000000001" customHeight="1">
      <c r="A13" s="131"/>
      <c r="B13" s="123" t="s">
        <v>3</v>
      </c>
      <c r="C13" s="123"/>
      <c r="D13" s="123" t="s">
        <v>4</v>
      </c>
      <c r="E13" s="123"/>
      <c r="F13" s="123"/>
      <c r="G13" s="123"/>
      <c r="H13" s="103" t="s">
        <v>35</v>
      </c>
      <c r="I13" s="111"/>
      <c r="J13" s="111"/>
      <c r="K13" s="111"/>
      <c r="L13" s="111"/>
    </row>
    <row r="14" spans="1:23" ht="20.100000000000001" customHeight="1">
      <c r="A14" s="5" t="s">
        <v>6</v>
      </c>
      <c r="B14" s="8"/>
      <c r="C14" s="5"/>
      <c r="D14" s="106"/>
      <c r="E14" s="106"/>
      <c r="F14" s="132" t="str">
        <f t="shared" ref="F14:F40" si="0">IF(OR(B14="",D14=""),"",IF(ISERROR(D14/B14),IF(D14=0,0,""),D14/B14))</f>
        <v/>
      </c>
      <c r="G14" s="132"/>
      <c r="H14" s="106"/>
      <c r="I14" s="106"/>
      <c r="J14" s="106"/>
      <c r="K14" s="106"/>
      <c r="L14" s="106"/>
      <c r="M14" s="131" t="s">
        <v>115</v>
      </c>
      <c r="N14" s="123" t="s">
        <v>116</v>
      </c>
      <c r="O14" s="123"/>
      <c r="P14" s="123"/>
      <c r="Q14" s="123"/>
      <c r="R14" s="123" t="s">
        <v>117</v>
      </c>
      <c r="S14" s="123"/>
      <c r="T14" s="123"/>
      <c r="U14" s="123" t="s">
        <v>130</v>
      </c>
      <c r="V14" s="123" t="s">
        <v>69</v>
      </c>
      <c r="W14" s="107" t="s">
        <v>131</v>
      </c>
    </row>
    <row r="15" spans="1:23" ht="20.100000000000001" customHeight="1">
      <c r="A15" s="5" t="s">
        <v>7</v>
      </c>
      <c r="B15" s="5"/>
      <c r="C15" s="5"/>
      <c r="D15" s="123"/>
      <c r="E15" s="123"/>
      <c r="F15" s="132" t="str">
        <f t="shared" si="0"/>
        <v/>
      </c>
      <c r="G15" s="132"/>
      <c r="H15" s="106"/>
      <c r="I15" s="106"/>
      <c r="J15" s="106"/>
      <c r="K15" s="106"/>
      <c r="L15" s="106"/>
      <c r="M15" s="131"/>
      <c r="N15" s="123"/>
      <c r="O15" s="123"/>
      <c r="P15" s="123"/>
      <c r="Q15" s="123"/>
      <c r="R15" s="141" t="s">
        <v>130</v>
      </c>
      <c r="S15" s="123" t="s">
        <v>69</v>
      </c>
      <c r="T15" s="123" t="s">
        <v>131</v>
      </c>
      <c r="U15" s="123"/>
      <c r="V15" s="123"/>
      <c r="W15" s="107"/>
    </row>
    <row r="16" spans="1:23" ht="20.100000000000001" customHeight="1">
      <c r="A16" s="5" t="s">
        <v>8</v>
      </c>
      <c r="B16" s="27">
        <f>'Ячейка 30'!D19+'Ячейка 27'!D19+'Ячейка 10'!D19</f>
        <v>2781.8399999996473</v>
      </c>
      <c r="C16" s="27"/>
      <c r="D16" s="133">
        <f>'Ячейка 30'!H19+'Ячейка 27'!H19+'Ячейка 10'!H19</f>
        <v>1501.1999999980617</v>
      </c>
      <c r="E16" s="133"/>
      <c r="F16" s="132">
        <f t="shared" si="0"/>
        <v>0.53964282633014549</v>
      </c>
      <c r="G16" s="132"/>
      <c r="H16" s="106"/>
      <c r="I16" s="106"/>
      <c r="J16" s="106"/>
      <c r="K16" s="106"/>
      <c r="L16" s="106"/>
      <c r="M16" s="131"/>
      <c r="N16" s="123"/>
      <c r="O16" s="123"/>
      <c r="P16" s="123"/>
      <c r="Q16" s="123"/>
      <c r="R16" s="141"/>
      <c r="S16" s="123"/>
      <c r="T16" s="123"/>
      <c r="U16" s="123"/>
      <c r="V16" s="123"/>
      <c r="W16" s="107"/>
    </row>
    <row r="17" spans="1:23" ht="20.100000000000001" customHeight="1">
      <c r="A17" s="5" t="s">
        <v>9</v>
      </c>
      <c r="B17" s="27">
        <f>'Ячейка 30'!D20+'Ячейка 27'!D20+'Ячейка 10'!D20</f>
        <v>2709.1200000075332</v>
      </c>
      <c r="C17" s="27"/>
      <c r="D17" s="133">
        <f>'Ячейка 30'!H20+'Ячейка 27'!H20+'Ячейка 10'!H20</f>
        <v>1482.9600000004575</v>
      </c>
      <c r="E17" s="133"/>
      <c r="F17" s="132">
        <f t="shared" si="0"/>
        <v>0.547395464208427</v>
      </c>
      <c r="G17" s="132"/>
      <c r="H17" s="106"/>
      <c r="I17" s="106"/>
      <c r="J17" s="106"/>
      <c r="K17" s="106"/>
      <c r="L17" s="106"/>
      <c r="M17" s="131"/>
      <c r="N17" s="123"/>
      <c r="O17" s="123"/>
      <c r="P17" s="123"/>
      <c r="Q17" s="123"/>
      <c r="R17" s="141"/>
      <c r="S17" s="123"/>
      <c r="T17" s="123"/>
      <c r="U17" s="123"/>
      <c r="V17" s="123"/>
      <c r="W17" s="107"/>
    </row>
    <row r="18" spans="1:23" ht="20.100000000000001" customHeight="1">
      <c r="A18" s="5" t="s">
        <v>10</v>
      </c>
      <c r="B18" s="27">
        <f>'Ячейка 30'!D21+'Ячейка 27'!D21+'Ячейка 10'!D21</f>
        <v>2699.759999995149</v>
      </c>
      <c r="C18" s="27"/>
      <c r="D18" s="133">
        <f>'Ячейка 30'!H21+'Ячейка 27'!H21+'Ячейка 10'!H21</f>
        <v>1492.3200000008364</v>
      </c>
      <c r="E18" s="133"/>
      <c r="F18" s="132">
        <f t="shared" si="0"/>
        <v>0.55276024535644575</v>
      </c>
      <c r="G18" s="132"/>
      <c r="H18" s="106"/>
      <c r="I18" s="106"/>
      <c r="J18" s="106"/>
      <c r="K18" s="106"/>
      <c r="L18" s="106"/>
      <c r="M18" s="131"/>
      <c r="N18" s="123"/>
      <c r="O18" s="123"/>
      <c r="P18" s="123"/>
      <c r="Q18" s="123"/>
      <c r="R18" s="141"/>
      <c r="S18" s="123"/>
      <c r="T18" s="123"/>
      <c r="U18" s="123"/>
      <c r="V18" s="123"/>
      <c r="W18" s="107"/>
    </row>
    <row r="19" spans="1:23" ht="20.100000000000001" customHeight="1">
      <c r="A19" s="5" t="s">
        <v>11</v>
      </c>
      <c r="B19" s="27">
        <f>'Ячейка 30'!D22+'Ячейка 27'!D22+'Ячейка 10'!D22</f>
        <v>2729.0400000085356</v>
      </c>
      <c r="C19" s="27"/>
      <c r="D19" s="133">
        <f>'Ячейка 30'!H22+'Ячейка 27'!H22+'Ячейка 10'!H22</f>
        <v>1480.7999999982712</v>
      </c>
      <c r="E19" s="133"/>
      <c r="F19" s="132">
        <f t="shared" si="0"/>
        <v>0.54260838976110271</v>
      </c>
      <c r="G19" s="132"/>
      <c r="H19" s="106"/>
      <c r="I19" s="106"/>
      <c r="J19" s="106"/>
      <c r="K19" s="106"/>
      <c r="L19" s="106"/>
      <c r="M19" s="10"/>
      <c r="N19" s="136" t="s">
        <v>132</v>
      </c>
      <c r="O19" s="136"/>
      <c r="P19" s="136"/>
      <c r="Q19" s="136"/>
      <c r="R19" s="8"/>
      <c r="S19" s="8"/>
      <c r="T19" s="8"/>
      <c r="U19" s="8"/>
      <c r="V19" s="8"/>
      <c r="W19" s="9"/>
    </row>
    <row r="20" spans="1:23" ht="20.100000000000001" customHeight="1">
      <c r="A20" s="5" t="s">
        <v>12</v>
      </c>
      <c r="B20" s="27">
        <f>'Ячейка 30'!D23+'Ячейка 27'!D23+'Ячейка 10'!D23</f>
        <v>2665.4399999955785</v>
      </c>
      <c r="C20" s="27"/>
      <c r="D20" s="133">
        <f>'Ячейка 30'!H23+'Ячейка 27'!H23+'Ячейка 10'!H23</f>
        <v>1452.7199999993172</v>
      </c>
      <c r="E20" s="133"/>
      <c r="F20" s="132">
        <f t="shared" si="0"/>
        <v>0.54502070952703008</v>
      </c>
      <c r="G20" s="132"/>
      <c r="H20" s="106"/>
      <c r="I20" s="106"/>
      <c r="J20" s="106"/>
      <c r="K20" s="106"/>
      <c r="L20" s="106"/>
      <c r="M20" s="10"/>
      <c r="N20" s="137" t="s">
        <v>133</v>
      </c>
      <c r="O20" s="137"/>
      <c r="P20" s="137"/>
      <c r="Q20" s="137"/>
      <c r="R20" s="8"/>
      <c r="S20" s="8"/>
      <c r="T20" s="8"/>
      <c r="U20" s="8"/>
      <c r="V20" s="8"/>
      <c r="W20" s="9"/>
    </row>
    <row r="21" spans="1:23" ht="20.100000000000001" customHeight="1">
      <c r="A21" s="5" t="s">
        <v>13</v>
      </c>
      <c r="B21" s="27">
        <f>'Ячейка 30'!D24+'Ячейка 27'!D24+'Ячейка 10'!D24</f>
        <v>2699.2799999963609</v>
      </c>
      <c r="C21" s="27"/>
      <c r="D21" s="133">
        <f>'Ячейка 30'!H24+'Ячейка 27'!H24+'Ячейка 10'!H24</f>
        <v>1442.8800000045158</v>
      </c>
      <c r="E21" s="133"/>
      <c r="F21" s="132">
        <f t="shared" si="0"/>
        <v>0.53454254468097462</v>
      </c>
      <c r="G21" s="132"/>
      <c r="H21" s="106"/>
      <c r="I21" s="106"/>
      <c r="J21" s="106"/>
      <c r="K21" s="106"/>
      <c r="L21" s="106"/>
      <c r="M21" s="10"/>
      <c r="N21" s="138" t="s">
        <v>134</v>
      </c>
      <c r="O21" s="138"/>
      <c r="P21" s="138"/>
      <c r="Q21" s="138"/>
      <c r="R21" s="8"/>
      <c r="S21" s="8"/>
      <c r="T21" s="8"/>
      <c r="U21" s="8"/>
      <c r="V21" s="8"/>
      <c r="W21" s="9"/>
    </row>
    <row r="22" spans="1:23" ht="20.100000000000001" customHeight="1">
      <c r="A22" s="5" t="s">
        <v>14</v>
      </c>
      <c r="B22" s="27">
        <f>'Ячейка 30'!D25+'Ячейка 27'!D25+'Ячейка 10'!D25</f>
        <v>2767.4399999988964</v>
      </c>
      <c r="C22" s="27"/>
      <c r="D22" s="133">
        <f>'Ячейка 30'!H25+'Ячейка 27'!H25+'Ячейка 10'!H25</f>
        <v>1447.2000000001572</v>
      </c>
      <c r="E22" s="133"/>
      <c r="F22" s="132">
        <f t="shared" si="0"/>
        <v>0.52293816668138582</v>
      </c>
      <c r="G22" s="132"/>
      <c r="H22" s="106"/>
      <c r="I22" s="106"/>
      <c r="J22" s="106"/>
      <c r="K22" s="106"/>
      <c r="L22" s="106"/>
    </row>
    <row r="23" spans="1:23" ht="20.100000000000001" customHeight="1">
      <c r="A23" s="5" t="s">
        <v>15</v>
      </c>
      <c r="B23" s="27">
        <f>'Ячейка 30'!D26+'Ячейка 27'!D26+'Ячейка 10'!D26</f>
        <v>3170.1599999949394</v>
      </c>
      <c r="C23" s="27"/>
      <c r="D23" s="133">
        <f>'Ячейка 30'!H26+'Ячейка 27'!H26+'Ячейка 10'!H26</f>
        <v>1630.7999999960884</v>
      </c>
      <c r="E23" s="133"/>
      <c r="F23" s="132">
        <f t="shared" si="0"/>
        <v>0.51442198500980763</v>
      </c>
      <c r="G23" s="132"/>
      <c r="H23" s="106"/>
      <c r="I23" s="106"/>
      <c r="J23" s="106"/>
      <c r="K23" s="106"/>
      <c r="L23" s="106"/>
    </row>
    <row r="24" spans="1:23" ht="20.100000000000001" customHeight="1">
      <c r="A24" s="5" t="s">
        <v>16</v>
      </c>
      <c r="B24" s="27">
        <f>'Ячейка 30'!D27+'Ячейка 27'!D27+'Ячейка 10'!D27</f>
        <v>3416.3999999997031</v>
      </c>
      <c r="C24" s="27"/>
      <c r="D24" s="133">
        <f>'Ячейка 30'!H27+'Ячейка 27'!H27+'Ячейка 10'!H27</f>
        <v>1749.3600000001607</v>
      </c>
      <c r="E24" s="133"/>
      <c r="F24" s="132">
        <f t="shared" si="0"/>
        <v>0.51204776958210763</v>
      </c>
      <c r="G24" s="132"/>
      <c r="H24" s="106"/>
      <c r="I24" s="106"/>
      <c r="J24" s="106"/>
      <c r="K24" s="106"/>
      <c r="L24" s="106"/>
      <c r="N24" s="97" t="s">
        <v>135</v>
      </c>
      <c r="O24" s="97"/>
      <c r="P24" s="97"/>
      <c r="Q24" s="97"/>
      <c r="R24" s="97"/>
      <c r="S24" s="97"/>
      <c r="T24" s="97"/>
      <c r="U24" s="97"/>
      <c r="V24" s="97"/>
    </row>
    <row r="25" spans="1:23" ht="20.100000000000001" customHeight="1">
      <c r="A25" s="5" t="s">
        <v>17</v>
      </c>
      <c r="B25" s="27">
        <f>'Ячейка 30'!D28+'Ячейка 27'!D28+'Ячейка 10'!D28</f>
        <v>3546.9600000105856</v>
      </c>
      <c r="C25" s="27"/>
      <c r="D25" s="133">
        <f>'Ячейка 30'!H28+'Ячейка 27'!H28+'Ячейка 10'!H28</f>
        <v>1776.4800000026298</v>
      </c>
      <c r="E25" s="133"/>
      <c r="F25" s="132">
        <f t="shared" si="0"/>
        <v>0.50084579470795498</v>
      </c>
      <c r="G25" s="132"/>
      <c r="H25" s="106"/>
      <c r="I25" s="106"/>
      <c r="J25" s="106"/>
      <c r="K25" s="106"/>
      <c r="L25" s="106"/>
      <c r="N25" s="21" t="s">
        <v>136</v>
      </c>
      <c r="O25" s="97" t="s">
        <v>137</v>
      </c>
      <c r="P25" s="97"/>
      <c r="Q25" s="97"/>
      <c r="R25" s="97"/>
      <c r="S25" s="97"/>
      <c r="T25" s="97"/>
      <c r="U25" s="97"/>
      <c r="V25" s="97"/>
    </row>
    <row r="26" spans="1:23" ht="20.100000000000001" customHeight="1">
      <c r="A26" s="5" t="s">
        <v>18</v>
      </c>
      <c r="B26" s="27">
        <f>'Ячейка 30'!D29+'Ячейка 27'!D29+'Ячейка 10'!D29</f>
        <v>3517.9199999933189</v>
      </c>
      <c r="C26" s="27"/>
      <c r="D26" s="133">
        <f>'Ячейка 30'!H29+'Ячейка 27'!H29+'Ячейка 10'!H29</f>
        <v>1762.0799999986048</v>
      </c>
      <c r="E26" s="133"/>
      <c r="F26" s="132">
        <f t="shared" si="0"/>
        <v>0.50088688770692658</v>
      </c>
      <c r="G26" s="132"/>
      <c r="H26" s="106"/>
      <c r="I26" s="106"/>
      <c r="J26" s="106"/>
      <c r="K26" s="106"/>
      <c r="L26" s="106"/>
      <c r="N26" s="21" t="s">
        <v>138</v>
      </c>
      <c r="O26" s="97" t="s">
        <v>188</v>
      </c>
      <c r="P26" s="97"/>
      <c r="Q26" s="97"/>
      <c r="R26" s="97"/>
      <c r="S26" s="97"/>
      <c r="T26" s="97"/>
      <c r="U26" s="97"/>
      <c r="V26" s="97"/>
    </row>
    <row r="27" spans="1:23" ht="20.100000000000001" customHeight="1">
      <c r="A27" s="5" t="s">
        <v>19</v>
      </c>
      <c r="B27" s="27">
        <f>'Ячейка 30'!D30+'Ячейка 27'!D30+'Ячейка 10'!D30</f>
        <v>3578.4000000043306</v>
      </c>
      <c r="C27" s="27"/>
      <c r="D27" s="133">
        <f>'Ячейка 30'!H30+'Ячейка 27'!H30+'Ячейка 10'!H30</f>
        <v>1838.6400000017602</v>
      </c>
      <c r="E27" s="133"/>
      <c r="F27" s="132">
        <f t="shared" si="0"/>
        <v>0.51381623071750926</v>
      </c>
      <c r="G27" s="132"/>
      <c r="H27" s="106"/>
      <c r="I27" s="106"/>
      <c r="J27" s="106"/>
      <c r="K27" s="106"/>
      <c r="L27" s="106"/>
      <c r="N27" s="21" t="s">
        <v>139</v>
      </c>
      <c r="O27" s="97" t="s">
        <v>140</v>
      </c>
      <c r="P27" s="97"/>
      <c r="Q27" s="97"/>
      <c r="R27" s="97"/>
      <c r="S27" s="97"/>
      <c r="T27" s="97"/>
      <c r="U27" s="97"/>
      <c r="V27" s="97"/>
    </row>
    <row r="28" spans="1:23" ht="20.100000000000001" customHeight="1">
      <c r="A28" s="5" t="s">
        <v>20</v>
      </c>
      <c r="B28" s="27">
        <f>'Ячейка 30'!D31+'Ячейка 27'!D31+'Ячейка 10'!D31</f>
        <v>3357.5999999964552</v>
      </c>
      <c r="C28" s="27"/>
      <c r="D28" s="133">
        <f>'Ячейка 30'!H31+'Ячейка 27'!H31+'Ячейка 10'!H31</f>
        <v>1809.5999999964988</v>
      </c>
      <c r="E28" s="133"/>
      <c r="F28" s="132">
        <f t="shared" si="0"/>
        <v>0.53895639742625967</v>
      </c>
      <c r="G28" s="132"/>
      <c r="H28" s="106"/>
      <c r="I28" s="106"/>
      <c r="J28" s="106"/>
      <c r="K28" s="106"/>
      <c r="L28" s="106"/>
      <c r="N28" s="21"/>
      <c r="O28" s="97" t="s">
        <v>141</v>
      </c>
      <c r="P28" s="97"/>
      <c r="Q28" s="97"/>
      <c r="R28" s="97"/>
      <c r="S28" s="97"/>
      <c r="T28" s="97"/>
      <c r="U28" s="97"/>
      <c r="V28" s="97"/>
    </row>
    <row r="29" spans="1:23" ht="20.100000000000001" customHeight="1">
      <c r="A29" s="5" t="s">
        <v>21</v>
      </c>
      <c r="B29" s="27">
        <f>'Ячейка 30'!D32+'Ячейка 27'!D32+'Ячейка 10'!D32</f>
        <v>3349.6799999998757</v>
      </c>
      <c r="C29" s="27"/>
      <c r="D29" s="133">
        <f>'Ячейка 30'!H32+'Ячейка 27'!H32+'Ячейка 10'!H32</f>
        <v>1802.1600000076432</v>
      </c>
      <c r="E29" s="133"/>
      <c r="F29" s="132">
        <f t="shared" si="0"/>
        <v>0.53800960091940431</v>
      </c>
      <c r="G29" s="132"/>
      <c r="H29" s="106"/>
      <c r="I29" s="106"/>
      <c r="J29" s="106"/>
      <c r="K29" s="106"/>
      <c r="L29" s="106"/>
      <c r="N29" s="21"/>
      <c r="O29" s="97" t="s">
        <v>142</v>
      </c>
      <c r="P29" s="97"/>
      <c r="Q29" s="97"/>
      <c r="R29" s="97"/>
      <c r="S29" s="97"/>
      <c r="T29" s="97"/>
      <c r="U29" s="97"/>
      <c r="V29" s="97"/>
    </row>
    <row r="30" spans="1:23" ht="20.100000000000001" customHeight="1">
      <c r="A30" s="5" t="s">
        <v>22</v>
      </c>
      <c r="B30" s="27">
        <f>'Ячейка 30'!D33+'Ячейка 27'!D33+'Ячейка 10'!D33</f>
        <v>3308.8800000070478</v>
      </c>
      <c r="C30" s="27"/>
      <c r="D30" s="133">
        <f>'Ячейка 30'!H33+'Ячейка 27'!H33+'Ячейка 10'!H33</f>
        <v>1778.1599999940227</v>
      </c>
      <c r="E30" s="133"/>
      <c r="F30" s="132">
        <f t="shared" si="0"/>
        <v>0.53739029520267745</v>
      </c>
      <c r="G30" s="132"/>
      <c r="H30" s="106"/>
      <c r="I30" s="106"/>
      <c r="J30" s="106"/>
      <c r="K30" s="106"/>
      <c r="L30" s="106"/>
      <c r="N30" s="21" t="s">
        <v>143</v>
      </c>
      <c r="O30" s="97" t="s">
        <v>144</v>
      </c>
      <c r="P30" s="97"/>
      <c r="Q30" s="97"/>
      <c r="R30" s="97"/>
      <c r="S30" s="97"/>
      <c r="T30" s="97"/>
      <c r="U30" s="97"/>
      <c r="V30" s="97"/>
    </row>
    <row r="31" spans="1:23" ht="20.100000000000001" customHeight="1">
      <c r="A31" s="5" t="s">
        <v>23</v>
      </c>
      <c r="B31" s="27">
        <f>'Ячейка 30'!D34+'Ячейка 27'!D34+'Ячейка 10'!D34</f>
        <v>3250.0799999907031</v>
      </c>
      <c r="C31" s="27"/>
      <c r="D31" s="133">
        <f>'Ячейка 30'!H34+'Ячейка 27'!H34+'Ячейка 10'!H34</f>
        <v>1756.0800000006566</v>
      </c>
      <c r="E31" s="133"/>
      <c r="F31" s="132">
        <f t="shared" si="0"/>
        <v>0.54031900753386986</v>
      </c>
      <c r="G31" s="132"/>
      <c r="H31" s="106"/>
      <c r="I31" s="106"/>
      <c r="J31" s="106"/>
      <c r="K31" s="106"/>
      <c r="L31" s="106"/>
      <c r="N31" s="21"/>
      <c r="O31" s="97" t="s">
        <v>145</v>
      </c>
      <c r="P31" s="97"/>
      <c r="Q31" s="97"/>
      <c r="R31" s="97"/>
      <c r="S31" s="97"/>
      <c r="T31" s="97"/>
      <c r="U31" s="97"/>
      <c r="V31" s="97"/>
    </row>
    <row r="32" spans="1:23" ht="20.100000000000001" customHeight="1">
      <c r="A32" s="5" t="s">
        <v>24</v>
      </c>
      <c r="B32" s="27">
        <f>'Ячейка 30'!D35+'Ячейка 27'!D35+'Ячейка 10'!D35</f>
        <v>3180.9599999949569</v>
      </c>
      <c r="C32" s="27"/>
      <c r="D32" s="133">
        <f>'Ячейка 30'!H35+'Ячейка 27'!H35+'Ячейка 10'!H35</f>
        <v>1721.2799999990239</v>
      </c>
      <c r="E32" s="133"/>
      <c r="F32" s="132">
        <f t="shared" si="0"/>
        <v>0.54111966198938455</v>
      </c>
      <c r="G32" s="132"/>
      <c r="H32" s="106"/>
      <c r="I32" s="106"/>
      <c r="J32" s="106"/>
      <c r="K32" s="106"/>
      <c r="L32" s="106"/>
      <c r="N32" s="21" t="s">
        <v>146</v>
      </c>
      <c r="O32" s="97" t="s">
        <v>147</v>
      </c>
      <c r="P32" s="97"/>
      <c r="Q32" s="97"/>
      <c r="R32" s="97"/>
      <c r="S32" s="97"/>
      <c r="T32" s="97"/>
      <c r="U32" s="97"/>
      <c r="V32" s="97"/>
    </row>
    <row r="33" spans="1:24" ht="20.100000000000001" customHeight="1">
      <c r="A33" s="5" t="s">
        <v>25</v>
      </c>
      <c r="B33" s="27">
        <f>'Ячейка 30'!D36+'Ячейка 27'!D36+'Ячейка 10'!D36</f>
        <v>3109.9200000084238</v>
      </c>
      <c r="C33" s="27"/>
      <c r="D33" s="133">
        <f>'Ячейка 30'!H36+'Ячейка 27'!H36+'Ячейка 10'!H36</f>
        <v>1577.5200000007317</v>
      </c>
      <c r="E33" s="133"/>
      <c r="F33" s="132">
        <f t="shared" si="0"/>
        <v>0.50725420589483283</v>
      </c>
      <c r="G33" s="132"/>
      <c r="H33" s="106"/>
      <c r="I33" s="106"/>
      <c r="J33" s="106"/>
      <c r="K33" s="106"/>
      <c r="L33" s="106"/>
      <c r="N33" s="21" t="s">
        <v>148</v>
      </c>
      <c r="O33" s="97" t="s">
        <v>149</v>
      </c>
      <c r="P33" s="97"/>
      <c r="Q33" s="97"/>
      <c r="R33" s="97"/>
      <c r="S33" s="97"/>
      <c r="T33" s="97"/>
      <c r="U33" s="97"/>
      <c r="V33" s="97"/>
    </row>
    <row r="34" spans="1:24" ht="20.100000000000001" customHeight="1">
      <c r="A34" s="5" t="s">
        <v>26</v>
      </c>
      <c r="B34" s="27">
        <f>'Ячейка 30'!D37+'Ячейка 27'!D37+'Ячейка 10'!D37</f>
        <v>3185.2800000015122</v>
      </c>
      <c r="C34" s="27"/>
      <c r="D34" s="133">
        <f>'Ячейка 30'!H37+'Ячейка 27'!H37+'Ячейка 10'!H37</f>
        <v>1559.7600000019156</v>
      </c>
      <c r="E34" s="133"/>
      <c r="F34" s="132">
        <f t="shared" si="0"/>
        <v>0.48967751657661968</v>
      </c>
      <c r="G34" s="132"/>
      <c r="H34" s="106"/>
      <c r="I34" s="106"/>
      <c r="J34" s="106"/>
      <c r="K34" s="106"/>
      <c r="L34" s="106"/>
    </row>
    <row r="35" spans="1:24" ht="20.100000000000001" customHeight="1">
      <c r="A35" s="5" t="s">
        <v>27</v>
      </c>
      <c r="B35" s="27">
        <f>'Ячейка 30'!D38+'Ячейка 27'!D38+'Ячейка 10'!D38</f>
        <v>3337.1999999879336</v>
      </c>
      <c r="C35" s="27"/>
      <c r="D35" s="133">
        <f>'Ячейка 30'!H38+'Ячейка 27'!H38+'Ячейка 10'!H38</f>
        <v>1661.9999999980791</v>
      </c>
      <c r="E35" s="133"/>
      <c r="F35" s="132">
        <f t="shared" si="0"/>
        <v>0.49802229414002414</v>
      </c>
      <c r="G35" s="132"/>
      <c r="H35" s="106"/>
      <c r="I35" s="106"/>
      <c r="J35" s="106"/>
      <c r="K35" s="106"/>
      <c r="L35" s="106"/>
    </row>
    <row r="36" spans="1:24" ht="20.100000000000001" customHeight="1">
      <c r="A36" s="5" t="s">
        <v>28</v>
      </c>
      <c r="B36" s="27">
        <f>'Ячейка 30'!D39+'Ячейка 27'!D39+'Ячейка 10'!D39</f>
        <v>3416.8800000050396</v>
      </c>
      <c r="C36" s="27"/>
      <c r="D36" s="133">
        <f>'Ячейка 30'!H39+'Ячейка 27'!H39+'Ячейка 10'!H39</f>
        <v>1728.9600000003702</v>
      </c>
      <c r="E36" s="133"/>
      <c r="F36" s="132">
        <f t="shared" si="0"/>
        <v>0.50600547868166867</v>
      </c>
      <c r="G36" s="132"/>
      <c r="H36" s="106"/>
      <c r="I36" s="106"/>
      <c r="J36" s="106"/>
      <c r="K36" s="106"/>
      <c r="L36" s="106"/>
    </row>
    <row r="37" spans="1:24" ht="20.100000000000001" customHeight="1">
      <c r="A37" s="5" t="s">
        <v>29</v>
      </c>
      <c r="B37" s="27">
        <f>'Ячейка 30'!D40+'Ячейка 27'!D40+'Ячейка 10'!D40</f>
        <v>3236.4000000088708</v>
      </c>
      <c r="C37" s="27"/>
      <c r="D37" s="133">
        <f>'Ячейка 30'!H40+'Ячейка 27'!H40+'Ячейка 10'!H40</f>
        <v>1664.4000000029337</v>
      </c>
      <c r="E37" s="133"/>
      <c r="F37" s="132">
        <f t="shared" si="0"/>
        <v>0.5142751205037609</v>
      </c>
      <c r="G37" s="132"/>
      <c r="H37" s="106"/>
      <c r="I37" s="106"/>
      <c r="J37" s="106"/>
      <c r="K37" s="106"/>
      <c r="L37" s="106"/>
    </row>
    <row r="38" spans="1:24" ht="20.100000000000001" customHeight="1">
      <c r="A38" s="5" t="s">
        <v>30</v>
      </c>
      <c r="B38" s="27">
        <f>'Ячейка 30'!D41+'Ячейка 27'!D41+'Ячейка 10'!D41</f>
        <v>3116.1599999904865</v>
      </c>
      <c r="C38" s="27"/>
      <c r="D38" s="133">
        <f>'Ячейка 30'!H41+'Ячейка 27'!H41+'Ячейка 10'!H41</f>
        <v>1609.6799999981158</v>
      </c>
      <c r="E38" s="133"/>
      <c r="F38" s="132">
        <f t="shared" si="0"/>
        <v>0.51655884165223542</v>
      </c>
      <c r="G38" s="132"/>
      <c r="H38" s="106"/>
      <c r="I38" s="106"/>
      <c r="J38" s="106"/>
      <c r="K38" s="106"/>
      <c r="L38" s="106"/>
    </row>
    <row r="39" spans="1:24" ht="20.100000000000001" customHeight="1">
      <c r="A39" s="5" t="s">
        <v>31</v>
      </c>
      <c r="B39" s="27">
        <f>'Ячейка 30'!D42+'Ячейка 27'!D42+'Ячейка 10'!D42</f>
        <v>3013.9200000128767</v>
      </c>
      <c r="C39" s="27"/>
      <c r="D39" s="133">
        <f>'Ячейка 30'!H42+'Ячейка 27'!H42+'Ячейка 10'!H42</f>
        <v>1575.6000000012136</v>
      </c>
      <c r="E39" s="133"/>
      <c r="F39" s="132">
        <f t="shared" si="0"/>
        <v>0.52277432712032235</v>
      </c>
      <c r="G39" s="132"/>
      <c r="H39" s="106"/>
      <c r="I39" s="106"/>
      <c r="J39" s="106"/>
      <c r="K39" s="106"/>
      <c r="L39" s="106"/>
      <c r="P39" s="57" t="s">
        <v>150</v>
      </c>
      <c r="Q39" s="57"/>
      <c r="R39" s="57"/>
      <c r="S39" s="56" t="s">
        <v>391</v>
      </c>
      <c r="T39" s="56"/>
      <c r="U39" s="56"/>
      <c r="V39" s="56"/>
      <c r="W39" s="56"/>
      <c r="X39" s="56"/>
    </row>
    <row r="40" spans="1:24" ht="20.100000000000001" customHeight="1">
      <c r="A40" s="5" t="s">
        <v>32</v>
      </c>
      <c r="B40" s="27">
        <f>SUM(B15:B39)</f>
        <v>75144.720000008761</v>
      </c>
      <c r="C40" s="27"/>
      <c r="D40" s="133">
        <f>SUM(D15:E39)</f>
        <v>39302.640000002066</v>
      </c>
      <c r="E40" s="133"/>
      <c r="F40" s="132">
        <f t="shared" si="0"/>
        <v>0.52302596909001031</v>
      </c>
      <c r="G40" s="132"/>
      <c r="H40" s="106"/>
      <c r="I40" s="106"/>
      <c r="J40" s="106"/>
      <c r="K40" s="106"/>
      <c r="L40" s="106"/>
    </row>
    <row r="41" spans="1:24" ht="20.100000000000001" customHeight="1">
      <c r="A41" s="5" t="s">
        <v>33</v>
      </c>
      <c r="B41" s="5"/>
      <c r="C41" s="5"/>
      <c r="D41" s="123"/>
      <c r="E41" s="123"/>
      <c r="F41" s="132"/>
      <c r="G41" s="132"/>
      <c r="H41" s="106"/>
      <c r="I41" s="106"/>
      <c r="J41" s="106"/>
      <c r="K41" s="106"/>
      <c r="L41" s="106"/>
    </row>
    <row r="42" spans="1:24" ht="20.100000000000001" customHeight="1">
      <c r="A42" s="131" t="s">
        <v>2</v>
      </c>
      <c r="B42" s="107" t="s">
        <v>37</v>
      </c>
      <c r="C42" s="108"/>
      <c r="D42" s="131"/>
      <c r="E42" s="107" t="s">
        <v>40</v>
      </c>
      <c r="F42" s="108"/>
      <c r="G42" s="108"/>
      <c r="H42" s="108"/>
      <c r="I42" s="131"/>
      <c r="J42" s="100" t="s">
        <v>5</v>
      </c>
      <c r="K42" s="112"/>
      <c r="L42" s="112"/>
    </row>
    <row r="43" spans="1:24" ht="36" customHeight="1">
      <c r="A43" s="131"/>
      <c r="B43" s="123" t="s">
        <v>38</v>
      </c>
      <c r="C43" s="123"/>
      <c r="D43" s="5" t="s">
        <v>39</v>
      </c>
      <c r="E43" s="107" t="s">
        <v>41</v>
      </c>
      <c r="F43" s="108"/>
      <c r="G43" s="131"/>
      <c r="H43" s="107" t="s">
        <v>42</v>
      </c>
      <c r="I43" s="131"/>
      <c r="J43" s="103"/>
      <c r="K43" s="111"/>
      <c r="L43" s="111"/>
    </row>
    <row r="44" spans="1:24" ht="20.100000000000001" customHeight="1">
      <c r="A44" s="4" t="s">
        <v>153</v>
      </c>
      <c r="B44" s="128">
        <f>SUM(B24:B26)</f>
        <v>10481.280000003608</v>
      </c>
      <c r="C44" s="129"/>
      <c r="D44" s="27">
        <f>SUM(D24:E26)</f>
        <v>5287.9200000013952</v>
      </c>
      <c r="E44" s="128">
        <f>B44/3</f>
        <v>3493.7600000012026</v>
      </c>
      <c r="F44" s="130"/>
      <c r="G44" s="129"/>
      <c r="H44" s="128">
        <f>D44/3</f>
        <v>1762.6400000004651</v>
      </c>
      <c r="I44" s="129"/>
      <c r="J44" s="125">
        <f>H44/E44</f>
        <v>0.50451089943208993</v>
      </c>
      <c r="K44" s="126"/>
      <c r="L44" s="126"/>
    </row>
    <row r="45" spans="1:24" ht="20.100000000000001" customHeight="1">
      <c r="A45" s="4" t="s">
        <v>43</v>
      </c>
      <c r="B45" s="128">
        <f>SUM(B33:B36)</f>
        <v>13049.280000002909</v>
      </c>
      <c r="C45" s="129"/>
      <c r="D45" s="27">
        <f>SUM(D33:E36)</f>
        <v>6528.2400000010966</v>
      </c>
      <c r="E45" s="128">
        <f>B45/4</f>
        <v>3262.3200000007273</v>
      </c>
      <c r="F45" s="130"/>
      <c r="G45" s="129"/>
      <c r="H45" s="128">
        <f>D45/4</f>
        <v>1632.0600000002742</v>
      </c>
      <c r="I45" s="129"/>
      <c r="J45" s="125">
        <f>H45/E45</f>
        <v>0.50027587728975398</v>
      </c>
      <c r="K45" s="126"/>
      <c r="L45" s="126"/>
    </row>
    <row r="46" spans="1:24" ht="20.100000000000001" customHeight="1">
      <c r="A46" s="4" t="s">
        <v>44</v>
      </c>
      <c r="B46" s="128">
        <f>SUM(B16:B39)</f>
        <v>75144.720000008761</v>
      </c>
      <c r="C46" s="129"/>
      <c r="D46" s="27">
        <f>SUM(D16:E39)</f>
        <v>39302.640000002066</v>
      </c>
      <c r="E46" s="128">
        <f>B46/24</f>
        <v>3131.0300000003649</v>
      </c>
      <c r="F46" s="130"/>
      <c r="G46" s="129"/>
      <c r="H46" s="128">
        <f>D46/24</f>
        <v>1637.6100000000861</v>
      </c>
      <c r="I46" s="129"/>
      <c r="J46" s="125">
        <f>H46/E46</f>
        <v>0.52302596909001042</v>
      </c>
      <c r="K46" s="126"/>
      <c r="L46" s="126"/>
    </row>
    <row r="47" spans="1:24" ht="20.100000000000001" customHeight="1"/>
    <row r="48" spans="1:24" ht="20.100000000000001" customHeight="1"/>
    <row r="49" spans="3:9" ht="20.100000000000001" customHeight="1"/>
    <row r="50" spans="3:9" ht="20.100000000000001" customHeight="1">
      <c r="C50" s="91" t="s">
        <v>194</v>
      </c>
      <c r="D50" s="91"/>
      <c r="E50" s="91"/>
      <c r="F50" s="91"/>
      <c r="G50" s="91"/>
      <c r="H50" s="91"/>
      <c r="I50" s="91"/>
    </row>
    <row r="51" spans="3:9" ht="20.100000000000001" customHeight="1"/>
  </sheetData>
  <mergeCells count="189">
    <mergeCell ref="S39:X39"/>
    <mergeCell ref="H46:I46"/>
    <mergeCell ref="E42:I42"/>
    <mergeCell ref="E43:G43"/>
    <mergeCell ref="H43:I43"/>
    <mergeCell ref="E44:G44"/>
    <mergeCell ref="H44:I44"/>
    <mergeCell ref="J46:L46"/>
    <mergeCell ref="J42:L43"/>
    <mergeCell ref="J44:L44"/>
    <mergeCell ref="J45:L45"/>
    <mergeCell ref="H45:I45"/>
    <mergeCell ref="H41:L41"/>
    <mergeCell ref="H40:L40"/>
    <mergeCell ref="A1:E1"/>
    <mergeCell ref="A2:E2"/>
    <mergeCell ref="A3:E3"/>
    <mergeCell ref="A4:E4"/>
    <mergeCell ref="A5:E5"/>
    <mergeCell ref="A6:E6"/>
    <mergeCell ref="B46:C46"/>
    <mergeCell ref="E46:G46"/>
    <mergeCell ref="B44:C44"/>
    <mergeCell ref="B45:C45"/>
    <mergeCell ref="D41:E41"/>
    <mergeCell ref="E45:G45"/>
    <mergeCell ref="F41:G41"/>
    <mergeCell ref="B42:D42"/>
    <mergeCell ref="F40:G40"/>
    <mergeCell ref="D38:E38"/>
    <mergeCell ref="F23:G23"/>
    <mergeCell ref="F39:G39"/>
    <mergeCell ref="F16:G16"/>
    <mergeCell ref="F17:G17"/>
    <mergeCell ref="F18:G18"/>
    <mergeCell ref="F19:G19"/>
    <mergeCell ref="F20:G20"/>
    <mergeCell ref="F35:G35"/>
    <mergeCell ref="H35:L35"/>
    <mergeCell ref="H36:L36"/>
    <mergeCell ref="H19:L19"/>
    <mergeCell ref="H38:L38"/>
    <mergeCell ref="H39:L39"/>
    <mergeCell ref="H29:L29"/>
    <mergeCell ref="H30:L30"/>
    <mergeCell ref="H31:L31"/>
    <mergeCell ref="H32:L32"/>
    <mergeCell ref="H25:L25"/>
    <mergeCell ref="H26:L26"/>
    <mergeCell ref="H27:L27"/>
    <mergeCell ref="H20:L20"/>
    <mergeCell ref="F33:G33"/>
    <mergeCell ref="F34:G34"/>
    <mergeCell ref="F27:G27"/>
    <mergeCell ref="F28:G28"/>
    <mergeCell ref="F29:G29"/>
    <mergeCell ref="F30:G30"/>
    <mergeCell ref="H28:L28"/>
    <mergeCell ref="H24:L24"/>
    <mergeCell ref="H33:L33"/>
    <mergeCell ref="H34:L34"/>
    <mergeCell ref="A42:A43"/>
    <mergeCell ref="B43:C43"/>
    <mergeCell ref="D26:E26"/>
    <mergeCell ref="D40:E40"/>
    <mergeCell ref="D33:E33"/>
    <mergeCell ref="D34:E34"/>
    <mergeCell ref="D28:E28"/>
    <mergeCell ref="D39:E39"/>
    <mergeCell ref="F21:G21"/>
    <mergeCell ref="F22:G22"/>
    <mergeCell ref="D37:E37"/>
    <mergeCell ref="D25:E25"/>
    <mergeCell ref="F24:G24"/>
    <mergeCell ref="F25:G25"/>
    <mergeCell ref="F26:G26"/>
    <mergeCell ref="D21:E21"/>
    <mergeCell ref="D22:E22"/>
    <mergeCell ref="D29:E29"/>
    <mergeCell ref="D30:E30"/>
    <mergeCell ref="D31:E31"/>
    <mergeCell ref="D32:E32"/>
    <mergeCell ref="F36:G36"/>
    <mergeCell ref="F37:G37"/>
    <mergeCell ref="F31:G31"/>
    <mergeCell ref="D35:E35"/>
    <mergeCell ref="D36:E36"/>
    <mergeCell ref="F38:G38"/>
    <mergeCell ref="A7:L7"/>
    <mergeCell ref="F12:G13"/>
    <mergeCell ref="H12:L12"/>
    <mergeCell ref="I9:L9"/>
    <mergeCell ref="F9:H9"/>
    <mergeCell ref="A9:E9"/>
    <mergeCell ref="A8:L8"/>
    <mergeCell ref="D14:E14"/>
    <mergeCell ref="D15:E15"/>
    <mergeCell ref="F14:G14"/>
    <mergeCell ref="F15:G15"/>
    <mergeCell ref="H14:L14"/>
    <mergeCell ref="H15:L15"/>
    <mergeCell ref="H16:L16"/>
    <mergeCell ref="H17:L17"/>
    <mergeCell ref="H18:L18"/>
    <mergeCell ref="H21:L21"/>
    <mergeCell ref="H22:L22"/>
    <mergeCell ref="H23:L23"/>
    <mergeCell ref="H37:L37"/>
    <mergeCell ref="F32:G32"/>
    <mergeCell ref="O33:V33"/>
    <mergeCell ref="O26:V26"/>
    <mergeCell ref="O27:V27"/>
    <mergeCell ref="O28:V28"/>
    <mergeCell ref="O29:V29"/>
    <mergeCell ref="P39:R39"/>
    <mergeCell ref="C50:I50"/>
    <mergeCell ref="A10:B10"/>
    <mergeCell ref="C10:H10"/>
    <mergeCell ref="A11:L11"/>
    <mergeCell ref="H13:L13"/>
    <mergeCell ref="A12:A13"/>
    <mergeCell ref="B13:C13"/>
    <mergeCell ref="D13:E13"/>
    <mergeCell ref="D20:E20"/>
    <mergeCell ref="D27:E27"/>
    <mergeCell ref="B12:E12"/>
    <mergeCell ref="D16:E16"/>
    <mergeCell ref="D17:E17"/>
    <mergeCell ref="D18:E18"/>
    <mergeCell ref="D19:E19"/>
    <mergeCell ref="D23:E23"/>
    <mergeCell ref="D24:E24"/>
    <mergeCell ref="N20:Q20"/>
    <mergeCell ref="N21:Q21"/>
    <mergeCell ref="N24:V24"/>
    <mergeCell ref="O25:V25"/>
    <mergeCell ref="U14:U18"/>
    <mergeCell ref="V14:V18"/>
    <mergeCell ref="O30:V30"/>
    <mergeCell ref="O31:V31"/>
    <mergeCell ref="O32:V32"/>
    <mergeCell ref="N10:Q10"/>
    <mergeCell ref="N11:Q11"/>
    <mergeCell ref="W14:W18"/>
    <mergeCell ref="N19:Q19"/>
    <mergeCell ref="M14:M18"/>
    <mergeCell ref="N14:Q18"/>
    <mergeCell ref="R14:T14"/>
    <mergeCell ref="T15:T18"/>
    <mergeCell ref="S15:S18"/>
    <mergeCell ref="R15:R18"/>
    <mergeCell ref="S10:T10"/>
    <mergeCell ref="S11:T11"/>
    <mergeCell ref="V10:W10"/>
    <mergeCell ref="V11:W11"/>
    <mergeCell ref="U1:W1"/>
    <mergeCell ref="R2:R3"/>
    <mergeCell ref="U2:U3"/>
    <mergeCell ref="S2:T2"/>
    <mergeCell ref="S3:T3"/>
    <mergeCell ref="V2:W2"/>
    <mergeCell ref="V3:W3"/>
    <mergeCell ref="N8:Q8"/>
    <mergeCell ref="N9:Q9"/>
    <mergeCell ref="V4:W4"/>
    <mergeCell ref="V5:W5"/>
    <mergeCell ref="V6:W6"/>
    <mergeCell ref="V7:W7"/>
    <mergeCell ref="V8:W8"/>
    <mergeCell ref="V9:W9"/>
    <mergeCell ref="S7:T7"/>
    <mergeCell ref="S8:T8"/>
    <mergeCell ref="S9:T9"/>
    <mergeCell ref="N4:Q4"/>
    <mergeCell ref="N5:Q5"/>
    <mergeCell ref="N6:Q6"/>
    <mergeCell ref="N7:Q7"/>
    <mergeCell ref="F1:H2"/>
    <mergeCell ref="I1:L2"/>
    <mergeCell ref="M1:M3"/>
    <mergeCell ref="N1:Q3"/>
    <mergeCell ref="F5:H6"/>
    <mergeCell ref="I5:L6"/>
    <mergeCell ref="F3:H4"/>
    <mergeCell ref="I3:L4"/>
    <mergeCell ref="R1:T1"/>
    <mergeCell ref="S4:T4"/>
    <mergeCell ref="S5:T5"/>
    <mergeCell ref="S6:T6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4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7.xml><?xml version="1.0" encoding="utf-8"?>
<worksheet xmlns="http://schemas.openxmlformats.org/spreadsheetml/2006/main" xmlns:r="http://schemas.openxmlformats.org/officeDocument/2006/relationships">
  <sheetPr codeName="Лист26"/>
  <dimension ref="A1:X51"/>
  <sheetViews>
    <sheetView view="pageBreakPreview" topLeftCell="A10" zoomScale="75" zoomScaleNormal="100" workbookViewId="0">
      <selection activeCell="B24" sqref="B24"/>
    </sheetView>
  </sheetViews>
  <sheetFormatPr defaultRowHeight="18.75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" style="2" customWidth="1"/>
    <col min="21" max="21" width="12.42578125" style="2" customWidth="1"/>
    <col min="22" max="22" width="13.140625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>
      <c r="A1" s="59" t="s">
        <v>161</v>
      </c>
      <c r="B1" s="59"/>
      <c r="C1" s="59"/>
      <c r="D1" s="59"/>
      <c r="E1" s="59"/>
      <c r="F1" s="63" t="s">
        <v>154</v>
      </c>
      <c r="G1" s="63"/>
      <c r="H1" s="63"/>
      <c r="I1" s="59" t="s">
        <v>163</v>
      </c>
      <c r="J1" s="59"/>
      <c r="K1" s="59"/>
      <c r="L1" s="59"/>
      <c r="M1" s="104" t="s">
        <v>115</v>
      </c>
      <c r="N1" s="98" t="s">
        <v>116</v>
      </c>
      <c r="O1" s="98"/>
      <c r="P1" s="98"/>
      <c r="Q1" s="98"/>
      <c r="R1" s="123" t="s">
        <v>117</v>
      </c>
      <c r="S1" s="123"/>
      <c r="T1" s="123"/>
      <c r="U1" s="123" t="s">
        <v>118</v>
      </c>
      <c r="V1" s="123"/>
      <c r="W1" s="107"/>
    </row>
    <row r="2" spans="1:23" ht="18.75" customHeight="1">
      <c r="A2" s="61" t="s">
        <v>45</v>
      </c>
      <c r="B2" s="61"/>
      <c r="C2" s="61"/>
      <c r="D2" s="61"/>
      <c r="E2" s="61"/>
      <c r="F2" s="63"/>
      <c r="G2" s="63"/>
      <c r="H2" s="63"/>
      <c r="I2" s="59"/>
      <c r="J2" s="59"/>
      <c r="K2" s="59"/>
      <c r="L2" s="59"/>
      <c r="M2" s="95"/>
      <c r="N2" s="99"/>
      <c r="O2" s="99"/>
      <c r="P2" s="99"/>
      <c r="Q2" s="99"/>
      <c r="R2" s="99" t="s">
        <v>119</v>
      </c>
      <c r="S2" s="99" t="s">
        <v>120</v>
      </c>
      <c r="T2" s="99"/>
      <c r="U2" s="99" t="s">
        <v>119</v>
      </c>
      <c r="V2" s="99" t="s">
        <v>120</v>
      </c>
      <c r="W2" s="101"/>
    </row>
    <row r="3" spans="1:23" ht="21.75" customHeight="1">
      <c r="A3" s="59" t="s">
        <v>181</v>
      </c>
      <c r="B3" s="59"/>
      <c r="C3" s="59"/>
      <c r="D3" s="59"/>
      <c r="E3" s="59"/>
      <c r="F3" s="63" t="s">
        <v>155</v>
      </c>
      <c r="G3" s="63"/>
      <c r="H3" s="63"/>
      <c r="I3" s="59" t="s">
        <v>253</v>
      </c>
      <c r="J3" s="59"/>
      <c r="K3" s="59"/>
      <c r="L3" s="59"/>
      <c r="M3" s="96"/>
      <c r="N3" s="102"/>
      <c r="O3" s="102"/>
      <c r="P3" s="102"/>
      <c r="Q3" s="102"/>
      <c r="R3" s="102"/>
      <c r="S3" s="102" t="s">
        <v>121</v>
      </c>
      <c r="T3" s="102"/>
      <c r="U3" s="102"/>
      <c r="V3" s="102" t="s">
        <v>121</v>
      </c>
      <c r="W3" s="103"/>
    </row>
    <row r="4" spans="1:23" ht="29.25" customHeight="1">
      <c r="A4" s="61" t="s">
        <v>46</v>
      </c>
      <c r="B4" s="61"/>
      <c r="C4" s="61"/>
      <c r="D4" s="61"/>
      <c r="E4" s="61"/>
      <c r="F4" s="63"/>
      <c r="G4" s="63"/>
      <c r="H4" s="63"/>
      <c r="I4" s="59"/>
      <c r="J4" s="59"/>
      <c r="K4" s="59"/>
      <c r="L4" s="59"/>
      <c r="M4" s="10"/>
      <c r="N4" s="136" t="s">
        <v>122</v>
      </c>
      <c r="O4" s="136"/>
      <c r="P4" s="136"/>
      <c r="Q4" s="136"/>
      <c r="R4" s="8"/>
      <c r="S4" s="89"/>
      <c r="T4" s="105"/>
      <c r="U4" s="8"/>
      <c r="V4" s="89"/>
      <c r="W4" s="90"/>
    </row>
    <row r="5" spans="1:23" ht="21" customHeight="1">
      <c r="A5" s="143" t="s">
        <v>159</v>
      </c>
      <c r="B5" s="143"/>
      <c r="C5" s="143"/>
      <c r="D5" s="143"/>
      <c r="E5" s="143"/>
      <c r="F5" s="63" t="s">
        <v>156</v>
      </c>
      <c r="G5" s="63"/>
      <c r="H5" s="63"/>
      <c r="I5" s="59" t="s">
        <v>252</v>
      </c>
      <c r="J5" s="59"/>
      <c r="K5" s="59"/>
      <c r="L5" s="59"/>
      <c r="M5" s="10"/>
      <c r="N5" s="137" t="s">
        <v>123</v>
      </c>
      <c r="O5" s="137"/>
      <c r="P5" s="137"/>
      <c r="Q5" s="137"/>
      <c r="R5" s="8"/>
      <c r="S5" s="89"/>
      <c r="T5" s="105"/>
      <c r="U5" s="8"/>
      <c r="V5" s="89"/>
      <c r="W5" s="90"/>
    </row>
    <row r="6" spans="1:23">
      <c r="A6" s="61" t="s">
        <v>47</v>
      </c>
      <c r="B6" s="61"/>
      <c r="C6" s="61"/>
      <c r="D6" s="61"/>
      <c r="E6" s="61"/>
      <c r="F6" s="63"/>
      <c r="G6" s="63"/>
      <c r="H6" s="63"/>
      <c r="I6" s="59"/>
      <c r="J6" s="59"/>
      <c r="K6" s="59"/>
      <c r="L6" s="59"/>
      <c r="M6" s="10"/>
      <c r="N6" s="137" t="s">
        <v>124</v>
      </c>
      <c r="O6" s="137"/>
      <c r="P6" s="137"/>
      <c r="Q6" s="137"/>
      <c r="R6" s="8"/>
      <c r="S6" s="89"/>
      <c r="T6" s="105"/>
      <c r="U6" s="8"/>
      <c r="V6" s="89"/>
      <c r="W6" s="90"/>
    </row>
    <row r="7" spans="1:23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10"/>
      <c r="N7" s="139" t="s">
        <v>125</v>
      </c>
      <c r="O7" s="139"/>
      <c r="P7" s="139"/>
      <c r="Q7" s="139"/>
      <c r="R7" s="8"/>
      <c r="S7" s="89"/>
      <c r="T7" s="105"/>
      <c r="U7" s="8"/>
      <c r="V7" s="89"/>
      <c r="W7" s="90"/>
    </row>
    <row r="8" spans="1:23" ht="22.5">
      <c r="A8" s="94" t="s">
        <v>0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10"/>
      <c r="N8" s="137" t="s">
        <v>126</v>
      </c>
      <c r="O8" s="137"/>
      <c r="P8" s="137"/>
      <c r="Q8" s="137"/>
      <c r="R8" s="8"/>
      <c r="S8" s="89"/>
      <c r="T8" s="105"/>
      <c r="U8" s="8"/>
      <c r="V8" s="89"/>
      <c r="W8" s="90"/>
    </row>
    <row r="9" spans="1:23">
      <c r="A9" s="135" t="s">
        <v>152</v>
      </c>
      <c r="B9" s="135"/>
      <c r="C9" s="135"/>
      <c r="D9" s="135"/>
      <c r="E9" s="135"/>
      <c r="F9" s="81" t="s">
        <v>385</v>
      </c>
      <c r="G9" s="81"/>
      <c r="H9" s="81"/>
      <c r="I9" s="134" t="s">
        <v>384</v>
      </c>
      <c r="J9" s="134"/>
      <c r="K9" s="134"/>
      <c r="L9" s="134"/>
      <c r="M9" s="10"/>
      <c r="N9" s="137" t="s">
        <v>127</v>
      </c>
      <c r="O9" s="137"/>
      <c r="P9" s="137"/>
      <c r="Q9" s="137"/>
      <c r="R9" s="8"/>
      <c r="S9" s="89"/>
      <c r="T9" s="105"/>
      <c r="U9" s="8"/>
      <c r="V9" s="89"/>
      <c r="W9" s="90"/>
    </row>
    <row r="10" spans="1:23" ht="19.5" customHeight="1">
      <c r="A10" s="135" t="s">
        <v>151</v>
      </c>
      <c r="B10" s="135"/>
      <c r="C10" s="81" t="s">
        <v>254</v>
      </c>
      <c r="D10" s="81"/>
      <c r="E10" s="81"/>
      <c r="F10" s="81"/>
      <c r="G10" s="81"/>
      <c r="H10" s="81"/>
      <c r="I10" s="3"/>
      <c r="J10" s="3"/>
      <c r="K10" s="3"/>
      <c r="L10" s="3"/>
      <c r="M10" s="10"/>
      <c r="N10" s="139" t="s">
        <v>128</v>
      </c>
      <c r="O10" s="139"/>
      <c r="P10" s="139"/>
      <c r="Q10" s="139"/>
      <c r="R10" s="8"/>
      <c r="S10" s="89"/>
      <c r="T10" s="105"/>
      <c r="U10" s="8"/>
      <c r="V10" s="89"/>
      <c r="W10" s="90"/>
    </row>
    <row r="11" spans="1:23">
      <c r="A11" s="124" t="s">
        <v>1</v>
      </c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0"/>
      <c r="N11" s="140" t="s">
        <v>129</v>
      </c>
      <c r="O11" s="140"/>
      <c r="P11" s="140"/>
      <c r="Q11" s="140"/>
      <c r="R11" s="8"/>
      <c r="S11" s="89"/>
      <c r="T11" s="105"/>
      <c r="U11" s="8"/>
      <c r="V11" s="89"/>
      <c r="W11" s="90"/>
    </row>
    <row r="12" spans="1:23" ht="20.100000000000001" customHeight="1">
      <c r="A12" s="131" t="s">
        <v>2</v>
      </c>
      <c r="B12" s="123" t="s">
        <v>36</v>
      </c>
      <c r="C12" s="123"/>
      <c r="D12" s="123"/>
      <c r="E12" s="123"/>
      <c r="F12" s="123" t="s">
        <v>5</v>
      </c>
      <c r="G12" s="123"/>
      <c r="H12" s="100" t="s">
        <v>34</v>
      </c>
      <c r="I12" s="112"/>
      <c r="J12" s="112"/>
      <c r="K12" s="112"/>
      <c r="L12" s="112"/>
      <c r="N12" s="1"/>
      <c r="O12" s="1"/>
      <c r="P12" s="1"/>
      <c r="Q12" s="1"/>
    </row>
    <row r="13" spans="1:23" ht="20.100000000000001" customHeight="1">
      <c r="A13" s="131"/>
      <c r="B13" s="123" t="s">
        <v>3</v>
      </c>
      <c r="C13" s="123"/>
      <c r="D13" s="123" t="s">
        <v>4</v>
      </c>
      <c r="E13" s="123"/>
      <c r="F13" s="123"/>
      <c r="G13" s="123"/>
      <c r="H13" s="103" t="s">
        <v>35</v>
      </c>
      <c r="I13" s="111"/>
      <c r="J13" s="111"/>
      <c r="K13" s="111"/>
      <c r="L13" s="111"/>
    </row>
    <row r="14" spans="1:23" ht="20.100000000000001" customHeight="1">
      <c r="A14" s="5" t="s">
        <v>6</v>
      </c>
      <c r="B14" s="8"/>
      <c r="C14" s="5"/>
      <c r="D14" s="106"/>
      <c r="E14" s="106"/>
      <c r="F14" s="132" t="str">
        <f t="shared" ref="F14:F40" si="0">IF(OR(B14="",D14=""),"",IF(ISERROR(D14/B14),IF(D14=0,0,""),D14/B14))</f>
        <v/>
      </c>
      <c r="G14" s="132"/>
      <c r="H14" s="106"/>
      <c r="I14" s="106"/>
      <c r="J14" s="106"/>
      <c r="K14" s="106"/>
      <c r="L14" s="106"/>
      <c r="M14" s="131" t="s">
        <v>115</v>
      </c>
      <c r="N14" s="123" t="s">
        <v>116</v>
      </c>
      <c r="O14" s="123"/>
      <c r="P14" s="123"/>
      <c r="Q14" s="123"/>
      <c r="R14" s="123" t="s">
        <v>117</v>
      </c>
      <c r="S14" s="123"/>
      <c r="T14" s="123"/>
      <c r="U14" s="123" t="s">
        <v>130</v>
      </c>
      <c r="V14" s="123" t="s">
        <v>69</v>
      </c>
      <c r="W14" s="107" t="s">
        <v>131</v>
      </c>
    </row>
    <row r="15" spans="1:23" ht="20.100000000000001" customHeight="1">
      <c r="A15" s="5" t="s">
        <v>7</v>
      </c>
      <c r="B15" s="5"/>
      <c r="C15" s="5"/>
      <c r="D15" s="123"/>
      <c r="E15" s="123"/>
      <c r="F15" s="132" t="str">
        <f t="shared" si="0"/>
        <v/>
      </c>
      <c r="G15" s="132"/>
      <c r="H15" s="106"/>
      <c r="I15" s="106"/>
      <c r="J15" s="106"/>
      <c r="K15" s="106"/>
      <c r="L15" s="106"/>
      <c r="M15" s="131"/>
      <c r="N15" s="123"/>
      <c r="O15" s="123"/>
      <c r="P15" s="123"/>
      <c r="Q15" s="123"/>
      <c r="R15" s="141" t="s">
        <v>130</v>
      </c>
      <c r="S15" s="123" t="s">
        <v>69</v>
      </c>
      <c r="T15" s="123" t="s">
        <v>131</v>
      </c>
      <c r="U15" s="123"/>
      <c r="V15" s="123"/>
      <c r="W15" s="107"/>
    </row>
    <row r="16" spans="1:23" ht="20.100000000000001" customHeight="1">
      <c r="A16" s="5" t="s">
        <v>8</v>
      </c>
      <c r="B16" s="27">
        <f>'Ячейка 16'!D19+'Ячейка 14 '!D19</f>
        <v>336.59999999981665</v>
      </c>
      <c r="C16" s="27"/>
      <c r="D16" s="133">
        <f>'Ячейка 16'!H19+'Ячейка 14 '!H19</f>
        <v>139.67999999931635</v>
      </c>
      <c r="E16" s="133"/>
      <c r="F16" s="132">
        <f t="shared" si="0"/>
        <v>0.41497326203028057</v>
      </c>
      <c r="G16" s="132"/>
      <c r="H16" s="106"/>
      <c r="I16" s="106"/>
      <c r="J16" s="106"/>
      <c r="K16" s="106"/>
      <c r="L16" s="106"/>
      <c r="M16" s="131"/>
      <c r="N16" s="123"/>
      <c r="O16" s="123"/>
      <c r="P16" s="123"/>
      <c r="Q16" s="123"/>
      <c r="R16" s="141"/>
      <c r="S16" s="123"/>
      <c r="T16" s="123"/>
      <c r="U16" s="123"/>
      <c r="V16" s="123"/>
      <c r="W16" s="107"/>
    </row>
    <row r="17" spans="1:23" ht="20.100000000000001" customHeight="1">
      <c r="A17" s="5" t="s">
        <v>9</v>
      </c>
      <c r="B17" s="27">
        <f>'Ячейка 16'!D20+'Ячейка 14 '!D20</f>
        <v>345.24000000092201</v>
      </c>
      <c r="C17" s="27"/>
      <c r="D17" s="133">
        <f>'Ячейка 16'!H20+'Ячейка 14 '!H20</f>
        <v>148.68000000114989</v>
      </c>
      <c r="E17" s="133"/>
      <c r="F17" s="132">
        <f t="shared" si="0"/>
        <v>0.43065693430874991</v>
      </c>
      <c r="G17" s="132"/>
      <c r="H17" s="106"/>
      <c r="I17" s="106"/>
      <c r="J17" s="106"/>
      <c r="K17" s="106"/>
      <c r="L17" s="106"/>
      <c r="M17" s="131"/>
      <c r="N17" s="123"/>
      <c r="O17" s="123"/>
      <c r="P17" s="123"/>
      <c r="Q17" s="123"/>
      <c r="R17" s="141"/>
      <c r="S17" s="123"/>
      <c r="T17" s="123"/>
      <c r="U17" s="123"/>
      <c r="V17" s="123"/>
      <c r="W17" s="107"/>
    </row>
    <row r="18" spans="1:23" ht="20.100000000000001" customHeight="1">
      <c r="A18" s="5" t="s">
        <v>10</v>
      </c>
      <c r="B18" s="27">
        <f>'Ячейка 16'!D21+'Ячейка 14 '!D21</f>
        <v>439.55999999852793</v>
      </c>
      <c r="C18" s="27"/>
      <c r="D18" s="133">
        <f>'Ячейка 16'!H21+'Ячейка 14 '!H21</f>
        <v>197.27999999959138</v>
      </c>
      <c r="E18" s="133"/>
      <c r="F18" s="132">
        <f t="shared" si="0"/>
        <v>0.44881244881302229</v>
      </c>
      <c r="G18" s="132"/>
      <c r="H18" s="106"/>
      <c r="I18" s="106"/>
      <c r="J18" s="106"/>
      <c r="K18" s="106"/>
      <c r="L18" s="106"/>
      <c r="M18" s="131"/>
      <c r="N18" s="123"/>
      <c r="O18" s="123"/>
      <c r="P18" s="123"/>
      <c r="Q18" s="123"/>
      <c r="R18" s="141"/>
      <c r="S18" s="123"/>
      <c r="T18" s="123"/>
      <c r="U18" s="123"/>
      <c r="V18" s="123"/>
      <c r="W18" s="107"/>
    </row>
    <row r="19" spans="1:23" ht="20.100000000000001" customHeight="1">
      <c r="A19" s="5" t="s">
        <v>11</v>
      </c>
      <c r="B19" s="27">
        <f>'Ячейка 16'!D22+'Ячейка 14 '!D22</f>
        <v>417.23999999921944</v>
      </c>
      <c r="C19" s="27"/>
      <c r="D19" s="133">
        <f>'Ячейка 16'!H22+'Ячейка 14 '!H22</f>
        <v>188.27999999939493</v>
      </c>
      <c r="E19" s="133"/>
      <c r="F19" s="132">
        <f t="shared" si="0"/>
        <v>0.45125107851535606</v>
      </c>
      <c r="G19" s="132"/>
      <c r="H19" s="106"/>
      <c r="I19" s="106"/>
      <c r="J19" s="106"/>
      <c r="K19" s="106"/>
      <c r="L19" s="106"/>
      <c r="M19" s="10"/>
      <c r="N19" s="136" t="s">
        <v>132</v>
      </c>
      <c r="O19" s="136"/>
      <c r="P19" s="136"/>
      <c r="Q19" s="136"/>
      <c r="R19" s="8"/>
      <c r="S19" s="8"/>
      <c r="T19" s="8"/>
      <c r="U19" s="8"/>
      <c r="V19" s="8"/>
      <c r="W19" s="9"/>
    </row>
    <row r="20" spans="1:23" ht="20.100000000000001" customHeight="1">
      <c r="A20" s="5" t="s">
        <v>12</v>
      </c>
      <c r="B20" s="27">
        <f>'Ячейка 16'!D23+'Ячейка 14 '!D23</f>
        <v>349.92000000056578</v>
      </c>
      <c r="C20" s="27"/>
      <c r="D20" s="133">
        <f>'Ячейка 16'!H23+'Ячейка 14 '!H23</f>
        <v>141.48000000132015</v>
      </c>
      <c r="E20" s="133"/>
      <c r="F20" s="132">
        <f t="shared" si="0"/>
        <v>0.40432098765743996</v>
      </c>
      <c r="G20" s="132"/>
      <c r="H20" s="106"/>
      <c r="I20" s="106"/>
      <c r="J20" s="106"/>
      <c r="K20" s="106"/>
      <c r="L20" s="106"/>
      <c r="M20" s="10"/>
      <c r="N20" s="137" t="s">
        <v>133</v>
      </c>
      <c r="O20" s="137"/>
      <c r="P20" s="137"/>
      <c r="Q20" s="137"/>
      <c r="R20" s="8"/>
      <c r="S20" s="8"/>
      <c r="T20" s="8"/>
      <c r="U20" s="8"/>
      <c r="V20" s="8"/>
      <c r="W20" s="9"/>
    </row>
    <row r="21" spans="1:23" ht="20.100000000000001" customHeight="1">
      <c r="A21" s="5" t="s">
        <v>13</v>
      </c>
      <c r="B21" s="27">
        <f>'Ячейка 16'!D24+'Ячейка 14 '!D24</f>
        <v>362.16000000240456</v>
      </c>
      <c r="C21" s="27"/>
      <c r="D21" s="133">
        <f>'Ячейка 16'!H24+'Ячейка 14 '!H24</f>
        <v>139.67999999931635</v>
      </c>
      <c r="E21" s="133"/>
      <c r="F21" s="132">
        <f t="shared" si="0"/>
        <v>0.38568588468740045</v>
      </c>
      <c r="G21" s="132"/>
      <c r="H21" s="106"/>
      <c r="I21" s="106"/>
      <c r="J21" s="106"/>
      <c r="K21" s="106"/>
      <c r="L21" s="106"/>
      <c r="M21" s="10"/>
      <c r="N21" s="138" t="s">
        <v>134</v>
      </c>
      <c r="O21" s="138"/>
      <c r="P21" s="138"/>
      <c r="Q21" s="138"/>
      <c r="R21" s="8"/>
      <c r="S21" s="8"/>
      <c r="T21" s="8"/>
      <c r="U21" s="8"/>
      <c r="V21" s="8"/>
      <c r="W21" s="9"/>
    </row>
    <row r="22" spans="1:23" ht="20.100000000000001" customHeight="1">
      <c r="A22" s="5" t="s">
        <v>14</v>
      </c>
      <c r="B22" s="27">
        <f>'Ячейка 16'!D25+'Ячейка 14 '!D25</f>
        <v>367.55999999695632</v>
      </c>
      <c r="C22" s="27"/>
      <c r="D22" s="133">
        <f>'Ячейка 16'!H25+'Ячейка 14 '!H25</f>
        <v>139.67999999931635</v>
      </c>
      <c r="E22" s="133"/>
      <c r="F22" s="132">
        <f t="shared" si="0"/>
        <v>0.3800195886398765</v>
      </c>
      <c r="G22" s="132"/>
      <c r="H22" s="106"/>
      <c r="I22" s="106"/>
      <c r="J22" s="106"/>
      <c r="K22" s="106"/>
      <c r="L22" s="106"/>
    </row>
    <row r="23" spans="1:23" ht="20.100000000000001" customHeight="1">
      <c r="A23" s="5" t="s">
        <v>15</v>
      </c>
      <c r="B23" s="27">
        <f>'Ячейка 16'!D26+'Ячейка 14 '!D26</f>
        <v>370.08000000205357</v>
      </c>
      <c r="C23" s="27"/>
      <c r="D23" s="133">
        <f>'Ячейка 16'!H26+'Ячейка 14 '!H26</f>
        <v>137.88000000058673</v>
      </c>
      <c r="E23" s="133"/>
      <c r="F23" s="132">
        <f t="shared" si="0"/>
        <v>0.37256809338473207</v>
      </c>
      <c r="G23" s="132"/>
      <c r="H23" s="106"/>
      <c r="I23" s="106"/>
      <c r="J23" s="106"/>
      <c r="K23" s="106"/>
      <c r="L23" s="106"/>
    </row>
    <row r="24" spans="1:23" ht="20.100000000000001" customHeight="1">
      <c r="A24" s="5" t="s">
        <v>16</v>
      </c>
      <c r="B24" s="27">
        <f>'Ячейка 16'!D27+'Ячейка 14 '!D27</f>
        <v>383.03999999880034</v>
      </c>
      <c r="C24" s="27"/>
      <c r="D24" s="133">
        <f>'Ячейка 16'!H27+'Ячейка 14 '!H27</f>
        <v>133.19999999930587</v>
      </c>
      <c r="E24" s="133"/>
      <c r="F24" s="132">
        <f t="shared" si="0"/>
        <v>0.3477443609015326</v>
      </c>
      <c r="G24" s="132"/>
      <c r="H24" s="106"/>
      <c r="I24" s="106"/>
      <c r="J24" s="106"/>
      <c r="K24" s="106"/>
      <c r="L24" s="106"/>
      <c r="N24" s="97" t="s">
        <v>135</v>
      </c>
      <c r="O24" s="97"/>
      <c r="P24" s="97"/>
      <c r="Q24" s="97"/>
      <c r="R24" s="97"/>
      <c r="S24" s="97"/>
      <c r="T24" s="97"/>
      <c r="U24" s="97"/>
      <c r="V24" s="97"/>
    </row>
    <row r="25" spans="1:23" ht="20.100000000000001" customHeight="1">
      <c r="A25" s="5" t="s">
        <v>17</v>
      </c>
      <c r="B25" s="27">
        <f>'Ячейка 16'!D28+'Ячейка 14 '!D28</f>
        <v>370.80000000023574</v>
      </c>
      <c r="C25" s="27"/>
      <c r="D25" s="133">
        <f>'Ячейка 16'!H28+'Ячейка 14 '!H28</f>
        <v>120.24000000092201</v>
      </c>
      <c r="E25" s="133"/>
      <c r="F25" s="132">
        <f t="shared" si="0"/>
        <v>0.32427184466247455</v>
      </c>
      <c r="G25" s="132"/>
      <c r="H25" s="106"/>
      <c r="I25" s="106"/>
      <c r="J25" s="106"/>
      <c r="K25" s="106"/>
      <c r="L25" s="106"/>
      <c r="N25" s="21" t="s">
        <v>136</v>
      </c>
      <c r="O25" s="97" t="s">
        <v>137</v>
      </c>
      <c r="P25" s="97"/>
      <c r="Q25" s="97"/>
      <c r="R25" s="97"/>
      <c r="S25" s="97"/>
      <c r="T25" s="97"/>
      <c r="U25" s="97"/>
      <c r="V25" s="97"/>
    </row>
    <row r="26" spans="1:23" ht="20.100000000000001" customHeight="1">
      <c r="A26" s="5" t="s">
        <v>18</v>
      </c>
      <c r="B26" s="27">
        <f>'Ячейка 16'!D29+'Ячейка 14 '!D29</f>
        <v>337.320000001273</v>
      </c>
      <c r="C26" s="27"/>
      <c r="D26" s="133">
        <f>'Ячейка 16'!H29+'Ячейка 14 '!H29</f>
        <v>99.000000000523869</v>
      </c>
      <c r="E26" s="133"/>
      <c r="F26" s="132">
        <f t="shared" si="0"/>
        <v>0.29348986125978377</v>
      </c>
      <c r="G26" s="132"/>
      <c r="H26" s="106"/>
      <c r="I26" s="106"/>
      <c r="J26" s="106"/>
      <c r="K26" s="106"/>
      <c r="L26" s="106"/>
      <c r="N26" s="21" t="s">
        <v>138</v>
      </c>
      <c r="O26" s="97" t="s">
        <v>188</v>
      </c>
      <c r="P26" s="97"/>
      <c r="Q26" s="97"/>
      <c r="R26" s="97"/>
      <c r="S26" s="97"/>
      <c r="T26" s="97"/>
      <c r="U26" s="97"/>
      <c r="V26" s="97"/>
    </row>
    <row r="27" spans="1:23" ht="20.100000000000001" customHeight="1">
      <c r="A27" s="5" t="s">
        <v>19</v>
      </c>
      <c r="B27" s="27">
        <f>'Ячейка 16'!D30+'Ячейка 14 '!D30</f>
        <v>350.63999999874795</v>
      </c>
      <c r="C27" s="27"/>
      <c r="D27" s="133">
        <f>'Ячейка 16'!H30+'Ячейка 14 '!H30</f>
        <v>105.83999999962543</v>
      </c>
      <c r="E27" s="133"/>
      <c r="F27" s="132">
        <f t="shared" si="0"/>
        <v>0.30184804928132375</v>
      </c>
      <c r="G27" s="132"/>
      <c r="H27" s="106"/>
      <c r="I27" s="106"/>
      <c r="J27" s="106"/>
      <c r="K27" s="106"/>
      <c r="L27" s="106"/>
      <c r="N27" s="21" t="s">
        <v>139</v>
      </c>
      <c r="O27" s="97" t="s">
        <v>140</v>
      </c>
      <c r="P27" s="97"/>
      <c r="Q27" s="97"/>
      <c r="R27" s="97"/>
      <c r="S27" s="97"/>
      <c r="T27" s="97"/>
      <c r="U27" s="97"/>
      <c r="V27" s="97"/>
    </row>
    <row r="28" spans="1:23" ht="20.100000000000001" customHeight="1">
      <c r="A28" s="5" t="s">
        <v>20</v>
      </c>
      <c r="B28" s="27">
        <f>'Ячейка 16'!D31+'Ячейка 14 '!D31</f>
        <v>403.56000000101631</v>
      </c>
      <c r="C28" s="27"/>
      <c r="D28" s="133">
        <f>'Ячейка 16'!H31+'Ячейка 14 '!H31</f>
        <v>130.6799999991199</v>
      </c>
      <c r="E28" s="133"/>
      <c r="F28" s="132">
        <f t="shared" si="0"/>
        <v>0.32381801962233819</v>
      </c>
      <c r="G28" s="132"/>
      <c r="H28" s="106"/>
      <c r="I28" s="106"/>
      <c r="J28" s="106"/>
      <c r="K28" s="106"/>
      <c r="L28" s="106"/>
      <c r="N28" s="21"/>
      <c r="O28" s="97" t="s">
        <v>141</v>
      </c>
      <c r="P28" s="97"/>
      <c r="Q28" s="97"/>
      <c r="R28" s="97"/>
      <c r="S28" s="97"/>
      <c r="T28" s="97"/>
      <c r="U28" s="97"/>
      <c r="V28" s="97"/>
    </row>
    <row r="29" spans="1:23" ht="20.100000000000001" customHeight="1">
      <c r="A29" s="5" t="s">
        <v>21</v>
      </c>
      <c r="B29" s="27">
        <f>'Ячейка 16'!D32+'Ячейка 14 '!D32</f>
        <v>379.7999999987951</v>
      </c>
      <c r="C29" s="27"/>
      <c r="D29" s="133">
        <f>'Ячейка 16'!H32+'Ячейка 14 '!H32</f>
        <v>114.4800000007308</v>
      </c>
      <c r="E29" s="133"/>
      <c r="F29" s="132">
        <f t="shared" si="0"/>
        <v>0.30142180095074772</v>
      </c>
      <c r="G29" s="132"/>
      <c r="H29" s="106"/>
      <c r="I29" s="106"/>
      <c r="J29" s="106"/>
      <c r="K29" s="106"/>
      <c r="L29" s="106"/>
      <c r="N29" s="21"/>
      <c r="O29" s="97" t="s">
        <v>142</v>
      </c>
      <c r="P29" s="97"/>
      <c r="Q29" s="97"/>
      <c r="R29" s="97"/>
      <c r="S29" s="97"/>
      <c r="T29" s="97"/>
      <c r="U29" s="97"/>
      <c r="V29" s="97"/>
    </row>
    <row r="30" spans="1:23" ht="20.100000000000001" customHeight="1">
      <c r="A30" s="5" t="s">
        <v>22</v>
      </c>
      <c r="B30" s="27">
        <f>'Ячейка 16'!D33+'Ячейка 14 '!D33</f>
        <v>342.71999999909895</v>
      </c>
      <c r="C30" s="27"/>
      <c r="D30" s="133">
        <f>'Ячейка 16'!H33+'Ячейка 14 '!H33</f>
        <v>106.5599999994447</v>
      </c>
      <c r="E30" s="133"/>
      <c r="F30" s="132">
        <f t="shared" si="0"/>
        <v>0.31092436974709636</v>
      </c>
      <c r="G30" s="132"/>
      <c r="H30" s="106"/>
      <c r="I30" s="106"/>
      <c r="J30" s="106"/>
      <c r="K30" s="106"/>
      <c r="L30" s="106"/>
      <c r="N30" s="21" t="s">
        <v>143</v>
      </c>
      <c r="O30" s="97" t="s">
        <v>144</v>
      </c>
      <c r="P30" s="97"/>
      <c r="Q30" s="97"/>
      <c r="R30" s="97"/>
      <c r="S30" s="97"/>
      <c r="T30" s="97"/>
      <c r="U30" s="97"/>
      <c r="V30" s="97"/>
    </row>
    <row r="31" spans="1:23" ht="20.100000000000001" customHeight="1">
      <c r="A31" s="5" t="s">
        <v>23</v>
      </c>
      <c r="B31" s="27">
        <f>'Ячейка 16'!D34+'Ячейка 14 '!D34</f>
        <v>323.64000000306987</v>
      </c>
      <c r="C31" s="27"/>
      <c r="D31" s="133">
        <f>'Ячейка 16'!H34+'Ячейка 14 '!H34</f>
        <v>100.80000000089058</v>
      </c>
      <c r="E31" s="133"/>
      <c r="F31" s="132">
        <f t="shared" si="0"/>
        <v>0.31145717463828465</v>
      </c>
      <c r="G31" s="132"/>
      <c r="H31" s="106"/>
      <c r="I31" s="106"/>
      <c r="J31" s="106"/>
      <c r="K31" s="106"/>
      <c r="L31" s="106"/>
      <c r="N31" s="21"/>
      <c r="O31" s="97" t="s">
        <v>145</v>
      </c>
      <c r="P31" s="97"/>
      <c r="Q31" s="97"/>
      <c r="R31" s="97"/>
      <c r="S31" s="97"/>
      <c r="T31" s="97"/>
      <c r="U31" s="97"/>
      <c r="V31" s="97"/>
    </row>
    <row r="32" spans="1:23" ht="20.100000000000001" customHeight="1">
      <c r="A32" s="5" t="s">
        <v>24</v>
      </c>
      <c r="B32" s="27">
        <f>'Ячейка 16'!D35+'Ячейка 14 '!D35</f>
        <v>393.11999999954423</v>
      </c>
      <c r="C32" s="27"/>
      <c r="D32" s="133">
        <f>'Ячейка 16'!H35+'Ячейка 14 '!H35</f>
        <v>113.75999999927444</v>
      </c>
      <c r="E32" s="133"/>
      <c r="F32" s="132">
        <f t="shared" si="0"/>
        <v>0.28937728937577922</v>
      </c>
      <c r="G32" s="132"/>
      <c r="H32" s="106"/>
      <c r="I32" s="106"/>
      <c r="J32" s="106"/>
      <c r="K32" s="106"/>
      <c r="L32" s="106"/>
      <c r="N32" s="21" t="s">
        <v>146</v>
      </c>
      <c r="O32" s="97" t="s">
        <v>147</v>
      </c>
      <c r="P32" s="97"/>
      <c r="Q32" s="97"/>
      <c r="R32" s="97"/>
      <c r="S32" s="97"/>
      <c r="T32" s="97"/>
      <c r="U32" s="97"/>
      <c r="V32" s="97"/>
    </row>
    <row r="33" spans="1:24" ht="20.100000000000001" customHeight="1">
      <c r="A33" s="5" t="s">
        <v>25</v>
      </c>
      <c r="B33" s="27">
        <f>'Ячейка 16'!D36+'Ячейка 14 '!D36</f>
        <v>435.95999999779451</v>
      </c>
      <c r="C33" s="27"/>
      <c r="D33" s="133">
        <f>'Ячейка 16'!H36+'Ячейка 14 '!H36</f>
        <v>138.23999999967782</v>
      </c>
      <c r="E33" s="133"/>
      <c r="F33" s="132">
        <f t="shared" si="0"/>
        <v>0.31709331131382962</v>
      </c>
      <c r="G33" s="132"/>
      <c r="H33" s="106"/>
      <c r="I33" s="106"/>
      <c r="J33" s="106"/>
      <c r="K33" s="106"/>
      <c r="L33" s="106"/>
      <c r="N33" s="21" t="s">
        <v>148</v>
      </c>
      <c r="O33" s="97" t="s">
        <v>149</v>
      </c>
      <c r="P33" s="97"/>
      <c r="Q33" s="97"/>
      <c r="R33" s="97"/>
      <c r="S33" s="97"/>
      <c r="T33" s="97"/>
      <c r="U33" s="97"/>
      <c r="V33" s="97"/>
    </row>
    <row r="34" spans="1:24" ht="20.100000000000001" customHeight="1">
      <c r="A34" s="5" t="s">
        <v>26</v>
      </c>
      <c r="B34" s="27">
        <f>'Ячейка 16'!D37+'Ячейка 14 '!D37</f>
        <v>424.07999999995809</v>
      </c>
      <c r="C34" s="27"/>
      <c r="D34" s="133">
        <f>'Ячейка 16'!H37+'Ячейка 14 '!H37</f>
        <v>149.40000000096916</v>
      </c>
      <c r="E34" s="133"/>
      <c r="F34" s="132">
        <f t="shared" si="0"/>
        <v>0.35229202037583457</v>
      </c>
      <c r="G34" s="132"/>
      <c r="H34" s="106"/>
      <c r="I34" s="106"/>
      <c r="J34" s="106"/>
      <c r="K34" s="106"/>
      <c r="L34" s="106"/>
    </row>
    <row r="35" spans="1:24" ht="20.100000000000001" customHeight="1">
      <c r="A35" s="5" t="s">
        <v>27</v>
      </c>
      <c r="B35" s="27">
        <f>'Ячейка 16'!D38+'Ячейка 14 '!D38</f>
        <v>426.24000000105298</v>
      </c>
      <c r="C35" s="27"/>
      <c r="D35" s="133">
        <f>'Ячейка 16'!H38+'Ячейка 14 '!H38</f>
        <v>149.76000000006024</v>
      </c>
      <c r="E35" s="133"/>
      <c r="F35" s="132">
        <f t="shared" si="0"/>
        <v>0.35135135135062473</v>
      </c>
      <c r="G35" s="132"/>
      <c r="H35" s="106"/>
      <c r="I35" s="106"/>
      <c r="J35" s="106"/>
      <c r="K35" s="106"/>
      <c r="L35" s="106"/>
    </row>
    <row r="36" spans="1:24" ht="20.100000000000001" customHeight="1">
      <c r="A36" s="5" t="s">
        <v>28</v>
      </c>
      <c r="B36" s="27">
        <f>'Ячейка 16'!D39+'Ячейка 14 '!D39</f>
        <v>421.9199999988632</v>
      </c>
      <c r="C36" s="27"/>
      <c r="D36" s="133">
        <f>'Ячейка 16'!H39+'Ячейка 14 '!H39</f>
        <v>150.47999999987951</v>
      </c>
      <c r="E36" s="133"/>
      <c r="F36" s="132">
        <f t="shared" si="0"/>
        <v>0.35665529010306446</v>
      </c>
      <c r="G36" s="132"/>
      <c r="H36" s="106"/>
      <c r="I36" s="106"/>
      <c r="J36" s="106"/>
      <c r="K36" s="106"/>
      <c r="L36" s="106"/>
    </row>
    <row r="37" spans="1:24" ht="20.100000000000001" customHeight="1">
      <c r="A37" s="5" t="s">
        <v>29</v>
      </c>
      <c r="B37" s="27">
        <f>'Ячейка 16'!D40+'Ячейка 14 '!D40</f>
        <v>416.16000000030908</v>
      </c>
      <c r="C37" s="27"/>
      <c r="D37" s="133">
        <f>'Ячейка 16'!H40+'Ячейка 14 '!H40</f>
        <v>151.19999999969878</v>
      </c>
      <c r="E37" s="133"/>
      <c r="F37" s="132">
        <f t="shared" si="0"/>
        <v>0.36332179930696484</v>
      </c>
      <c r="G37" s="132"/>
      <c r="H37" s="106"/>
      <c r="I37" s="106"/>
      <c r="J37" s="106"/>
      <c r="K37" s="106"/>
      <c r="L37" s="106"/>
    </row>
    <row r="38" spans="1:24" ht="20.100000000000001" customHeight="1">
      <c r="A38" s="5" t="s">
        <v>30</v>
      </c>
      <c r="B38" s="27">
        <f>'Ячейка 16'!D41+'Ячейка 14 '!D41</f>
        <v>403.56000000101631</v>
      </c>
      <c r="C38" s="27"/>
      <c r="D38" s="133">
        <f>'Ячейка 16'!H41+'Ячейка 14 '!H41</f>
        <v>149.04000000024098</v>
      </c>
      <c r="E38" s="133"/>
      <c r="F38" s="132">
        <f t="shared" si="0"/>
        <v>0.3693131132913709</v>
      </c>
      <c r="G38" s="132"/>
      <c r="H38" s="106"/>
      <c r="I38" s="106"/>
      <c r="J38" s="106"/>
      <c r="K38" s="106"/>
      <c r="L38" s="106"/>
    </row>
    <row r="39" spans="1:24" ht="20.100000000000001" customHeight="1">
      <c r="A39" s="5" t="s">
        <v>31</v>
      </c>
      <c r="B39" s="27">
        <f>'Ячейка 16'!D42+'Ячейка 14 '!D42</f>
        <v>396.35999999954947</v>
      </c>
      <c r="C39" s="27"/>
      <c r="D39" s="133">
        <f>'Ячейка 16'!H42+'Ячейка 14 '!H42</f>
        <v>146.88000000078318</v>
      </c>
      <c r="E39" s="133"/>
      <c r="F39" s="132">
        <f t="shared" si="0"/>
        <v>0.37057220708686583</v>
      </c>
      <c r="G39" s="132"/>
      <c r="H39" s="106"/>
      <c r="I39" s="106"/>
      <c r="J39" s="106"/>
      <c r="K39" s="106"/>
      <c r="L39" s="106"/>
      <c r="P39" s="57" t="s">
        <v>150</v>
      </c>
      <c r="Q39" s="57"/>
      <c r="R39" s="57"/>
      <c r="S39" s="56" t="s">
        <v>391</v>
      </c>
      <c r="T39" s="56"/>
      <c r="U39" s="56"/>
      <c r="V39" s="56"/>
      <c r="W39" s="56"/>
      <c r="X39" s="56"/>
    </row>
    <row r="40" spans="1:24" ht="20.100000000000001" customHeight="1">
      <c r="A40" s="5" t="s">
        <v>32</v>
      </c>
      <c r="B40" s="27">
        <f>SUM(B15:B39)</f>
        <v>9197.2799999995914</v>
      </c>
      <c r="C40" s="27"/>
      <c r="D40" s="133">
        <f>SUM(D15:E39)</f>
        <v>3292.2000000011394</v>
      </c>
      <c r="E40" s="133"/>
      <c r="F40" s="132">
        <f t="shared" si="0"/>
        <v>0.35795365586361244</v>
      </c>
      <c r="G40" s="132"/>
      <c r="H40" s="106"/>
      <c r="I40" s="106"/>
      <c r="J40" s="106"/>
      <c r="K40" s="106"/>
      <c r="L40" s="106"/>
    </row>
    <row r="41" spans="1:24" ht="20.100000000000001" customHeight="1">
      <c r="A41" s="5" t="s">
        <v>33</v>
      </c>
      <c r="B41" s="5"/>
      <c r="C41" s="5"/>
      <c r="D41" s="123"/>
      <c r="E41" s="123"/>
      <c r="F41" s="132"/>
      <c r="G41" s="132"/>
      <c r="H41" s="106"/>
      <c r="I41" s="106"/>
      <c r="J41" s="106"/>
      <c r="K41" s="106"/>
      <c r="L41" s="106"/>
    </row>
    <row r="42" spans="1:24" ht="20.100000000000001" customHeight="1">
      <c r="A42" s="131" t="s">
        <v>2</v>
      </c>
      <c r="B42" s="107" t="s">
        <v>37</v>
      </c>
      <c r="C42" s="108"/>
      <c r="D42" s="131"/>
      <c r="E42" s="107" t="s">
        <v>40</v>
      </c>
      <c r="F42" s="108"/>
      <c r="G42" s="108"/>
      <c r="H42" s="108"/>
      <c r="I42" s="131"/>
      <c r="J42" s="100" t="s">
        <v>5</v>
      </c>
      <c r="K42" s="112"/>
      <c r="L42" s="112"/>
    </row>
    <row r="43" spans="1:24" ht="36" customHeight="1">
      <c r="A43" s="131"/>
      <c r="B43" s="123" t="s">
        <v>38</v>
      </c>
      <c r="C43" s="123"/>
      <c r="D43" s="5" t="s">
        <v>39</v>
      </c>
      <c r="E43" s="107" t="s">
        <v>41</v>
      </c>
      <c r="F43" s="108"/>
      <c r="G43" s="131"/>
      <c r="H43" s="107" t="s">
        <v>42</v>
      </c>
      <c r="I43" s="131"/>
      <c r="J43" s="103"/>
      <c r="K43" s="111"/>
      <c r="L43" s="111"/>
    </row>
    <row r="44" spans="1:24" ht="20.100000000000001" customHeight="1">
      <c r="A44" s="4" t="s">
        <v>153</v>
      </c>
      <c r="B44" s="128">
        <f>SUM(B24:B26)</f>
        <v>1091.1600000003091</v>
      </c>
      <c r="C44" s="129"/>
      <c r="D44" s="27">
        <f>SUM(D24:E26)</f>
        <v>352.44000000075175</v>
      </c>
      <c r="E44" s="128">
        <f>B44/3</f>
        <v>363.72000000010303</v>
      </c>
      <c r="F44" s="130"/>
      <c r="G44" s="129"/>
      <c r="H44" s="128">
        <f>D44/3</f>
        <v>117.48000000025058</v>
      </c>
      <c r="I44" s="129"/>
      <c r="J44" s="125">
        <f>H44/E44</f>
        <v>0.32299571098707058</v>
      </c>
      <c r="K44" s="126"/>
      <c r="L44" s="126"/>
    </row>
    <row r="45" spans="1:24" ht="20.100000000000001" customHeight="1">
      <c r="A45" s="4" t="s">
        <v>43</v>
      </c>
      <c r="B45" s="128">
        <f>SUM(B33:B36)</f>
        <v>1708.1999999976688</v>
      </c>
      <c r="C45" s="129"/>
      <c r="D45" s="27">
        <f>SUM(D33:E36)</f>
        <v>587.88000000058673</v>
      </c>
      <c r="E45" s="128">
        <f>B45/4</f>
        <v>427.0499999994172</v>
      </c>
      <c r="F45" s="130"/>
      <c r="G45" s="129"/>
      <c r="H45" s="128">
        <f>D45/4</f>
        <v>146.97000000014668</v>
      </c>
      <c r="I45" s="129"/>
      <c r="J45" s="125">
        <f>H45/E45</f>
        <v>0.34415173867309978</v>
      </c>
      <c r="K45" s="126"/>
      <c r="L45" s="126"/>
    </row>
    <row r="46" spans="1:24" ht="20.100000000000001" customHeight="1">
      <c r="A46" s="4" t="s">
        <v>44</v>
      </c>
      <c r="B46" s="128">
        <f>SUM(B16:B39)</f>
        <v>9197.2799999995914</v>
      </c>
      <c r="C46" s="129"/>
      <c r="D46" s="27">
        <f>SUM(D16:E39)</f>
        <v>3292.2000000011394</v>
      </c>
      <c r="E46" s="128">
        <f>B46/24</f>
        <v>383.21999999998297</v>
      </c>
      <c r="F46" s="130"/>
      <c r="G46" s="129"/>
      <c r="H46" s="128">
        <f>D46/24</f>
        <v>137.17500000004748</v>
      </c>
      <c r="I46" s="129"/>
      <c r="J46" s="125">
        <f>H46/E46</f>
        <v>0.35795365586361244</v>
      </c>
      <c r="K46" s="126"/>
      <c r="L46" s="126"/>
    </row>
    <row r="47" spans="1:24" ht="20.100000000000001" customHeight="1"/>
    <row r="48" spans="1:24" ht="20.100000000000001" customHeight="1"/>
    <row r="49" spans="3:9" ht="20.100000000000001" customHeight="1"/>
    <row r="50" spans="3:9" ht="20.100000000000001" customHeight="1">
      <c r="C50" s="91" t="s">
        <v>194</v>
      </c>
      <c r="D50" s="91"/>
      <c r="E50" s="91"/>
      <c r="F50" s="91"/>
      <c r="G50" s="91"/>
      <c r="H50" s="91"/>
      <c r="I50" s="91"/>
    </row>
    <row r="51" spans="3:9" ht="20.100000000000001" customHeight="1"/>
  </sheetData>
  <mergeCells count="189">
    <mergeCell ref="V8:W8"/>
    <mergeCell ref="V9:W9"/>
    <mergeCell ref="V10:W10"/>
    <mergeCell ref="V11:W11"/>
    <mergeCell ref="V4:W4"/>
    <mergeCell ref="V5:W5"/>
    <mergeCell ref="V6:W6"/>
    <mergeCell ref="V7:W7"/>
    <mergeCell ref="S39:X39"/>
    <mergeCell ref="U14:U18"/>
    <mergeCell ref="V14:V18"/>
    <mergeCell ref="W14:W18"/>
    <mergeCell ref="O30:V30"/>
    <mergeCell ref="O31:V31"/>
    <mergeCell ref="O32:V32"/>
    <mergeCell ref="O33:V33"/>
    <mergeCell ref="P39:R39"/>
    <mergeCell ref="N24:V24"/>
    <mergeCell ref="O25:V25"/>
    <mergeCell ref="O26:V26"/>
    <mergeCell ref="O27:V27"/>
    <mergeCell ref="O28:V28"/>
    <mergeCell ref="O29:V29"/>
    <mergeCell ref="U1:W1"/>
    <mergeCell ref="R2:R3"/>
    <mergeCell ref="U2:U3"/>
    <mergeCell ref="S2:T2"/>
    <mergeCell ref="S3:T3"/>
    <mergeCell ref="V2:W2"/>
    <mergeCell ref="V3:W3"/>
    <mergeCell ref="F5:H6"/>
    <mergeCell ref="I5:L6"/>
    <mergeCell ref="F3:H4"/>
    <mergeCell ref="I3:L4"/>
    <mergeCell ref="F1:H2"/>
    <mergeCell ref="I1:L2"/>
    <mergeCell ref="S4:T4"/>
    <mergeCell ref="S5:T5"/>
    <mergeCell ref="S6:T6"/>
    <mergeCell ref="N4:Q4"/>
    <mergeCell ref="N5:Q5"/>
    <mergeCell ref="N6:Q6"/>
    <mergeCell ref="N7:Q7"/>
    <mergeCell ref="N8:Q8"/>
    <mergeCell ref="N9:Q9"/>
    <mergeCell ref="M1:M3"/>
    <mergeCell ref="N1:Q3"/>
    <mergeCell ref="R1:T1"/>
    <mergeCell ref="S8:T8"/>
    <mergeCell ref="S9:T9"/>
    <mergeCell ref="S7:T7"/>
    <mergeCell ref="N19:Q19"/>
    <mergeCell ref="N20:Q20"/>
    <mergeCell ref="N21:Q21"/>
    <mergeCell ref="N10:Q10"/>
    <mergeCell ref="N11:Q11"/>
    <mergeCell ref="M14:M18"/>
    <mergeCell ref="N14:Q18"/>
    <mergeCell ref="R14:T14"/>
    <mergeCell ref="T15:T18"/>
    <mergeCell ref="S15:S18"/>
    <mergeCell ref="R15:R18"/>
    <mergeCell ref="S10:T10"/>
    <mergeCell ref="S11:T11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D36:E36"/>
    <mergeCell ref="D38:E38"/>
    <mergeCell ref="D39:E39"/>
    <mergeCell ref="D37:E37"/>
    <mergeCell ref="D29:E29"/>
    <mergeCell ref="F21:G21"/>
    <mergeCell ref="D21:E21"/>
    <mergeCell ref="A7:L7"/>
    <mergeCell ref="F12:G13"/>
    <mergeCell ref="H12:L12"/>
    <mergeCell ref="I9:L9"/>
    <mergeCell ref="F9:H9"/>
    <mergeCell ref="A9:E9"/>
    <mergeCell ref="A8:L8"/>
    <mergeCell ref="D25:E25"/>
    <mergeCell ref="D26:E26"/>
    <mergeCell ref="D14:E14"/>
    <mergeCell ref="D15:E15"/>
    <mergeCell ref="D16:E16"/>
    <mergeCell ref="D17:E17"/>
    <mergeCell ref="D18:E18"/>
    <mergeCell ref="D19:E19"/>
    <mergeCell ref="D20:E20"/>
    <mergeCell ref="F14:G14"/>
    <mergeCell ref="F15:G15"/>
    <mergeCell ref="F16:G16"/>
    <mergeCell ref="F17:G17"/>
    <mergeCell ref="F22:G22"/>
    <mergeCell ref="F18:G18"/>
    <mergeCell ref="F19:G19"/>
    <mergeCell ref="F20:G20"/>
    <mergeCell ref="F34:G34"/>
    <mergeCell ref="D30:E30"/>
    <mergeCell ref="D31:E31"/>
    <mergeCell ref="D32:E32"/>
    <mergeCell ref="D23:E23"/>
    <mergeCell ref="D24:E24"/>
    <mergeCell ref="F23:G23"/>
    <mergeCell ref="F24:G24"/>
    <mergeCell ref="F25:G25"/>
    <mergeCell ref="F26:G26"/>
    <mergeCell ref="F33:G33"/>
    <mergeCell ref="H23:L23"/>
    <mergeCell ref="H24:L24"/>
    <mergeCell ref="H25:L25"/>
    <mergeCell ref="H26:L26"/>
    <mergeCell ref="H27:L27"/>
    <mergeCell ref="H28:L28"/>
    <mergeCell ref="D22:E22"/>
    <mergeCell ref="F27:G27"/>
    <mergeCell ref="F28:G28"/>
    <mergeCell ref="H14:L14"/>
    <mergeCell ref="H15:L15"/>
    <mergeCell ref="H16:L16"/>
    <mergeCell ref="H17:L17"/>
    <mergeCell ref="H18:L18"/>
    <mergeCell ref="H19:L19"/>
    <mergeCell ref="H20:L20"/>
    <mergeCell ref="H21:L21"/>
    <mergeCell ref="H22:L22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  <mergeCell ref="F35:G35"/>
    <mergeCell ref="F36:G36"/>
    <mergeCell ref="F37:G37"/>
    <mergeCell ref="F38:G38"/>
    <mergeCell ref="F39:G39"/>
    <mergeCell ref="F40:G40"/>
    <mergeCell ref="F29:G29"/>
    <mergeCell ref="F30:G30"/>
    <mergeCell ref="F31:G31"/>
    <mergeCell ref="F32:G32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B45:C45"/>
    <mergeCell ref="J44:L44"/>
    <mergeCell ref="J45:L45"/>
    <mergeCell ref="D41:E41"/>
    <mergeCell ref="E45:G45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4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8.xml><?xml version="1.0" encoding="utf-8"?>
<worksheet xmlns="http://schemas.openxmlformats.org/spreadsheetml/2006/main" xmlns:r="http://schemas.openxmlformats.org/officeDocument/2006/relationships">
  <sheetPr codeName="Лист27"/>
  <dimension ref="A1:X51"/>
  <sheetViews>
    <sheetView view="pageBreakPreview" topLeftCell="A10" zoomScale="75" zoomScaleNormal="100" workbookViewId="0">
      <selection activeCell="B22" sqref="B22"/>
    </sheetView>
  </sheetViews>
  <sheetFormatPr defaultRowHeight="18.75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" style="2" customWidth="1"/>
    <col min="21" max="21" width="12.42578125" style="2" customWidth="1"/>
    <col min="22" max="22" width="13.140625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>
      <c r="A1" s="59" t="s">
        <v>161</v>
      </c>
      <c r="B1" s="59"/>
      <c r="C1" s="59"/>
      <c r="D1" s="59"/>
      <c r="E1" s="59"/>
      <c r="F1" s="63" t="s">
        <v>154</v>
      </c>
      <c r="G1" s="63"/>
      <c r="H1" s="63"/>
      <c r="I1" s="59" t="s">
        <v>163</v>
      </c>
      <c r="J1" s="59"/>
      <c r="K1" s="59"/>
      <c r="L1" s="59"/>
      <c r="M1" s="104" t="s">
        <v>115</v>
      </c>
      <c r="N1" s="98" t="s">
        <v>116</v>
      </c>
      <c r="O1" s="98"/>
      <c r="P1" s="98"/>
      <c r="Q1" s="98"/>
      <c r="R1" s="123" t="s">
        <v>117</v>
      </c>
      <c r="S1" s="123"/>
      <c r="T1" s="123"/>
      <c r="U1" s="123" t="s">
        <v>118</v>
      </c>
      <c r="V1" s="123"/>
      <c r="W1" s="107"/>
    </row>
    <row r="2" spans="1:23" ht="18.75" customHeight="1">
      <c r="A2" s="61" t="s">
        <v>45</v>
      </c>
      <c r="B2" s="61"/>
      <c r="C2" s="61"/>
      <c r="D2" s="61"/>
      <c r="E2" s="61"/>
      <c r="F2" s="63"/>
      <c r="G2" s="63"/>
      <c r="H2" s="63"/>
      <c r="I2" s="59"/>
      <c r="J2" s="59"/>
      <c r="K2" s="59"/>
      <c r="L2" s="59"/>
      <c r="M2" s="95"/>
      <c r="N2" s="99"/>
      <c r="O2" s="99"/>
      <c r="P2" s="99"/>
      <c r="Q2" s="99"/>
      <c r="R2" s="99" t="s">
        <v>119</v>
      </c>
      <c r="S2" s="99" t="s">
        <v>120</v>
      </c>
      <c r="T2" s="99"/>
      <c r="U2" s="99" t="s">
        <v>119</v>
      </c>
      <c r="V2" s="99" t="s">
        <v>120</v>
      </c>
      <c r="W2" s="101"/>
    </row>
    <row r="3" spans="1:23" ht="21.75" customHeight="1">
      <c r="A3" s="59" t="s">
        <v>181</v>
      </c>
      <c r="B3" s="59"/>
      <c r="C3" s="59"/>
      <c r="D3" s="59"/>
      <c r="E3" s="59"/>
      <c r="F3" s="63" t="s">
        <v>155</v>
      </c>
      <c r="G3" s="63"/>
      <c r="H3" s="63"/>
      <c r="I3" s="59" t="s">
        <v>253</v>
      </c>
      <c r="J3" s="59"/>
      <c r="K3" s="59"/>
      <c r="L3" s="59"/>
      <c r="M3" s="96"/>
      <c r="N3" s="102"/>
      <c r="O3" s="102"/>
      <c r="P3" s="102"/>
      <c r="Q3" s="102"/>
      <c r="R3" s="102"/>
      <c r="S3" s="102" t="s">
        <v>121</v>
      </c>
      <c r="T3" s="102"/>
      <c r="U3" s="102"/>
      <c r="V3" s="102" t="s">
        <v>121</v>
      </c>
      <c r="W3" s="103"/>
    </row>
    <row r="4" spans="1:23" ht="29.25" customHeight="1">
      <c r="A4" s="61" t="s">
        <v>46</v>
      </c>
      <c r="B4" s="61"/>
      <c r="C4" s="61"/>
      <c r="D4" s="61"/>
      <c r="E4" s="61"/>
      <c r="F4" s="63"/>
      <c r="G4" s="63"/>
      <c r="H4" s="63"/>
      <c r="I4" s="59"/>
      <c r="J4" s="59"/>
      <c r="K4" s="59"/>
      <c r="L4" s="59"/>
      <c r="M4" s="10"/>
      <c r="N4" s="136" t="s">
        <v>122</v>
      </c>
      <c r="O4" s="136"/>
      <c r="P4" s="136"/>
      <c r="Q4" s="136"/>
      <c r="R4" s="8"/>
      <c r="S4" s="89"/>
      <c r="T4" s="105"/>
      <c r="U4" s="8"/>
      <c r="V4" s="89"/>
      <c r="W4" s="90"/>
    </row>
    <row r="5" spans="1:23" ht="21" customHeight="1">
      <c r="A5" s="143" t="s">
        <v>159</v>
      </c>
      <c r="B5" s="143"/>
      <c r="C5" s="143"/>
      <c r="D5" s="143"/>
      <c r="E5" s="143"/>
      <c r="F5" s="63" t="s">
        <v>156</v>
      </c>
      <c r="G5" s="63"/>
      <c r="H5" s="63"/>
      <c r="I5" s="59" t="s">
        <v>255</v>
      </c>
      <c r="J5" s="59"/>
      <c r="K5" s="59"/>
      <c r="L5" s="59"/>
      <c r="M5" s="10"/>
      <c r="N5" s="137" t="s">
        <v>123</v>
      </c>
      <c r="O5" s="137"/>
      <c r="P5" s="137"/>
      <c r="Q5" s="137"/>
      <c r="R5" s="8"/>
      <c r="S5" s="89"/>
      <c r="T5" s="105"/>
      <c r="U5" s="8"/>
      <c r="V5" s="89"/>
      <c r="W5" s="90"/>
    </row>
    <row r="6" spans="1:23">
      <c r="A6" s="61" t="s">
        <v>47</v>
      </c>
      <c r="B6" s="61"/>
      <c r="C6" s="61"/>
      <c r="D6" s="61"/>
      <c r="E6" s="61"/>
      <c r="F6" s="63"/>
      <c r="G6" s="63"/>
      <c r="H6" s="63"/>
      <c r="I6" s="59"/>
      <c r="J6" s="59"/>
      <c r="K6" s="59"/>
      <c r="L6" s="59"/>
      <c r="M6" s="10"/>
      <c r="N6" s="137" t="s">
        <v>124</v>
      </c>
      <c r="O6" s="137"/>
      <c r="P6" s="137"/>
      <c r="Q6" s="137"/>
      <c r="R6" s="8"/>
      <c r="S6" s="89"/>
      <c r="T6" s="105"/>
      <c r="U6" s="8"/>
      <c r="V6" s="89"/>
      <c r="W6" s="90"/>
    </row>
    <row r="7" spans="1:23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10"/>
      <c r="N7" s="139" t="s">
        <v>125</v>
      </c>
      <c r="O7" s="139"/>
      <c r="P7" s="139"/>
      <c r="Q7" s="139"/>
      <c r="R7" s="8"/>
      <c r="S7" s="89"/>
      <c r="T7" s="105"/>
      <c r="U7" s="8"/>
      <c r="V7" s="89"/>
      <c r="W7" s="90"/>
    </row>
    <row r="8" spans="1:23" ht="22.5">
      <c r="A8" s="94" t="s">
        <v>0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10"/>
      <c r="N8" s="137" t="s">
        <v>126</v>
      </c>
      <c r="O8" s="137"/>
      <c r="P8" s="137"/>
      <c r="Q8" s="137"/>
      <c r="R8" s="8"/>
      <c r="S8" s="89"/>
      <c r="T8" s="105"/>
      <c r="U8" s="8"/>
      <c r="V8" s="89"/>
      <c r="W8" s="90"/>
    </row>
    <row r="9" spans="1:23">
      <c r="A9" s="135" t="s">
        <v>152</v>
      </c>
      <c r="B9" s="135"/>
      <c r="C9" s="135"/>
      <c r="D9" s="135"/>
      <c r="E9" s="135"/>
      <c r="F9" s="81" t="s">
        <v>385</v>
      </c>
      <c r="G9" s="81"/>
      <c r="H9" s="81"/>
      <c r="I9" s="134" t="s">
        <v>384</v>
      </c>
      <c r="J9" s="134"/>
      <c r="K9" s="134"/>
      <c r="L9" s="134"/>
      <c r="M9" s="10"/>
      <c r="N9" s="137" t="s">
        <v>127</v>
      </c>
      <c r="O9" s="137"/>
      <c r="P9" s="137"/>
      <c r="Q9" s="137"/>
      <c r="R9" s="8"/>
      <c r="S9" s="89"/>
      <c r="T9" s="105"/>
      <c r="U9" s="8"/>
      <c r="V9" s="89"/>
      <c r="W9" s="90"/>
    </row>
    <row r="10" spans="1:23" ht="19.5" customHeight="1">
      <c r="A10" s="135" t="s">
        <v>151</v>
      </c>
      <c r="B10" s="135"/>
      <c r="C10" s="81" t="s">
        <v>387</v>
      </c>
      <c r="D10" s="81"/>
      <c r="E10" s="81"/>
      <c r="F10" s="81"/>
      <c r="G10" s="81"/>
      <c r="H10" s="81"/>
      <c r="I10" s="3"/>
      <c r="J10" s="3"/>
      <c r="K10" s="3"/>
      <c r="L10" s="3"/>
      <c r="M10" s="10"/>
      <c r="N10" s="139" t="s">
        <v>128</v>
      </c>
      <c r="O10" s="139"/>
      <c r="P10" s="139"/>
      <c r="Q10" s="139"/>
      <c r="R10" s="8"/>
      <c r="S10" s="89"/>
      <c r="T10" s="105"/>
      <c r="U10" s="8"/>
      <c r="V10" s="89"/>
      <c r="W10" s="90"/>
    </row>
    <row r="11" spans="1:23">
      <c r="A11" s="124" t="s">
        <v>1</v>
      </c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0"/>
      <c r="N11" s="140" t="s">
        <v>129</v>
      </c>
      <c r="O11" s="140"/>
      <c r="P11" s="140"/>
      <c r="Q11" s="140"/>
      <c r="R11" s="8"/>
      <c r="S11" s="89"/>
      <c r="T11" s="105"/>
      <c r="U11" s="8"/>
      <c r="V11" s="89"/>
      <c r="W11" s="90"/>
    </row>
    <row r="12" spans="1:23" ht="20.100000000000001" customHeight="1">
      <c r="A12" s="131" t="s">
        <v>2</v>
      </c>
      <c r="B12" s="123" t="s">
        <v>36</v>
      </c>
      <c r="C12" s="123"/>
      <c r="D12" s="123"/>
      <c r="E12" s="123"/>
      <c r="F12" s="123" t="s">
        <v>5</v>
      </c>
      <c r="G12" s="123"/>
      <c r="H12" s="100" t="s">
        <v>34</v>
      </c>
      <c r="I12" s="112"/>
      <c r="J12" s="112"/>
      <c r="K12" s="112"/>
      <c r="L12" s="112"/>
      <c r="N12" s="1"/>
      <c r="O12" s="1"/>
      <c r="P12" s="1"/>
      <c r="Q12" s="1"/>
    </row>
    <row r="13" spans="1:23" ht="20.100000000000001" customHeight="1">
      <c r="A13" s="131"/>
      <c r="B13" s="123" t="s">
        <v>3</v>
      </c>
      <c r="C13" s="123"/>
      <c r="D13" s="123" t="s">
        <v>4</v>
      </c>
      <c r="E13" s="123"/>
      <c r="F13" s="123"/>
      <c r="G13" s="123"/>
      <c r="H13" s="103" t="s">
        <v>35</v>
      </c>
      <c r="I13" s="111"/>
      <c r="J13" s="111"/>
      <c r="K13" s="111"/>
      <c r="L13" s="111"/>
    </row>
    <row r="14" spans="1:23" ht="20.100000000000001" customHeight="1">
      <c r="A14" s="5" t="s">
        <v>6</v>
      </c>
      <c r="B14" s="8"/>
      <c r="C14" s="5"/>
      <c r="D14" s="106"/>
      <c r="E14" s="106"/>
      <c r="F14" s="132" t="str">
        <f t="shared" ref="F14:F40" si="0">IF(OR(B14="",D14=""),"",IF(ISERROR(D14/B14),IF(D14=0,0,""),D14/B14))</f>
        <v/>
      </c>
      <c r="G14" s="132"/>
      <c r="H14" s="106"/>
      <c r="I14" s="106"/>
      <c r="J14" s="106"/>
      <c r="K14" s="106"/>
      <c r="L14" s="106"/>
      <c r="M14" s="131" t="s">
        <v>115</v>
      </c>
      <c r="N14" s="123" t="s">
        <v>116</v>
      </c>
      <c r="O14" s="123"/>
      <c r="P14" s="123"/>
      <c r="Q14" s="123"/>
      <c r="R14" s="123" t="s">
        <v>117</v>
      </c>
      <c r="S14" s="123"/>
      <c r="T14" s="123"/>
      <c r="U14" s="123" t="s">
        <v>130</v>
      </c>
      <c r="V14" s="123" t="s">
        <v>69</v>
      </c>
      <c r="W14" s="107" t="s">
        <v>131</v>
      </c>
    </row>
    <row r="15" spans="1:23" ht="20.100000000000001" customHeight="1">
      <c r="A15" s="5" t="s">
        <v>7</v>
      </c>
      <c r="B15" s="5"/>
      <c r="C15" s="5"/>
      <c r="D15" s="123"/>
      <c r="E15" s="123"/>
      <c r="F15" s="132" t="str">
        <f t="shared" si="0"/>
        <v/>
      </c>
      <c r="G15" s="132"/>
      <c r="H15" s="106"/>
      <c r="I15" s="106"/>
      <c r="J15" s="106"/>
      <c r="K15" s="106"/>
      <c r="L15" s="106"/>
      <c r="M15" s="131"/>
      <c r="N15" s="123"/>
      <c r="O15" s="123"/>
      <c r="P15" s="123"/>
      <c r="Q15" s="123"/>
      <c r="R15" s="141" t="s">
        <v>130</v>
      </c>
      <c r="S15" s="123" t="s">
        <v>69</v>
      </c>
      <c r="T15" s="123" t="s">
        <v>131</v>
      </c>
      <c r="U15" s="123"/>
      <c r="V15" s="123"/>
      <c r="W15" s="107"/>
    </row>
    <row r="16" spans="1:23" ht="20.100000000000001" customHeight="1">
      <c r="A16" s="5" t="s">
        <v>8</v>
      </c>
      <c r="B16" s="27">
        <f>'Ячейка 13Л'!D19+'Ячейка 32Л'!D19+'ячейка 25Л'!D19</f>
        <v>1391.0399999973379</v>
      </c>
      <c r="C16" s="27"/>
      <c r="D16" s="133">
        <f>'Ячейка 13Л'!H19+'Ячейка 32Л'!H19+'ячейка 25Л'!H19</f>
        <v>1116.0000000014406</v>
      </c>
      <c r="E16" s="133"/>
      <c r="F16" s="132">
        <f t="shared" si="0"/>
        <v>0.80227743271478635</v>
      </c>
      <c r="G16" s="132"/>
      <c r="H16" s="106"/>
      <c r="I16" s="106"/>
      <c r="J16" s="106"/>
      <c r="K16" s="106"/>
      <c r="L16" s="106"/>
      <c r="M16" s="131"/>
      <c r="N16" s="123"/>
      <c r="O16" s="123"/>
      <c r="P16" s="123"/>
      <c r="Q16" s="123"/>
      <c r="R16" s="141"/>
      <c r="S16" s="123"/>
      <c r="T16" s="123"/>
      <c r="U16" s="123"/>
      <c r="V16" s="123"/>
      <c r="W16" s="107"/>
    </row>
    <row r="17" spans="1:23" ht="20.100000000000001" customHeight="1">
      <c r="A17" s="5" t="s">
        <v>9</v>
      </c>
      <c r="B17" s="27">
        <f>'Ячейка 13Л'!D20+'Ячейка 32Л'!D20+'ячейка 25Л'!D20</f>
        <v>1423.6800000060612</v>
      </c>
      <c r="C17" s="27"/>
      <c r="D17" s="133">
        <f>'Ячейка 13Л'!H20+'Ячейка 32Л'!H20+'ячейка 25Л'!H20</f>
        <v>1127.9999999995198</v>
      </c>
      <c r="E17" s="133"/>
      <c r="F17" s="132">
        <f t="shared" si="0"/>
        <v>0.79231287929500838</v>
      </c>
      <c r="G17" s="132"/>
      <c r="H17" s="106"/>
      <c r="I17" s="106"/>
      <c r="J17" s="106"/>
      <c r="K17" s="106"/>
      <c r="L17" s="106"/>
      <c r="M17" s="131"/>
      <c r="N17" s="123"/>
      <c r="O17" s="123"/>
      <c r="P17" s="123"/>
      <c r="Q17" s="123"/>
      <c r="R17" s="141"/>
      <c r="S17" s="123"/>
      <c r="T17" s="123"/>
      <c r="U17" s="123"/>
      <c r="V17" s="123"/>
      <c r="W17" s="107"/>
    </row>
    <row r="18" spans="1:23" ht="20.100000000000001" customHeight="1">
      <c r="A18" s="5" t="s">
        <v>10</v>
      </c>
      <c r="B18" s="27">
        <f>'Ячейка 13Л'!D21+'Ячейка 32Л'!D21+'ячейка 25Л'!D21</f>
        <v>1424.8799999981202</v>
      </c>
      <c r="C18" s="27"/>
      <c r="D18" s="133">
        <f>'Ячейка 13Л'!H21+'Ячейка 32Л'!H21+'ячейка 25Л'!H21</f>
        <v>1130.1599999984319</v>
      </c>
      <c r="E18" s="133"/>
      <c r="F18" s="132">
        <f t="shared" si="0"/>
        <v>0.79316152939189466</v>
      </c>
      <c r="G18" s="132"/>
      <c r="H18" s="106"/>
      <c r="I18" s="106"/>
      <c r="J18" s="106"/>
      <c r="K18" s="106"/>
      <c r="L18" s="106"/>
      <c r="M18" s="131"/>
      <c r="N18" s="123"/>
      <c r="O18" s="123"/>
      <c r="P18" s="123"/>
      <c r="Q18" s="123"/>
      <c r="R18" s="141"/>
      <c r="S18" s="123"/>
      <c r="T18" s="123"/>
      <c r="U18" s="123"/>
      <c r="V18" s="123"/>
      <c r="W18" s="107"/>
    </row>
    <row r="19" spans="1:23" ht="20.100000000000001" customHeight="1">
      <c r="A19" s="5" t="s">
        <v>11</v>
      </c>
      <c r="B19" s="27">
        <f>'Ячейка 13Л'!D22+'Ячейка 32Л'!D22+'ячейка 25Л'!D22</f>
        <v>1429.1999999986729</v>
      </c>
      <c r="C19" s="27"/>
      <c r="D19" s="133">
        <f>'Ячейка 13Л'!H22+'Ячейка 32Л'!H22+'ячейка 25Л'!H22</f>
        <v>1132.0800000012241</v>
      </c>
      <c r="E19" s="133"/>
      <c r="F19" s="132">
        <f t="shared" si="0"/>
        <v>0.79210747271359871</v>
      </c>
      <c r="G19" s="132"/>
      <c r="H19" s="106"/>
      <c r="I19" s="106"/>
      <c r="J19" s="106"/>
      <c r="K19" s="106"/>
      <c r="L19" s="106"/>
      <c r="M19" s="10"/>
      <c r="N19" s="136" t="s">
        <v>132</v>
      </c>
      <c r="O19" s="136"/>
      <c r="P19" s="136"/>
      <c r="Q19" s="136"/>
      <c r="R19" s="8"/>
      <c r="S19" s="8"/>
      <c r="T19" s="8"/>
      <c r="U19" s="8"/>
      <c r="V19" s="8"/>
      <c r="W19" s="9"/>
    </row>
    <row r="20" spans="1:23" ht="20.100000000000001" customHeight="1">
      <c r="A20" s="5" t="s">
        <v>12</v>
      </c>
      <c r="B20" s="27">
        <f>'Ячейка 13Л'!D23+'Ячейка 32Л'!D23+'ячейка 25Л'!D23</f>
        <v>1421.0400000007212</v>
      </c>
      <c r="C20" s="27"/>
      <c r="D20" s="133">
        <f>'Ячейка 13Л'!H23+'Ячейка 32Л'!H23+'ячейка 25Л'!H23</f>
        <v>1125.1199999991513</v>
      </c>
      <c r="E20" s="133"/>
      <c r="F20" s="132">
        <f t="shared" si="0"/>
        <v>0.79175814896032504</v>
      </c>
      <c r="G20" s="132"/>
      <c r="H20" s="106"/>
      <c r="I20" s="106"/>
      <c r="J20" s="106"/>
      <c r="K20" s="106"/>
      <c r="L20" s="106"/>
      <c r="M20" s="10"/>
      <c r="N20" s="137" t="s">
        <v>133</v>
      </c>
      <c r="O20" s="137"/>
      <c r="P20" s="137"/>
      <c r="Q20" s="137"/>
      <c r="R20" s="8"/>
      <c r="S20" s="8"/>
      <c r="T20" s="8"/>
      <c r="U20" s="8"/>
      <c r="V20" s="8"/>
      <c r="W20" s="9"/>
    </row>
    <row r="21" spans="1:23" ht="20.100000000000001" customHeight="1">
      <c r="A21" s="5" t="s">
        <v>13</v>
      </c>
      <c r="B21" s="27">
        <f>'Ячейка 13Л'!D24+'Ячейка 32Л'!D24+'ячейка 25Л'!D24</f>
        <v>1427.0399999981237</v>
      </c>
      <c r="C21" s="27"/>
      <c r="D21" s="133">
        <f>'Ячейка 13Л'!H24+'Ячейка 32Л'!H24+'ячейка 25Л'!H24</f>
        <v>1126.8000000003667</v>
      </c>
      <c r="E21" s="133"/>
      <c r="F21" s="132">
        <f t="shared" si="0"/>
        <v>0.78960645812440311</v>
      </c>
      <c r="G21" s="132"/>
      <c r="H21" s="106"/>
      <c r="I21" s="106"/>
      <c r="J21" s="106"/>
      <c r="K21" s="106"/>
      <c r="L21" s="106"/>
      <c r="M21" s="10"/>
      <c r="N21" s="138" t="s">
        <v>134</v>
      </c>
      <c r="O21" s="138"/>
      <c r="P21" s="138"/>
      <c r="Q21" s="138"/>
      <c r="R21" s="8"/>
      <c r="S21" s="8"/>
      <c r="T21" s="8"/>
      <c r="U21" s="8"/>
      <c r="V21" s="8"/>
      <c r="W21" s="9"/>
    </row>
    <row r="22" spans="1:23" ht="20.100000000000001" customHeight="1">
      <c r="A22" s="5" t="s">
        <v>14</v>
      </c>
      <c r="B22" s="27">
        <f>'Ячейка 13Л'!D25+'Ячейка 32Л'!D25+'ячейка 25Л'!D25</f>
        <v>1421.5200000016921</v>
      </c>
      <c r="C22" s="27"/>
      <c r="D22" s="133">
        <f>'Ячейка 13Л'!H25+'Ячейка 32Л'!H25+'ячейка 25Л'!H25</f>
        <v>1114.8000000001048</v>
      </c>
      <c r="E22" s="133"/>
      <c r="F22" s="132">
        <f t="shared" si="0"/>
        <v>0.78423096403763426</v>
      </c>
      <c r="G22" s="132"/>
      <c r="H22" s="106"/>
      <c r="I22" s="106"/>
      <c r="J22" s="106"/>
      <c r="K22" s="106"/>
      <c r="L22" s="106"/>
    </row>
    <row r="23" spans="1:23" ht="20.100000000000001" customHeight="1">
      <c r="A23" s="5" t="s">
        <v>15</v>
      </c>
      <c r="B23" s="27">
        <f>'Ячейка 13Л'!D26+'Ячейка 32Л'!D26+'ячейка 25Л'!D26</f>
        <v>1419.1199999990204</v>
      </c>
      <c r="C23" s="27"/>
      <c r="D23" s="133">
        <f>'Ячейка 13Л'!H26+'Ячейка 32Л'!H26+'ячейка 25Л'!H26</f>
        <v>1106.6399999994246</v>
      </c>
      <c r="E23" s="133"/>
      <c r="F23" s="132">
        <f t="shared" si="0"/>
        <v>0.77980720446487162</v>
      </c>
      <c r="G23" s="132"/>
      <c r="H23" s="106"/>
      <c r="I23" s="106"/>
      <c r="J23" s="106"/>
      <c r="K23" s="106"/>
      <c r="L23" s="106"/>
    </row>
    <row r="24" spans="1:23" ht="20.100000000000001" customHeight="1">
      <c r="A24" s="5" t="s">
        <v>16</v>
      </c>
      <c r="B24" s="27">
        <f>'Ячейка 13Л'!D27+'Ячейка 32Л'!D27+'ячейка 25Л'!D27</f>
        <v>1419.8399999982939</v>
      </c>
      <c r="C24" s="27"/>
      <c r="D24" s="133">
        <f>'Ячейка 13Л'!H27+'Ячейка 32Л'!H27+'ячейка 25Л'!H27</f>
        <v>1096.3200000014695</v>
      </c>
      <c r="E24" s="133"/>
      <c r="F24" s="132">
        <f t="shared" si="0"/>
        <v>0.77214334009662133</v>
      </c>
      <c r="G24" s="132"/>
      <c r="H24" s="106"/>
      <c r="I24" s="106"/>
      <c r="J24" s="106"/>
      <c r="K24" s="106"/>
      <c r="L24" s="106"/>
      <c r="N24" s="97" t="s">
        <v>135</v>
      </c>
      <c r="O24" s="97"/>
      <c r="P24" s="97"/>
      <c r="Q24" s="97"/>
      <c r="R24" s="97"/>
      <c r="S24" s="97"/>
      <c r="T24" s="97"/>
      <c r="U24" s="97"/>
      <c r="V24" s="97"/>
    </row>
    <row r="25" spans="1:23" ht="20.100000000000001" customHeight="1">
      <c r="A25" s="5" t="s">
        <v>17</v>
      </c>
      <c r="B25" s="27">
        <f>'Ячейка 13Л'!D28+'Ячейка 32Л'!D28+'ячейка 25Л'!D28</f>
        <v>1433.5200000024997</v>
      </c>
      <c r="C25" s="27"/>
      <c r="D25" s="133">
        <f>'Ячейка 13Л'!H28+'Ячейка 32Л'!H28+'ячейка 25Л'!H28</f>
        <v>1108.0800000001545</v>
      </c>
      <c r="E25" s="133"/>
      <c r="F25" s="132">
        <f t="shared" si="0"/>
        <v>0.77297840281141683</v>
      </c>
      <c r="G25" s="132"/>
      <c r="H25" s="106"/>
      <c r="I25" s="106"/>
      <c r="J25" s="106"/>
      <c r="K25" s="106"/>
      <c r="L25" s="106"/>
      <c r="N25" s="21" t="s">
        <v>136</v>
      </c>
      <c r="O25" s="97" t="s">
        <v>137</v>
      </c>
      <c r="P25" s="97"/>
      <c r="Q25" s="97"/>
      <c r="R25" s="97"/>
      <c r="S25" s="97"/>
      <c r="T25" s="97"/>
      <c r="U25" s="97"/>
      <c r="V25" s="97"/>
    </row>
    <row r="26" spans="1:23" ht="20.100000000000001" customHeight="1">
      <c r="A26" s="5" t="s">
        <v>18</v>
      </c>
      <c r="B26" s="27">
        <f>'Ячейка 13Л'!D29+'Ячейка 32Л'!D29+'ячейка 25Л'!D29</f>
        <v>1437.3599999977159</v>
      </c>
      <c r="C26" s="27"/>
      <c r="D26" s="133">
        <f>'Ячейка 13Л'!H29+'Ячейка 32Л'!H29+'ячейка 25Л'!H29</f>
        <v>1099.4399999979578</v>
      </c>
      <c r="E26" s="133"/>
      <c r="F26" s="132">
        <f t="shared" si="0"/>
        <v>0.76490232092148447</v>
      </c>
      <c r="G26" s="132"/>
      <c r="H26" s="106"/>
      <c r="I26" s="106"/>
      <c r="J26" s="106"/>
      <c r="K26" s="106"/>
      <c r="L26" s="106"/>
      <c r="N26" s="21" t="s">
        <v>138</v>
      </c>
      <c r="O26" s="97" t="s">
        <v>188</v>
      </c>
      <c r="P26" s="97"/>
      <c r="Q26" s="97"/>
      <c r="R26" s="97"/>
      <c r="S26" s="97"/>
      <c r="T26" s="97"/>
      <c r="U26" s="97"/>
      <c r="V26" s="97"/>
    </row>
    <row r="27" spans="1:23" ht="20.100000000000001" customHeight="1">
      <c r="A27" s="5" t="s">
        <v>19</v>
      </c>
      <c r="B27" s="27">
        <f>'Ячейка 13Л'!D30+'Ячейка 32Л'!D30+'ячейка 25Л'!D30</f>
        <v>1440.0000000025102</v>
      </c>
      <c r="C27" s="27"/>
      <c r="D27" s="133">
        <f>'Ячейка 13Л'!H30+'Ячейка 32Л'!H30+'ячейка 25Л'!H30</f>
        <v>1119.1200000006575</v>
      </c>
      <c r="E27" s="133"/>
      <c r="F27" s="132">
        <f t="shared" si="0"/>
        <v>0.7771666666657685</v>
      </c>
      <c r="G27" s="132"/>
      <c r="H27" s="106"/>
      <c r="I27" s="106"/>
      <c r="J27" s="106"/>
      <c r="K27" s="106"/>
      <c r="L27" s="106"/>
      <c r="N27" s="21" t="s">
        <v>139</v>
      </c>
      <c r="O27" s="97" t="s">
        <v>140</v>
      </c>
      <c r="P27" s="97"/>
      <c r="Q27" s="97"/>
      <c r="R27" s="97"/>
      <c r="S27" s="97"/>
      <c r="T27" s="97"/>
      <c r="U27" s="97"/>
      <c r="V27" s="97"/>
    </row>
    <row r="28" spans="1:23" ht="20.100000000000001" customHeight="1">
      <c r="A28" s="5" t="s">
        <v>20</v>
      </c>
      <c r="B28" s="27">
        <f>'Ячейка 13Л'!D31+'Ячейка 32Л'!D31+'ячейка 25Л'!D31</f>
        <v>1475.0400000002628</v>
      </c>
      <c r="C28" s="27"/>
      <c r="D28" s="133">
        <f>'Ячейка 13Л'!H31+'Ячейка 32Л'!H31+'ячейка 25Л'!H31</f>
        <v>1153.4400000013193</v>
      </c>
      <c r="E28" s="133"/>
      <c r="F28" s="132">
        <f t="shared" si="0"/>
        <v>0.78197201431901087</v>
      </c>
      <c r="G28" s="132"/>
      <c r="H28" s="106"/>
      <c r="I28" s="106"/>
      <c r="J28" s="106"/>
      <c r="K28" s="106"/>
      <c r="L28" s="106"/>
      <c r="N28" s="21"/>
      <c r="O28" s="97" t="s">
        <v>141</v>
      </c>
      <c r="P28" s="97"/>
      <c r="Q28" s="97"/>
      <c r="R28" s="97"/>
      <c r="S28" s="97"/>
      <c r="T28" s="97"/>
      <c r="U28" s="97"/>
      <c r="V28" s="97"/>
    </row>
    <row r="29" spans="1:23" ht="20.100000000000001" customHeight="1">
      <c r="A29" s="5" t="s">
        <v>21</v>
      </c>
      <c r="B29" s="27">
        <f>'Ячейка 13Л'!D32+'Ячейка 32Л'!D32+'ячейка 25Л'!D32</f>
        <v>1466.879999999037</v>
      </c>
      <c r="C29" s="27"/>
      <c r="D29" s="133">
        <f>'Ячейка 13Л'!H32+'Ячейка 32Л'!H32+'ячейка 25Л'!H32</f>
        <v>1145.0399999979709</v>
      </c>
      <c r="E29" s="133"/>
      <c r="F29" s="132">
        <f t="shared" si="0"/>
        <v>0.78059554973734913</v>
      </c>
      <c r="G29" s="132"/>
      <c r="H29" s="106"/>
      <c r="I29" s="106"/>
      <c r="J29" s="106"/>
      <c r="K29" s="106"/>
      <c r="L29" s="106"/>
      <c r="N29" s="21"/>
      <c r="O29" s="97" t="s">
        <v>142</v>
      </c>
      <c r="P29" s="97"/>
      <c r="Q29" s="97"/>
      <c r="R29" s="97"/>
      <c r="S29" s="97"/>
      <c r="T29" s="97"/>
      <c r="U29" s="97"/>
      <c r="V29" s="97"/>
    </row>
    <row r="30" spans="1:23" ht="20.100000000000001" customHeight="1">
      <c r="A30" s="5" t="s">
        <v>22</v>
      </c>
      <c r="B30" s="27">
        <f>'Ячейка 13Л'!D33+'Ячейка 32Л'!D33+'ячейка 25Л'!D33</f>
        <v>1442.8800000017873</v>
      </c>
      <c r="C30" s="27"/>
      <c r="D30" s="133">
        <f>'Ячейка 13Л'!H33+'Ячейка 32Л'!H33+'ячейка 25Л'!H33</f>
        <v>1125.8400000027905</v>
      </c>
      <c r="E30" s="133"/>
      <c r="F30" s="132">
        <f t="shared" si="0"/>
        <v>0.78027278775878517</v>
      </c>
      <c r="G30" s="132"/>
      <c r="H30" s="106"/>
      <c r="I30" s="106"/>
      <c r="J30" s="106"/>
      <c r="K30" s="106"/>
      <c r="L30" s="106"/>
      <c r="N30" s="21" t="s">
        <v>143</v>
      </c>
      <c r="O30" s="97" t="s">
        <v>144</v>
      </c>
      <c r="P30" s="97"/>
      <c r="Q30" s="97"/>
      <c r="R30" s="97"/>
      <c r="S30" s="97"/>
      <c r="T30" s="97"/>
      <c r="U30" s="97"/>
      <c r="V30" s="97"/>
    </row>
    <row r="31" spans="1:23" ht="20.100000000000001" customHeight="1">
      <c r="A31" s="5" t="s">
        <v>23</v>
      </c>
      <c r="B31" s="27">
        <f>'Ячейка 13Л'!D34+'Ячейка 32Л'!D34+'ячейка 25Л'!D34</f>
        <v>1355.9999999984939</v>
      </c>
      <c r="C31" s="27"/>
      <c r="D31" s="133">
        <f>'Ячейка 13Л'!H34+'Ячейка 32Л'!H34+'ячейка 25Л'!H34</f>
        <v>1049.7599999973318</v>
      </c>
      <c r="E31" s="133"/>
      <c r="F31" s="132">
        <f t="shared" si="0"/>
        <v>0.77415929203429035</v>
      </c>
      <c r="G31" s="132"/>
      <c r="H31" s="106"/>
      <c r="I31" s="106"/>
      <c r="J31" s="106"/>
      <c r="K31" s="106"/>
      <c r="L31" s="106"/>
      <c r="N31" s="21"/>
      <c r="O31" s="97" t="s">
        <v>145</v>
      </c>
      <c r="P31" s="97"/>
      <c r="Q31" s="97"/>
      <c r="R31" s="97"/>
      <c r="S31" s="97"/>
      <c r="T31" s="97"/>
      <c r="U31" s="97"/>
      <c r="V31" s="97"/>
    </row>
    <row r="32" spans="1:23" ht="20.100000000000001" customHeight="1">
      <c r="A32" s="5" t="s">
        <v>24</v>
      </c>
      <c r="B32" s="27">
        <f>'Ячейка 13Л'!D35+'Ячейка 32Л'!D35+'ячейка 25Л'!D35</f>
        <v>1361.0400000010486</v>
      </c>
      <c r="C32" s="27"/>
      <c r="D32" s="133">
        <f>'Ячейка 13Л'!H35+'Ячейка 32Л'!H35+'ячейка 25Л'!H35</f>
        <v>1056.2400000011621</v>
      </c>
      <c r="E32" s="133"/>
      <c r="F32" s="132">
        <f t="shared" si="0"/>
        <v>0.77605360606620555</v>
      </c>
      <c r="G32" s="132"/>
      <c r="H32" s="106"/>
      <c r="I32" s="106"/>
      <c r="J32" s="106"/>
      <c r="K32" s="106"/>
      <c r="L32" s="106"/>
      <c r="N32" s="21" t="s">
        <v>146</v>
      </c>
      <c r="O32" s="97" t="s">
        <v>147</v>
      </c>
      <c r="P32" s="97"/>
      <c r="Q32" s="97"/>
      <c r="R32" s="97"/>
      <c r="S32" s="97"/>
      <c r="T32" s="97"/>
      <c r="U32" s="97"/>
      <c r="V32" s="97"/>
    </row>
    <row r="33" spans="1:24" ht="20.100000000000001" customHeight="1">
      <c r="A33" s="5" t="s">
        <v>25</v>
      </c>
      <c r="B33" s="27">
        <f>'Ячейка 13Л'!D36+'Ячейка 32Л'!D36+'ячейка 25Л'!D36</f>
        <v>1372.0799999993687</v>
      </c>
      <c r="C33" s="27"/>
      <c r="D33" s="133">
        <f>'Ячейка 13Л'!H36+'Ячейка 32Л'!H36+'ячейка 25Л'!H36</f>
        <v>1060.7999999989261</v>
      </c>
      <c r="E33" s="133"/>
      <c r="F33" s="132">
        <f t="shared" si="0"/>
        <v>0.77313276193765246</v>
      </c>
      <c r="G33" s="132"/>
      <c r="H33" s="106"/>
      <c r="I33" s="106"/>
      <c r="J33" s="106"/>
      <c r="K33" s="106"/>
      <c r="L33" s="106"/>
      <c r="N33" s="21" t="s">
        <v>148</v>
      </c>
      <c r="O33" s="97" t="s">
        <v>149</v>
      </c>
      <c r="P33" s="97"/>
      <c r="Q33" s="97"/>
      <c r="R33" s="97"/>
      <c r="S33" s="97"/>
      <c r="T33" s="97"/>
      <c r="U33" s="97"/>
      <c r="V33" s="97"/>
    </row>
    <row r="34" spans="1:24" ht="20.100000000000001" customHeight="1">
      <c r="A34" s="5" t="s">
        <v>26</v>
      </c>
      <c r="B34" s="27">
        <f>'Ячейка 13Л'!D37+'Ячейка 32Л'!D37+'ячейка 25Л'!D37</f>
        <v>1393.6799999994037</v>
      </c>
      <c r="C34" s="27"/>
      <c r="D34" s="133">
        <f>'Ячейка 13Л'!H37+'Ячейка 32Л'!H37+'ячейка 25Л'!H37</f>
        <v>1073.7599999994927</v>
      </c>
      <c r="E34" s="133"/>
      <c r="F34" s="132">
        <f t="shared" si="0"/>
        <v>0.77044945755119698</v>
      </c>
      <c r="G34" s="132"/>
      <c r="H34" s="106"/>
      <c r="I34" s="106"/>
      <c r="J34" s="106"/>
      <c r="K34" s="106"/>
      <c r="L34" s="106"/>
    </row>
    <row r="35" spans="1:24" ht="20.100000000000001" customHeight="1">
      <c r="A35" s="5" t="s">
        <v>27</v>
      </c>
      <c r="B35" s="27">
        <f>'Ячейка 13Л'!D38+'Ячейка 32Л'!D38+'ячейка 25Л'!D38</f>
        <v>1407.1199999987584</v>
      </c>
      <c r="C35" s="27"/>
      <c r="D35" s="133">
        <f>'Ячейка 13Л'!H38+'Ячейка 32Л'!H38+'ячейка 25Л'!H38</f>
        <v>1108.3200000022771</v>
      </c>
      <c r="E35" s="133"/>
      <c r="F35" s="132">
        <f t="shared" si="0"/>
        <v>0.78765137301953991</v>
      </c>
      <c r="G35" s="132"/>
      <c r="H35" s="106"/>
      <c r="I35" s="106"/>
      <c r="J35" s="106"/>
      <c r="K35" s="106"/>
      <c r="L35" s="106"/>
    </row>
    <row r="36" spans="1:24" ht="20.100000000000001" customHeight="1">
      <c r="A36" s="5" t="s">
        <v>28</v>
      </c>
      <c r="B36" s="27">
        <f>'Ячейка 13Л'!D39+'Ячейка 32Л'!D39+'ячейка 25Л'!D39</f>
        <v>1415.0400000022273</v>
      </c>
      <c r="C36" s="27"/>
      <c r="D36" s="133">
        <f>'Ячейка 13Л'!H39+'Ячейка 32Л'!H39+'ячейка 25Л'!H39</f>
        <v>1118.6399999996866</v>
      </c>
      <c r="E36" s="133"/>
      <c r="F36" s="132">
        <f t="shared" si="0"/>
        <v>0.7905359565792669</v>
      </c>
      <c r="G36" s="132"/>
      <c r="H36" s="106"/>
      <c r="I36" s="106"/>
      <c r="J36" s="106"/>
      <c r="K36" s="106"/>
      <c r="L36" s="106"/>
    </row>
    <row r="37" spans="1:24" ht="20.100000000000001" customHeight="1">
      <c r="A37" s="5" t="s">
        <v>29</v>
      </c>
      <c r="B37" s="27">
        <f>'Ячейка 13Л'!D40+'Ячейка 32Л'!D40+'ячейка 25Л'!D40</f>
        <v>1351.6800000012154</v>
      </c>
      <c r="C37" s="27"/>
      <c r="D37" s="133">
        <f>'Ячейка 13Л'!H40+'Ячейка 32Л'!H40+'ячейка 25Л'!H40</f>
        <v>1073.5199999984616</v>
      </c>
      <c r="E37" s="133"/>
      <c r="F37" s="132">
        <f t="shared" si="0"/>
        <v>0.79421164772542041</v>
      </c>
      <c r="G37" s="132"/>
      <c r="H37" s="106"/>
      <c r="I37" s="106"/>
      <c r="J37" s="106"/>
      <c r="K37" s="106"/>
      <c r="L37" s="106"/>
    </row>
    <row r="38" spans="1:24" ht="20.100000000000001" customHeight="1">
      <c r="A38" s="5" t="s">
        <v>30</v>
      </c>
      <c r="B38" s="27">
        <f>'Ячейка 13Л'!D41+'Ячейка 32Л'!D41+'ячейка 25Л'!D41</f>
        <v>1344.2399999992631</v>
      </c>
      <c r="C38" s="27"/>
      <c r="D38" s="133">
        <f>'Ячейка 13Л'!H41+'Ячейка 32Л'!H41+'ячейка 25Л'!H41</f>
        <v>1066.8000000006941</v>
      </c>
      <c r="E38" s="133"/>
      <c r="F38" s="132">
        <f t="shared" si="0"/>
        <v>0.79360828423590946</v>
      </c>
      <c r="G38" s="132"/>
      <c r="H38" s="106"/>
      <c r="I38" s="106"/>
      <c r="J38" s="106"/>
      <c r="K38" s="106"/>
      <c r="L38" s="106"/>
    </row>
    <row r="39" spans="1:24" ht="20.100000000000001" customHeight="1">
      <c r="A39" s="5" t="s">
        <v>31</v>
      </c>
      <c r="B39" s="27">
        <f>'Ячейка 13Л'!D42+'Ячейка 32Л'!D42+'ячейка 25Л'!D42</f>
        <v>1416.960000000654</v>
      </c>
      <c r="C39" s="27"/>
      <c r="D39" s="133">
        <f>'Ячейка 13Л'!H42+'Ячейка 32Л'!H42+'ячейка 25Л'!H42</f>
        <v>1088.8799999978801</v>
      </c>
      <c r="E39" s="133"/>
      <c r="F39" s="132">
        <f t="shared" si="0"/>
        <v>0.76846205961874547</v>
      </c>
      <c r="G39" s="132"/>
      <c r="H39" s="106"/>
      <c r="I39" s="106"/>
      <c r="J39" s="106"/>
      <c r="K39" s="106"/>
      <c r="L39" s="106"/>
      <c r="P39" s="57" t="s">
        <v>150</v>
      </c>
      <c r="Q39" s="57"/>
      <c r="R39" s="57"/>
      <c r="S39" s="56" t="s">
        <v>391</v>
      </c>
      <c r="T39" s="56"/>
      <c r="U39" s="56"/>
      <c r="V39" s="56"/>
      <c r="W39" s="56"/>
      <c r="X39" s="56"/>
    </row>
    <row r="40" spans="1:24" ht="20.100000000000001" customHeight="1">
      <c r="A40" s="5" t="s">
        <v>32</v>
      </c>
      <c r="B40" s="27">
        <f>SUM(B15:B39)</f>
        <v>33890.880000002289</v>
      </c>
      <c r="C40" s="27"/>
      <c r="D40" s="133">
        <f>SUM(D15:E39)</f>
        <v>26523.599999997896</v>
      </c>
      <c r="E40" s="133"/>
      <c r="F40" s="132">
        <f t="shared" si="0"/>
        <v>0.78261762456436967</v>
      </c>
      <c r="G40" s="132"/>
      <c r="H40" s="106"/>
      <c r="I40" s="106"/>
      <c r="J40" s="106"/>
      <c r="K40" s="106"/>
      <c r="L40" s="106"/>
    </row>
    <row r="41" spans="1:24" ht="20.100000000000001" customHeight="1">
      <c r="A41" s="5" t="s">
        <v>33</v>
      </c>
      <c r="B41" s="5"/>
      <c r="C41" s="5"/>
      <c r="D41" s="123"/>
      <c r="E41" s="123"/>
      <c r="F41" s="132"/>
      <c r="G41" s="132"/>
      <c r="H41" s="106"/>
      <c r="I41" s="106"/>
      <c r="J41" s="106"/>
      <c r="K41" s="106"/>
      <c r="L41" s="106"/>
    </row>
    <row r="42" spans="1:24" ht="20.100000000000001" customHeight="1">
      <c r="A42" s="131" t="s">
        <v>2</v>
      </c>
      <c r="B42" s="107" t="s">
        <v>37</v>
      </c>
      <c r="C42" s="108"/>
      <c r="D42" s="131"/>
      <c r="E42" s="107" t="s">
        <v>40</v>
      </c>
      <c r="F42" s="108"/>
      <c r="G42" s="108"/>
      <c r="H42" s="108"/>
      <c r="I42" s="131"/>
      <c r="J42" s="100" t="s">
        <v>5</v>
      </c>
      <c r="K42" s="112"/>
      <c r="L42" s="112"/>
    </row>
    <row r="43" spans="1:24" ht="36" customHeight="1">
      <c r="A43" s="131"/>
      <c r="B43" s="123" t="s">
        <v>38</v>
      </c>
      <c r="C43" s="123"/>
      <c r="D43" s="5" t="s">
        <v>39</v>
      </c>
      <c r="E43" s="107" t="s">
        <v>41</v>
      </c>
      <c r="F43" s="108"/>
      <c r="G43" s="131"/>
      <c r="H43" s="107" t="s">
        <v>42</v>
      </c>
      <c r="I43" s="131"/>
      <c r="J43" s="103"/>
      <c r="K43" s="111"/>
      <c r="L43" s="111"/>
    </row>
    <row r="44" spans="1:24" ht="20.100000000000001" customHeight="1">
      <c r="A44" s="4" t="s">
        <v>153</v>
      </c>
      <c r="B44" s="128">
        <f>SUM(B24:B26)</f>
        <v>4290.7199999985096</v>
      </c>
      <c r="C44" s="129"/>
      <c r="D44" s="27">
        <f>SUM(D24:E26)</f>
        <v>3303.8399999995818</v>
      </c>
      <c r="E44" s="128">
        <f>B44/3</f>
        <v>1430.2399999995032</v>
      </c>
      <c r="F44" s="130"/>
      <c r="G44" s="129"/>
      <c r="H44" s="128">
        <f>D44/3</f>
        <v>1101.2799999998606</v>
      </c>
      <c r="I44" s="129"/>
      <c r="J44" s="125">
        <f>H44/E44</f>
        <v>0.7699966439200715</v>
      </c>
      <c r="K44" s="126"/>
      <c r="L44" s="126"/>
    </row>
    <row r="45" spans="1:24" ht="20.100000000000001" customHeight="1">
      <c r="A45" s="4" t="s">
        <v>43</v>
      </c>
      <c r="B45" s="128">
        <f>SUM(B33:B36)</f>
        <v>5587.9199999997581</v>
      </c>
      <c r="C45" s="129"/>
      <c r="D45" s="27">
        <f>SUM(D33:E36)</f>
        <v>4361.5200000003824</v>
      </c>
      <c r="E45" s="128">
        <f>B45/4</f>
        <v>1396.9799999999395</v>
      </c>
      <c r="F45" s="130"/>
      <c r="G45" s="129"/>
      <c r="H45" s="128">
        <f>D45/4</f>
        <v>1090.3800000000956</v>
      </c>
      <c r="I45" s="129"/>
      <c r="J45" s="125">
        <f>H45/E45</f>
        <v>0.78052656444626467</v>
      </c>
      <c r="K45" s="126"/>
      <c r="L45" s="126"/>
    </row>
    <row r="46" spans="1:24" ht="20.100000000000001" customHeight="1">
      <c r="A46" s="4" t="s">
        <v>44</v>
      </c>
      <c r="B46" s="128">
        <f>SUM(B16:B39)</f>
        <v>33890.880000002289</v>
      </c>
      <c r="C46" s="129"/>
      <c r="D46" s="27">
        <f>SUM(D16:E39)</f>
        <v>26523.599999997896</v>
      </c>
      <c r="E46" s="128">
        <f>B46/24</f>
        <v>1412.1200000000954</v>
      </c>
      <c r="F46" s="130"/>
      <c r="G46" s="129"/>
      <c r="H46" s="128">
        <f>D46/24</f>
        <v>1105.1499999999123</v>
      </c>
      <c r="I46" s="129"/>
      <c r="J46" s="125">
        <f>H46/E46</f>
        <v>0.78261762456436967</v>
      </c>
      <c r="K46" s="126"/>
      <c r="L46" s="126"/>
    </row>
    <row r="47" spans="1:24" ht="20.100000000000001" customHeight="1"/>
    <row r="48" spans="1:24" ht="20.100000000000001" customHeight="1"/>
    <row r="49" spans="3:9" ht="20.100000000000001" customHeight="1"/>
    <row r="50" spans="3:9" ht="20.100000000000001" customHeight="1">
      <c r="C50" s="91" t="s">
        <v>194</v>
      </c>
      <c r="D50" s="91"/>
      <c r="E50" s="91"/>
      <c r="F50" s="91"/>
      <c r="G50" s="91"/>
      <c r="H50" s="91"/>
      <c r="I50" s="91"/>
    </row>
    <row r="51" spans="3:9" ht="20.100000000000001" customHeight="1"/>
  </sheetData>
  <mergeCells count="189">
    <mergeCell ref="S39:X39"/>
    <mergeCell ref="H46:I46"/>
    <mergeCell ref="E42:I42"/>
    <mergeCell ref="E43:G43"/>
    <mergeCell ref="H43:I43"/>
    <mergeCell ref="E44:G44"/>
    <mergeCell ref="H44:I44"/>
    <mergeCell ref="J46:L46"/>
    <mergeCell ref="J42:L43"/>
    <mergeCell ref="J44:L44"/>
    <mergeCell ref="J45:L45"/>
    <mergeCell ref="H45:I45"/>
    <mergeCell ref="H41:L41"/>
    <mergeCell ref="H40:L40"/>
    <mergeCell ref="A1:E1"/>
    <mergeCell ref="A2:E2"/>
    <mergeCell ref="A3:E3"/>
    <mergeCell ref="A4:E4"/>
    <mergeCell ref="A5:E5"/>
    <mergeCell ref="A6:E6"/>
    <mergeCell ref="B46:C46"/>
    <mergeCell ref="E46:G46"/>
    <mergeCell ref="B44:C44"/>
    <mergeCell ref="B45:C45"/>
    <mergeCell ref="D41:E41"/>
    <mergeCell ref="E45:G45"/>
    <mergeCell ref="F41:G41"/>
    <mergeCell ref="B42:D42"/>
    <mergeCell ref="F40:G40"/>
    <mergeCell ref="D38:E38"/>
    <mergeCell ref="F23:G23"/>
    <mergeCell ref="F39:G39"/>
    <mergeCell ref="F16:G16"/>
    <mergeCell ref="F17:G17"/>
    <mergeCell ref="F18:G18"/>
    <mergeCell ref="F19:G19"/>
    <mergeCell ref="F20:G20"/>
    <mergeCell ref="F35:G35"/>
    <mergeCell ref="H35:L35"/>
    <mergeCell ref="H36:L36"/>
    <mergeCell ref="H19:L19"/>
    <mergeCell ref="H38:L38"/>
    <mergeCell ref="H39:L39"/>
    <mergeCell ref="H29:L29"/>
    <mergeCell ref="H30:L30"/>
    <mergeCell ref="H31:L31"/>
    <mergeCell ref="H32:L32"/>
    <mergeCell ref="H25:L25"/>
    <mergeCell ref="H26:L26"/>
    <mergeCell ref="H27:L27"/>
    <mergeCell ref="H20:L20"/>
    <mergeCell ref="F33:G33"/>
    <mergeCell ref="F34:G34"/>
    <mergeCell ref="F27:G27"/>
    <mergeCell ref="F28:G28"/>
    <mergeCell ref="F29:G29"/>
    <mergeCell ref="F30:G30"/>
    <mergeCell ref="H28:L28"/>
    <mergeCell ref="H24:L24"/>
    <mergeCell ref="H33:L33"/>
    <mergeCell ref="H34:L34"/>
    <mergeCell ref="A42:A43"/>
    <mergeCell ref="B43:C43"/>
    <mergeCell ref="D26:E26"/>
    <mergeCell ref="D40:E40"/>
    <mergeCell ref="D33:E33"/>
    <mergeCell ref="D34:E34"/>
    <mergeCell ref="D28:E28"/>
    <mergeCell ref="D39:E39"/>
    <mergeCell ref="F21:G21"/>
    <mergeCell ref="F22:G22"/>
    <mergeCell ref="D37:E37"/>
    <mergeCell ref="D25:E25"/>
    <mergeCell ref="F24:G24"/>
    <mergeCell ref="F25:G25"/>
    <mergeCell ref="F26:G26"/>
    <mergeCell ref="D21:E21"/>
    <mergeCell ref="D22:E22"/>
    <mergeCell ref="D29:E29"/>
    <mergeCell ref="D30:E30"/>
    <mergeCell ref="D31:E31"/>
    <mergeCell ref="D32:E32"/>
    <mergeCell ref="F36:G36"/>
    <mergeCell ref="F37:G37"/>
    <mergeCell ref="F31:G31"/>
    <mergeCell ref="D35:E35"/>
    <mergeCell ref="D36:E36"/>
    <mergeCell ref="F38:G38"/>
    <mergeCell ref="A7:L7"/>
    <mergeCell ref="F12:G13"/>
    <mergeCell ref="H12:L12"/>
    <mergeCell ref="I9:L9"/>
    <mergeCell ref="F9:H9"/>
    <mergeCell ref="A9:E9"/>
    <mergeCell ref="A8:L8"/>
    <mergeCell ref="D14:E14"/>
    <mergeCell ref="D15:E15"/>
    <mergeCell ref="F14:G14"/>
    <mergeCell ref="F15:G15"/>
    <mergeCell ref="H14:L14"/>
    <mergeCell ref="H15:L15"/>
    <mergeCell ref="H16:L16"/>
    <mergeCell ref="H17:L17"/>
    <mergeCell ref="H18:L18"/>
    <mergeCell ref="H21:L21"/>
    <mergeCell ref="H22:L22"/>
    <mergeCell ref="H23:L23"/>
    <mergeCell ref="H37:L37"/>
    <mergeCell ref="F32:G32"/>
    <mergeCell ref="O33:V33"/>
    <mergeCell ref="O26:V26"/>
    <mergeCell ref="O27:V27"/>
    <mergeCell ref="O28:V28"/>
    <mergeCell ref="O29:V29"/>
    <mergeCell ref="P39:R39"/>
    <mergeCell ref="C50:I50"/>
    <mergeCell ref="A10:B10"/>
    <mergeCell ref="C10:H10"/>
    <mergeCell ref="A11:L11"/>
    <mergeCell ref="H13:L13"/>
    <mergeCell ref="A12:A13"/>
    <mergeCell ref="B13:C13"/>
    <mergeCell ref="D13:E13"/>
    <mergeCell ref="D20:E20"/>
    <mergeCell ref="D27:E27"/>
    <mergeCell ref="B12:E12"/>
    <mergeCell ref="D16:E16"/>
    <mergeCell ref="D17:E17"/>
    <mergeCell ref="D18:E18"/>
    <mergeCell ref="D19:E19"/>
    <mergeCell ref="D23:E23"/>
    <mergeCell ref="D24:E24"/>
    <mergeCell ref="N20:Q20"/>
    <mergeCell ref="N21:Q21"/>
    <mergeCell ref="N24:V24"/>
    <mergeCell ref="O25:V25"/>
    <mergeCell ref="U14:U18"/>
    <mergeCell ref="V14:V18"/>
    <mergeCell ref="O30:V30"/>
    <mergeCell ref="O31:V31"/>
    <mergeCell ref="O32:V32"/>
    <mergeCell ref="N10:Q10"/>
    <mergeCell ref="N11:Q11"/>
    <mergeCell ref="W14:W18"/>
    <mergeCell ref="N19:Q19"/>
    <mergeCell ref="M14:M18"/>
    <mergeCell ref="N14:Q18"/>
    <mergeCell ref="R14:T14"/>
    <mergeCell ref="T15:T18"/>
    <mergeCell ref="S15:S18"/>
    <mergeCell ref="R15:R18"/>
    <mergeCell ref="S10:T10"/>
    <mergeCell ref="S11:T11"/>
    <mergeCell ref="V10:W10"/>
    <mergeCell ref="V11:W11"/>
    <mergeCell ref="U1:W1"/>
    <mergeCell ref="R2:R3"/>
    <mergeCell ref="U2:U3"/>
    <mergeCell ref="S2:T2"/>
    <mergeCell ref="S3:T3"/>
    <mergeCell ref="V2:W2"/>
    <mergeCell ref="V3:W3"/>
    <mergeCell ref="N8:Q8"/>
    <mergeCell ref="N9:Q9"/>
    <mergeCell ref="V4:W4"/>
    <mergeCell ref="V5:W5"/>
    <mergeCell ref="V6:W6"/>
    <mergeCell ref="V7:W7"/>
    <mergeCell ref="V8:W8"/>
    <mergeCell ref="V9:W9"/>
    <mergeCell ref="S7:T7"/>
    <mergeCell ref="S8:T8"/>
    <mergeCell ref="S9:T9"/>
    <mergeCell ref="N4:Q4"/>
    <mergeCell ref="N5:Q5"/>
    <mergeCell ref="N6:Q6"/>
    <mergeCell ref="N7:Q7"/>
    <mergeCell ref="F1:H2"/>
    <mergeCell ref="I1:L2"/>
    <mergeCell ref="M1:M3"/>
    <mergeCell ref="N1:Q3"/>
    <mergeCell ref="F5:H6"/>
    <mergeCell ref="I5:L6"/>
    <mergeCell ref="F3:H4"/>
    <mergeCell ref="I3:L4"/>
    <mergeCell ref="R1:T1"/>
    <mergeCell ref="S4:T4"/>
    <mergeCell ref="S5:T5"/>
    <mergeCell ref="S6:T6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5" orientation="portrait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 codeName="Лист28"/>
  <dimension ref="A1:X51"/>
  <sheetViews>
    <sheetView view="pageBreakPreview" topLeftCell="A10" zoomScale="75" zoomScaleNormal="100" workbookViewId="0">
      <selection activeCell="B44" sqref="B44:C44"/>
    </sheetView>
  </sheetViews>
  <sheetFormatPr defaultRowHeight="18.75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" style="2" customWidth="1"/>
    <col min="21" max="21" width="12.42578125" style="2" customWidth="1"/>
    <col min="22" max="22" width="13.140625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>
      <c r="A1" s="59" t="s">
        <v>161</v>
      </c>
      <c r="B1" s="59"/>
      <c r="C1" s="59"/>
      <c r="D1" s="59"/>
      <c r="E1" s="59"/>
      <c r="F1" s="63" t="s">
        <v>154</v>
      </c>
      <c r="G1" s="63"/>
      <c r="H1" s="63"/>
      <c r="I1" s="59" t="s">
        <v>163</v>
      </c>
      <c r="J1" s="59"/>
      <c r="K1" s="59"/>
      <c r="L1" s="59"/>
      <c r="M1" s="104" t="s">
        <v>115</v>
      </c>
      <c r="N1" s="98" t="s">
        <v>116</v>
      </c>
      <c r="O1" s="98"/>
      <c r="P1" s="98"/>
      <c r="Q1" s="98"/>
      <c r="R1" s="123" t="s">
        <v>117</v>
      </c>
      <c r="S1" s="123"/>
      <c r="T1" s="123"/>
      <c r="U1" s="123" t="s">
        <v>118</v>
      </c>
      <c r="V1" s="123"/>
      <c r="W1" s="107"/>
    </row>
    <row r="2" spans="1:23" ht="18.75" customHeight="1">
      <c r="A2" s="61" t="s">
        <v>45</v>
      </c>
      <c r="B2" s="61"/>
      <c r="C2" s="61"/>
      <c r="D2" s="61"/>
      <c r="E2" s="61"/>
      <c r="F2" s="63"/>
      <c r="G2" s="63"/>
      <c r="H2" s="63"/>
      <c r="I2" s="59"/>
      <c r="J2" s="59"/>
      <c r="K2" s="59"/>
      <c r="L2" s="59"/>
      <c r="M2" s="95"/>
      <c r="N2" s="99"/>
      <c r="O2" s="99"/>
      <c r="P2" s="99"/>
      <c r="Q2" s="99"/>
      <c r="R2" s="99" t="s">
        <v>119</v>
      </c>
      <c r="S2" s="99" t="s">
        <v>120</v>
      </c>
      <c r="T2" s="99"/>
      <c r="U2" s="99" t="s">
        <v>119</v>
      </c>
      <c r="V2" s="99" t="s">
        <v>120</v>
      </c>
      <c r="W2" s="101"/>
    </row>
    <row r="3" spans="1:23" ht="21.75" customHeight="1">
      <c r="A3" s="59" t="s">
        <v>181</v>
      </c>
      <c r="B3" s="59"/>
      <c r="C3" s="59"/>
      <c r="D3" s="59"/>
      <c r="E3" s="59"/>
      <c r="F3" s="63" t="s">
        <v>155</v>
      </c>
      <c r="G3" s="63"/>
      <c r="H3" s="63"/>
      <c r="I3" s="59" t="s">
        <v>270</v>
      </c>
      <c r="J3" s="59"/>
      <c r="K3" s="59"/>
      <c r="L3" s="59"/>
      <c r="M3" s="96"/>
      <c r="N3" s="102"/>
      <c r="O3" s="102"/>
      <c r="P3" s="102"/>
      <c r="Q3" s="102"/>
      <c r="R3" s="102"/>
      <c r="S3" s="102" t="s">
        <v>121</v>
      </c>
      <c r="T3" s="102"/>
      <c r="U3" s="102"/>
      <c r="V3" s="102" t="s">
        <v>121</v>
      </c>
      <c r="W3" s="103"/>
    </row>
    <row r="4" spans="1:23" ht="29.25" customHeight="1">
      <c r="A4" s="61" t="s">
        <v>46</v>
      </c>
      <c r="B4" s="61"/>
      <c r="C4" s="61"/>
      <c r="D4" s="61"/>
      <c r="E4" s="61"/>
      <c r="F4" s="63"/>
      <c r="G4" s="63"/>
      <c r="H4" s="63"/>
      <c r="I4" s="59"/>
      <c r="J4" s="59"/>
      <c r="K4" s="59"/>
      <c r="L4" s="59"/>
      <c r="M4" s="10"/>
      <c r="N4" s="136" t="s">
        <v>122</v>
      </c>
      <c r="O4" s="136"/>
      <c r="P4" s="136"/>
      <c r="Q4" s="136"/>
      <c r="R4" s="8"/>
      <c r="S4" s="89"/>
      <c r="T4" s="105"/>
      <c r="U4" s="8"/>
      <c r="V4" s="89"/>
      <c r="W4" s="90"/>
    </row>
    <row r="5" spans="1:23" ht="21" customHeight="1">
      <c r="A5" s="143" t="s">
        <v>159</v>
      </c>
      <c r="B5" s="143"/>
      <c r="C5" s="143"/>
      <c r="D5" s="143"/>
      <c r="E5" s="143"/>
      <c r="F5" s="63" t="s">
        <v>156</v>
      </c>
      <c r="G5" s="63"/>
      <c r="H5" s="63"/>
      <c r="I5" s="59" t="s">
        <v>273</v>
      </c>
      <c r="J5" s="59"/>
      <c r="K5" s="59"/>
      <c r="L5" s="59"/>
      <c r="M5" s="10"/>
      <c r="N5" s="137" t="s">
        <v>123</v>
      </c>
      <c r="O5" s="137"/>
      <c r="P5" s="137"/>
      <c r="Q5" s="137"/>
      <c r="R5" s="8"/>
      <c r="S5" s="89"/>
      <c r="T5" s="105"/>
      <c r="U5" s="8"/>
      <c r="V5" s="89"/>
      <c r="W5" s="90"/>
    </row>
    <row r="6" spans="1:23">
      <c r="A6" s="61" t="s">
        <v>47</v>
      </c>
      <c r="B6" s="61"/>
      <c r="C6" s="61"/>
      <c r="D6" s="61"/>
      <c r="E6" s="61"/>
      <c r="F6" s="63"/>
      <c r="G6" s="63"/>
      <c r="H6" s="63"/>
      <c r="I6" s="59"/>
      <c r="J6" s="59"/>
      <c r="K6" s="59"/>
      <c r="L6" s="59"/>
      <c r="M6" s="10"/>
      <c r="N6" s="137" t="s">
        <v>124</v>
      </c>
      <c r="O6" s="137"/>
      <c r="P6" s="137"/>
      <c r="Q6" s="137"/>
      <c r="R6" s="8"/>
      <c r="S6" s="89"/>
      <c r="T6" s="105"/>
      <c r="U6" s="8"/>
      <c r="V6" s="89"/>
      <c r="W6" s="90"/>
    </row>
    <row r="7" spans="1:23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10"/>
      <c r="N7" s="139" t="s">
        <v>125</v>
      </c>
      <c r="O7" s="139"/>
      <c r="P7" s="139"/>
      <c r="Q7" s="139"/>
      <c r="R7" s="8"/>
      <c r="S7" s="89"/>
      <c r="T7" s="105"/>
      <c r="U7" s="8"/>
      <c r="V7" s="89"/>
      <c r="W7" s="90"/>
    </row>
    <row r="8" spans="1:23" ht="22.5">
      <c r="A8" s="94" t="s">
        <v>0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10"/>
      <c r="N8" s="137" t="s">
        <v>126</v>
      </c>
      <c r="O8" s="137"/>
      <c r="P8" s="137"/>
      <c r="Q8" s="137"/>
      <c r="R8" s="8"/>
      <c r="S8" s="89"/>
      <c r="T8" s="105"/>
      <c r="U8" s="8"/>
      <c r="V8" s="89"/>
      <c r="W8" s="90"/>
    </row>
    <row r="9" spans="1:23">
      <c r="A9" s="135" t="s">
        <v>152</v>
      </c>
      <c r="B9" s="135"/>
      <c r="C9" s="135"/>
      <c r="D9" s="135"/>
      <c r="E9" s="135"/>
      <c r="F9" s="81" t="s">
        <v>385</v>
      </c>
      <c r="G9" s="81"/>
      <c r="H9" s="81"/>
      <c r="I9" s="134" t="s">
        <v>384</v>
      </c>
      <c r="J9" s="134"/>
      <c r="K9" s="134"/>
      <c r="L9" s="134"/>
      <c r="M9" s="10"/>
      <c r="N9" s="137" t="s">
        <v>127</v>
      </c>
      <c r="O9" s="137"/>
      <c r="P9" s="137"/>
      <c r="Q9" s="137"/>
      <c r="R9" s="8"/>
      <c r="S9" s="89"/>
      <c r="T9" s="105"/>
      <c r="U9" s="8"/>
      <c r="V9" s="89"/>
      <c r="W9" s="90"/>
    </row>
    <row r="10" spans="1:23" ht="19.5" customHeight="1">
      <c r="A10" s="135" t="s">
        <v>151</v>
      </c>
      <c r="B10" s="135"/>
      <c r="C10" s="81" t="s">
        <v>271</v>
      </c>
      <c r="D10" s="81"/>
      <c r="E10" s="81"/>
      <c r="F10" s="81"/>
      <c r="G10" s="81"/>
      <c r="H10" s="81"/>
      <c r="I10" s="3"/>
      <c r="J10" s="3"/>
      <c r="K10" s="3"/>
      <c r="L10" s="3"/>
      <c r="M10" s="10"/>
      <c r="N10" s="139" t="s">
        <v>128</v>
      </c>
      <c r="O10" s="139"/>
      <c r="P10" s="139"/>
      <c r="Q10" s="139"/>
      <c r="R10" s="8"/>
      <c r="S10" s="89"/>
      <c r="T10" s="105"/>
      <c r="U10" s="8"/>
      <c r="V10" s="89"/>
      <c r="W10" s="90"/>
    </row>
    <row r="11" spans="1:23">
      <c r="A11" s="124" t="s">
        <v>1</v>
      </c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0"/>
      <c r="N11" s="140" t="s">
        <v>129</v>
      </c>
      <c r="O11" s="140"/>
      <c r="P11" s="140"/>
      <c r="Q11" s="140"/>
      <c r="R11" s="8"/>
      <c r="S11" s="89"/>
      <c r="T11" s="105"/>
      <c r="U11" s="8"/>
      <c r="V11" s="89"/>
      <c r="W11" s="90"/>
    </row>
    <row r="12" spans="1:23" ht="20.100000000000001" customHeight="1">
      <c r="A12" s="131" t="s">
        <v>2</v>
      </c>
      <c r="B12" s="123" t="s">
        <v>36</v>
      </c>
      <c r="C12" s="123"/>
      <c r="D12" s="123"/>
      <c r="E12" s="123"/>
      <c r="F12" s="123" t="s">
        <v>5</v>
      </c>
      <c r="G12" s="123"/>
      <c r="H12" s="100" t="s">
        <v>34</v>
      </c>
      <c r="I12" s="112"/>
      <c r="J12" s="112"/>
      <c r="K12" s="112"/>
      <c r="L12" s="112"/>
      <c r="N12" s="1"/>
      <c r="O12" s="1"/>
      <c r="P12" s="1"/>
      <c r="Q12" s="1"/>
    </row>
    <row r="13" spans="1:23" ht="20.100000000000001" customHeight="1">
      <c r="A13" s="131"/>
      <c r="B13" s="123" t="s">
        <v>3</v>
      </c>
      <c r="C13" s="123"/>
      <c r="D13" s="123" t="s">
        <v>4</v>
      </c>
      <c r="E13" s="123"/>
      <c r="F13" s="123"/>
      <c r="G13" s="123"/>
      <c r="H13" s="103" t="s">
        <v>35</v>
      </c>
      <c r="I13" s="111"/>
      <c r="J13" s="111"/>
      <c r="K13" s="111"/>
      <c r="L13" s="111"/>
    </row>
    <row r="14" spans="1:23" ht="20.100000000000001" customHeight="1">
      <c r="A14" s="5" t="s">
        <v>6</v>
      </c>
      <c r="B14" s="8"/>
      <c r="C14" s="5"/>
      <c r="D14" s="106"/>
      <c r="E14" s="106"/>
      <c r="F14" s="132" t="str">
        <f t="shared" ref="F14:F40" si="0">IF(OR(B14="",D14=""),"",IF(ISERROR(D14/B14),IF(D14=0,0,""),D14/B14))</f>
        <v/>
      </c>
      <c r="G14" s="132"/>
      <c r="H14" s="106"/>
      <c r="I14" s="106"/>
      <c r="J14" s="106"/>
      <c r="K14" s="106"/>
      <c r="L14" s="106"/>
      <c r="M14" s="131" t="s">
        <v>115</v>
      </c>
      <c r="N14" s="123" t="s">
        <v>116</v>
      </c>
      <c r="O14" s="123"/>
      <c r="P14" s="123"/>
      <c r="Q14" s="123"/>
      <c r="R14" s="123" t="s">
        <v>117</v>
      </c>
      <c r="S14" s="123"/>
      <c r="T14" s="123"/>
      <c r="U14" s="123" t="s">
        <v>130</v>
      </c>
      <c r="V14" s="123" t="s">
        <v>69</v>
      </c>
      <c r="W14" s="107" t="s">
        <v>131</v>
      </c>
    </row>
    <row r="15" spans="1:23" ht="20.100000000000001" customHeight="1">
      <c r="A15" s="5" t="s">
        <v>7</v>
      </c>
      <c r="B15" s="5"/>
      <c r="C15" s="5"/>
      <c r="D15" s="123"/>
      <c r="E15" s="123"/>
      <c r="F15" s="132" t="str">
        <f t="shared" si="0"/>
        <v/>
      </c>
      <c r="G15" s="132"/>
      <c r="H15" s="106"/>
      <c r="I15" s="106"/>
      <c r="J15" s="106"/>
      <c r="K15" s="106"/>
      <c r="L15" s="106"/>
      <c r="M15" s="131"/>
      <c r="N15" s="123"/>
      <c r="O15" s="123"/>
      <c r="P15" s="123"/>
      <c r="Q15" s="123"/>
      <c r="R15" s="141" t="s">
        <v>130</v>
      </c>
      <c r="S15" s="123" t="s">
        <v>69</v>
      </c>
      <c r="T15" s="123" t="s">
        <v>131</v>
      </c>
      <c r="U15" s="123"/>
      <c r="V15" s="123"/>
      <c r="W15" s="107"/>
    </row>
    <row r="16" spans="1:23" ht="20.100000000000001" customHeight="1">
      <c r="A16" s="5" t="s">
        <v>8</v>
      </c>
      <c r="B16" s="27">
        <f>'Ячейка 3Гео'!D19+'Ячейка 26Гео '!D19+'Ячейка 1 РП18'!D19+'Ячейка 13 РП18 '!D19</f>
        <v>124.85999999948945</v>
      </c>
      <c r="C16" s="27"/>
      <c r="D16" s="133">
        <f>'Ячейка 3Гео'!H19+'Ячейка 26Гео '!H19+'Ячейка 1 РП18'!H19+'Ячейка 13 РП18 '!H19</f>
        <v>93.960000000151922</v>
      </c>
      <c r="E16" s="133"/>
      <c r="F16" s="132">
        <f t="shared" si="0"/>
        <v>0.75252282556892625</v>
      </c>
      <c r="G16" s="132"/>
      <c r="H16" s="106"/>
      <c r="I16" s="106"/>
      <c r="J16" s="106"/>
      <c r="K16" s="106"/>
      <c r="L16" s="106"/>
      <c r="M16" s="131"/>
      <c r="N16" s="123"/>
      <c r="O16" s="123"/>
      <c r="P16" s="123"/>
      <c r="Q16" s="123"/>
      <c r="R16" s="141"/>
      <c r="S16" s="123"/>
      <c r="T16" s="123"/>
      <c r="U16" s="123"/>
      <c r="V16" s="123"/>
      <c r="W16" s="107"/>
    </row>
    <row r="17" spans="1:23" ht="20.100000000000001" customHeight="1">
      <c r="A17" s="5" t="s">
        <v>9</v>
      </c>
      <c r="B17" s="51">
        <f>'Ячейка 3Гео'!D20+'Ячейка 26Гео '!D20+'Ячейка 1 РП18'!D20+'Ячейка 13 РП18 '!D20</f>
        <v>137.40000000098007</v>
      </c>
      <c r="C17" s="27"/>
      <c r="D17" s="133">
        <f>'Ячейка 3Гео'!H20+'Ячейка 26Гео '!H20+'Ячейка 1 РП18'!H20+'Ячейка 13 РП18 '!H20</f>
        <v>89.760000000114815</v>
      </c>
      <c r="E17" s="133"/>
      <c r="F17" s="132">
        <f t="shared" si="0"/>
        <v>0.65327510916648146</v>
      </c>
      <c r="G17" s="132"/>
      <c r="H17" s="106"/>
      <c r="I17" s="106"/>
      <c r="J17" s="106"/>
      <c r="K17" s="106"/>
      <c r="L17" s="106"/>
      <c r="M17" s="131"/>
      <c r="N17" s="123"/>
      <c r="O17" s="123"/>
      <c r="P17" s="123"/>
      <c r="Q17" s="123"/>
      <c r="R17" s="141"/>
      <c r="S17" s="123"/>
      <c r="T17" s="123"/>
      <c r="U17" s="123"/>
      <c r="V17" s="123"/>
      <c r="W17" s="107"/>
    </row>
    <row r="18" spans="1:23" ht="20.100000000000001" customHeight="1">
      <c r="A18" s="5" t="s">
        <v>10</v>
      </c>
      <c r="B18" s="51">
        <f>'Ячейка 3Гео'!D21+'Ячейка 26Гео '!D21+'Ячейка 1 РП18'!D21+'Ячейка 13 РП18 '!D21</f>
        <v>131.09999999928732</v>
      </c>
      <c r="C18" s="27"/>
      <c r="D18" s="133">
        <f>'Ячейка 3Гео'!H21+'Ячейка 26Гео '!H21+'Ячейка 1 РП18'!H21+'Ячейка 13 РП18 '!H21</f>
        <v>90.179999999327265</v>
      </c>
      <c r="E18" s="133"/>
      <c r="F18" s="132">
        <f t="shared" si="0"/>
        <v>0.68787185354551872</v>
      </c>
      <c r="G18" s="132"/>
      <c r="H18" s="106"/>
      <c r="I18" s="106"/>
      <c r="J18" s="106"/>
      <c r="K18" s="106"/>
      <c r="L18" s="106"/>
      <c r="M18" s="131"/>
      <c r="N18" s="123"/>
      <c r="O18" s="123"/>
      <c r="P18" s="123"/>
      <c r="Q18" s="123"/>
      <c r="R18" s="141"/>
      <c r="S18" s="123"/>
      <c r="T18" s="123"/>
      <c r="U18" s="123"/>
      <c r="V18" s="123"/>
      <c r="W18" s="107"/>
    </row>
    <row r="19" spans="1:23" ht="20.100000000000001" customHeight="1">
      <c r="A19" s="5" t="s">
        <v>11</v>
      </c>
      <c r="B19" s="51">
        <f>'Ячейка 3Гео'!D22+'Ячейка 26Гео '!D22+'Ячейка 1 РП18'!D22+'Ячейка 13 РП18 '!D22</f>
        <v>129.66000000067197</v>
      </c>
      <c r="C19" s="27"/>
      <c r="D19" s="133">
        <f>'Ячейка 3Гео'!H22+'Ячейка 26Гео '!H22+'Ячейка 1 РП18'!H22+'Ячейка 13 РП18 '!H22</f>
        <v>90.060000000585205</v>
      </c>
      <c r="E19" s="133"/>
      <c r="F19" s="132">
        <f t="shared" si="0"/>
        <v>0.69458583988985401</v>
      </c>
      <c r="G19" s="132"/>
      <c r="H19" s="106"/>
      <c r="I19" s="106"/>
      <c r="J19" s="106"/>
      <c r="K19" s="106"/>
      <c r="L19" s="106"/>
      <c r="M19" s="10"/>
      <c r="N19" s="136" t="s">
        <v>132</v>
      </c>
      <c r="O19" s="136"/>
      <c r="P19" s="136"/>
      <c r="Q19" s="136"/>
      <c r="R19" s="8"/>
      <c r="S19" s="8"/>
      <c r="T19" s="8"/>
      <c r="U19" s="8"/>
      <c r="V19" s="8"/>
      <c r="W19" s="9"/>
    </row>
    <row r="20" spans="1:23" ht="20.100000000000001" customHeight="1">
      <c r="A20" s="5" t="s">
        <v>12</v>
      </c>
      <c r="B20" s="51">
        <f>'Ячейка 3Гео'!D23+'Ячейка 26Гео '!D23+'Ячейка 1 РП18'!D23+'Ячейка 13 РП18 '!D23</f>
        <v>126.29999999933261</v>
      </c>
      <c r="C20" s="27"/>
      <c r="D20" s="133">
        <f>'Ячейка 3Гео'!H23+'Ячейка 26Гео '!H23+'Ячейка 1 РП18'!H23+'Ячейка 13 РП18 '!H23</f>
        <v>95.520000000169603</v>
      </c>
      <c r="E20" s="133"/>
      <c r="F20" s="132">
        <f t="shared" si="0"/>
        <v>0.75629453682244141</v>
      </c>
      <c r="G20" s="132"/>
      <c r="H20" s="106"/>
      <c r="I20" s="106"/>
      <c r="J20" s="106"/>
      <c r="K20" s="106"/>
      <c r="L20" s="106"/>
      <c r="M20" s="10"/>
      <c r="N20" s="137" t="s">
        <v>133</v>
      </c>
      <c r="O20" s="137"/>
      <c r="P20" s="137"/>
      <c r="Q20" s="137"/>
      <c r="R20" s="8"/>
      <c r="S20" s="8"/>
      <c r="T20" s="8"/>
      <c r="U20" s="8"/>
      <c r="V20" s="8"/>
      <c r="W20" s="9"/>
    </row>
    <row r="21" spans="1:23" ht="20.100000000000001" customHeight="1">
      <c r="A21" s="5" t="s">
        <v>13</v>
      </c>
      <c r="B21" s="51">
        <f>'Ячейка 3Гео'!D24+'Ячейка 26Гео '!D24+'Ячейка 1 РП18'!D24+'Ячейка 13 РП18 '!D24</f>
        <v>142.26000000051044</v>
      </c>
      <c r="C21" s="27"/>
      <c r="D21" s="133">
        <f>'Ячейка 3Гео'!H24+'Ячейка 26Гео '!H24+'Ячейка 1 РП18'!H24+'Ячейка 13 РП18 '!H24</f>
        <v>100.62000000011722</v>
      </c>
      <c r="E21" s="133"/>
      <c r="F21" s="132">
        <f t="shared" si="0"/>
        <v>0.70729649936564165</v>
      </c>
      <c r="G21" s="132"/>
      <c r="H21" s="106"/>
      <c r="I21" s="106"/>
      <c r="J21" s="106"/>
      <c r="K21" s="106"/>
      <c r="L21" s="106"/>
      <c r="M21" s="10"/>
      <c r="N21" s="138" t="s">
        <v>134</v>
      </c>
      <c r="O21" s="138"/>
      <c r="P21" s="138"/>
      <c r="Q21" s="138"/>
      <c r="R21" s="8"/>
      <c r="S21" s="8"/>
      <c r="T21" s="8"/>
      <c r="U21" s="8"/>
      <c r="V21" s="8"/>
      <c r="W21" s="9"/>
    </row>
    <row r="22" spans="1:23" ht="20.100000000000001" customHeight="1">
      <c r="A22" s="5" t="s">
        <v>14</v>
      </c>
      <c r="B22" s="51">
        <f>'Ячейка 3Гео'!D25+'Ячейка 26Гео '!D25+'Ячейка 1 РП18'!D25+'Ячейка 13 РП18 '!D25</f>
        <v>132.83999999953267</v>
      </c>
      <c r="C22" s="27"/>
      <c r="D22" s="133">
        <f>'Ячейка 3Гео'!H25+'Ячейка 26Гео '!H25+'Ячейка 1 РП18'!H25+'Ячейка 13 РП18 '!H25</f>
        <v>88.499999999476131</v>
      </c>
      <c r="E22" s="133"/>
      <c r="F22" s="132">
        <f t="shared" si="0"/>
        <v>0.66621499548168828</v>
      </c>
      <c r="G22" s="132"/>
      <c r="H22" s="106"/>
      <c r="I22" s="106"/>
      <c r="J22" s="106"/>
      <c r="K22" s="106"/>
      <c r="L22" s="106"/>
    </row>
    <row r="23" spans="1:23" ht="20.100000000000001" customHeight="1">
      <c r="A23" s="5" t="s">
        <v>15</v>
      </c>
      <c r="B23" s="51">
        <f>'Ячейка 3Гео'!D26+'Ячейка 26Гео '!D26+'Ячейка 1 РП18'!D26+'Ячейка 13 РП18 '!D26</f>
        <v>138.96000000024742</v>
      </c>
      <c r="C23" s="27"/>
      <c r="D23" s="133">
        <f>'Ячейка 3Гео'!H26+'Ячейка 26Гео '!H26+'Ячейка 1 РП18'!H26+'Ячейка 13 РП18 '!H26</f>
        <v>86.099999999532884</v>
      </c>
      <c r="E23" s="133"/>
      <c r="F23" s="132">
        <f t="shared" si="0"/>
        <v>0.6196027633806821</v>
      </c>
      <c r="G23" s="132"/>
      <c r="H23" s="106"/>
      <c r="I23" s="106"/>
      <c r="J23" s="106"/>
      <c r="K23" s="106"/>
      <c r="L23" s="106"/>
    </row>
    <row r="24" spans="1:23" ht="20.100000000000001" customHeight="1">
      <c r="A24" s="5" t="s">
        <v>16</v>
      </c>
      <c r="B24" s="51">
        <f>'Ячейка 3Гео'!D27+'Ячейка 26Гео '!D27+'Ячейка 1 РП18'!D27+'Ячейка 13 РП18 '!D27</f>
        <v>140.93999999927291</v>
      </c>
      <c r="C24" s="27"/>
      <c r="D24" s="133">
        <f>'Ячейка 3Гео'!H27+'Ячейка 26Гео '!H27+'Ячейка 1 РП18'!H27+'Ячейка 13 РП18 '!H27</f>
        <v>81.360000000995569</v>
      </c>
      <c r="E24" s="133"/>
      <c r="F24" s="132">
        <f t="shared" si="0"/>
        <v>0.57726692210455011</v>
      </c>
      <c r="G24" s="132"/>
      <c r="H24" s="106"/>
      <c r="I24" s="106"/>
      <c r="J24" s="106"/>
      <c r="K24" s="106"/>
      <c r="L24" s="106"/>
      <c r="N24" s="97" t="s">
        <v>135</v>
      </c>
      <c r="O24" s="97"/>
      <c r="P24" s="97"/>
      <c r="Q24" s="97"/>
      <c r="R24" s="97"/>
      <c r="S24" s="97"/>
      <c r="T24" s="97"/>
      <c r="U24" s="97"/>
      <c r="V24" s="97"/>
    </row>
    <row r="25" spans="1:23" ht="20.100000000000001" customHeight="1">
      <c r="A25" s="5" t="s">
        <v>17</v>
      </c>
      <c r="B25" s="51">
        <f>'Ячейка 3Гео'!D28+'Ячейка 26Гео '!D28+'Ячейка 1 РП18'!D28+'Ячейка 13 РП18 '!D28</f>
        <v>166.80000000035307</v>
      </c>
      <c r="C25" s="27"/>
      <c r="D25" s="133">
        <f>'Ячейка 3Гео'!H28+'Ячейка 26Гео '!H28+'Ячейка 1 РП18'!H28+'Ячейка 13 РП18 '!H28</f>
        <v>88.73999999955231</v>
      </c>
      <c r="E25" s="133"/>
      <c r="F25" s="132">
        <f t="shared" si="0"/>
        <v>0.5320143884853985</v>
      </c>
      <c r="G25" s="132"/>
      <c r="H25" s="106"/>
      <c r="I25" s="106"/>
      <c r="J25" s="106"/>
      <c r="K25" s="106"/>
      <c r="L25" s="106"/>
      <c r="N25" s="21" t="s">
        <v>136</v>
      </c>
      <c r="O25" s="97" t="s">
        <v>137</v>
      </c>
      <c r="P25" s="97"/>
      <c r="Q25" s="97"/>
      <c r="R25" s="97"/>
      <c r="S25" s="97"/>
      <c r="T25" s="97"/>
      <c r="U25" s="97"/>
      <c r="V25" s="97"/>
    </row>
    <row r="26" spans="1:23" ht="20.100000000000001" customHeight="1">
      <c r="A26" s="5" t="s">
        <v>18</v>
      </c>
      <c r="B26" s="51">
        <f>'Ячейка 3Гео'!D29+'Ячейка 26Гео '!D29+'Ячейка 1 РП18'!D29+'Ячейка 13 РП18 '!D29</f>
        <v>157.26000000063323</v>
      </c>
      <c r="C26" s="27"/>
      <c r="D26" s="133">
        <f>'Ячейка 3Гео'!H29+'Ячейка 26Гео '!H29+'Ячейка 1 РП18'!H29+'Ячейка 13 РП18 '!H29</f>
        <v>89.400000000068758</v>
      </c>
      <c r="E26" s="133"/>
      <c r="F26" s="132">
        <f t="shared" si="0"/>
        <v>0.56848531094816723</v>
      </c>
      <c r="G26" s="132"/>
      <c r="H26" s="106"/>
      <c r="I26" s="106"/>
      <c r="J26" s="106"/>
      <c r="K26" s="106"/>
      <c r="L26" s="106"/>
      <c r="N26" s="21" t="s">
        <v>138</v>
      </c>
      <c r="O26" s="97" t="s">
        <v>188</v>
      </c>
      <c r="P26" s="97"/>
      <c r="Q26" s="97"/>
      <c r="R26" s="97"/>
      <c r="S26" s="97"/>
      <c r="T26" s="97"/>
      <c r="U26" s="97"/>
      <c r="V26" s="97"/>
    </row>
    <row r="27" spans="1:23" ht="20.100000000000001" customHeight="1">
      <c r="A27" s="5" t="s">
        <v>19</v>
      </c>
      <c r="B27" s="51">
        <f>'Ячейка 3Гео'!D30+'Ячейка 26Гео '!D30+'Ячейка 1 РП18'!D30+'Ячейка 13 РП18 '!D30</f>
        <v>140.09999999921092</v>
      </c>
      <c r="C27" s="27"/>
      <c r="D27" s="133">
        <f>'Ячейка 3Гео'!H30+'Ячейка 26Гео '!H30+'Ячейка 1 РП18'!H30+'Ячейка 13 РП18 '!H30</f>
        <v>87.119999999958964</v>
      </c>
      <c r="E27" s="133"/>
      <c r="F27" s="132">
        <f t="shared" si="0"/>
        <v>0.62184154175909812</v>
      </c>
      <c r="G27" s="132"/>
      <c r="H27" s="106"/>
      <c r="I27" s="106"/>
      <c r="J27" s="106"/>
      <c r="K27" s="106"/>
      <c r="L27" s="106"/>
      <c r="N27" s="21" t="s">
        <v>139</v>
      </c>
      <c r="O27" s="97" t="s">
        <v>140</v>
      </c>
      <c r="P27" s="97"/>
      <c r="Q27" s="97"/>
      <c r="R27" s="97"/>
      <c r="S27" s="97"/>
      <c r="T27" s="97"/>
      <c r="U27" s="97"/>
      <c r="V27" s="97"/>
    </row>
    <row r="28" spans="1:23" ht="20.100000000000001" customHeight="1">
      <c r="A28" s="5" t="s">
        <v>20</v>
      </c>
      <c r="B28" s="51">
        <f>'Ячейка 3Гео'!D31+'Ячейка 26Гео '!D31+'Ячейка 1 РП18'!D31+'Ячейка 13 РП18 '!D31</f>
        <v>128.70000000009441</v>
      </c>
      <c r="C28" s="27"/>
      <c r="D28" s="133">
        <f>'Ячейка 3Гео'!H31+'Ячейка 26Гео '!H31+'Ячейка 1 РП18'!H31+'Ячейка 13 РП18 '!H31</f>
        <v>84.960000000091895</v>
      </c>
      <c r="E28" s="133"/>
      <c r="F28" s="132">
        <f t="shared" si="0"/>
        <v>0.66013986014008996</v>
      </c>
      <c r="G28" s="132"/>
      <c r="H28" s="106"/>
      <c r="I28" s="106"/>
      <c r="J28" s="106"/>
      <c r="K28" s="106"/>
      <c r="L28" s="106"/>
      <c r="N28" s="21"/>
      <c r="O28" s="97" t="s">
        <v>141</v>
      </c>
      <c r="P28" s="97"/>
      <c r="Q28" s="97"/>
      <c r="R28" s="97"/>
      <c r="S28" s="97"/>
      <c r="T28" s="97"/>
      <c r="U28" s="97"/>
      <c r="V28" s="97"/>
    </row>
    <row r="29" spans="1:23" ht="20.100000000000001" customHeight="1">
      <c r="A29" s="5" t="s">
        <v>21</v>
      </c>
      <c r="B29" s="51">
        <f>'Ячейка 3Гео'!D32+'Ячейка 26Гео '!D32+'Ячейка 1 РП18'!D32+'Ячейка 13 РП18 '!D32</f>
        <v>141.18000000030406</v>
      </c>
      <c r="C29" s="27"/>
      <c r="D29" s="133">
        <f>'Ячейка 3Гео'!H32+'Ячейка 26Гео '!H32+'Ячейка 1 РП18'!H32+'Ячейка 13 РП18 '!H32</f>
        <v>90.420000000085565</v>
      </c>
      <c r="E29" s="133"/>
      <c r="F29" s="132">
        <f t="shared" si="0"/>
        <v>0.64045898852451355</v>
      </c>
      <c r="G29" s="132"/>
      <c r="H29" s="106"/>
      <c r="I29" s="106"/>
      <c r="J29" s="106"/>
      <c r="K29" s="106"/>
      <c r="L29" s="106"/>
      <c r="N29" s="21"/>
      <c r="O29" s="97" t="s">
        <v>142</v>
      </c>
      <c r="P29" s="97"/>
      <c r="Q29" s="97"/>
      <c r="R29" s="97"/>
      <c r="S29" s="97"/>
      <c r="T29" s="97"/>
      <c r="U29" s="97"/>
      <c r="V29" s="97"/>
    </row>
    <row r="30" spans="1:23" ht="20.100000000000001" customHeight="1">
      <c r="A30" s="5" t="s">
        <v>22</v>
      </c>
      <c r="B30" s="51">
        <f>'Ячейка 3Гео'!D33+'Ячейка 26Гео '!D33+'Ячейка 1 РП18'!D33+'Ячейка 13 РП18 '!D33</f>
        <v>132.47999999975946</v>
      </c>
      <c r="C30" s="27"/>
      <c r="D30" s="133">
        <f>'Ячейка 3Гео'!H33+'Ячейка 26Гео '!H33+'Ячейка 1 РП18'!H33+'Ячейка 13 РП18 '!H33</f>
        <v>91.139999999495558</v>
      </c>
      <c r="E30" s="133"/>
      <c r="F30" s="132">
        <f t="shared" si="0"/>
        <v>0.6879528985481661</v>
      </c>
      <c r="G30" s="132"/>
      <c r="H30" s="106"/>
      <c r="I30" s="106"/>
      <c r="J30" s="106"/>
      <c r="K30" s="106"/>
      <c r="L30" s="106"/>
      <c r="N30" s="21" t="s">
        <v>143</v>
      </c>
      <c r="O30" s="97" t="s">
        <v>144</v>
      </c>
      <c r="P30" s="97"/>
      <c r="Q30" s="97"/>
      <c r="R30" s="97"/>
      <c r="S30" s="97"/>
      <c r="T30" s="97"/>
      <c r="U30" s="97"/>
      <c r="V30" s="97"/>
    </row>
    <row r="31" spans="1:23" ht="20.100000000000001" customHeight="1">
      <c r="A31" s="5" t="s">
        <v>23</v>
      </c>
      <c r="B31" s="51">
        <f>'Ячейка 3Гео'!D34+'Ячейка 26Гео '!D34+'Ячейка 1 РП18'!D34+'Ячейка 13 РП18 '!D34</f>
        <v>135.66000000100757</v>
      </c>
      <c r="C31" s="27"/>
      <c r="D31" s="133">
        <f>'Ячейка 3Гео'!H34+'Ячейка 26Гео '!H34+'Ячейка 1 РП18'!H34+'Ячейка 13 РП18 '!H34</f>
        <v>100.08000000025277</v>
      </c>
      <c r="E31" s="133"/>
      <c r="F31" s="132">
        <f t="shared" si="0"/>
        <v>0.7377266696115985</v>
      </c>
      <c r="G31" s="132"/>
      <c r="H31" s="106"/>
      <c r="I31" s="106"/>
      <c r="J31" s="106"/>
      <c r="K31" s="106"/>
      <c r="L31" s="106"/>
      <c r="N31" s="21"/>
      <c r="O31" s="97" t="s">
        <v>145</v>
      </c>
      <c r="P31" s="97"/>
      <c r="Q31" s="97"/>
      <c r="R31" s="97"/>
      <c r="S31" s="97"/>
      <c r="T31" s="97"/>
      <c r="U31" s="97"/>
      <c r="V31" s="97"/>
    </row>
    <row r="32" spans="1:23" ht="20.100000000000001" customHeight="1">
      <c r="A32" s="5" t="s">
        <v>24</v>
      </c>
      <c r="B32" s="51">
        <f>'Ячейка 3Гео'!D35+'Ячейка 26Гео '!D35+'Ячейка 1 РП18'!D35+'Ячейка 13 РП18 '!D35</f>
        <v>118.55999999929736</v>
      </c>
      <c r="C32" s="27"/>
      <c r="D32" s="133">
        <f>'Ячейка 3Гео'!H35+'Ячейка 26Гео '!H35+'Ячейка 1 РП18'!H35+'Ячейка 13 РП18 '!H35</f>
        <v>85.799999999881038</v>
      </c>
      <c r="E32" s="133"/>
      <c r="F32" s="132">
        <f t="shared" si="0"/>
        <v>0.7236842105296013</v>
      </c>
      <c r="G32" s="132"/>
      <c r="H32" s="106"/>
      <c r="I32" s="106"/>
      <c r="J32" s="106"/>
      <c r="K32" s="106"/>
      <c r="L32" s="106"/>
      <c r="N32" s="21" t="s">
        <v>146</v>
      </c>
      <c r="O32" s="97" t="s">
        <v>147</v>
      </c>
      <c r="P32" s="97"/>
      <c r="Q32" s="97"/>
      <c r="R32" s="97"/>
      <c r="S32" s="97"/>
      <c r="T32" s="97"/>
      <c r="U32" s="97"/>
      <c r="V32" s="97"/>
    </row>
    <row r="33" spans="1:24" ht="20.100000000000001" customHeight="1">
      <c r="A33" s="5" t="s">
        <v>25</v>
      </c>
      <c r="B33" s="51">
        <f>'Ячейка 3Гео'!D36+'Ячейка 26Гео '!D36+'Ячейка 1 РП18'!D36+'Ячейка 13 РП18 '!D36</f>
        <v>131.63999999962925</v>
      </c>
      <c r="C33" s="27"/>
      <c r="D33" s="133">
        <f>'Ячейка 3Гео'!H36+'Ячейка 26Гео '!H36+'Ячейка 1 РП18'!H36+'Ячейка 13 РП18 '!H36</f>
        <v>78.659999999626962</v>
      </c>
      <c r="E33" s="133"/>
      <c r="F33" s="132">
        <f t="shared" si="0"/>
        <v>0.59753874202255008</v>
      </c>
      <c r="G33" s="132"/>
      <c r="H33" s="106"/>
      <c r="I33" s="106"/>
      <c r="J33" s="106"/>
      <c r="K33" s="106"/>
      <c r="L33" s="106"/>
      <c r="N33" s="21" t="s">
        <v>148</v>
      </c>
      <c r="O33" s="97" t="s">
        <v>149</v>
      </c>
      <c r="P33" s="97"/>
      <c r="Q33" s="97"/>
      <c r="R33" s="97"/>
      <c r="S33" s="97"/>
      <c r="T33" s="97"/>
      <c r="U33" s="97"/>
      <c r="V33" s="97"/>
    </row>
    <row r="34" spans="1:24" ht="20.100000000000001" customHeight="1">
      <c r="A34" s="5" t="s">
        <v>26</v>
      </c>
      <c r="B34" s="51">
        <f>'Ячейка 3Гео'!D37+'Ячейка 26Гео '!D37+'Ячейка 1 РП18'!D37+'Ячейка 13 РП18 '!D37</f>
        <v>120.90000000089276</v>
      </c>
      <c r="C34" s="27"/>
      <c r="D34" s="133">
        <f>'Ячейка 3Гео'!H37+'Ячейка 26Гео '!H37+'Ячейка 1 РП18'!H37+'Ячейка 13 РП18 '!H37</f>
        <v>75.600000000395084</v>
      </c>
      <c r="E34" s="133"/>
      <c r="F34" s="132">
        <f t="shared" si="0"/>
        <v>0.6253101736959209</v>
      </c>
      <c r="G34" s="132"/>
      <c r="H34" s="106"/>
      <c r="I34" s="106"/>
      <c r="J34" s="106"/>
      <c r="K34" s="106"/>
      <c r="L34" s="106"/>
    </row>
    <row r="35" spans="1:24" ht="20.100000000000001" customHeight="1">
      <c r="A35" s="5" t="s">
        <v>27</v>
      </c>
      <c r="B35" s="51">
        <f>'Ячейка 3Гео'!D38+'Ячейка 26Гео '!D38+'Ячейка 1 РП18'!D38+'Ячейка 13 РП18 '!D38</f>
        <v>117.89999999959946</v>
      </c>
      <c r="C35" s="27"/>
      <c r="D35" s="133">
        <f>'Ячейка 3Гео'!H38+'Ячейка 26Гео '!H38+'Ячейка 1 РП18'!H38+'Ячейка 13 РП18 '!H38</f>
        <v>76.440000000457076</v>
      </c>
      <c r="E35" s="133"/>
      <c r="F35" s="132">
        <f t="shared" si="0"/>
        <v>0.64834605598572315</v>
      </c>
      <c r="G35" s="132"/>
      <c r="H35" s="106"/>
      <c r="I35" s="106"/>
      <c r="J35" s="106"/>
      <c r="K35" s="106"/>
      <c r="L35" s="106"/>
    </row>
    <row r="36" spans="1:24" ht="20.100000000000001" customHeight="1">
      <c r="A36" s="5" t="s">
        <v>28</v>
      </c>
      <c r="B36" s="51">
        <f>'Ячейка 3Гео'!D39+'Ячейка 26Гео '!D39+'Ячейка 1 РП18'!D39+'Ячейка 13 РП18 '!D39</f>
        <v>114.12000000000262</v>
      </c>
      <c r="C36" s="27"/>
      <c r="D36" s="133">
        <f>'Ячейка 3Гео'!H39+'Ячейка 26Гео '!H39+'Ячейка 1 РП18'!H39+'Ячейка 13 РП18 '!H39</f>
        <v>93.599999999560168</v>
      </c>
      <c r="E36" s="133"/>
      <c r="F36" s="132">
        <f t="shared" si="0"/>
        <v>0.82018927444407663</v>
      </c>
      <c r="G36" s="132"/>
      <c r="H36" s="106"/>
      <c r="I36" s="106"/>
      <c r="J36" s="106"/>
      <c r="K36" s="106"/>
      <c r="L36" s="106"/>
    </row>
    <row r="37" spans="1:24" ht="20.100000000000001" customHeight="1">
      <c r="A37" s="5" t="s">
        <v>29</v>
      </c>
      <c r="B37" s="51">
        <f>'Ячейка 3Гео'!D40+'Ячейка 26Гео '!D40+'Ячейка 1 РП18'!D40+'Ячейка 13 РП18 '!D40</f>
        <v>127.55999999956202</v>
      </c>
      <c r="C37" s="27"/>
      <c r="D37" s="133">
        <f>'Ячейка 3Гео'!H40+'Ячейка 26Гео '!H40+'Ячейка 1 РП18'!H40+'Ячейка 13 РП18 '!H40</f>
        <v>90.720000000146683</v>
      </c>
      <c r="E37" s="133"/>
      <c r="F37" s="132">
        <f t="shared" si="0"/>
        <v>0.71119473189446669</v>
      </c>
      <c r="G37" s="132"/>
      <c r="H37" s="106"/>
      <c r="I37" s="106"/>
      <c r="J37" s="106"/>
      <c r="K37" s="106"/>
      <c r="L37" s="106"/>
    </row>
    <row r="38" spans="1:24" ht="20.100000000000001" customHeight="1">
      <c r="A38" s="5" t="s">
        <v>30</v>
      </c>
      <c r="B38" s="51">
        <f>'Ячейка 3Гео'!D41+'Ячейка 26Гео '!D41+'Ячейка 1 РП18'!D41+'Ячейка 13 РП18 '!D41</f>
        <v>118.68000000063148</v>
      </c>
      <c r="C38" s="27"/>
      <c r="D38" s="133">
        <f>'Ячейка 3Гео'!H41+'Ячейка 26Гео '!H41+'Ячейка 1 РП18'!H41+'Ячейка 13 РП18 '!H41</f>
        <v>87.119999999958964</v>
      </c>
      <c r="E38" s="133"/>
      <c r="F38" s="132">
        <f t="shared" si="0"/>
        <v>0.7340748230493378</v>
      </c>
      <c r="G38" s="132"/>
      <c r="H38" s="106"/>
      <c r="I38" s="106"/>
      <c r="J38" s="106"/>
      <c r="K38" s="106"/>
      <c r="L38" s="106"/>
    </row>
    <row r="39" spans="1:24" ht="20.100000000000001" customHeight="1">
      <c r="A39" s="5" t="s">
        <v>31</v>
      </c>
      <c r="B39" s="51">
        <f>'Ячейка 3Гео'!D42+'Ячейка 26Гео '!D42+'Ячейка 1 РП18'!D42+'Ячейка 13 РП18 '!D42</f>
        <v>107.03999999959706</v>
      </c>
      <c r="C39" s="27"/>
      <c r="D39" s="133">
        <f>'Ячейка 3Гео'!H42+'Ячейка 26Гео '!H42+'Ячейка 1 РП18'!H42+'Ячейка 13 РП18 '!H42</f>
        <v>80.580000000065866</v>
      </c>
      <c r="E39" s="133"/>
      <c r="F39" s="132">
        <f t="shared" si="0"/>
        <v>0.75280269058640881</v>
      </c>
      <c r="G39" s="132"/>
      <c r="H39" s="106"/>
      <c r="I39" s="106"/>
      <c r="J39" s="106"/>
      <c r="K39" s="106"/>
      <c r="L39" s="106"/>
      <c r="P39" s="57" t="s">
        <v>150</v>
      </c>
      <c r="Q39" s="57"/>
      <c r="R39" s="57"/>
      <c r="S39" s="56" t="s">
        <v>391</v>
      </c>
      <c r="T39" s="56"/>
      <c r="U39" s="56"/>
      <c r="V39" s="56"/>
      <c r="W39" s="56"/>
      <c r="X39" s="56"/>
    </row>
    <row r="40" spans="1:24" ht="20.100000000000001" customHeight="1">
      <c r="A40" s="5" t="s">
        <v>32</v>
      </c>
      <c r="B40" s="27">
        <f>SUM(B15:B39)</f>
        <v>3162.8999999998996</v>
      </c>
      <c r="C40" s="27"/>
      <c r="D40" s="133">
        <f>SUM(D15:E39)</f>
        <v>2116.4400000000683</v>
      </c>
      <c r="E40" s="133"/>
      <c r="F40" s="132">
        <f t="shared" si="0"/>
        <v>0.66914540453385674</v>
      </c>
      <c r="G40" s="132"/>
      <c r="H40" s="106"/>
      <c r="I40" s="106"/>
      <c r="J40" s="106"/>
      <c r="K40" s="106"/>
      <c r="L40" s="106"/>
    </row>
    <row r="41" spans="1:24" ht="20.100000000000001" customHeight="1">
      <c r="A41" s="5" t="s">
        <v>33</v>
      </c>
      <c r="B41" s="5"/>
      <c r="C41" s="5"/>
      <c r="D41" s="123"/>
      <c r="E41" s="123"/>
      <c r="F41" s="132"/>
      <c r="G41" s="132"/>
      <c r="H41" s="106"/>
      <c r="I41" s="106"/>
      <c r="J41" s="106"/>
      <c r="K41" s="106"/>
      <c r="L41" s="106"/>
    </row>
    <row r="42" spans="1:24" ht="20.100000000000001" customHeight="1">
      <c r="A42" s="131" t="s">
        <v>2</v>
      </c>
      <c r="B42" s="107" t="s">
        <v>37</v>
      </c>
      <c r="C42" s="108"/>
      <c r="D42" s="131"/>
      <c r="E42" s="107" t="s">
        <v>40</v>
      </c>
      <c r="F42" s="108"/>
      <c r="G42" s="108"/>
      <c r="H42" s="108"/>
      <c r="I42" s="131"/>
      <c r="J42" s="100" t="s">
        <v>5</v>
      </c>
      <c r="K42" s="112"/>
      <c r="L42" s="112"/>
    </row>
    <row r="43" spans="1:24" ht="36" customHeight="1">
      <c r="A43" s="131"/>
      <c r="B43" s="123" t="s">
        <v>38</v>
      </c>
      <c r="C43" s="123"/>
      <c r="D43" s="5" t="s">
        <v>39</v>
      </c>
      <c r="E43" s="107" t="s">
        <v>41</v>
      </c>
      <c r="F43" s="108"/>
      <c r="G43" s="131"/>
      <c r="H43" s="107" t="s">
        <v>42</v>
      </c>
      <c r="I43" s="131"/>
      <c r="J43" s="103"/>
      <c r="K43" s="111"/>
      <c r="L43" s="111"/>
    </row>
    <row r="44" spans="1:24" ht="20.100000000000001" customHeight="1">
      <c r="A44" s="4" t="s">
        <v>153</v>
      </c>
      <c r="B44" s="128">
        <f>SUM(B24:B26)</f>
        <v>465.00000000025921</v>
      </c>
      <c r="C44" s="129"/>
      <c r="D44" s="27">
        <f>SUM(D24:E26)</f>
        <v>259.50000000061664</v>
      </c>
      <c r="E44" s="128">
        <f>B44/3</f>
        <v>155.0000000000864</v>
      </c>
      <c r="F44" s="130"/>
      <c r="G44" s="129"/>
      <c r="H44" s="128">
        <f>D44/3</f>
        <v>86.500000000205546</v>
      </c>
      <c r="I44" s="129"/>
      <c r="J44" s="125">
        <f>H44/E44</f>
        <v>0.55806451613004726</v>
      </c>
      <c r="K44" s="126"/>
      <c r="L44" s="126"/>
    </row>
    <row r="45" spans="1:24" ht="20.100000000000001" customHeight="1">
      <c r="A45" s="4" t="s">
        <v>43</v>
      </c>
      <c r="B45" s="128">
        <f>SUM(B33:B36)</f>
        <v>484.56000000012409</v>
      </c>
      <c r="C45" s="129"/>
      <c r="D45" s="27">
        <f>SUM(D33:E36)</f>
        <v>324.30000000003929</v>
      </c>
      <c r="E45" s="128">
        <f>B45/4</f>
        <v>121.14000000003102</v>
      </c>
      <c r="F45" s="130"/>
      <c r="G45" s="129"/>
      <c r="H45" s="128">
        <f>D45/4</f>
        <v>81.075000000009823</v>
      </c>
      <c r="I45" s="129"/>
      <c r="J45" s="125">
        <f>H45/E45</f>
        <v>0.66926696384339657</v>
      </c>
      <c r="K45" s="126"/>
      <c r="L45" s="126"/>
    </row>
    <row r="46" spans="1:24" ht="20.100000000000001" customHeight="1">
      <c r="A46" s="4" t="s">
        <v>44</v>
      </c>
      <c r="B46" s="128">
        <f>SUM(B16:B39)</f>
        <v>3162.8999999998996</v>
      </c>
      <c r="C46" s="129"/>
      <c r="D46" s="27">
        <f>SUM(D16:E39)</f>
        <v>2116.4400000000683</v>
      </c>
      <c r="E46" s="128">
        <f>B46/24</f>
        <v>131.78749999999582</v>
      </c>
      <c r="F46" s="130"/>
      <c r="G46" s="129"/>
      <c r="H46" s="128">
        <f>D46/24</f>
        <v>88.185000000002844</v>
      </c>
      <c r="I46" s="129"/>
      <c r="J46" s="125">
        <f>H46/E46</f>
        <v>0.66914540453385674</v>
      </c>
      <c r="K46" s="126"/>
      <c r="L46" s="126"/>
    </row>
    <row r="47" spans="1:24" ht="20.100000000000001" customHeight="1"/>
    <row r="48" spans="1:24" ht="20.100000000000001" customHeight="1"/>
    <row r="49" spans="3:9" ht="20.100000000000001" customHeight="1"/>
    <row r="50" spans="3:9" ht="20.100000000000001" customHeight="1">
      <c r="C50" s="91" t="s">
        <v>194</v>
      </c>
      <c r="D50" s="91"/>
      <c r="E50" s="91"/>
      <c r="F50" s="91"/>
      <c r="G50" s="91"/>
      <c r="H50" s="91"/>
      <c r="I50" s="91"/>
    </row>
    <row r="51" spans="3:9" ht="20.100000000000001" customHeight="1"/>
  </sheetData>
  <mergeCells count="189">
    <mergeCell ref="V8:W8"/>
    <mergeCell ref="V9:W9"/>
    <mergeCell ref="V10:W10"/>
    <mergeCell ref="V11:W11"/>
    <mergeCell ref="V4:W4"/>
    <mergeCell ref="V5:W5"/>
    <mergeCell ref="V6:W6"/>
    <mergeCell ref="V7:W7"/>
    <mergeCell ref="S39:X39"/>
    <mergeCell ref="U14:U18"/>
    <mergeCell ref="V14:V18"/>
    <mergeCell ref="W14:W18"/>
    <mergeCell ref="O30:V30"/>
    <mergeCell ref="O31:V31"/>
    <mergeCell ref="O32:V32"/>
    <mergeCell ref="O33:V33"/>
    <mergeCell ref="P39:R39"/>
    <mergeCell ref="N24:V24"/>
    <mergeCell ref="O25:V25"/>
    <mergeCell ref="O26:V26"/>
    <mergeCell ref="O27:V27"/>
    <mergeCell ref="O28:V28"/>
    <mergeCell ref="O29:V29"/>
    <mergeCell ref="U1:W1"/>
    <mergeCell ref="R2:R3"/>
    <mergeCell ref="U2:U3"/>
    <mergeCell ref="S2:T2"/>
    <mergeCell ref="S3:T3"/>
    <mergeCell ref="V2:W2"/>
    <mergeCell ref="V3:W3"/>
    <mergeCell ref="F5:H6"/>
    <mergeCell ref="I5:L6"/>
    <mergeCell ref="F3:H4"/>
    <mergeCell ref="I3:L4"/>
    <mergeCell ref="F1:H2"/>
    <mergeCell ref="I1:L2"/>
    <mergeCell ref="S4:T4"/>
    <mergeCell ref="S5:T5"/>
    <mergeCell ref="S6:T6"/>
    <mergeCell ref="N4:Q4"/>
    <mergeCell ref="N5:Q5"/>
    <mergeCell ref="N6:Q6"/>
    <mergeCell ref="N7:Q7"/>
    <mergeCell ref="N8:Q8"/>
    <mergeCell ref="N9:Q9"/>
    <mergeCell ref="M1:M3"/>
    <mergeCell ref="N1:Q3"/>
    <mergeCell ref="R1:T1"/>
    <mergeCell ref="S8:T8"/>
    <mergeCell ref="S9:T9"/>
    <mergeCell ref="S7:T7"/>
    <mergeCell ref="N19:Q19"/>
    <mergeCell ref="N20:Q20"/>
    <mergeCell ref="N21:Q21"/>
    <mergeCell ref="N10:Q10"/>
    <mergeCell ref="N11:Q11"/>
    <mergeCell ref="M14:M18"/>
    <mergeCell ref="N14:Q18"/>
    <mergeCell ref="R14:T14"/>
    <mergeCell ref="T15:T18"/>
    <mergeCell ref="S15:S18"/>
    <mergeCell ref="R15:R18"/>
    <mergeCell ref="S10:T10"/>
    <mergeCell ref="S11:T11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D36:E36"/>
    <mergeCell ref="D38:E38"/>
    <mergeCell ref="D39:E39"/>
    <mergeCell ref="D37:E37"/>
    <mergeCell ref="D29:E29"/>
    <mergeCell ref="F21:G21"/>
    <mergeCell ref="D21:E21"/>
    <mergeCell ref="A7:L7"/>
    <mergeCell ref="F12:G13"/>
    <mergeCell ref="H12:L12"/>
    <mergeCell ref="I9:L9"/>
    <mergeCell ref="F9:H9"/>
    <mergeCell ref="A9:E9"/>
    <mergeCell ref="A8:L8"/>
    <mergeCell ref="D25:E25"/>
    <mergeCell ref="D26:E26"/>
    <mergeCell ref="D14:E14"/>
    <mergeCell ref="D15:E15"/>
    <mergeCell ref="D16:E16"/>
    <mergeCell ref="D17:E17"/>
    <mergeCell ref="D18:E18"/>
    <mergeCell ref="D19:E19"/>
    <mergeCell ref="D20:E20"/>
    <mergeCell ref="F14:G14"/>
    <mergeCell ref="F15:G15"/>
    <mergeCell ref="F16:G16"/>
    <mergeCell ref="F17:G17"/>
    <mergeCell ref="F22:G22"/>
    <mergeCell ref="F18:G18"/>
    <mergeCell ref="F19:G19"/>
    <mergeCell ref="F20:G20"/>
    <mergeCell ref="F34:G34"/>
    <mergeCell ref="D30:E30"/>
    <mergeCell ref="D31:E31"/>
    <mergeCell ref="D32:E32"/>
    <mergeCell ref="D23:E23"/>
    <mergeCell ref="D24:E24"/>
    <mergeCell ref="F23:G23"/>
    <mergeCell ref="F24:G24"/>
    <mergeCell ref="F25:G25"/>
    <mergeCell ref="F26:G26"/>
    <mergeCell ref="F33:G33"/>
    <mergeCell ref="H23:L23"/>
    <mergeCell ref="H24:L24"/>
    <mergeCell ref="H25:L25"/>
    <mergeCell ref="H26:L26"/>
    <mergeCell ref="H27:L27"/>
    <mergeCell ref="H28:L28"/>
    <mergeCell ref="D22:E22"/>
    <mergeCell ref="F27:G27"/>
    <mergeCell ref="F28:G28"/>
    <mergeCell ref="H14:L14"/>
    <mergeCell ref="H15:L15"/>
    <mergeCell ref="H16:L16"/>
    <mergeCell ref="H17:L17"/>
    <mergeCell ref="H18:L18"/>
    <mergeCell ref="H19:L19"/>
    <mergeCell ref="H20:L20"/>
    <mergeCell ref="H21:L21"/>
    <mergeCell ref="H22:L22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  <mergeCell ref="F35:G35"/>
    <mergeCell ref="F36:G36"/>
    <mergeCell ref="F37:G37"/>
    <mergeCell ref="F38:G38"/>
    <mergeCell ref="F39:G39"/>
    <mergeCell ref="F40:G40"/>
    <mergeCell ref="F29:G29"/>
    <mergeCell ref="F30:G30"/>
    <mergeCell ref="F31:G31"/>
    <mergeCell ref="F32:G32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B45:C45"/>
    <mergeCell ref="J44:L44"/>
    <mergeCell ref="J45:L45"/>
    <mergeCell ref="D41:E41"/>
    <mergeCell ref="E45:G45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4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30.xml><?xml version="1.0" encoding="utf-8"?>
<worksheet xmlns="http://schemas.openxmlformats.org/spreadsheetml/2006/main" xmlns:r="http://schemas.openxmlformats.org/officeDocument/2006/relationships">
  <sheetPr codeName="Лист29"/>
  <dimension ref="A1:X51"/>
  <sheetViews>
    <sheetView view="pageBreakPreview" zoomScale="75" zoomScaleNormal="100" zoomScaleSheetLayoutView="75" workbookViewId="0">
      <selection activeCell="B16" sqref="B16"/>
    </sheetView>
  </sheetViews>
  <sheetFormatPr defaultRowHeight="18.75"/>
  <cols>
    <col min="1" max="1" width="15.4257812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8.7109375" style="2" customWidth="1"/>
    <col min="13" max="13" width="8.42578125" style="2" customWidth="1"/>
    <col min="14" max="18" width="10.7109375" style="2" customWidth="1"/>
    <col min="19" max="19" width="11.85546875" style="2" customWidth="1"/>
    <col min="20" max="20" width="15.7109375" style="2" customWidth="1"/>
    <col min="21" max="21" width="12.42578125" style="2" customWidth="1"/>
    <col min="22" max="22" width="12.7109375" style="2" customWidth="1"/>
    <col min="23" max="23" width="14.7109375" style="2" customWidth="1"/>
    <col min="24" max="28" width="10.28515625" style="2" customWidth="1"/>
    <col min="29" max="16384" width="9.140625" style="2"/>
  </cols>
  <sheetData>
    <row r="1" spans="1:23" ht="26.25">
      <c r="A1" s="59" t="s">
        <v>161</v>
      </c>
      <c r="B1" s="59"/>
      <c r="C1" s="59"/>
      <c r="D1" s="59"/>
      <c r="E1" s="59"/>
      <c r="F1" s="63" t="s">
        <v>154</v>
      </c>
      <c r="G1" s="63"/>
      <c r="H1" s="63"/>
      <c r="I1" s="59" t="s">
        <v>163</v>
      </c>
      <c r="J1" s="59"/>
      <c r="K1" s="59"/>
      <c r="L1" s="59"/>
      <c r="M1" s="104" t="s">
        <v>115</v>
      </c>
      <c r="N1" s="98" t="s">
        <v>116</v>
      </c>
      <c r="O1" s="98"/>
      <c r="P1" s="98"/>
      <c r="Q1" s="98"/>
      <c r="R1" s="123" t="s">
        <v>117</v>
      </c>
      <c r="S1" s="123"/>
      <c r="T1" s="123"/>
      <c r="U1" s="123" t="s">
        <v>118</v>
      </c>
      <c r="V1" s="123"/>
      <c r="W1" s="107"/>
    </row>
    <row r="2" spans="1:23" ht="18.75" customHeight="1">
      <c r="A2" s="61" t="s">
        <v>45</v>
      </c>
      <c r="B2" s="61"/>
      <c r="C2" s="61"/>
      <c r="D2" s="61"/>
      <c r="E2" s="61"/>
      <c r="F2" s="63"/>
      <c r="G2" s="63"/>
      <c r="H2" s="63"/>
      <c r="I2" s="59"/>
      <c r="J2" s="59"/>
      <c r="K2" s="59"/>
      <c r="L2" s="59"/>
      <c r="M2" s="95"/>
      <c r="N2" s="99"/>
      <c r="O2" s="99"/>
      <c r="P2" s="99"/>
      <c r="Q2" s="99"/>
      <c r="R2" s="99" t="s">
        <v>119</v>
      </c>
      <c r="S2" s="99" t="s">
        <v>120</v>
      </c>
      <c r="T2" s="99"/>
      <c r="U2" s="99" t="s">
        <v>119</v>
      </c>
      <c r="V2" s="99" t="s">
        <v>120</v>
      </c>
      <c r="W2" s="101"/>
    </row>
    <row r="3" spans="1:23" ht="21.75" customHeight="1">
      <c r="A3" s="59" t="s">
        <v>162</v>
      </c>
      <c r="B3" s="59"/>
      <c r="C3" s="59"/>
      <c r="D3" s="59"/>
      <c r="E3" s="59"/>
      <c r="F3" s="63" t="s">
        <v>155</v>
      </c>
      <c r="G3" s="63"/>
      <c r="H3" s="63"/>
      <c r="I3" s="59" t="s">
        <v>237</v>
      </c>
      <c r="J3" s="59"/>
      <c r="K3" s="59"/>
      <c r="L3" s="59"/>
      <c r="M3" s="96"/>
      <c r="N3" s="102"/>
      <c r="O3" s="102"/>
      <c r="P3" s="102"/>
      <c r="Q3" s="102"/>
      <c r="R3" s="102"/>
      <c r="S3" s="102" t="s">
        <v>121</v>
      </c>
      <c r="T3" s="102"/>
      <c r="U3" s="102"/>
      <c r="V3" s="102" t="s">
        <v>121</v>
      </c>
      <c r="W3" s="103"/>
    </row>
    <row r="4" spans="1:23" ht="29.25" customHeight="1">
      <c r="A4" s="61" t="s">
        <v>46</v>
      </c>
      <c r="B4" s="61"/>
      <c r="C4" s="61"/>
      <c r="D4" s="61"/>
      <c r="E4" s="61"/>
      <c r="F4" s="63"/>
      <c r="G4" s="63"/>
      <c r="H4" s="63"/>
      <c r="I4" s="59"/>
      <c r="J4" s="59"/>
      <c r="K4" s="59"/>
      <c r="L4" s="59"/>
      <c r="M4" s="10"/>
      <c r="N4" s="136" t="s">
        <v>122</v>
      </c>
      <c r="O4" s="136"/>
      <c r="P4" s="136"/>
      <c r="Q4" s="136"/>
      <c r="R4" s="8"/>
      <c r="S4" s="89"/>
      <c r="T4" s="105"/>
      <c r="U4" s="8"/>
      <c r="V4" s="89"/>
      <c r="W4" s="90"/>
    </row>
    <row r="5" spans="1:23" ht="18" customHeight="1">
      <c r="A5" s="127" t="s">
        <v>184</v>
      </c>
      <c r="B5" s="127"/>
      <c r="C5" s="127"/>
      <c r="D5" s="127"/>
      <c r="E5" s="127"/>
      <c r="F5" s="63" t="s">
        <v>156</v>
      </c>
      <c r="G5" s="63"/>
      <c r="H5" s="63"/>
      <c r="I5" s="59" t="s">
        <v>163</v>
      </c>
      <c r="J5" s="59"/>
      <c r="K5" s="59"/>
      <c r="L5" s="59"/>
      <c r="M5" s="10"/>
      <c r="N5" s="137" t="s">
        <v>123</v>
      </c>
      <c r="O5" s="137"/>
      <c r="P5" s="137"/>
      <c r="Q5" s="137"/>
      <c r="R5" s="8">
        <v>4</v>
      </c>
      <c r="S5" s="89">
        <v>110000</v>
      </c>
      <c r="T5" s="105"/>
      <c r="U5" s="8"/>
      <c r="V5" s="89"/>
      <c r="W5" s="90"/>
    </row>
    <row r="6" spans="1:23">
      <c r="A6" s="61" t="s">
        <v>47</v>
      </c>
      <c r="B6" s="61"/>
      <c r="C6" s="61"/>
      <c r="D6" s="61"/>
      <c r="E6" s="61"/>
      <c r="F6" s="63"/>
      <c r="G6" s="63"/>
      <c r="H6" s="63"/>
      <c r="I6" s="59"/>
      <c r="J6" s="59"/>
      <c r="K6" s="59"/>
      <c r="L6" s="59"/>
      <c r="M6" s="10"/>
      <c r="N6" s="137" t="s">
        <v>124</v>
      </c>
      <c r="O6" s="137"/>
      <c r="P6" s="137"/>
      <c r="Q6" s="137"/>
      <c r="R6" s="8">
        <v>73</v>
      </c>
      <c r="S6" s="89">
        <v>57450</v>
      </c>
      <c r="T6" s="105"/>
      <c r="U6" s="8">
        <v>16</v>
      </c>
      <c r="V6" s="89">
        <v>14750</v>
      </c>
      <c r="W6" s="90"/>
    </row>
    <row r="7" spans="1:23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10"/>
      <c r="N7" s="139" t="s">
        <v>125</v>
      </c>
      <c r="O7" s="139"/>
      <c r="P7" s="139"/>
      <c r="Q7" s="139"/>
      <c r="R7" s="8"/>
      <c r="S7" s="89"/>
      <c r="T7" s="105"/>
      <c r="U7" s="8"/>
      <c r="V7" s="89"/>
      <c r="W7" s="90"/>
    </row>
    <row r="8" spans="1:23" ht="22.5">
      <c r="A8" s="94" t="s">
        <v>0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10"/>
      <c r="N8" s="137" t="s">
        <v>126</v>
      </c>
      <c r="O8" s="137"/>
      <c r="P8" s="137"/>
      <c r="Q8" s="137"/>
      <c r="R8" s="8">
        <v>5</v>
      </c>
      <c r="S8" s="89">
        <v>1940</v>
      </c>
      <c r="T8" s="105"/>
      <c r="U8" s="8">
        <v>3</v>
      </c>
      <c r="V8" s="89">
        <v>1220</v>
      </c>
      <c r="W8" s="90"/>
    </row>
    <row r="9" spans="1:23">
      <c r="A9" s="135" t="s">
        <v>152</v>
      </c>
      <c r="B9" s="135"/>
      <c r="C9" s="135"/>
      <c r="D9" s="135"/>
      <c r="E9" s="135"/>
      <c r="F9" s="81" t="s">
        <v>385</v>
      </c>
      <c r="G9" s="81"/>
      <c r="H9" s="81"/>
      <c r="I9" s="134" t="s">
        <v>384</v>
      </c>
      <c r="J9" s="134"/>
      <c r="K9" s="134"/>
      <c r="L9" s="134"/>
      <c r="M9" s="10"/>
      <c r="N9" s="137" t="s">
        <v>127</v>
      </c>
      <c r="O9" s="137"/>
      <c r="P9" s="137"/>
      <c r="Q9" s="137"/>
      <c r="R9" s="8">
        <v>3</v>
      </c>
      <c r="S9" s="89">
        <v>1890</v>
      </c>
      <c r="T9" s="105"/>
      <c r="U9" s="8">
        <v>5</v>
      </c>
      <c r="V9" s="89">
        <v>3150</v>
      </c>
      <c r="W9" s="90"/>
    </row>
    <row r="10" spans="1:23" ht="19.5" customHeight="1">
      <c r="A10" s="135" t="s">
        <v>151</v>
      </c>
      <c r="B10" s="135"/>
      <c r="C10" s="81" t="s">
        <v>164</v>
      </c>
      <c r="D10" s="81"/>
      <c r="E10" s="81"/>
      <c r="F10" s="81"/>
      <c r="G10" s="81"/>
      <c r="H10" s="81"/>
      <c r="I10" s="3"/>
      <c r="J10" s="3"/>
      <c r="K10" s="3"/>
      <c r="L10" s="3"/>
      <c r="M10" s="10"/>
      <c r="N10" s="139" t="s">
        <v>128</v>
      </c>
      <c r="O10" s="139"/>
      <c r="P10" s="139"/>
      <c r="Q10" s="139"/>
      <c r="R10" s="8"/>
      <c r="S10" s="89"/>
      <c r="T10" s="105"/>
      <c r="U10" s="8"/>
      <c r="V10" s="89"/>
      <c r="W10" s="90"/>
    </row>
    <row r="11" spans="1:23">
      <c r="A11" s="124" t="s">
        <v>1</v>
      </c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0"/>
      <c r="N11" s="140" t="s">
        <v>129</v>
      </c>
      <c r="O11" s="140"/>
      <c r="P11" s="140"/>
      <c r="Q11" s="140"/>
      <c r="R11" s="8">
        <v>6</v>
      </c>
      <c r="S11" s="89">
        <v>1125</v>
      </c>
      <c r="T11" s="105"/>
      <c r="U11" s="8">
        <v>1</v>
      </c>
      <c r="V11" s="89">
        <v>200</v>
      </c>
      <c r="W11" s="90"/>
    </row>
    <row r="12" spans="1:23" ht="20.100000000000001" customHeight="1">
      <c r="A12" s="123" t="s">
        <v>2</v>
      </c>
      <c r="B12" s="123" t="s">
        <v>36</v>
      </c>
      <c r="C12" s="123"/>
      <c r="D12" s="123"/>
      <c r="E12" s="123"/>
      <c r="F12" s="123" t="s">
        <v>5</v>
      </c>
      <c r="G12" s="123"/>
      <c r="H12" s="123" t="s">
        <v>34</v>
      </c>
      <c r="I12" s="123"/>
      <c r="J12" s="123"/>
      <c r="K12" s="123"/>
      <c r="L12" s="123"/>
      <c r="N12" s="1"/>
      <c r="O12" s="1"/>
      <c r="P12" s="1"/>
      <c r="Q12" s="1"/>
    </row>
    <row r="13" spans="1:23" ht="20.100000000000001" customHeight="1">
      <c r="A13" s="123"/>
      <c r="B13" s="123" t="s">
        <v>3</v>
      </c>
      <c r="C13" s="123"/>
      <c r="D13" s="123" t="s">
        <v>4</v>
      </c>
      <c r="E13" s="123"/>
      <c r="F13" s="123"/>
      <c r="G13" s="123"/>
      <c r="H13" s="123" t="s">
        <v>35</v>
      </c>
      <c r="I13" s="123"/>
      <c r="J13" s="123"/>
      <c r="K13" s="123"/>
      <c r="L13" s="123"/>
    </row>
    <row r="14" spans="1:23" ht="20.100000000000001" customHeight="1">
      <c r="A14" s="5" t="s">
        <v>6</v>
      </c>
      <c r="B14" s="8"/>
      <c r="C14" s="5"/>
      <c r="D14" s="106"/>
      <c r="E14" s="106"/>
      <c r="F14" s="132" t="str">
        <f t="shared" ref="F14:F40" si="0">IF(OR(B14="",D14=""),"",IF(ISERROR(D14/B14),IF(D14=0,0,""),D14/B14))</f>
        <v/>
      </c>
      <c r="G14" s="132"/>
      <c r="H14" s="106"/>
      <c r="I14" s="106"/>
      <c r="J14" s="106"/>
      <c r="K14" s="106"/>
      <c r="L14" s="106"/>
      <c r="M14" s="131" t="s">
        <v>115</v>
      </c>
      <c r="N14" s="123" t="s">
        <v>116</v>
      </c>
      <c r="O14" s="123"/>
      <c r="P14" s="123"/>
      <c r="Q14" s="123"/>
      <c r="R14" s="123" t="s">
        <v>117</v>
      </c>
      <c r="S14" s="123"/>
      <c r="T14" s="123"/>
      <c r="U14" s="123" t="s">
        <v>130</v>
      </c>
      <c r="V14" s="123" t="s">
        <v>69</v>
      </c>
      <c r="W14" s="107" t="s">
        <v>131</v>
      </c>
    </row>
    <row r="15" spans="1:23" ht="20.100000000000001" customHeight="1">
      <c r="A15" s="5" t="s">
        <v>7</v>
      </c>
      <c r="B15" s="5"/>
      <c r="C15" s="5"/>
      <c r="D15" s="123"/>
      <c r="E15" s="123"/>
      <c r="F15" s="132" t="str">
        <f t="shared" si="0"/>
        <v/>
      </c>
      <c r="G15" s="132"/>
      <c r="H15" s="106"/>
      <c r="I15" s="106"/>
      <c r="J15" s="106"/>
      <c r="K15" s="106"/>
      <c r="L15" s="106"/>
      <c r="M15" s="131"/>
      <c r="N15" s="123"/>
      <c r="O15" s="123"/>
      <c r="P15" s="123"/>
      <c r="Q15" s="123"/>
      <c r="R15" s="141" t="s">
        <v>130</v>
      </c>
      <c r="S15" s="123" t="s">
        <v>69</v>
      </c>
      <c r="T15" s="123" t="s">
        <v>131</v>
      </c>
      <c r="U15" s="123"/>
      <c r="V15" s="123"/>
      <c r="W15" s="107"/>
    </row>
    <row r="16" spans="1:23" ht="20.100000000000001" customHeight="1">
      <c r="A16" s="5" t="s">
        <v>8</v>
      </c>
      <c r="B16" s="27">
        <f>'Всего с субабонентами'!B16-Субабоненты!B16</f>
        <v>7344.659999996702</v>
      </c>
      <c r="C16" s="27"/>
      <c r="D16" s="133">
        <f>'Всего с субабонентами'!D16:E16-Субабоненты!D16</f>
        <v>4156.5600000019003</v>
      </c>
      <c r="E16" s="133"/>
      <c r="F16" s="132">
        <f t="shared" si="0"/>
        <v>0.56592953247716937</v>
      </c>
      <c r="G16" s="132"/>
      <c r="H16" s="106"/>
      <c r="I16" s="106"/>
      <c r="J16" s="106"/>
      <c r="K16" s="106"/>
      <c r="L16" s="106"/>
      <c r="M16" s="131"/>
      <c r="N16" s="123"/>
      <c r="O16" s="123"/>
      <c r="P16" s="123"/>
      <c r="Q16" s="123"/>
      <c r="R16" s="141"/>
      <c r="S16" s="123"/>
      <c r="T16" s="123"/>
      <c r="U16" s="123"/>
      <c r="V16" s="123"/>
      <c r="W16" s="107"/>
    </row>
    <row r="17" spans="1:23" ht="20.100000000000001" customHeight="1">
      <c r="A17" s="5" t="s">
        <v>9</v>
      </c>
      <c r="B17" s="27">
        <f>'Всего с субабонентами'!B17-Субабоненты!B17</f>
        <v>7266.3599999937105</v>
      </c>
      <c r="C17" s="27"/>
      <c r="D17" s="133">
        <f>'Всего с субабонентами'!D17:E17-Субабоненты!D17</f>
        <v>4096.799999990435</v>
      </c>
      <c r="E17" s="133"/>
      <c r="F17" s="132">
        <f t="shared" si="0"/>
        <v>0.56380361005977975</v>
      </c>
      <c r="G17" s="132"/>
      <c r="H17" s="106"/>
      <c r="I17" s="106"/>
      <c r="J17" s="106"/>
      <c r="K17" s="106"/>
      <c r="L17" s="106"/>
      <c r="M17" s="131"/>
      <c r="N17" s="123"/>
      <c r="O17" s="123"/>
      <c r="P17" s="123"/>
      <c r="Q17" s="123"/>
      <c r="R17" s="141"/>
      <c r="S17" s="123"/>
      <c r="T17" s="123"/>
      <c r="U17" s="123"/>
      <c r="V17" s="123"/>
      <c r="W17" s="107"/>
    </row>
    <row r="18" spans="1:23" ht="20.100000000000001" customHeight="1">
      <c r="A18" s="5" t="s">
        <v>10</v>
      </c>
      <c r="B18" s="27">
        <f>'Всего с субабонентами'!B18-Субабоненты!B18</f>
        <v>7254.9000000091382</v>
      </c>
      <c r="C18" s="27"/>
      <c r="D18" s="133">
        <f>'Всего с субабонентами'!D18:E18-Субабоненты!D18</f>
        <v>4066.8600000103652</v>
      </c>
      <c r="E18" s="133"/>
      <c r="F18" s="132">
        <f t="shared" si="0"/>
        <v>0.56056734069459846</v>
      </c>
      <c r="G18" s="132"/>
      <c r="H18" s="106"/>
      <c r="I18" s="106"/>
      <c r="J18" s="106"/>
      <c r="K18" s="106"/>
      <c r="L18" s="106"/>
      <c r="M18" s="131"/>
      <c r="N18" s="123"/>
      <c r="O18" s="123"/>
      <c r="P18" s="123"/>
      <c r="Q18" s="123"/>
      <c r="R18" s="141"/>
      <c r="S18" s="123"/>
      <c r="T18" s="123"/>
      <c r="U18" s="123"/>
      <c r="V18" s="123"/>
      <c r="W18" s="107"/>
    </row>
    <row r="19" spans="1:23" ht="20.100000000000001" customHeight="1">
      <c r="A19" s="5" t="s">
        <v>11</v>
      </c>
      <c r="B19" s="27">
        <f>'Всего с субабонентами'!B19-Субабоненты!B19</f>
        <v>7340.4599999814536</v>
      </c>
      <c r="C19" s="27"/>
      <c r="D19" s="133">
        <f>'Всего с субабонентами'!D19:E19-Субабоненты!D19</f>
        <v>4141.3800000073479</v>
      </c>
      <c r="E19" s="133"/>
      <c r="F19" s="132">
        <f t="shared" si="0"/>
        <v>0.56418535078425758</v>
      </c>
      <c r="G19" s="132"/>
      <c r="H19" s="106"/>
      <c r="I19" s="106"/>
      <c r="J19" s="106"/>
      <c r="K19" s="106"/>
      <c r="L19" s="106"/>
      <c r="M19" s="10"/>
      <c r="N19" s="136" t="s">
        <v>132</v>
      </c>
      <c r="O19" s="136"/>
      <c r="P19" s="136"/>
      <c r="Q19" s="136"/>
      <c r="R19" s="8"/>
      <c r="S19" s="8"/>
      <c r="T19" s="8"/>
      <c r="U19" s="8"/>
      <c r="V19" s="8"/>
      <c r="W19" s="9"/>
    </row>
    <row r="20" spans="1:23" ht="20.100000000000001" customHeight="1">
      <c r="A20" s="5" t="s">
        <v>12</v>
      </c>
      <c r="B20" s="27">
        <f>'Всего с субабонентами'!B20-Субабоненты!B20</f>
        <v>7297.5000000266164</v>
      </c>
      <c r="C20" s="27"/>
      <c r="D20" s="133">
        <f>'Всего с субабонентами'!D20:E20-Субабоненты!D20</f>
        <v>4107.9599999894072</v>
      </c>
      <c r="E20" s="133"/>
      <c r="F20" s="132">
        <f t="shared" si="0"/>
        <v>0.56292702980122289</v>
      </c>
      <c r="G20" s="132"/>
      <c r="H20" s="106"/>
      <c r="I20" s="106"/>
      <c r="J20" s="106"/>
      <c r="K20" s="106"/>
      <c r="L20" s="106"/>
      <c r="M20" s="10"/>
      <c r="N20" s="137" t="s">
        <v>133</v>
      </c>
      <c r="O20" s="137"/>
      <c r="P20" s="137"/>
      <c r="Q20" s="137"/>
      <c r="R20" s="8"/>
      <c r="S20" s="8">
        <v>1740</v>
      </c>
      <c r="T20" s="8"/>
      <c r="U20" s="8"/>
      <c r="V20" s="8">
        <v>500</v>
      </c>
      <c r="W20" s="9"/>
    </row>
    <row r="21" spans="1:23" ht="20.100000000000001" customHeight="1">
      <c r="A21" s="5" t="s">
        <v>13</v>
      </c>
      <c r="B21" s="27">
        <f>'Всего с субабонентами'!B21-Субабоненты!B21</f>
        <v>7303.2599999946115</v>
      </c>
      <c r="C21" s="27"/>
      <c r="D21" s="133">
        <f>'Всего с субабонентами'!D21:E21-Субабоненты!D21</f>
        <v>4008.4200000071633</v>
      </c>
      <c r="E21" s="133"/>
      <c r="F21" s="132">
        <f t="shared" si="0"/>
        <v>0.54885352568717538</v>
      </c>
      <c r="G21" s="132"/>
      <c r="H21" s="106"/>
      <c r="I21" s="106"/>
      <c r="J21" s="106"/>
      <c r="K21" s="106"/>
      <c r="L21" s="106"/>
      <c r="M21" s="10"/>
      <c r="N21" s="138" t="s">
        <v>134</v>
      </c>
      <c r="O21" s="138"/>
      <c r="P21" s="138"/>
      <c r="Q21" s="138"/>
      <c r="R21" s="8"/>
      <c r="S21" s="8">
        <v>3100</v>
      </c>
      <c r="T21" s="8"/>
      <c r="U21" s="8"/>
      <c r="V21" s="8">
        <v>1470</v>
      </c>
      <c r="W21" s="9"/>
    </row>
    <row r="22" spans="1:23" ht="20.100000000000001" customHeight="1">
      <c r="A22" s="5" t="s">
        <v>14</v>
      </c>
      <c r="B22" s="27">
        <f>'Всего с субабонентами'!B22-Субабоненты!B22</f>
        <v>7406.6399999951955</v>
      </c>
      <c r="C22" s="27"/>
      <c r="D22" s="133">
        <f>'Всего с субабонентами'!D22:E22-Субабоненты!D22</f>
        <v>3979.6199999877899</v>
      </c>
      <c r="E22" s="133"/>
      <c r="F22" s="132">
        <f t="shared" si="0"/>
        <v>0.53730436473088627</v>
      </c>
      <c r="G22" s="132"/>
      <c r="H22" s="106"/>
      <c r="I22" s="106"/>
      <c r="J22" s="106"/>
      <c r="K22" s="106"/>
      <c r="L22" s="106"/>
    </row>
    <row r="23" spans="1:23" ht="20.100000000000001" customHeight="1">
      <c r="A23" s="5" t="s">
        <v>15</v>
      </c>
      <c r="B23" s="27">
        <f>'Всего с субабонентами'!B23-Субабоненты!B23</f>
        <v>7548.4800000214591</v>
      </c>
      <c r="C23" s="27"/>
      <c r="D23" s="133">
        <f>'Всего с субабонентами'!D23:E23-Субабоненты!D23</f>
        <v>3972.1800000155781</v>
      </c>
      <c r="E23" s="133"/>
      <c r="F23" s="132">
        <f t="shared" si="0"/>
        <v>0.52622249777495411</v>
      </c>
      <c r="G23" s="132"/>
      <c r="H23" s="106"/>
      <c r="I23" s="106"/>
      <c r="J23" s="106"/>
      <c r="K23" s="106"/>
      <c r="L23" s="106"/>
    </row>
    <row r="24" spans="1:23" ht="20.100000000000001" customHeight="1">
      <c r="A24" s="5" t="s">
        <v>16</v>
      </c>
      <c r="B24" s="27">
        <f>'Всего с субабонентами'!B24-Субабоненты!B24</f>
        <v>7902.1799999899031</v>
      </c>
      <c r="C24" s="27"/>
      <c r="D24" s="133">
        <f>'Всего с субабонентами'!D24:E24-Субабоненты!D24</f>
        <v>4247.7600000094299</v>
      </c>
      <c r="E24" s="133"/>
      <c r="F24" s="132">
        <f t="shared" si="0"/>
        <v>0.53754280464566195</v>
      </c>
      <c r="G24" s="132"/>
      <c r="H24" s="106"/>
      <c r="I24" s="106"/>
      <c r="J24" s="106"/>
      <c r="K24" s="106"/>
      <c r="L24" s="106"/>
      <c r="N24" s="97" t="s">
        <v>135</v>
      </c>
      <c r="O24" s="97"/>
      <c r="P24" s="97"/>
      <c r="Q24" s="97"/>
      <c r="R24" s="97"/>
      <c r="S24" s="97"/>
      <c r="T24" s="97"/>
      <c r="U24" s="97"/>
      <c r="V24" s="97"/>
    </row>
    <row r="25" spans="1:23" ht="20.100000000000001" customHeight="1">
      <c r="A25" s="5" t="s">
        <v>17</v>
      </c>
      <c r="B25" s="27">
        <f>'Всего с субабонентами'!B25-Субабоненты!B25</f>
        <v>7942.3199999798953</v>
      </c>
      <c r="C25" s="27"/>
      <c r="D25" s="133">
        <f>'Всего с субабонентами'!D25:E25-Субабоненты!D25</f>
        <v>4180.2599999880385</v>
      </c>
      <c r="E25" s="133"/>
      <c r="F25" s="132">
        <f t="shared" si="0"/>
        <v>0.52632731997686066</v>
      </c>
      <c r="G25" s="132"/>
      <c r="H25" s="106"/>
      <c r="I25" s="106"/>
      <c r="J25" s="106"/>
      <c r="K25" s="106"/>
      <c r="L25" s="106"/>
      <c r="N25" s="21" t="s">
        <v>136</v>
      </c>
      <c r="O25" s="97" t="s">
        <v>137</v>
      </c>
      <c r="P25" s="97"/>
      <c r="Q25" s="97"/>
      <c r="R25" s="97"/>
      <c r="S25" s="97"/>
      <c r="T25" s="97"/>
      <c r="U25" s="97"/>
      <c r="V25" s="97"/>
    </row>
    <row r="26" spans="1:23" ht="20.100000000000001" customHeight="1">
      <c r="A26" s="5" t="s">
        <v>18</v>
      </c>
      <c r="B26" s="27">
        <f>'Всего с субабонентами'!B26-Субабоненты!B26</f>
        <v>8120.3400000017155</v>
      </c>
      <c r="C26" s="27"/>
      <c r="D26" s="133">
        <f>'Всего с субабонентами'!D26:E26-Субабоненты!D26</f>
        <v>4292.2800000056213</v>
      </c>
      <c r="E26" s="133"/>
      <c r="F26" s="132">
        <f t="shared" si="0"/>
        <v>0.52858377851231775</v>
      </c>
      <c r="G26" s="132"/>
      <c r="H26" s="106"/>
      <c r="I26" s="106"/>
      <c r="J26" s="106"/>
      <c r="K26" s="106"/>
      <c r="L26" s="106"/>
      <c r="N26" s="21" t="s">
        <v>138</v>
      </c>
      <c r="O26" s="97" t="s">
        <v>188</v>
      </c>
      <c r="P26" s="97"/>
      <c r="Q26" s="97"/>
      <c r="R26" s="97"/>
      <c r="S26" s="97"/>
      <c r="T26" s="97"/>
      <c r="U26" s="97"/>
      <c r="V26" s="97"/>
    </row>
    <row r="27" spans="1:23" ht="20.100000000000001" customHeight="1">
      <c r="A27" s="5" t="s">
        <v>19</v>
      </c>
      <c r="B27" s="27">
        <f>'Всего с субабонентами'!B27-Субабоненты!B27</f>
        <v>8007.0600000197828</v>
      </c>
      <c r="C27" s="27"/>
      <c r="D27" s="133">
        <f>'Всего с субабонентами'!D27:E27-Субабоненты!D27</f>
        <v>4229.2799999831004</v>
      </c>
      <c r="E27" s="133"/>
      <c r="F27" s="132">
        <f t="shared" si="0"/>
        <v>0.52819386890727071</v>
      </c>
      <c r="G27" s="132"/>
      <c r="H27" s="106"/>
      <c r="I27" s="106"/>
      <c r="J27" s="106"/>
      <c r="K27" s="106"/>
      <c r="L27" s="106"/>
      <c r="N27" s="21" t="s">
        <v>139</v>
      </c>
      <c r="O27" s="97" t="s">
        <v>140</v>
      </c>
      <c r="P27" s="97"/>
      <c r="Q27" s="97"/>
      <c r="R27" s="97"/>
      <c r="S27" s="97"/>
      <c r="T27" s="97"/>
      <c r="U27" s="97"/>
      <c r="V27" s="97"/>
    </row>
    <row r="28" spans="1:23" ht="20.100000000000001" customHeight="1">
      <c r="A28" s="5" t="s">
        <v>20</v>
      </c>
      <c r="B28" s="27">
        <f>'Всего с субабонентами'!B28-Субабоненты!B28</f>
        <v>7962.2999999800641</v>
      </c>
      <c r="C28" s="27"/>
      <c r="D28" s="133">
        <f>'Всего с субабонентами'!D28:E28-Субабоненты!D28</f>
        <v>4194.1200000021581</v>
      </c>
      <c r="E28" s="133"/>
      <c r="F28" s="132">
        <f t="shared" si="0"/>
        <v>0.52674729663698416</v>
      </c>
      <c r="G28" s="132"/>
      <c r="H28" s="106"/>
      <c r="I28" s="106"/>
      <c r="J28" s="106"/>
      <c r="K28" s="106"/>
      <c r="L28" s="106"/>
      <c r="N28" s="21"/>
      <c r="O28" s="97" t="s">
        <v>141</v>
      </c>
      <c r="P28" s="97"/>
      <c r="Q28" s="97"/>
      <c r="R28" s="97"/>
      <c r="S28" s="97"/>
      <c r="T28" s="97"/>
      <c r="U28" s="97"/>
      <c r="V28" s="97"/>
    </row>
    <row r="29" spans="1:23" ht="20.100000000000001" customHeight="1">
      <c r="A29" s="5" t="s">
        <v>21</v>
      </c>
      <c r="B29" s="27">
        <f>'Всего с субабонентами'!B29-Субабоненты!B29</f>
        <v>7732.26000002403</v>
      </c>
      <c r="C29" s="27"/>
      <c r="D29" s="133">
        <f>'Всего с субабонентами'!D29:E29-Субабоненты!D29</f>
        <v>4096.4999999870997</v>
      </c>
      <c r="E29" s="133"/>
      <c r="F29" s="132">
        <f t="shared" si="0"/>
        <v>0.52979335924740878</v>
      </c>
      <c r="G29" s="132"/>
      <c r="H29" s="106"/>
      <c r="I29" s="106"/>
      <c r="J29" s="106"/>
      <c r="K29" s="106"/>
      <c r="L29" s="106"/>
      <c r="N29" s="21"/>
      <c r="O29" s="97" t="s">
        <v>142</v>
      </c>
      <c r="P29" s="97"/>
      <c r="Q29" s="97"/>
      <c r="R29" s="97"/>
      <c r="S29" s="97"/>
      <c r="T29" s="97"/>
      <c r="U29" s="97"/>
      <c r="V29" s="97"/>
    </row>
    <row r="30" spans="1:23" ht="20.100000000000001" customHeight="1">
      <c r="A30" s="5" t="s">
        <v>22</v>
      </c>
      <c r="B30" s="27">
        <f>'Всего с субабонентами'!B30-Субабоненты!B30</f>
        <v>7769.0399999796682</v>
      </c>
      <c r="C30" s="27"/>
      <c r="D30" s="133">
        <f>'Всего с субабонентами'!D30:E30-Субабоненты!D30</f>
        <v>4154.1000000082477</v>
      </c>
      <c r="E30" s="133"/>
      <c r="F30" s="132">
        <f t="shared" si="0"/>
        <v>0.53469926786567179</v>
      </c>
      <c r="G30" s="132"/>
      <c r="H30" s="106"/>
      <c r="I30" s="106"/>
      <c r="J30" s="106"/>
      <c r="K30" s="106"/>
      <c r="L30" s="106"/>
      <c r="N30" s="21" t="s">
        <v>143</v>
      </c>
      <c r="O30" s="97" t="s">
        <v>144</v>
      </c>
      <c r="P30" s="97"/>
      <c r="Q30" s="97"/>
      <c r="R30" s="97"/>
      <c r="S30" s="97"/>
      <c r="T30" s="97"/>
      <c r="U30" s="97"/>
      <c r="V30" s="97"/>
    </row>
    <row r="31" spans="1:23" ht="20.100000000000001" customHeight="1">
      <c r="A31" s="5" t="s">
        <v>23</v>
      </c>
      <c r="B31" s="27">
        <f>'Всего с субабонентами'!B31-Субабоненты!B31</f>
        <v>7761.4200000038181</v>
      </c>
      <c r="C31" s="27"/>
      <c r="D31" s="133">
        <f>'Всего с субабонентами'!D31:E31-Субабоненты!D31</f>
        <v>4155.480000011994</v>
      </c>
      <c r="E31" s="133"/>
      <c r="F31" s="132">
        <f t="shared" si="0"/>
        <v>0.53540202694995886</v>
      </c>
      <c r="G31" s="132"/>
      <c r="H31" s="106"/>
      <c r="I31" s="106"/>
      <c r="J31" s="106"/>
      <c r="K31" s="106"/>
      <c r="L31" s="106"/>
      <c r="N31" s="21"/>
      <c r="O31" s="97" t="s">
        <v>145</v>
      </c>
      <c r="P31" s="97"/>
      <c r="Q31" s="97"/>
      <c r="R31" s="97"/>
      <c r="S31" s="97"/>
      <c r="T31" s="97"/>
      <c r="U31" s="97"/>
      <c r="V31" s="97"/>
    </row>
    <row r="32" spans="1:23" ht="20.100000000000001" customHeight="1">
      <c r="A32" s="5" t="s">
        <v>24</v>
      </c>
      <c r="B32" s="27">
        <f>'Всего с субабонентами'!B32-Субабоненты!B32</f>
        <v>7749.7199999958411</v>
      </c>
      <c r="C32" s="27"/>
      <c r="D32" s="133">
        <f>'Всего с субабонентами'!D32:E32-Субабоненты!D32</f>
        <v>4082.5200000047971</v>
      </c>
      <c r="E32" s="133"/>
      <c r="F32" s="132">
        <f t="shared" si="0"/>
        <v>0.52679580681714799</v>
      </c>
      <c r="G32" s="132"/>
      <c r="H32" s="106"/>
      <c r="I32" s="106"/>
      <c r="J32" s="106"/>
      <c r="K32" s="106"/>
      <c r="L32" s="106"/>
      <c r="N32" s="21" t="s">
        <v>146</v>
      </c>
      <c r="O32" s="97" t="s">
        <v>147</v>
      </c>
      <c r="P32" s="97"/>
      <c r="Q32" s="97"/>
      <c r="R32" s="97"/>
      <c r="S32" s="97"/>
      <c r="T32" s="97"/>
      <c r="U32" s="97"/>
      <c r="V32" s="97"/>
    </row>
    <row r="33" spans="1:24" ht="20.100000000000001" customHeight="1">
      <c r="A33" s="5" t="s">
        <v>25</v>
      </c>
      <c r="B33" s="27">
        <f>'Всего с субабонентами'!B33-Субабоненты!B33</f>
        <v>7861.7999999911035</v>
      </c>
      <c r="C33" s="27"/>
      <c r="D33" s="133">
        <f>'Всего с субабонентами'!D33:E33-Субабоненты!D33</f>
        <v>4110.779999991837</v>
      </c>
      <c r="E33" s="133"/>
      <c r="F33" s="132">
        <f t="shared" si="0"/>
        <v>0.52288025642937863</v>
      </c>
      <c r="G33" s="132"/>
      <c r="H33" s="106"/>
      <c r="I33" s="106"/>
      <c r="J33" s="106"/>
      <c r="K33" s="106"/>
      <c r="L33" s="106"/>
      <c r="N33" s="21" t="s">
        <v>148</v>
      </c>
      <c r="O33" s="97" t="s">
        <v>149</v>
      </c>
      <c r="P33" s="97"/>
      <c r="Q33" s="97"/>
      <c r="R33" s="97"/>
      <c r="S33" s="97"/>
      <c r="T33" s="97"/>
      <c r="U33" s="97"/>
      <c r="V33" s="97"/>
    </row>
    <row r="34" spans="1:24" ht="20.100000000000001" customHeight="1">
      <c r="A34" s="5" t="s">
        <v>26</v>
      </c>
      <c r="B34" s="27">
        <f>'Всего с субабонентами'!B34-Субабоненты!B34</f>
        <v>7812.6599999964128</v>
      </c>
      <c r="C34" s="27"/>
      <c r="D34" s="133">
        <f>'Всего с субабонентами'!D34:E34-Субабоненты!D34</f>
        <v>4165.0799999899391</v>
      </c>
      <c r="E34" s="133"/>
      <c r="F34" s="132">
        <f t="shared" si="0"/>
        <v>0.53311932171524823</v>
      </c>
      <c r="G34" s="132"/>
      <c r="H34" s="106"/>
      <c r="I34" s="106"/>
      <c r="J34" s="106"/>
      <c r="K34" s="106"/>
      <c r="L34" s="106"/>
    </row>
    <row r="35" spans="1:24" ht="20.100000000000001" customHeight="1">
      <c r="A35" s="5" t="s">
        <v>27</v>
      </c>
      <c r="B35" s="27">
        <f>'Всего с субабонентами'!B35-Субабоненты!B35</f>
        <v>7640.9400000126425</v>
      </c>
      <c r="C35" s="27"/>
      <c r="D35" s="133">
        <f>'Всего с субабонентами'!D35:E35-Субабоненты!D35</f>
        <v>4070.2800000137358</v>
      </c>
      <c r="E35" s="133"/>
      <c r="F35" s="132">
        <f t="shared" si="0"/>
        <v>0.53269362146633803</v>
      </c>
      <c r="G35" s="132"/>
      <c r="H35" s="106"/>
      <c r="I35" s="106"/>
      <c r="J35" s="106"/>
      <c r="K35" s="106"/>
      <c r="L35" s="106"/>
    </row>
    <row r="36" spans="1:24" ht="20.100000000000001" customHeight="1">
      <c r="A36" s="5" t="s">
        <v>28</v>
      </c>
      <c r="B36" s="27">
        <f>'Всего с субабонентами'!B36-Субабоненты!B36</f>
        <v>7577.6399999775094</v>
      </c>
      <c r="C36" s="27"/>
      <c r="D36" s="133">
        <f>'Всего с субабонентами'!D36:E36-Субабоненты!D36</f>
        <v>4036.3199999915651</v>
      </c>
      <c r="E36" s="133"/>
      <c r="F36" s="132">
        <f t="shared" si="0"/>
        <v>0.53266188417548799</v>
      </c>
      <c r="G36" s="132"/>
      <c r="H36" s="106"/>
      <c r="I36" s="106"/>
      <c r="J36" s="106"/>
      <c r="K36" s="106"/>
      <c r="L36" s="106"/>
    </row>
    <row r="37" spans="1:24" ht="20.100000000000001" customHeight="1">
      <c r="A37" s="5" t="s">
        <v>29</v>
      </c>
      <c r="B37" s="27">
        <f>'Всего с субабонентами'!B37-Субабоненты!B37</f>
        <v>7772.4000000127262</v>
      </c>
      <c r="C37" s="27"/>
      <c r="D37" s="133">
        <f>'Всего с субабонентами'!D37:E37-Субабоненты!D37</f>
        <v>4256.1599999954524</v>
      </c>
      <c r="E37" s="133"/>
      <c r="F37" s="132">
        <f t="shared" si="0"/>
        <v>0.54759919715769689</v>
      </c>
      <c r="G37" s="132"/>
      <c r="H37" s="106"/>
      <c r="I37" s="106"/>
      <c r="J37" s="106"/>
      <c r="K37" s="106"/>
      <c r="L37" s="106"/>
    </row>
    <row r="38" spans="1:24" ht="20.100000000000001" customHeight="1">
      <c r="A38" s="5" t="s">
        <v>30</v>
      </c>
      <c r="B38" s="27">
        <f>'Всего с субабонентами'!B38-Субабоненты!B38</f>
        <v>7799.1600000128983</v>
      </c>
      <c r="C38" s="27"/>
      <c r="D38" s="133">
        <f>'Всего с субабонентами'!D38:E38-Субабоненты!D38</f>
        <v>4337.7600000063467</v>
      </c>
      <c r="E38" s="133"/>
      <c r="F38" s="132">
        <f t="shared" si="0"/>
        <v>0.55618297355089175</v>
      </c>
      <c r="G38" s="132"/>
      <c r="H38" s="106"/>
      <c r="I38" s="106"/>
      <c r="J38" s="106"/>
      <c r="K38" s="106"/>
      <c r="L38" s="106"/>
    </row>
    <row r="39" spans="1:24" ht="20.100000000000001" customHeight="1">
      <c r="A39" s="5" t="s">
        <v>31</v>
      </c>
      <c r="B39" s="27">
        <f>'Всего с субабонентами'!B39-Субабоненты!B39</f>
        <v>7723.3199999614044</v>
      </c>
      <c r="C39" s="27"/>
      <c r="D39" s="133">
        <f>'Всего с субабонентами'!D39:E39-Субабоненты!D39</f>
        <v>4264.8600000002607</v>
      </c>
      <c r="E39" s="133"/>
      <c r="F39" s="132">
        <f t="shared" si="0"/>
        <v>0.5522055281953322</v>
      </c>
      <c r="G39" s="132"/>
      <c r="H39" s="106"/>
      <c r="I39" s="106"/>
      <c r="J39" s="106"/>
      <c r="K39" s="106"/>
      <c r="L39" s="106"/>
      <c r="P39" s="57" t="s">
        <v>150</v>
      </c>
      <c r="Q39" s="57"/>
      <c r="R39" s="57"/>
      <c r="S39" s="56" t="s">
        <v>391</v>
      </c>
      <c r="T39" s="56"/>
      <c r="U39" s="56"/>
      <c r="V39" s="56"/>
      <c r="W39" s="56"/>
      <c r="X39" s="56"/>
    </row>
    <row r="40" spans="1:24" ht="20.100000000000001" customHeight="1">
      <c r="A40" s="5" t="s">
        <v>32</v>
      </c>
      <c r="B40" s="27">
        <f>SUM(B15:B39)</f>
        <v>183896.81999995833</v>
      </c>
      <c r="C40" s="27"/>
      <c r="D40" s="133">
        <f>SUM(D15:E39)</f>
        <v>99403.319999999585</v>
      </c>
      <c r="E40" s="133"/>
      <c r="F40" s="132">
        <f t="shared" si="0"/>
        <v>0.54053854764874187</v>
      </c>
      <c r="G40" s="132"/>
      <c r="H40" s="106"/>
      <c r="I40" s="106"/>
      <c r="J40" s="106"/>
      <c r="K40" s="106"/>
      <c r="L40" s="106"/>
    </row>
    <row r="41" spans="1:24" ht="20.100000000000001" customHeight="1">
      <c r="A41" s="7" t="s">
        <v>33</v>
      </c>
      <c r="B41" s="34"/>
      <c r="C41" s="34"/>
      <c r="D41" s="103"/>
      <c r="E41" s="96"/>
      <c r="F41" s="145"/>
      <c r="G41" s="146"/>
      <c r="H41" s="116"/>
      <c r="I41" s="144"/>
      <c r="J41" s="144"/>
      <c r="K41" s="144"/>
      <c r="L41" s="144"/>
    </row>
    <row r="42" spans="1:24" ht="20.100000000000001" customHeight="1">
      <c r="A42" s="131" t="s">
        <v>2</v>
      </c>
      <c r="B42" s="107" t="s">
        <v>37</v>
      </c>
      <c r="C42" s="108"/>
      <c r="D42" s="131"/>
      <c r="E42" s="107" t="s">
        <v>40</v>
      </c>
      <c r="F42" s="108"/>
      <c r="G42" s="108"/>
      <c r="H42" s="108"/>
      <c r="I42" s="131"/>
      <c r="J42" s="100" t="s">
        <v>5</v>
      </c>
      <c r="K42" s="112"/>
      <c r="L42" s="112"/>
    </row>
    <row r="43" spans="1:24" ht="44.25" customHeight="1">
      <c r="A43" s="131"/>
      <c r="B43" s="123" t="s">
        <v>38</v>
      </c>
      <c r="C43" s="123"/>
      <c r="D43" s="5" t="s">
        <v>39</v>
      </c>
      <c r="E43" s="107" t="s">
        <v>41</v>
      </c>
      <c r="F43" s="108"/>
      <c r="G43" s="131"/>
      <c r="H43" s="107" t="s">
        <v>42</v>
      </c>
      <c r="I43" s="131"/>
      <c r="J43" s="103"/>
      <c r="K43" s="111"/>
      <c r="L43" s="111"/>
    </row>
    <row r="44" spans="1:24" ht="20.100000000000001" customHeight="1">
      <c r="A44" s="4" t="s">
        <v>153</v>
      </c>
      <c r="B44" s="128">
        <f>SUM(B24:B26)</f>
        <v>23964.839999971511</v>
      </c>
      <c r="C44" s="129"/>
      <c r="D44" s="27">
        <f>SUM(D24:E26)</f>
        <v>12720.30000000309</v>
      </c>
      <c r="E44" s="128">
        <f>B44/3</f>
        <v>7988.2799999905037</v>
      </c>
      <c r="F44" s="130"/>
      <c r="G44" s="129"/>
      <c r="H44" s="128">
        <f>D44/3</f>
        <v>4240.1000000010299</v>
      </c>
      <c r="I44" s="129"/>
      <c r="J44" s="125">
        <f>H44/E44</f>
        <v>0.53079010750825839</v>
      </c>
      <c r="K44" s="126"/>
      <c r="L44" s="126"/>
    </row>
    <row r="45" spans="1:24" ht="20.100000000000001" customHeight="1">
      <c r="A45" s="4" t="s">
        <v>43</v>
      </c>
      <c r="B45" s="128">
        <f>SUM(B33:B36)</f>
        <v>30893.039999977671</v>
      </c>
      <c r="C45" s="129"/>
      <c r="D45" s="27">
        <f>SUM(D33:E36)</f>
        <v>16382.459999987077</v>
      </c>
      <c r="E45" s="128">
        <f>B45/4</f>
        <v>7723.2599999944177</v>
      </c>
      <c r="F45" s="130"/>
      <c r="G45" s="129"/>
      <c r="H45" s="128">
        <f>D45/4</f>
        <v>4095.6149999967693</v>
      </c>
      <c r="I45" s="129"/>
      <c r="J45" s="125">
        <f>H45/E45</f>
        <v>0.53029614437423178</v>
      </c>
      <c r="K45" s="126"/>
      <c r="L45" s="126"/>
    </row>
    <row r="46" spans="1:24" ht="20.100000000000001" customHeight="1">
      <c r="A46" s="4" t="s">
        <v>44</v>
      </c>
      <c r="B46" s="128">
        <f>SUM(B16:B39)</f>
        <v>183896.81999995833</v>
      </c>
      <c r="C46" s="129"/>
      <c r="D46" s="27">
        <f>SUM(D16:E39)</f>
        <v>99403.319999999585</v>
      </c>
      <c r="E46" s="128">
        <f>B46/24</f>
        <v>7662.3674999982641</v>
      </c>
      <c r="F46" s="130"/>
      <c r="G46" s="129"/>
      <c r="H46" s="128">
        <f>D46/24</f>
        <v>4141.804999999983</v>
      </c>
      <c r="I46" s="129"/>
      <c r="J46" s="125">
        <f>H46/E46</f>
        <v>0.54053854764874187</v>
      </c>
      <c r="K46" s="126"/>
      <c r="L46" s="126"/>
    </row>
    <row r="47" spans="1:24" ht="20.100000000000001" customHeight="1"/>
    <row r="48" spans="1:24" ht="20.100000000000001" customHeight="1"/>
    <row r="49" spans="3:9" ht="20.100000000000001" customHeight="1"/>
    <row r="50" spans="3:9" ht="20.100000000000001" customHeight="1">
      <c r="C50" s="91" t="s">
        <v>194</v>
      </c>
      <c r="D50" s="91"/>
      <c r="E50" s="91"/>
      <c r="F50" s="91"/>
      <c r="G50" s="91"/>
      <c r="H50" s="91"/>
      <c r="I50" s="91"/>
    </row>
    <row r="51" spans="3:9" ht="20.100000000000001" customHeight="1"/>
  </sheetData>
  <mergeCells count="189">
    <mergeCell ref="V8:W8"/>
    <mergeCell ref="V9:W9"/>
    <mergeCell ref="V10:W10"/>
    <mergeCell ref="V11:W11"/>
    <mergeCell ref="V4:W4"/>
    <mergeCell ref="V5:W5"/>
    <mergeCell ref="V6:W6"/>
    <mergeCell ref="V7:W7"/>
    <mergeCell ref="S39:X39"/>
    <mergeCell ref="U14:U18"/>
    <mergeCell ref="V14:V18"/>
    <mergeCell ref="W14:W18"/>
    <mergeCell ref="O30:V30"/>
    <mergeCell ref="O31:V31"/>
    <mergeCell ref="O32:V32"/>
    <mergeCell ref="O33:V33"/>
    <mergeCell ref="P39:R39"/>
    <mergeCell ref="N24:V24"/>
    <mergeCell ref="O25:V25"/>
    <mergeCell ref="O26:V26"/>
    <mergeCell ref="O27:V27"/>
    <mergeCell ref="O28:V28"/>
    <mergeCell ref="O29:V29"/>
    <mergeCell ref="U1:W1"/>
    <mergeCell ref="R2:R3"/>
    <mergeCell ref="U2:U3"/>
    <mergeCell ref="S2:T2"/>
    <mergeCell ref="S3:T3"/>
    <mergeCell ref="V2:W2"/>
    <mergeCell ref="V3:W3"/>
    <mergeCell ref="F5:H6"/>
    <mergeCell ref="I5:L6"/>
    <mergeCell ref="F3:H4"/>
    <mergeCell ref="I3:L4"/>
    <mergeCell ref="F1:H2"/>
    <mergeCell ref="I1:L2"/>
    <mergeCell ref="S4:T4"/>
    <mergeCell ref="S5:T5"/>
    <mergeCell ref="S6:T6"/>
    <mergeCell ref="N4:Q4"/>
    <mergeCell ref="N5:Q5"/>
    <mergeCell ref="N6:Q6"/>
    <mergeCell ref="N7:Q7"/>
    <mergeCell ref="N8:Q8"/>
    <mergeCell ref="N9:Q9"/>
    <mergeCell ref="M1:M3"/>
    <mergeCell ref="N1:Q3"/>
    <mergeCell ref="R1:T1"/>
    <mergeCell ref="S8:T8"/>
    <mergeCell ref="S9:T9"/>
    <mergeCell ref="S7:T7"/>
    <mergeCell ref="N19:Q19"/>
    <mergeCell ref="N20:Q20"/>
    <mergeCell ref="N21:Q21"/>
    <mergeCell ref="N10:Q10"/>
    <mergeCell ref="N11:Q11"/>
    <mergeCell ref="M14:M18"/>
    <mergeCell ref="N14:Q18"/>
    <mergeCell ref="R14:T14"/>
    <mergeCell ref="T15:T18"/>
    <mergeCell ref="S15:S18"/>
    <mergeCell ref="R15:R18"/>
    <mergeCell ref="S10:T10"/>
    <mergeCell ref="S11:T11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D36:E36"/>
    <mergeCell ref="D38:E38"/>
    <mergeCell ref="D39:E39"/>
    <mergeCell ref="D37:E37"/>
    <mergeCell ref="D29:E29"/>
    <mergeCell ref="F21:G21"/>
    <mergeCell ref="D21:E21"/>
    <mergeCell ref="A7:L7"/>
    <mergeCell ref="F12:G13"/>
    <mergeCell ref="H12:L12"/>
    <mergeCell ref="I9:L9"/>
    <mergeCell ref="F9:H9"/>
    <mergeCell ref="A9:E9"/>
    <mergeCell ref="A8:L8"/>
    <mergeCell ref="D25:E25"/>
    <mergeCell ref="D26:E26"/>
    <mergeCell ref="D14:E14"/>
    <mergeCell ref="D15:E15"/>
    <mergeCell ref="D16:E16"/>
    <mergeCell ref="D17:E17"/>
    <mergeCell ref="D18:E18"/>
    <mergeCell ref="D19:E19"/>
    <mergeCell ref="D20:E20"/>
    <mergeCell ref="F14:G14"/>
    <mergeCell ref="F15:G15"/>
    <mergeCell ref="F16:G16"/>
    <mergeCell ref="F17:G17"/>
    <mergeCell ref="F22:G22"/>
    <mergeCell ref="F18:G18"/>
    <mergeCell ref="F19:G19"/>
    <mergeCell ref="F20:G20"/>
    <mergeCell ref="F34:G34"/>
    <mergeCell ref="D30:E30"/>
    <mergeCell ref="D31:E31"/>
    <mergeCell ref="D32:E32"/>
    <mergeCell ref="D23:E23"/>
    <mergeCell ref="D24:E24"/>
    <mergeCell ref="F23:G23"/>
    <mergeCell ref="F24:G24"/>
    <mergeCell ref="F25:G25"/>
    <mergeCell ref="F26:G26"/>
    <mergeCell ref="F33:G33"/>
    <mergeCell ref="H23:L23"/>
    <mergeCell ref="H24:L24"/>
    <mergeCell ref="H25:L25"/>
    <mergeCell ref="H26:L26"/>
    <mergeCell ref="H27:L27"/>
    <mergeCell ref="H28:L28"/>
    <mergeCell ref="D22:E22"/>
    <mergeCell ref="F27:G27"/>
    <mergeCell ref="F28:G28"/>
    <mergeCell ref="H14:L14"/>
    <mergeCell ref="H15:L15"/>
    <mergeCell ref="H16:L16"/>
    <mergeCell ref="H17:L17"/>
    <mergeCell ref="H18:L18"/>
    <mergeCell ref="H19:L19"/>
    <mergeCell ref="H20:L20"/>
    <mergeCell ref="H21:L21"/>
    <mergeCell ref="H22:L22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  <mergeCell ref="F35:G35"/>
    <mergeCell ref="F36:G36"/>
    <mergeCell ref="F37:G37"/>
    <mergeCell ref="F38:G38"/>
    <mergeCell ref="F39:G39"/>
    <mergeCell ref="F40:G40"/>
    <mergeCell ref="F29:G29"/>
    <mergeCell ref="F30:G30"/>
    <mergeCell ref="F31:G31"/>
    <mergeCell ref="F32:G32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B45:C45"/>
    <mergeCell ref="J44:L44"/>
    <mergeCell ref="J45:L45"/>
    <mergeCell ref="D41:E41"/>
    <mergeCell ref="E45:G45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5" orientation="portrait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Листы</vt:lpstr>
      </vt:variant>
      <vt:variant>
        <vt:i4>30</vt:i4>
      </vt:variant>
      <vt:variant>
        <vt:lpstr>Диаграммы</vt:lpstr>
      </vt:variant>
      <vt:variant>
        <vt:i4>1</vt:i4>
      </vt:variant>
      <vt:variant>
        <vt:lpstr>Именованные диапазоны</vt:lpstr>
      </vt:variant>
      <vt:variant>
        <vt:i4>87</vt:i4>
      </vt:variant>
    </vt:vector>
  </HeadingPairs>
  <TitlesOfParts>
    <vt:vector size="118" baseType="lpstr">
      <vt:lpstr>ObserverReportInfo_&amp;!()$bbQ</vt:lpstr>
      <vt:lpstr>Ячейка 24</vt:lpstr>
      <vt:lpstr>Ячейка 2</vt:lpstr>
      <vt:lpstr>Ячейка 30</vt:lpstr>
      <vt:lpstr>Ячейка 27</vt:lpstr>
      <vt:lpstr>Ячейка 3Гео</vt:lpstr>
      <vt:lpstr>Ячейка 26Гео </vt:lpstr>
      <vt:lpstr>Ячейка 1 РП18</vt:lpstr>
      <vt:lpstr>Ячейка 13 РП18 </vt:lpstr>
      <vt:lpstr>Ячейка 3</vt:lpstr>
      <vt:lpstr>Ячейка 4</vt:lpstr>
      <vt:lpstr>Ячейка 36</vt:lpstr>
      <vt:lpstr>Ячейка 37</vt:lpstr>
      <vt:lpstr>Ячейка 10</vt:lpstr>
      <vt:lpstr>Ячейка 16</vt:lpstr>
      <vt:lpstr>Ячейка 14 </vt:lpstr>
      <vt:lpstr>Ячейка 13Л</vt:lpstr>
      <vt:lpstr>Ячейка 32Л</vt:lpstr>
      <vt:lpstr>ячейка 25Л</vt:lpstr>
      <vt:lpstr>ПС 167</vt:lpstr>
      <vt:lpstr>ПС 214 Т1</vt:lpstr>
      <vt:lpstr>ПС 214 Т2</vt:lpstr>
      <vt:lpstr>ПС 214</vt:lpstr>
      <vt:lpstr>Всего с субабонентами</vt:lpstr>
      <vt:lpstr>Субабоненты</vt:lpstr>
      <vt:lpstr>УРЭС</vt:lpstr>
      <vt:lpstr>МЖД</vt:lpstr>
      <vt:lpstr>ДВК</vt:lpstr>
      <vt:lpstr>Пластик Геосинтетика</vt:lpstr>
      <vt:lpstr>Всего без субабонентов</vt:lpstr>
      <vt:lpstr>график </vt:lpstr>
      <vt:lpstr>ReportObject1_0</vt:lpstr>
      <vt:lpstr>ReportObject1_1</vt:lpstr>
      <vt:lpstr>ReportObject1_2</vt:lpstr>
      <vt:lpstr>ReportObject1_3</vt:lpstr>
      <vt:lpstr>ReportObject10_0</vt:lpstr>
      <vt:lpstr>ReportObject10_1</vt:lpstr>
      <vt:lpstr>ReportObject10_2</vt:lpstr>
      <vt:lpstr>ReportObject10_3</vt:lpstr>
      <vt:lpstr>ReportObject11_0</vt:lpstr>
      <vt:lpstr>ReportObject11_1</vt:lpstr>
      <vt:lpstr>ReportObject11_2</vt:lpstr>
      <vt:lpstr>ReportObject11_3</vt:lpstr>
      <vt:lpstr>ReportObject12_0</vt:lpstr>
      <vt:lpstr>ReportObject12_1</vt:lpstr>
      <vt:lpstr>ReportObject12_2</vt:lpstr>
      <vt:lpstr>ReportObject12_3</vt:lpstr>
      <vt:lpstr>ReportObject13_0</vt:lpstr>
      <vt:lpstr>ReportObject13_1</vt:lpstr>
      <vt:lpstr>ReportObject13_2</vt:lpstr>
      <vt:lpstr>ReportObject13_3</vt:lpstr>
      <vt:lpstr>ReportObject14_0</vt:lpstr>
      <vt:lpstr>ReportObject14_1</vt:lpstr>
      <vt:lpstr>ReportObject14_2</vt:lpstr>
      <vt:lpstr>ReportObject14_3</vt:lpstr>
      <vt:lpstr>ReportObject15_0</vt:lpstr>
      <vt:lpstr>ReportObject15_1</vt:lpstr>
      <vt:lpstr>ReportObject15_2</vt:lpstr>
      <vt:lpstr>ReportObject15_3</vt:lpstr>
      <vt:lpstr>ReportObject16_0</vt:lpstr>
      <vt:lpstr>ReportObject16_1</vt:lpstr>
      <vt:lpstr>ReportObject16_2</vt:lpstr>
      <vt:lpstr>ReportObject16_3</vt:lpstr>
      <vt:lpstr>ReportObject17_0</vt:lpstr>
      <vt:lpstr>ReportObject17_1</vt:lpstr>
      <vt:lpstr>ReportObject17_2</vt:lpstr>
      <vt:lpstr>ReportObject17_3</vt:lpstr>
      <vt:lpstr>ReportObject18_0</vt:lpstr>
      <vt:lpstr>ReportObject18_1</vt:lpstr>
      <vt:lpstr>ReportObject18_2</vt:lpstr>
      <vt:lpstr>ReportObject18_3</vt:lpstr>
      <vt:lpstr>ReportObject2_0</vt:lpstr>
      <vt:lpstr>ReportObject2_1</vt:lpstr>
      <vt:lpstr>ReportObject2_2</vt:lpstr>
      <vt:lpstr>ReportObject2_3</vt:lpstr>
      <vt:lpstr>ReportObject3_0</vt:lpstr>
      <vt:lpstr>ReportObject3_1</vt:lpstr>
      <vt:lpstr>ReportObject3_2</vt:lpstr>
      <vt:lpstr>ReportObject3_3</vt:lpstr>
      <vt:lpstr>ReportObject4_0</vt:lpstr>
      <vt:lpstr>ReportObject4_1</vt:lpstr>
      <vt:lpstr>ReportObject4_2</vt:lpstr>
      <vt:lpstr>ReportObject4_3</vt:lpstr>
      <vt:lpstr>ReportObject5_0</vt:lpstr>
      <vt:lpstr>ReportObject5_1</vt:lpstr>
      <vt:lpstr>ReportObject5_2</vt:lpstr>
      <vt:lpstr>ReportObject5_3</vt:lpstr>
      <vt:lpstr>ReportObject6_0</vt:lpstr>
      <vt:lpstr>ReportObject6_1</vt:lpstr>
      <vt:lpstr>ReportObject6_2</vt:lpstr>
      <vt:lpstr>ReportObject6_3</vt:lpstr>
      <vt:lpstr>ReportObject7_0</vt:lpstr>
      <vt:lpstr>ReportObject7_1</vt:lpstr>
      <vt:lpstr>ReportObject7_2</vt:lpstr>
      <vt:lpstr>ReportObject7_3</vt:lpstr>
      <vt:lpstr>ReportObject8_0</vt:lpstr>
      <vt:lpstr>ReportObject8_1</vt:lpstr>
      <vt:lpstr>ReportObject8_2</vt:lpstr>
      <vt:lpstr>ReportObject8_3</vt:lpstr>
      <vt:lpstr>ReportObject9_0</vt:lpstr>
      <vt:lpstr>ReportObject9_1</vt:lpstr>
      <vt:lpstr>ReportObject9_2</vt:lpstr>
      <vt:lpstr>ReportObject9_3</vt:lpstr>
      <vt:lpstr>'Всего без субабонентов'!Область_печати</vt:lpstr>
      <vt:lpstr>'Всего с субабонентами'!Область_печати</vt:lpstr>
      <vt:lpstr>ДВК!Область_печати</vt:lpstr>
      <vt:lpstr>МЖД!Область_печати</vt:lpstr>
      <vt:lpstr>'Пластик Геосинтетика'!Область_печати</vt:lpstr>
      <vt:lpstr>'ПС 167'!Область_печати</vt:lpstr>
      <vt:lpstr>'ПС 214'!Область_печати</vt:lpstr>
      <vt:lpstr>'ПС 214 Т1'!Область_печати</vt:lpstr>
      <vt:lpstr>'ПС 214 Т2'!Область_печати</vt:lpstr>
      <vt:lpstr>Субабоненты!Область_печати</vt:lpstr>
      <vt:lpstr>УРЭС!Область_печати</vt:lpstr>
      <vt:lpstr>'Ячейка 13Л'!Область_печати</vt:lpstr>
      <vt:lpstr>'Ячейка 14 '!Область_печати</vt:lpstr>
      <vt:lpstr>'ячейка 25Л'!Область_печати</vt:lpstr>
      <vt:lpstr>'Ячейка 32Л'!Область_печати</vt:lpstr>
    </vt:vector>
  </TitlesOfParts>
  <Company>База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Насветников</dc:creator>
  <cp:lastModifiedBy> </cp:lastModifiedBy>
  <cp:lastPrinted>2013-12-23T06:48:02Z</cp:lastPrinted>
  <dcterms:created xsi:type="dcterms:W3CDTF">2000-12-15T11:47:44Z</dcterms:created>
  <dcterms:modified xsi:type="dcterms:W3CDTF">2013-12-26T04:52:47Z</dcterms:modified>
</cp:coreProperties>
</file>