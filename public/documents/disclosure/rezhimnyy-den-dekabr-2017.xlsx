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ЭтаКнига" defaultThemeVersion="124226"/>
  <workbookProtection lockStructure="1"/>
  <bookViews>
    <workbookView xWindow="11835" yWindow="15" windowWidth="12660" windowHeight="12450" tabRatio="933" firstSheet="1" activeTab="37"/>
  </bookViews>
  <sheets>
    <sheet name="ObserverReportInfo_&amp;!()$bbQ" sheetId="41" state="hidden" r:id="rId1"/>
    <sheet name="Ячейка 24" sheetId="5" r:id="rId2"/>
    <sheet name="Ячейка 2" sheetId="13" r:id="rId3"/>
    <sheet name="Ячейка 3" sheetId="14" r:id="rId4"/>
    <sheet name="Ячейка 4" sheetId="15" r:id="rId5"/>
    <sheet name="Ячейка 36" sheetId="16" r:id="rId6"/>
    <sheet name="Ячейка 37" sheetId="17" r:id="rId7"/>
    <sheet name="Ячейка 27Эн" sheetId="22" r:id="rId8"/>
    <sheet name="Ячейка 30Эн" sheetId="18" r:id="rId9"/>
    <sheet name="Ячейка 10Эн" sheetId="19" r:id="rId10"/>
    <sheet name="Ячейка 16РЖД" sheetId="21" r:id="rId11"/>
    <sheet name="Ячейка 14РЖД" sheetId="30" r:id="rId12"/>
    <sheet name="Ячейка 3Гео" sheetId="36" r:id="rId13"/>
    <sheet name="Ячейка 26Гео " sheetId="37" r:id="rId14"/>
    <sheet name="Ячейка 13БОС" sheetId="29" r:id="rId15"/>
    <sheet name="Ячейка 32БОС" sheetId="23" r:id="rId16"/>
    <sheet name="ячейка 25БОС" sheetId="31" r:id="rId17"/>
    <sheet name="УЗСК вв1" sheetId="43" r:id="rId18"/>
    <sheet name="УЗСК вв2" sheetId="44" r:id="rId19"/>
    <sheet name="УЗСК вв3" sheetId="45" r:id="rId20"/>
    <sheet name="Добрыня вв1" sheetId="48" r:id="rId21"/>
    <sheet name="Добрыня вв2" sheetId="47" r:id="rId22"/>
    <sheet name="Мегафон" sheetId="49" r:id="rId23"/>
    <sheet name="Тихомирова" sheetId="46" r:id="rId24"/>
    <sheet name="Академия" sheetId="53" r:id="rId25"/>
    <sheet name="ПС 167" sheetId="1" r:id="rId26"/>
    <sheet name="ПС 214 Т1" sheetId="6" r:id="rId27"/>
    <sheet name="ПС 214 Т2" sheetId="7" r:id="rId28"/>
    <sheet name="ПС 214" sheetId="24" r:id="rId29"/>
    <sheet name="Всего с субабонентами" sheetId="25" r:id="rId30"/>
    <sheet name="Субабоненты" sheetId="26" r:id="rId31"/>
    <sheet name="Энергосеть" sheetId="33" r:id="rId32"/>
    <sheet name="РЖД" sheetId="34" r:id="rId33"/>
    <sheet name="БОС_Эксплуатация" sheetId="35" r:id="rId34"/>
    <sheet name="Пластик Геосинтетика" sheetId="40" r:id="rId35"/>
    <sheet name="УЗСК" sheetId="51" r:id="rId36"/>
    <sheet name="Добрыня" sheetId="52" r:id="rId37"/>
    <sheet name="Всего без субабонентов" sheetId="27" r:id="rId38"/>
    <sheet name="график без субаб" sheetId="42" r:id="rId39"/>
  </sheets>
  <definedNames>
    <definedName name="ReportObject1_0">'Ячейка 24'!$E$10</definedName>
    <definedName name="ReportObject1_1">'Ячейка 24'!$H$10</definedName>
    <definedName name="ReportObject1_2">'Ячейка 24'!$B$18</definedName>
    <definedName name="ReportObject1_3">'Ячейка 24'!$F$18</definedName>
    <definedName name="ReportObject10_0">'Ячейка 4'!$E$10</definedName>
    <definedName name="ReportObject10_1">'Ячейка 4'!$H$10</definedName>
    <definedName name="ReportObject10_2">'Ячейка 4'!$B$18</definedName>
    <definedName name="ReportObject10_3">'Ячейка 4'!$F$18</definedName>
    <definedName name="ReportObject11_0">'Ячейка 36'!$E$10</definedName>
    <definedName name="ReportObject11_1">'Ячейка 36'!$H$10</definedName>
    <definedName name="ReportObject11_2">'Ячейка 36'!$B$18</definedName>
    <definedName name="ReportObject11_3">'Ячейка 36'!$F$18</definedName>
    <definedName name="ReportObject12_0">'Ячейка 37'!$E$10</definedName>
    <definedName name="ReportObject12_1">'Ячейка 37'!$H$10</definedName>
    <definedName name="ReportObject12_2">'Ячейка 37'!$B$18</definedName>
    <definedName name="ReportObject12_3">'Ячейка 37'!$F$18</definedName>
    <definedName name="ReportObject13_0">'Ячейка 10Эн'!$E$10</definedName>
    <definedName name="ReportObject13_1">'Ячейка 10Эн'!$H$10</definedName>
    <definedName name="ReportObject13_2">'Ячейка 10Эн'!$B$18</definedName>
    <definedName name="ReportObject13_3">'Ячейка 10Эн'!$F$18</definedName>
    <definedName name="ReportObject14_0">'Ячейка 16РЖД'!$E$10</definedName>
    <definedName name="ReportObject14_1">'Ячейка 16РЖД'!$H$10</definedName>
    <definedName name="ReportObject14_2">'Ячейка 16РЖД'!$B$18</definedName>
    <definedName name="ReportObject14_3">'Ячейка 16РЖД'!$F$18</definedName>
    <definedName name="ReportObject15_0" localSheetId="24">Академия!$E$10</definedName>
    <definedName name="ReportObject15_0" localSheetId="20">'Добрыня вв1'!$E$10</definedName>
    <definedName name="ReportObject15_0" localSheetId="21">'Добрыня вв2'!$E$10</definedName>
    <definedName name="ReportObject15_0" localSheetId="22">Мегафон!$E$10</definedName>
    <definedName name="ReportObject15_0" localSheetId="23">Тихомирова!$E$10</definedName>
    <definedName name="ReportObject15_0">'Ячейка 14РЖД'!$E$10</definedName>
    <definedName name="ReportObject15_1" localSheetId="24">Академия!$H$10</definedName>
    <definedName name="ReportObject15_1" localSheetId="20">'Добрыня вв1'!$H$10</definedName>
    <definedName name="ReportObject15_1" localSheetId="21">'Добрыня вв2'!$H$10</definedName>
    <definedName name="ReportObject15_1" localSheetId="22">Мегафон!$H$10</definedName>
    <definedName name="ReportObject15_1" localSheetId="23">Тихомирова!$H$10</definedName>
    <definedName name="ReportObject15_1">'Ячейка 14РЖД'!$H$10</definedName>
    <definedName name="ReportObject15_2" localSheetId="24">Академия!$B$18</definedName>
    <definedName name="ReportObject15_2" localSheetId="20">'Добрыня вв1'!$B$18</definedName>
    <definedName name="ReportObject15_2" localSheetId="21">'Добрыня вв2'!$B$18</definedName>
    <definedName name="ReportObject15_2" localSheetId="22">Мегафон!$B$18</definedName>
    <definedName name="ReportObject15_2" localSheetId="23">Тихомирова!$B$18</definedName>
    <definedName name="ReportObject15_2">'Ячейка 14РЖД'!$B$18</definedName>
    <definedName name="ReportObject15_3" localSheetId="24">Академия!$F$18</definedName>
    <definedName name="ReportObject15_3" localSheetId="20">'Добрыня вв1'!$F$18</definedName>
    <definedName name="ReportObject15_3" localSheetId="21">'Добрыня вв2'!$F$18</definedName>
    <definedName name="ReportObject15_3" localSheetId="22">Мегафон!$F$18</definedName>
    <definedName name="ReportObject15_3" localSheetId="23">Тихомирова!$F$18</definedName>
    <definedName name="ReportObject15_3">'Ячейка 14РЖД'!$F$18</definedName>
    <definedName name="ReportObject16_0">'Ячейка 13БОС'!$E$10</definedName>
    <definedName name="ReportObject16_1">'Ячейка 13БОС'!$H$10</definedName>
    <definedName name="ReportObject16_2">'Ячейка 13БОС'!$B$18</definedName>
    <definedName name="ReportObject16_3">'Ячейка 13БОС'!$F$18</definedName>
    <definedName name="ReportObject17_0">'Ячейка 32БОС'!$E$10</definedName>
    <definedName name="ReportObject17_1">'Ячейка 32БОС'!$H$10</definedName>
    <definedName name="ReportObject17_2">'Ячейка 32БОС'!$B$18</definedName>
    <definedName name="ReportObject17_3">'Ячейка 32БОС'!$F$18</definedName>
    <definedName name="ReportObject18_0" localSheetId="17">'УЗСК вв1'!$E$10</definedName>
    <definedName name="ReportObject18_0" localSheetId="18">'УЗСК вв2'!$E$10</definedName>
    <definedName name="ReportObject18_0" localSheetId="19">'УЗСК вв3'!$E$10</definedName>
    <definedName name="ReportObject18_0">'ячейка 25БОС'!$E$10</definedName>
    <definedName name="ReportObject18_1" localSheetId="17">'УЗСК вв1'!$H$10</definedName>
    <definedName name="ReportObject18_1" localSheetId="18">'УЗСК вв2'!$H$10</definedName>
    <definedName name="ReportObject18_1" localSheetId="19">'УЗСК вв3'!$H$10</definedName>
    <definedName name="ReportObject18_1">'ячейка 25БОС'!$H$10</definedName>
    <definedName name="ReportObject18_2" localSheetId="17">'УЗСК вв1'!$B$18</definedName>
    <definedName name="ReportObject18_2" localSheetId="18">'УЗСК вв2'!$B$18</definedName>
    <definedName name="ReportObject18_2" localSheetId="19">'УЗСК вв3'!$B$18</definedName>
    <definedName name="ReportObject18_2">'ячейка 25БОС'!$B$18</definedName>
    <definedName name="ReportObject18_3" localSheetId="17">'УЗСК вв1'!$F$18</definedName>
    <definedName name="ReportObject18_3" localSheetId="18">'УЗСК вв2'!$F$18</definedName>
    <definedName name="ReportObject18_3" localSheetId="19">'УЗСК вв3'!$F$18</definedName>
    <definedName name="ReportObject18_3">'ячейка 25БОС'!$F$18</definedName>
    <definedName name="ReportObject2_0">'Ячейка 2'!$E$10</definedName>
    <definedName name="ReportObject2_1">'Ячейка 2'!$H$10</definedName>
    <definedName name="ReportObject2_2">'Ячейка 2'!$B$18</definedName>
    <definedName name="ReportObject2_3">'Ячейка 2'!$F$18</definedName>
    <definedName name="ReportObject3_0">'Ячейка 30Эн'!$E$10</definedName>
    <definedName name="ReportObject3_1">'Ячейка 30Эн'!$H$10</definedName>
    <definedName name="ReportObject3_2">'Ячейка 30Эн'!$B$18</definedName>
    <definedName name="ReportObject3_3">'Ячейка 30Эн'!$F$18</definedName>
    <definedName name="ReportObject4_0">'Ячейка 27Эн'!$E$10</definedName>
    <definedName name="ReportObject4_1">'Ячейка 27Эн'!$H$10</definedName>
    <definedName name="ReportObject4_2">'Ячейка 27Эн'!$B$18</definedName>
    <definedName name="ReportObject4_3">'Ячейка 27Эн'!$F$18</definedName>
    <definedName name="ReportObject5_0">'Ячейка 3Гео'!$E$10</definedName>
    <definedName name="ReportObject5_1">'Ячейка 3Гео'!$H$10</definedName>
    <definedName name="ReportObject5_2">'Ячейка 3Гео'!$B$18</definedName>
    <definedName name="ReportObject5_3">'Ячейка 3Гео'!$F$18</definedName>
    <definedName name="ReportObject6_0">'Ячейка 26Гео '!$E$10</definedName>
    <definedName name="ReportObject6_1">'Ячейка 26Гео '!$H$10</definedName>
    <definedName name="ReportObject6_2">'Ячейка 26Гео '!$B$18</definedName>
    <definedName name="ReportObject6_3">'Ячейка 26Гео '!$F$18</definedName>
    <definedName name="ReportObject7_0" localSheetId="24">#REF!</definedName>
    <definedName name="ReportObject7_0" localSheetId="36">#REF!</definedName>
    <definedName name="ReportObject7_0" localSheetId="20">#REF!</definedName>
    <definedName name="ReportObject7_0" localSheetId="21">#REF!</definedName>
    <definedName name="ReportObject7_0" localSheetId="22">#REF!</definedName>
    <definedName name="ReportObject7_0" localSheetId="23">#REF!</definedName>
    <definedName name="ReportObject7_0" localSheetId="35">#REF!</definedName>
    <definedName name="ReportObject7_0" localSheetId="17">#REF!</definedName>
    <definedName name="ReportObject7_0" localSheetId="18">#REF!</definedName>
    <definedName name="ReportObject7_0" localSheetId="19">#REF!</definedName>
    <definedName name="ReportObject7_0">#REF!</definedName>
    <definedName name="ReportObject7_1" localSheetId="24">#REF!</definedName>
    <definedName name="ReportObject7_1" localSheetId="36">#REF!</definedName>
    <definedName name="ReportObject7_1" localSheetId="20">#REF!</definedName>
    <definedName name="ReportObject7_1" localSheetId="21">#REF!</definedName>
    <definedName name="ReportObject7_1" localSheetId="22">#REF!</definedName>
    <definedName name="ReportObject7_1" localSheetId="23">#REF!</definedName>
    <definedName name="ReportObject7_1" localSheetId="35">#REF!</definedName>
    <definedName name="ReportObject7_1" localSheetId="17">#REF!</definedName>
    <definedName name="ReportObject7_1" localSheetId="18">#REF!</definedName>
    <definedName name="ReportObject7_1" localSheetId="19">#REF!</definedName>
    <definedName name="ReportObject7_1">#REF!</definedName>
    <definedName name="ReportObject7_2" localSheetId="24">#REF!</definedName>
    <definedName name="ReportObject7_2" localSheetId="36">#REF!</definedName>
    <definedName name="ReportObject7_2" localSheetId="20">#REF!</definedName>
    <definedName name="ReportObject7_2" localSheetId="21">#REF!</definedName>
    <definedName name="ReportObject7_2" localSheetId="22">#REF!</definedName>
    <definedName name="ReportObject7_2" localSheetId="23">#REF!</definedName>
    <definedName name="ReportObject7_2" localSheetId="35">#REF!</definedName>
    <definedName name="ReportObject7_2" localSheetId="17">#REF!</definedName>
    <definedName name="ReportObject7_2" localSheetId="18">#REF!</definedName>
    <definedName name="ReportObject7_2" localSheetId="19">#REF!</definedName>
    <definedName name="ReportObject7_2">#REF!</definedName>
    <definedName name="ReportObject7_3" localSheetId="24">#REF!</definedName>
    <definedName name="ReportObject7_3" localSheetId="36">#REF!</definedName>
    <definedName name="ReportObject7_3" localSheetId="20">#REF!</definedName>
    <definedName name="ReportObject7_3" localSheetId="21">#REF!</definedName>
    <definedName name="ReportObject7_3" localSheetId="22">#REF!</definedName>
    <definedName name="ReportObject7_3" localSheetId="23">#REF!</definedName>
    <definedName name="ReportObject7_3" localSheetId="35">#REF!</definedName>
    <definedName name="ReportObject7_3" localSheetId="17">#REF!</definedName>
    <definedName name="ReportObject7_3" localSheetId="18">#REF!</definedName>
    <definedName name="ReportObject7_3" localSheetId="19">#REF!</definedName>
    <definedName name="ReportObject7_3">#REF!</definedName>
    <definedName name="ReportObject8_0" localSheetId="24">#REF!</definedName>
    <definedName name="ReportObject8_0" localSheetId="36">#REF!</definedName>
    <definedName name="ReportObject8_0" localSheetId="20">#REF!</definedName>
    <definedName name="ReportObject8_0" localSheetId="21">#REF!</definedName>
    <definedName name="ReportObject8_0" localSheetId="22">#REF!</definedName>
    <definedName name="ReportObject8_0" localSheetId="23">#REF!</definedName>
    <definedName name="ReportObject8_0" localSheetId="35">#REF!</definedName>
    <definedName name="ReportObject8_0" localSheetId="17">#REF!</definedName>
    <definedName name="ReportObject8_0" localSheetId="18">#REF!</definedName>
    <definedName name="ReportObject8_0" localSheetId="19">#REF!</definedName>
    <definedName name="ReportObject8_0">#REF!</definedName>
    <definedName name="ReportObject8_1" localSheetId="24">#REF!</definedName>
    <definedName name="ReportObject8_1" localSheetId="36">#REF!</definedName>
    <definedName name="ReportObject8_1" localSheetId="20">#REF!</definedName>
    <definedName name="ReportObject8_1" localSheetId="21">#REF!</definedName>
    <definedName name="ReportObject8_1" localSheetId="22">#REF!</definedName>
    <definedName name="ReportObject8_1" localSheetId="23">#REF!</definedName>
    <definedName name="ReportObject8_1" localSheetId="35">#REF!</definedName>
    <definedName name="ReportObject8_1" localSheetId="17">#REF!</definedName>
    <definedName name="ReportObject8_1" localSheetId="18">#REF!</definedName>
    <definedName name="ReportObject8_1" localSheetId="19">#REF!</definedName>
    <definedName name="ReportObject8_1">#REF!</definedName>
    <definedName name="ReportObject8_2" localSheetId="24">#REF!</definedName>
    <definedName name="ReportObject8_2" localSheetId="36">#REF!</definedName>
    <definedName name="ReportObject8_2" localSheetId="20">#REF!</definedName>
    <definedName name="ReportObject8_2" localSheetId="21">#REF!</definedName>
    <definedName name="ReportObject8_2" localSheetId="22">#REF!</definedName>
    <definedName name="ReportObject8_2" localSheetId="23">#REF!</definedName>
    <definedName name="ReportObject8_2" localSheetId="35">#REF!</definedName>
    <definedName name="ReportObject8_2" localSheetId="17">#REF!</definedName>
    <definedName name="ReportObject8_2" localSheetId="18">#REF!</definedName>
    <definedName name="ReportObject8_2" localSheetId="19">#REF!</definedName>
    <definedName name="ReportObject8_2">#REF!</definedName>
    <definedName name="ReportObject8_3" localSheetId="24">#REF!</definedName>
    <definedName name="ReportObject8_3" localSheetId="36">#REF!</definedName>
    <definedName name="ReportObject8_3" localSheetId="20">#REF!</definedName>
    <definedName name="ReportObject8_3" localSheetId="21">#REF!</definedName>
    <definedName name="ReportObject8_3" localSheetId="22">#REF!</definedName>
    <definedName name="ReportObject8_3" localSheetId="23">#REF!</definedName>
    <definedName name="ReportObject8_3" localSheetId="35">#REF!</definedName>
    <definedName name="ReportObject8_3" localSheetId="17">#REF!</definedName>
    <definedName name="ReportObject8_3" localSheetId="18">#REF!</definedName>
    <definedName name="ReportObject8_3" localSheetId="19">#REF!</definedName>
    <definedName name="ReportObject8_3">#REF!</definedName>
    <definedName name="ReportObject9_0">'Ячейка 3'!$E$10</definedName>
    <definedName name="ReportObject9_1">'Ячейка 3'!$H$10</definedName>
    <definedName name="ReportObject9_2">'Ячейка 3'!$B$18</definedName>
    <definedName name="ReportObject9_3">'Ячейка 3'!$F$18</definedName>
    <definedName name="_xlnm.Print_Area" localSheetId="24">Академия!$A$1:$Z$52</definedName>
    <definedName name="_xlnm.Print_Area" localSheetId="33">БОС_Эксплуатация!$A$1:$W$50</definedName>
    <definedName name="_xlnm.Print_Area" localSheetId="37">'Всего без субабонентов'!$A$1:$W$50</definedName>
    <definedName name="_xlnm.Print_Area" localSheetId="29">'Всего с субабонентами'!$A$1:$W$50</definedName>
    <definedName name="_xlnm.Print_Area" localSheetId="36">Добрыня!$A$1:$W$50</definedName>
    <definedName name="_xlnm.Print_Area" localSheetId="20">'Добрыня вв1'!$A$1:$Z$52</definedName>
    <definedName name="_xlnm.Print_Area" localSheetId="21">'Добрыня вв2'!$A$1:$Z$52</definedName>
    <definedName name="_xlnm.Print_Area" localSheetId="22">Мегафон!$A$1:$Z$52</definedName>
    <definedName name="_xlnm.Print_Area" localSheetId="34">'Пластик Геосинтетика'!$A$1:$W$50</definedName>
    <definedName name="_xlnm.Print_Area" localSheetId="25">'ПС 167'!$A$1:$W$50</definedName>
    <definedName name="_xlnm.Print_Area" localSheetId="28">'ПС 214'!$A$1:$W$50</definedName>
    <definedName name="_xlnm.Print_Area" localSheetId="26">'ПС 214 Т1'!$A$1:$W$50</definedName>
    <definedName name="_xlnm.Print_Area" localSheetId="27">'ПС 214 Т2'!$A$1:$W$50</definedName>
    <definedName name="_xlnm.Print_Area" localSheetId="32">РЖД!$A$1:$W$50</definedName>
    <definedName name="_xlnm.Print_Area" localSheetId="30">Субабоненты!$A$1:$W$50</definedName>
    <definedName name="_xlnm.Print_Area" localSheetId="23">Тихомирова!$A$1:$Z$52</definedName>
    <definedName name="_xlnm.Print_Area" localSheetId="35">УЗСК!$A$1:$W$50</definedName>
    <definedName name="_xlnm.Print_Area" localSheetId="17">'УЗСК вв1'!$A$1:$Z$52</definedName>
    <definedName name="_xlnm.Print_Area" localSheetId="18">'УЗСК вв2'!$A$1:$Z$52</definedName>
    <definedName name="_xlnm.Print_Area" localSheetId="19">'УЗСК вв3'!$A$1:$Z$52</definedName>
    <definedName name="_xlnm.Print_Area" localSheetId="31">Энергосеть!$A$1:$W$50</definedName>
    <definedName name="_xlnm.Print_Area" localSheetId="14">'Ячейка 13БОС'!$A$1:$Z$52</definedName>
    <definedName name="_xlnm.Print_Area" localSheetId="11">'Ячейка 14РЖД'!$A$1:$Z$52</definedName>
    <definedName name="_xlnm.Print_Area" localSheetId="16">'ячейка 25БОС'!$A$1:$Z$52</definedName>
    <definedName name="_xlnm.Print_Area" localSheetId="15">'Ячейка 32БОС'!$A$1:$Z$52</definedName>
  </definedNames>
  <calcPr calcId="145621"/>
</workbook>
</file>

<file path=xl/calcChain.xml><?xml version="1.0" encoding="utf-8"?>
<calcChain xmlns="http://schemas.openxmlformats.org/spreadsheetml/2006/main">
  <c r="C42" i="31" l="1"/>
  <c r="D42" i="31" s="1"/>
  <c r="C41" i="31"/>
  <c r="D41" i="31" s="1"/>
  <c r="C40" i="31"/>
  <c r="D40" i="31" s="1"/>
  <c r="C39" i="31"/>
  <c r="D39" i="31" s="1"/>
  <c r="C38" i="31"/>
  <c r="D38" i="31" s="1"/>
  <c r="C37" i="31"/>
  <c r="D37" i="31" s="1"/>
  <c r="C36" i="31"/>
  <c r="D36" i="31" s="1"/>
  <c r="C35" i="31"/>
  <c r="D35" i="31" s="1"/>
  <c r="C34" i="31"/>
  <c r="D34" i="31" s="1"/>
  <c r="C33" i="31"/>
  <c r="D33" i="31" s="1"/>
  <c r="C32" i="31"/>
  <c r="D32" i="31" s="1"/>
  <c r="C31" i="31"/>
  <c r="D31" i="31" s="1"/>
  <c r="C30" i="31"/>
  <c r="D30" i="31" s="1"/>
  <c r="C29" i="31"/>
  <c r="D29" i="31" s="1"/>
  <c r="C28" i="31"/>
  <c r="D28" i="31" s="1"/>
  <c r="C27" i="31"/>
  <c r="D27" i="31" s="1"/>
  <c r="C26" i="31"/>
  <c r="D26" i="31" s="1"/>
  <c r="C25" i="31"/>
  <c r="D25" i="31" s="1"/>
  <c r="C24" i="31"/>
  <c r="D24" i="31" s="1"/>
  <c r="C23" i="31"/>
  <c r="D23" i="31" s="1"/>
  <c r="C22" i="31"/>
  <c r="D22" i="31" s="1"/>
  <c r="C21" i="31"/>
  <c r="D21" i="31" s="1"/>
  <c r="C20" i="31"/>
  <c r="D20" i="31" s="1"/>
  <c r="C19" i="31"/>
  <c r="D19" i="31" s="1"/>
  <c r="G42" i="23"/>
  <c r="C42" i="23"/>
  <c r="D42" i="23" s="1"/>
  <c r="G41" i="23"/>
  <c r="D41" i="23"/>
  <c r="C41" i="23"/>
  <c r="G40" i="23"/>
  <c r="C40" i="23"/>
  <c r="D40" i="23" s="1"/>
  <c r="G39" i="23"/>
  <c r="D39" i="23"/>
  <c r="C39" i="23"/>
  <c r="G38" i="23"/>
  <c r="C38" i="23"/>
  <c r="D38" i="23" s="1"/>
  <c r="G37" i="23"/>
  <c r="D37" i="23"/>
  <c r="C37" i="23"/>
  <c r="G36" i="23"/>
  <c r="C36" i="23"/>
  <c r="D36" i="23" s="1"/>
  <c r="G35" i="23"/>
  <c r="D35" i="23"/>
  <c r="C35" i="23"/>
  <c r="G34" i="23"/>
  <c r="C34" i="23"/>
  <c r="D34" i="23" s="1"/>
  <c r="G33" i="23"/>
  <c r="D33" i="23"/>
  <c r="C33" i="23"/>
  <c r="G32" i="23"/>
  <c r="C32" i="23"/>
  <c r="D32" i="23" s="1"/>
  <c r="G31" i="23"/>
  <c r="D31" i="23"/>
  <c r="C31" i="23"/>
  <c r="G30" i="23"/>
  <c r="C30" i="23"/>
  <c r="D30" i="23" s="1"/>
  <c r="G29" i="23"/>
  <c r="D29" i="23"/>
  <c r="C29" i="23"/>
  <c r="G28" i="23"/>
  <c r="C28" i="23"/>
  <c r="D28" i="23" s="1"/>
  <c r="G27" i="23"/>
  <c r="D27" i="23"/>
  <c r="C27" i="23"/>
  <c r="G26" i="23"/>
  <c r="C26" i="23"/>
  <c r="D26" i="23" s="1"/>
  <c r="G25" i="23"/>
  <c r="D25" i="23"/>
  <c r="C25" i="23"/>
  <c r="G24" i="23"/>
  <c r="C24" i="23"/>
  <c r="D24" i="23" s="1"/>
  <c r="G23" i="23"/>
  <c r="D23" i="23"/>
  <c r="C23" i="23"/>
  <c r="G22" i="23"/>
  <c r="C22" i="23"/>
  <c r="D22" i="23" s="1"/>
  <c r="G21" i="23"/>
  <c r="D21" i="23"/>
  <c r="C21" i="23"/>
  <c r="G20" i="23"/>
  <c r="C20" i="23"/>
  <c r="D20" i="23" s="1"/>
  <c r="G19" i="23"/>
  <c r="D19" i="23"/>
  <c r="C19" i="23"/>
  <c r="C42" i="29"/>
  <c r="D42" i="29" s="1"/>
  <c r="C41" i="29"/>
  <c r="D41" i="29" s="1"/>
  <c r="C40" i="29"/>
  <c r="D40" i="29" s="1"/>
  <c r="C39" i="29"/>
  <c r="D39" i="29" s="1"/>
  <c r="C38" i="29"/>
  <c r="D38" i="29" s="1"/>
  <c r="C37" i="29"/>
  <c r="D37" i="29" s="1"/>
  <c r="C36" i="29"/>
  <c r="D36" i="29" s="1"/>
  <c r="C35" i="29"/>
  <c r="D35" i="29" s="1"/>
  <c r="C34" i="29"/>
  <c r="D34" i="29" s="1"/>
  <c r="C33" i="29"/>
  <c r="D33" i="29" s="1"/>
  <c r="C32" i="29"/>
  <c r="D32" i="29" s="1"/>
  <c r="C31" i="29"/>
  <c r="D31" i="29" s="1"/>
  <c r="C30" i="29"/>
  <c r="D30" i="29" s="1"/>
  <c r="C29" i="29"/>
  <c r="D29" i="29" s="1"/>
  <c r="C28" i="29"/>
  <c r="D28" i="29" s="1"/>
  <c r="C27" i="29"/>
  <c r="D27" i="29" s="1"/>
  <c r="C26" i="29"/>
  <c r="D26" i="29" s="1"/>
  <c r="C25" i="29"/>
  <c r="D25" i="29" s="1"/>
  <c r="C24" i="29"/>
  <c r="D24" i="29" s="1"/>
  <c r="C23" i="29"/>
  <c r="D23" i="29" s="1"/>
  <c r="C22" i="29"/>
  <c r="D22" i="29" s="1"/>
  <c r="C21" i="29"/>
  <c r="D21" i="29" s="1"/>
  <c r="C20" i="29"/>
  <c r="D20" i="29" s="1"/>
  <c r="C19" i="29"/>
  <c r="D19" i="29" s="1"/>
  <c r="C42" i="30"/>
  <c r="D42" i="30" s="1"/>
  <c r="C41" i="30"/>
  <c r="D41" i="30" s="1"/>
  <c r="C40" i="30"/>
  <c r="D40" i="30" s="1"/>
  <c r="C39" i="30"/>
  <c r="D39" i="30" s="1"/>
  <c r="C38" i="30"/>
  <c r="D38" i="30" s="1"/>
  <c r="C37" i="30"/>
  <c r="D37" i="30" s="1"/>
  <c r="C36" i="30"/>
  <c r="D36" i="30" s="1"/>
  <c r="C35" i="30"/>
  <c r="D35" i="30" s="1"/>
  <c r="C34" i="30"/>
  <c r="D34" i="30" s="1"/>
  <c r="C33" i="30"/>
  <c r="D33" i="30" s="1"/>
  <c r="C32" i="30"/>
  <c r="D32" i="30" s="1"/>
  <c r="C31" i="30"/>
  <c r="D31" i="30" s="1"/>
  <c r="C30" i="30"/>
  <c r="D30" i="30" s="1"/>
  <c r="C29" i="30"/>
  <c r="D29" i="30" s="1"/>
  <c r="C28" i="30"/>
  <c r="D28" i="30" s="1"/>
  <c r="C27" i="30"/>
  <c r="D27" i="30" s="1"/>
  <c r="C26" i="30"/>
  <c r="D26" i="30" s="1"/>
  <c r="C25" i="30"/>
  <c r="D25" i="30" s="1"/>
  <c r="C24" i="30"/>
  <c r="D24" i="30" s="1"/>
  <c r="C23" i="30"/>
  <c r="D23" i="30" s="1"/>
  <c r="C22" i="30"/>
  <c r="D22" i="30" s="1"/>
  <c r="C21" i="30"/>
  <c r="D21" i="30" s="1"/>
  <c r="C20" i="30"/>
  <c r="D20" i="30" s="1"/>
  <c r="C19" i="30"/>
  <c r="D19" i="30" s="1"/>
  <c r="C42" i="21"/>
  <c r="D42" i="21" s="1"/>
  <c r="C41" i="21"/>
  <c r="D41" i="21" s="1"/>
  <c r="C40" i="21"/>
  <c r="D40" i="21" s="1"/>
  <c r="C39" i="21"/>
  <c r="D39" i="21" s="1"/>
  <c r="C38" i="21"/>
  <c r="D38" i="21" s="1"/>
  <c r="C37" i="21"/>
  <c r="D37" i="21" s="1"/>
  <c r="C36" i="21"/>
  <c r="D36" i="21" s="1"/>
  <c r="C35" i="21"/>
  <c r="D35" i="21" s="1"/>
  <c r="C34" i="21"/>
  <c r="D34" i="21" s="1"/>
  <c r="C33" i="21"/>
  <c r="D33" i="21" s="1"/>
  <c r="C32" i="21"/>
  <c r="D32" i="21" s="1"/>
  <c r="C31" i="21"/>
  <c r="D31" i="21" s="1"/>
  <c r="C30" i="21"/>
  <c r="D30" i="21" s="1"/>
  <c r="C29" i="21"/>
  <c r="D29" i="21" s="1"/>
  <c r="C28" i="21"/>
  <c r="D28" i="21" s="1"/>
  <c r="C27" i="21"/>
  <c r="D27" i="21" s="1"/>
  <c r="C26" i="21"/>
  <c r="D26" i="21" s="1"/>
  <c r="C25" i="21"/>
  <c r="D25" i="21" s="1"/>
  <c r="C24" i="21"/>
  <c r="D24" i="21" s="1"/>
  <c r="C23" i="21"/>
  <c r="D23" i="21" s="1"/>
  <c r="C22" i="21"/>
  <c r="D22" i="21" s="1"/>
  <c r="C21" i="21"/>
  <c r="D21" i="21" s="1"/>
  <c r="C20" i="21"/>
  <c r="D20" i="21" s="1"/>
  <c r="C19" i="21"/>
  <c r="D19" i="21" s="1"/>
  <c r="C42" i="19"/>
  <c r="D42" i="19" s="1"/>
  <c r="C41" i="19"/>
  <c r="D41" i="19" s="1"/>
  <c r="C40" i="19"/>
  <c r="D40" i="19" s="1"/>
  <c r="C39" i="19"/>
  <c r="D39" i="19" s="1"/>
  <c r="C38" i="19"/>
  <c r="D38" i="19" s="1"/>
  <c r="C37" i="19"/>
  <c r="D37" i="19" s="1"/>
  <c r="C36" i="19"/>
  <c r="D36" i="19" s="1"/>
  <c r="C35" i="19"/>
  <c r="D35" i="19" s="1"/>
  <c r="C34" i="19"/>
  <c r="D34" i="19" s="1"/>
  <c r="C33" i="19"/>
  <c r="D33" i="19" s="1"/>
  <c r="C32" i="19"/>
  <c r="D32" i="19" s="1"/>
  <c r="C31" i="19"/>
  <c r="D31" i="19" s="1"/>
  <c r="C30" i="19"/>
  <c r="D30" i="19" s="1"/>
  <c r="C29" i="19"/>
  <c r="D29" i="19" s="1"/>
  <c r="C28" i="19"/>
  <c r="D28" i="19" s="1"/>
  <c r="C27" i="19"/>
  <c r="D27" i="19" s="1"/>
  <c r="C26" i="19"/>
  <c r="D26" i="19" s="1"/>
  <c r="C25" i="19"/>
  <c r="D25" i="19" s="1"/>
  <c r="C24" i="19"/>
  <c r="D24" i="19" s="1"/>
  <c r="C23" i="19"/>
  <c r="D23" i="19" s="1"/>
  <c r="C22" i="19"/>
  <c r="D22" i="19" s="1"/>
  <c r="C21" i="19"/>
  <c r="D21" i="19" s="1"/>
  <c r="C20" i="19"/>
  <c r="D20" i="19" s="1"/>
  <c r="C19" i="19"/>
  <c r="D19" i="19" s="1"/>
  <c r="C42" i="17"/>
  <c r="D42" i="17" s="1"/>
  <c r="C41" i="17"/>
  <c r="D41" i="17" s="1"/>
  <c r="C40" i="17"/>
  <c r="D40" i="17" s="1"/>
  <c r="C39" i="17"/>
  <c r="D39" i="17" s="1"/>
  <c r="C38" i="17"/>
  <c r="D38" i="17" s="1"/>
  <c r="C37" i="17"/>
  <c r="D37" i="17" s="1"/>
  <c r="C36" i="17"/>
  <c r="D36" i="17" s="1"/>
  <c r="C35" i="17"/>
  <c r="D35" i="17" s="1"/>
  <c r="C34" i="17"/>
  <c r="D34" i="17" s="1"/>
  <c r="C33" i="17"/>
  <c r="D33" i="17" s="1"/>
  <c r="C32" i="17"/>
  <c r="D32" i="17" s="1"/>
  <c r="C31" i="17"/>
  <c r="D31" i="17" s="1"/>
  <c r="C30" i="17"/>
  <c r="D30" i="17" s="1"/>
  <c r="C29" i="17"/>
  <c r="D29" i="17" s="1"/>
  <c r="C28" i="17"/>
  <c r="D28" i="17" s="1"/>
  <c r="C27" i="17"/>
  <c r="D27" i="17" s="1"/>
  <c r="C26" i="17"/>
  <c r="D26" i="17" s="1"/>
  <c r="C25" i="17"/>
  <c r="D25" i="17" s="1"/>
  <c r="C24" i="17"/>
  <c r="D24" i="17" s="1"/>
  <c r="C23" i="17"/>
  <c r="D23" i="17" s="1"/>
  <c r="C22" i="17"/>
  <c r="D22" i="17" s="1"/>
  <c r="C21" i="17"/>
  <c r="D21" i="17" s="1"/>
  <c r="C20" i="17"/>
  <c r="D20" i="17" s="1"/>
  <c r="C19" i="17"/>
  <c r="D19" i="17" s="1"/>
  <c r="C42" i="16"/>
  <c r="D42" i="16" s="1"/>
  <c r="C41" i="16"/>
  <c r="D41" i="16" s="1"/>
  <c r="C40" i="16"/>
  <c r="D40" i="16" s="1"/>
  <c r="C39" i="16"/>
  <c r="D39" i="16" s="1"/>
  <c r="C38" i="16"/>
  <c r="D38" i="16" s="1"/>
  <c r="C37" i="16"/>
  <c r="D37" i="16" s="1"/>
  <c r="C36" i="16"/>
  <c r="D36" i="16" s="1"/>
  <c r="C35" i="16"/>
  <c r="D35" i="16" s="1"/>
  <c r="C34" i="16"/>
  <c r="D34" i="16" s="1"/>
  <c r="C33" i="16"/>
  <c r="D33" i="16" s="1"/>
  <c r="C32" i="16"/>
  <c r="D32" i="16" s="1"/>
  <c r="C31" i="16"/>
  <c r="D31" i="16" s="1"/>
  <c r="C30" i="16"/>
  <c r="D30" i="16" s="1"/>
  <c r="C29" i="16"/>
  <c r="D29" i="16" s="1"/>
  <c r="C28" i="16"/>
  <c r="D28" i="16" s="1"/>
  <c r="C27" i="16"/>
  <c r="D27" i="16" s="1"/>
  <c r="C26" i="16"/>
  <c r="D26" i="16" s="1"/>
  <c r="C25" i="16"/>
  <c r="D25" i="16" s="1"/>
  <c r="C24" i="16"/>
  <c r="D24" i="16" s="1"/>
  <c r="C23" i="16"/>
  <c r="D23" i="16" s="1"/>
  <c r="C22" i="16"/>
  <c r="D22" i="16" s="1"/>
  <c r="C21" i="16"/>
  <c r="D21" i="16" s="1"/>
  <c r="C20" i="16"/>
  <c r="D20" i="16" s="1"/>
  <c r="C19" i="16"/>
  <c r="D19" i="16" s="1"/>
  <c r="C42" i="15"/>
  <c r="D42" i="15" s="1"/>
  <c r="C41" i="15"/>
  <c r="D41" i="15" s="1"/>
  <c r="C40" i="15"/>
  <c r="D40" i="15" s="1"/>
  <c r="C39" i="15"/>
  <c r="D39" i="15" s="1"/>
  <c r="C38" i="15"/>
  <c r="D38" i="15" s="1"/>
  <c r="C37" i="15"/>
  <c r="D37" i="15" s="1"/>
  <c r="C36" i="15"/>
  <c r="D36" i="15" s="1"/>
  <c r="C35" i="15"/>
  <c r="D35" i="15" s="1"/>
  <c r="C34" i="15"/>
  <c r="D34" i="15" s="1"/>
  <c r="C33" i="15"/>
  <c r="D33" i="15" s="1"/>
  <c r="C32" i="15"/>
  <c r="D32" i="15" s="1"/>
  <c r="C31" i="15"/>
  <c r="D31" i="15" s="1"/>
  <c r="C30" i="15"/>
  <c r="D30" i="15" s="1"/>
  <c r="C29" i="15"/>
  <c r="D29" i="15" s="1"/>
  <c r="C28" i="15"/>
  <c r="D28" i="15" s="1"/>
  <c r="C27" i="15"/>
  <c r="D27" i="15" s="1"/>
  <c r="C26" i="15"/>
  <c r="D26" i="15" s="1"/>
  <c r="C25" i="15"/>
  <c r="D25" i="15" s="1"/>
  <c r="C24" i="15"/>
  <c r="D24" i="15" s="1"/>
  <c r="C23" i="15"/>
  <c r="D23" i="15" s="1"/>
  <c r="C22" i="15"/>
  <c r="D22" i="15" s="1"/>
  <c r="C21" i="15"/>
  <c r="D21" i="15" s="1"/>
  <c r="C20" i="15"/>
  <c r="D20" i="15" s="1"/>
  <c r="C19" i="15"/>
  <c r="D19" i="15" s="1"/>
  <c r="C42" i="14"/>
  <c r="D42" i="14" s="1"/>
  <c r="C41" i="14"/>
  <c r="D41" i="14" s="1"/>
  <c r="C40" i="14"/>
  <c r="D40" i="14" s="1"/>
  <c r="C39" i="14"/>
  <c r="D39" i="14" s="1"/>
  <c r="C38" i="14"/>
  <c r="D38" i="14" s="1"/>
  <c r="C37" i="14"/>
  <c r="D37" i="14" s="1"/>
  <c r="C36" i="14"/>
  <c r="D36" i="14" s="1"/>
  <c r="C35" i="14"/>
  <c r="D35" i="14" s="1"/>
  <c r="C34" i="14"/>
  <c r="D34" i="14" s="1"/>
  <c r="C33" i="14"/>
  <c r="D33" i="14" s="1"/>
  <c r="C32" i="14"/>
  <c r="D32" i="14" s="1"/>
  <c r="C31" i="14"/>
  <c r="D31" i="14" s="1"/>
  <c r="C30" i="14"/>
  <c r="D30" i="14" s="1"/>
  <c r="C29" i="14"/>
  <c r="D29" i="14" s="1"/>
  <c r="C28" i="14"/>
  <c r="D28" i="14" s="1"/>
  <c r="C27" i="14"/>
  <c r="D27" i="14" s="1"/>
  <c r="C26" i="14"/>
  <c r="D26" i="14" s="1"/>
  <c r="C25" i="14"/>
  <c r="D25" i="14" s="1"/>
  <c r="C24" i="14"/>
  <c r="D24" i="14" s="1"/>
  <c r="C23" i="14"/>
  <c r="D23" i="14" s="1"/>
  <c r="C22" i="14"/>
  <c r="D22" i="14" s="1"/>
  <c r="C21" i="14"/>
  <c r="D21" i="14" s="1"/>
  <c r="C20" i="14"/>
  <c r="D20" i="14" s="1"/>
  <c r="C19" i="14"/>
  <c r="D19" i="14" s="1"/>
  <c r="C42" i="37"/>
  <c r="D42" i="37" s="1"/>
  <c r="C41" i="37"/>
  <c r="D41" i="37" s="1"/>
  <c r="C40" i="37"/>
  <c r="D40" i="37" s="1"/>
  <c r="C39" i="37"/>
  <c r="D39" i="37" s="1"/>
  <c r="C38" i="37"/>
  <c r="D38" i="37" s="1"/>
  <c r="C37" i="37"/>
  <c r="D37" i="37" s="1"/>
  <c r="C36" i="37"/>
  <c r="D36" i="37" s="1"/>
  <c r="C35" i="37"/>
  <c r="D35" i="37" s="1"/>
  <c r="C34" i="37"/>
  <c r="D34" i="37" s="1"/>
  <c r="C33" i="37"/>
  <c r="D33" i="37" s="1"/>
  <c r="C32" i="37"/>
  <c r="D32" i="37" s="1"/>
  <c r="C31" i="37"/>
  <c r="D31" i="37" s="1"/>
  <c r="C30" i="37"/>
  <c r="D30" i="37" s="1"/>
  <c r="C29" i="37"/>
  <c r="D29" i="37" s="1"/>
  <c r="C28" i="37"/>
  <c r="D28" i="37" s="1"/>
  <c r="C27" i="37"/>
  <c r="D27" i="37" s="1"/>
  <c r="C26" i="37"/>
  <c r="D26" i="37" s="1"/>
  <c r="C25" i="37"/>
  <c r="D25" i="37" s="1"/>
  <c r="C24" i="37"/>
  <c r="D24" i="37" s="1"/>
  <c r="C23" i="37"/>
  <c r="D23" i="37" s="1"/>
  <c r="C22" i="37"/>
  <c r="D22" i="37" s="1"/>
  <c r="C21" i="37"/>
  <c r="D21" i="37" s="1"/>
  <c r="C20" i="37"/>
  <c r="D20" i="37" s="1"/>
  <c r="C19" i="37"/>
  <c r="D19" i="37" s="1"/>
  <c r="C42" i="36"/>
  <c r="D42" i="36" s="1"/>
  <c r="C41" i="36"/>
  <c r="D41" i="36" s="1"/>
  <c r="C40" i="36"/>
  <c r="D40" i="36" s="1"/>
  <c r="C39" i="36"/>
  <c r="D39" i="36" s="1"/>
  <c r="C38" i="36"/>
  <c r="D38" i="36" s="1"/>
  <c r="C37" i="36"/>
  <c r="D37" i="36" s="1"/>
  <c r="C36" i="36"/>
  <c r="D36" i="36" s="1"/>
  <c r="C35" i="36"/>
  <c r="D35" i="36" s="1"/>
  <c r="C34" i="36"/>
  <c r="D34" i="36" s="1"/>
  <c r="C33" i="36"/>
  <c r="D33" i="36" s="1"/>
  <c r="C32" i="36"/>
  <c r="D32" i="36" s="1"/>
  <c r="C31" i="36"/>
  <c r="D31" i="36" s="1"/>
  <c r="C30" i="36"/>
  <c r="D30" i="36" s="1"/>
  <c r="C29" i="36"/>
  <c r="D29" i="36" s="1"/>
  <c r="C28" i="36"/>
  <c r="D28" i="36" s="1"/>
  <c r="C27" i="36"/>
  <c r="D27" i="36" s="1"/>
  <c r="C26" i="36"/>
  <c r="D26" i="36" s="1"/>
  <c r="C25" i="36"/>
  <c r="D25" i="36" s="1"/>
  <c r="C24" i="36"/>
  <c r="D24" i="36" s="1"/>
  <c r="C23" i="36"/>
  <c r="D23" i="36" s="1"/>
  <c r="C22" i="36"/>
  <c r="D22" i="36" s="1"/>
  <c r="C21" i="36"/>
  <c r="D21" i="36" s="1"/>
  <c r="C20" i="36"/>
  <c r="D20" i="36" s="1"/>
  <c r="C19" i="36"/>
  <c r="D19" i="36" s="1"/>
  <c r="C42" i="22"/>
  <c r="D42" i="22" s="1"/>
  <c r="C41" i="22"/>
  <c r="D41" i="22" s="1"/>
  <c r="C40" i="22"/>
  <c r="D40" i="22" s="1"/>
  <c r="C39" i="22"/>
  <c r="D39" i="22" s="1"/>
  <c r="C38" i="22"/>
  <c r="D38" i="22" s="1"/>
  <c r="C37" i="22"/>
  <c r="D37" i="22" s="1"/>
  <c r="C36" i="22"/>
  <c r="D36" i="22" s="1"/>
  <c r="C35" i="22"/>
  <c r="D35" i="22" s="1"/>
  <c r="C34" i="22"/>
  <c r="D34" i="22" s="1"/>
  <c r="C33" i="22"/>
  <c r="D33" i="22" s="1"/>
  <c r="C32" i="22"/>
  <c r="D32" i="22" s="1"/>
  <c r="C31" i="22"/>
  <c r="D31" i="22" s="1"/>
  <c r="C30" i="22"/>
  <c r="D30" i="22" s="1"/>
  <c r="C29" i="22"/>
  <c r="D29" i="22" s="1"/>
  <c r="C28" i="22"/>
  <c r="D28" i="22" s="1"/>
  <c r="C27" i="22"/>
  <c r="D27" i="22" s="1"/>
  <c r="C26" i="22"/>
  <c r="D26" i="22" s="1"/>
  <c r="C25" i="22"/>
  <c r="D25" i="22" s="1"/>
  <c r="C24" i="22"/>
  <c r="D24" i="22" s="1"/>
  <c r="C23" i="22"/>
  <c r="D23" i="22" s="1"/>
  <c r="C22" i="22"/>
  <c r="D22" i="22" s="1"/>
  <c r="C21" i="22"/>
  <c r="D21" i="22" s="1"/>
  <c r="C20" i="22"/>
  <c r="D20" i="22" s="1"/>
  <c r="C19" i="22"/>
  <c r="D19" i="22" s="1"/>
  <c r="G42" i="18"/>
  <c r="H42" i="18" s="1"/>
  <c r="C42" i="18"/>
  <c r="D42" i="18" s="1"/>
  <c r="G41" i="18"/>
  <c r="H41" i="18" s="1"/>
  <c r="C41" i="18"/>
  <c r="D41" i="18" s="1"/>
  <c r="G40" i="18"/>
  <c r="H40" i="18" s="1"/>
  <c r="C40" i="18"/>
  <c r="D40" i="18" s="1"/>
  <c r="G39" i="18"/>
  <c r="H39" i="18" s="1"/>
  <c r="C39" i="18"/>
  <c r="D39" i="18" s="1"/>
  <c r="G38" i="18"/>
  <c r="H38" i="18" s="1"/>
  <c r="C38" i="18"/>
  <c r="D38" i="18" s="1"/>
  <c r="G37" i="18"/>
  <c r="H37" i="18" s="1"/>
  <c r="C37" i="18"/>
  <c r="D37" i="18" s="1"/>
  <c r="G36" i="18"/>
  <c r="H36" i="18" s="1"/>
  <c r="C36" i="18"/>
  <c r="D36" i="18" s="1"/>
  <c r="G35" i="18"/>
  <c r="H35" i="18" s="1"/>
  <c r="C35" i="18"/>
  <c r="D35" i="18" s="1"/>
  <c r="G34" i="18"/>
  <c r="H34" i="18" s="1"/>
  <c r="C34" i="18"/>
  <c r="D34" i="18" s="1"/>
  <c r="G33" i="18"/>
  <c r="H33" i="18" s="1"/>
  <c r="C33" i="18"/>
  <c r="D33" i="18" s="1"/>
  <c r="G32" i="18"/>
  <c r="H32" i="18" s="1"/>
  <c r="C32" i="18"/>
  <c r="D32" i="18" s="1"/>
  <c r="G31" i="18"/>
  <c r="H31" i="18" s="1"/>
  <c r="C31" i="18"/>
  <c r="D31" i="18" s="1"/>
  <c r="G30" i="18"/>
  <c r="H30" i="18" s="1"/>
  <c r="C30" i="18"/>
  <c r="D30" i="18" s="1"/>
  <c r="G29" i="18"/>
  <c r="H29" i="18" s="1"/>
  <c r="C29" i="18"/>
  <c r="D29" i="18" s="1"/>
  <c r="G28" i="18"/>
  <c r="H28" i="18" s="1"/>
  <c r="C28" i="18"/>
  <c r="D28" i="18" s="1"/>
  <c r="G27" i="18"/>
  <c r="H27" i="18" s="1"/>
  <c r="C27" i="18"/>
  <c r="D27" i="18" s="1"/>
  <c r="G26" i="18"/>
  <c r="H26" i="18" s="1"/>
  <c r="C26" i="18"/>
  <c r="D26" i="18" s="1"/>
  <c r="G25" i="18"/>
  <c r="H25" i="18" s="1"/>
  <c r="C25" i="18"/>
  <c r="D25" i="18" s="1"/>
  <c r="G24" i="18"/>
  <c r="H24" i="18" s="1"/>
  <c r="C24" i="18"/>
  <c r="D24" i="18" s="1"/>
  <c r="G23" i="18"/>
  <c r="H23" i="18" s="1"/>
  <c r="C23" i="18"/>
  <c r="D23" i="18" s="1"/>
  <c r="G22" i="18"/>
  <c r="H22" i="18" s="1"/>
  <c r="C22" i="18"/>
  <c r="D22" i="18" s="1"/>
  <c r="G21" i="18"/>
  <c r="H21" i="18" s="1"/>
  <c r="C21" i="18"/>
  <c r="D21" i="18" s="1"/>
  <c r="G20" i="18"/>
  <c r="H20" i="18" s="1"/>
  <c r="C20" i="18"/>
  <c r="D20" i="18" s="1"/>
  <c r="G19" i="18"/>
  <c r="H19" i="18" s="1"/>
  <c r="C19" i="18"/>
  <c r="D19" i="18" s="1"/>
  <c r="G42" i="53" l="1"/>
  <c r="H42" i="53" s="1"/>
  <c r="C42" i="53"/>
  <c r="D42" i="53" s="1"/>
  <c r="H41" i="53"/>
  <c r="G41" i="53"/>
  <c r="C41" i="53"/>
  <c r="D41" i="53" s="1"/>
  <c r="G40" i="53"/>
  <c r="H40" i="53" s="1"/>
  <c r="C40" i="53"/>
  <c r="D40" i="53" s="1"/>
  <c r="G39" i="53"/>
  <c r="H39" i="53" s="1"/>
  <c r="C39" i="53"/>
  <c r="D39" i="53" s="1"/>
  <c r="G38" i="53"/>
  <c r="H38" i="53" s="1"/>
  <c r="C38" i="53"/>
  <c r="D38" i="53" s="1"/>
  <c r="G37" i="53"/>
  <c r="H37" i="53" s="1"/>
  <c r="C37" i="53"/>
  <c r="D37" i="53" s="1"/>
  <c r="G36" i="53"/>
  <c r="H36" i="53" s="1"/>
  <c r="C36" i="53"/>
  <c r="D36" i="53" s="1"/>
  <c r="G35" i="53"/>
  <c r="H35" i="53" s="1"/>
  <c r="C35" i="53"/>
  <c r="D35" i="53" s="1"/>
  <c r="G34" i="53"/>
  <c r="H34" i="53" s="1"/>
  <c r="C34" i="53"/>
  <c r="D34" i="53" s="1"/>
  <c r="H33" i="53"/>
  <c r="G33" i="53"/>
  <c r="C33" i="53"/>
  <c r="D33" i="53" s="1"/>
  <c r="G32" i="53"/>
  <c r="H32" i="53" s="1"/>
  <c r="C32" i="53"/>
  <c r="D32" i="53" s="1"/>
  <c r="G31" i="53"/>
  <c r="H31" i="53" s="1"/>
  <c r="C31" i="53"/>
  <c r="D31" i="53" s="1"/>
  <c r="G30" i="53"/>
  <c r="H30" i="53" s="1"/>
  <c r="C30" i="53"/>
  <c r="D30" i="53" s="1"/>
  <c r="H29" i="53"/>
  <c r="G29" i="53"/>
  <c r="C29" i="53"/>
  <c r="D29" i="53" s="1"/>
  <c r="G28" i="53"/>
  <c r="H28" i="53" s="1"/>
  <c r="C28" i="53"/>
  <c r="D28" i="53" s="1"/>
  <c r="G27" i="53"/>
  <c r="H27" i="53" s="1"/>
  <c r="C27" i="53"/>
  <c r="D27" i="53" s="1"/>
  <c r="G26" i="53"/>
  <c r="H26" i="53" s="1"/>
  <c r="C26" i="53"/>
  <c r="D26" i="53" s="1"/>
  <c r="H25" i="53"/>
  <c r="G25" i="53"/>
  <c r="C25" i="53"/>
  <c r="D25" i="53" s="1"/>
  <c r="G24" i="53"/>
  <c r="H24" i="53" s="1"/>
  <c r="C24" i="53"/>
  <c r="D24" i="53" s="1"/>
  <c r="G23" i="53"/>
  <c r="H23" i="53" s="1"/>
  <c r="C23" i="53"/>
  <c r="D23" i="53" s="1"/>
  <c r="G22" i="53"/>
  <c r="H22" i="53" s="1"/>
  <c r="C22" i="53"/>
  <c r="D22" i="53" s="1"/>
  <c r="H21" i="53"/>
  <c r="G21" i="53"/>
  <c r="C21" i="53"/>
  <c r="D21" i="53" s="1"/>
  <c r="G20" i="53"/>
  <c r="H20" i="53" s="1"/>
  <c r="C20" i="53"/>
  <c r="D20" i="53" s="1"/>
  <c r="G19" i="53"/>
  <c r="H19" i="53" s="1"/>
  <c r="C19" i="53"/>
  <c r="D19" i="53" s="1"/>
  <c r="D43" i="53" s="1"/>
  <c r="F15" i="52"/>
  <c r="F14" i="52"/>
  <c r="F15" i="51"/>
  <c r="F14" i="51"/>
  <c r="I19" i="53" l="1"/>
  <c r="I20" i="53"/>
  <c r="I21" i="53"/>
  <c r="I22" i="53"/>
  <c r="I23" i="53"/>
  <c r="I24" i="53"/>
  <c r="I25" i="53"/>
  <c r="I26" i="53"/>
  <c r="I27" i="53"/>
  <c r="I28" i="53"/>
  <c r="I29" i="53"/>
  <c r="I30" i="53"/>
  <c r="I31" i="53"/>
  <c r="I32" i="53"/>
  <c r="I33" i="53"/>
  <c r="I34" i="53"/>
  <c r="I35" i="53"/>
  <c r="I36" i="53"/>
  <c r="I37" i="53"/>
  <c r="I38" i="53"/>
  <c r="I39" i="53"/>
  <c r="I40" i="53"/>
  <c r="I41" i="53"/>
  <c r="I42" i="53"/>
  <c r="H43" i="53"/>
  <c r="I43" i="53" s="1"/>
  <c r="G42" i="49"/>
  <c r="H42" i="49" s="1"/>
  <c r="C42" i="49"/>
  <c r="D42" i="49" s="1"/>
  <c r="H41" i="49"/>
  <c r="G41" i="49"/>
  <c r="C41" i="49"/>
  <c r="D41" i="49" s="1"/>
  <c r="G40" i="49"/>
  <c r="H40" i="49" s="1"/>
  <c r="C40" i="49"/>
  <c r="D40" i="49" s="1"/>
  <c r="G39" i="49"/>
  <c r="H39" i="49" s="1"/>
  <c r="C39" i="49"/>
  <c r="D39" i="49" s="1"/>
  <c r="G38" i="49"/>
  <c r="H38" i="49" s="1"/>
  <c r="C38" i="49"/>
  <c r="D38" i="49" s="1"/>
  <c r="H37" i="49"/>
  <c r="G37" i="49"/>
  <c r="C37" i="49"/>
  <c r="D37" i="49" s="1"/>
  <c r="G36" i="49"/>
  <c r="H36" i="49" s="1"/>
  <c r="C36" i="49"/>
  <c r="D36" i="49" s="1"/>
  <c r="G35" i="49"/>
  <c r="H35" i="49" s="1"/>
  <c r="C35" i="49"/>
  <c r="D35" i="49" s="1"/>
  <c r="G34" i="49"/>
  <c r="H34" i="49" s="1"/>
  <c r="C34" i="49"/>
  <c r="D34" i="49" s="1"/>
  <c r="H33" i="49"/>
  <c r="G33" i="49"/>
  <c r="C33" i="49"/>
  <c r="D33" i="49" s="1"/>
  <c r="G32" i="49"/>
  <c r="H32" i="49" s="1"/>
  <c r="C32" i="49"/>
  <c r="D32" i="49" s="1"/>
  <c r="G31" i="49"/>
  <c r="H31" i="49" s="1"/>
  <c r="C31" i="49"/>
  <c r="D31" i="49" s="1"/>
  <c r="G30" i="49"/>
  <c r="H30" i="49" s="1"/>
  <c r="C30" i="49"/>
  <c r="D30" i="49" s="1"/>
  <c r="H29" i="49"/>
  <c r="G29" i="49"/>
  <c r="C29" i="49"/>
  <c r="D29" i="49" s="1"/>
  <c r="G28" i="49"/>
  <c r="H28" i="49" s="1"/>
  <c r="C28" i="49"/>
  <c r="D28" i="49" s="1"/>
  <c r="G27" i="49"/>
  <c r="H27" i="49" s="1"/>
  <c r="C27" i="49"/>
  <c r="D27" i="49" s="1"/>
  <c r="G26" i="49"/>
  <c r="H26" i="49" s="1"/>
  <c r="C26" i="49"/>
  <c r="D26" i="49" s="1"/>
  <c r="H25" i="49"/>
  <c r="G25" i="49"/>
  <c r="C25" i="49"/>
  <c r="D25" i="49" s="1"/>
  <c r="G24" i="49"/>
  <c r="H24" i="49" s="1"/>
  <c r="C24" i="49"/>
  <c r="D24" i="49" s="1"/>
  <c r="G23" i="49"/>
  <c r="H23" i="49" s="1"/>
  <c r="C23" i="49"/>
  <c r="D23" i="49" s="1"/>
  <c r="G22" i="49"/>
  <c r="H22" i="49" s="1"/>
  <c r="C22" i="49"/>
  <c r="D22" i="49" s="1"/>
  <c r="H21" i="49"/>
  <c r="G21" i="49"/>
  <c r="C21" i="49"/>
  <c r="D21" i="49" s="1"/>
  <c r="G20" i="49"/>
  <c r="H20" i="49" s="1"/>
  <c r="C20" i="49"/>
  <c r="D20" i="49" s="1"/>
  <c r="G19" i="49"/>
  <c r="H19" i="49" s="1"/>
  <c r="C19" i="49"/>
  <c r="D19" i="49" s="1"/>
  <c r="G42" i="48"/>
  <c r="H42" i="48" s="1"/>
  <c r="C42" i="48"/>
  <c r="D42" i="48" s="1"/>
  <c r="H41" i="48"/>
  <c r="G41" i="48"/>
  <c r="C41" i="48"/>
  <c r="D41" i="48" s="1"/>
  <c r="G40" i="48"/>
  <c r="H40" i="48" s="1"/>
  <c r="C40" i="48"/>
  <c r="D40" i="48" s="1"/>
  <c r="G39" i="48"/>
  <c r="H39" i="48" s="1"/>
  <c r="C39" i="48"/>
  <c r="D39" i="48" s="1"/>
  <c r="G38" i="48"/>
  <c r="H38" i="48" s="1"/>
  <c r="C38" i="48"/>
  <c r="D38" i="48" s="1"/>
  <c r="G37" i="48"/>
  <c r="H37" i="48" s="1"/>
  <c r="C37" i="48"/>
  <c r="D37" i="48" s="1"/>
  <c r="G36" i="48"/>
  <c r="H36" i="48" s="1"/>
  <c r="C36" i="48"/>
  <c r="D36" i="48" s="1"/>
  <c r="G35" i="48"/>
  <c r="H35" i="48" s="1"/>
  <c r="C35" i="48"/>
  <c r="D35" i="48" s="1"/>
  <c r="G34" i="48"/>
  <c r="H34" i="48" s="1"/>
  <c r="C34" i="48"/>
  <c r="D34" i="48" s="1"/>
  <c r="H33" i="48"/>
  <c r="G33" i="48"/>
  <c r="C33" i="48"/>
  <c r="D33" i="48" s="1"/>
  <c r="G32" i="48"/>
  <c r="H32" i="48" s="1"/>
  <c r="C32" i="48"/>
  <c r="D32" i="48" s="1"/>
  <c r="G31" i="48"/>
  <c r="H31" i="48" s="1"/>
  <c r="C31" i="48"/>
  <c r="D31" i="48" s="1"/>
  <c r="G30" i="48"/>
  <c r="H30" i="48" s="1"/>
  <c r="C30" i="48"/>
  <c r="D30" i="48" s="1"/>
  <c r="G29" i="48"/>
  <c r="H29" i="48" s="1"/>
  <c r="C29" i="48"/>
  <c r="D29" i="48" s="1"/>
  <c r="G28" i="48"/>
  <c r="H28" i="48" s="1"/>
  <c r="C28" i="48"/>
  <c r="D28" i="48" s="1"/>
  <c r="G27" i="48"/>
  <c r="H27" i="48" s="1"/>
  <c r="C27" i="48"/>
  <c r="D27" i="48" s="1"/>
  <c r="G26" i="48"/>
  <c r="H26" i="48" s="1"/>
  <c r="C26" i="48"/>
  <c r="D26" i="48" s="1"/>
  <c r="H25" i="48"/>
  <c r="G25" i="48"/>
  <c r="C25" i="48"/>
  <c r="D25" i="48" s="1"/>
  <c r="G24" i="48"/>
  <c r="H24" i="48" s="1"/>
  <c r="C24" i="48"/>
  <c r="D24" i="48" s="1"/>
  <c r="G23" i="48"/>
  <c r="H23" i="48" s="1"/>
  <c r="C23" i="48"/>
  <c r="D23" i="48" s="1"/>
  <c r="G22" i="48"/>
  <c r="H22" i="48" s="1"/>
  <c r="C22" i="48"/>
  <c r="D22" i="48" s="1"/>
  <c r="G21" i="48"/>
  <c r="H21" i="48" s="1"/>
  <c r="C21" i="48"/>
  <c r="D21" i="48" s="1"/>
  <c r="G20" i="48"/>
  <c r="H20" i="48" s="1"/>
  <c r="C20" i="48"/>
  <c r="D20" i="48" s="1"/>
  <c r="G19" i="48"/>
  <c r="H19" i="48" s="1"/>
  <c r="C19" i="48"/>
  <c r="D19" i="48" s="1"/>
  <c r="I20" i="49" l="1"/>
  <c r="I22" i="49"/>
  <c r="I24" i="49"/>
  <c r="I26" i="49"/>
  <c r="I28" i="49"/>
  <c r="I30" i="49"/>
  <c r="I32" i="49"/>
  <c r="I34" i="49"/>
  <c r="I36" i="49"/>
  <c r="I38" i="49"/>
  <c r="I40" i="49"/>
  <c r="D43" i="49"/>
  <c r="D43" i="48"/>
  <c r="I20" i="48"/>
  <c r="I22" i="48"/>
  <c r="I24" i="48"/>
  <c r="I26" i="48"/>
  <c r="I28" i="48"/>
  <c r="I30" i="48"/>
  <c r="I32" i="48"/>
  <c r="I34" i="48"/>
  <c r="I36" i="48"/>
  <c r="I38" i="48"/>
  <c r="I40" i="48"/>
  <c r="I23" i="49"/>
  <c r="I25" i="49"/>
  <c r="I27" i="49"/>
  <c r="I31" i="49"/>
  <c r="I19" i="49"/>
  <c r="I21" i="49"/>
  <c r="I29" i="49"/>
  <c r="I33" i="49"/>
  <c r="I35" i="49"/>
  <c r="I37" i="49"/>
  <c r="I39" i="49"/>
  <c r="I41" i="49"/>
  <c r="I42" i="49"/>
  <c r="H43" i="49"/>
  <c r="I43" i="49" s="1"/>
  <c r="I19" i="48"/>
  <c r="I27" i="48"/>
  <c r="I31" i="48"/>
  <c r="I33" i="48"/>
  <c r="I35" i="48"/>
  <c r="I21" i="48"/>
  <c r="I23" i="48"/>
  <c r="I25" i="48"/>
  <c r="I29" i="48"/>
  <c r="I37" i="48"/>
  <c r="I39" i="48"/>
  <c r="I41" i="48"/>
  <c r="I42" i="48"/>
  <c r="H43" i="48"/>
  <c r="I43" i="48" s="1"/>
  <c r="G42" i="47"/>
  <c r="H42" i="47" s="1"/>
  <c r="D39" i="52" s="1"/>
  <c r="C42" i="47"/>
  <c r="D42" i="47" s="1"/>
  <c r="B39" i="52" s="1"/>
  <c r="H41" i="47"/>
  <c r="D38" i="52" s="1"/>
  <c r="G41" i="47"/>
  <c r="C41" i="47"/>
  <c r="D41" i="47" s="1"/>
  <c r="B38" i="52" s="1"/>
  <c r="G40" i="47"/>
  <c r="H40" i="47" s="1"/>
  <c r="D37" i="52" s="1"/>
  <c r="C40" i="47"/>
  <c r="D40" i="47" s="1"/>
  <c r="B37" i="52" s="1"/>
  <c r="G39" i="47"/>
  <c r="H39" i="47" s="1"/>
  <c r="D36" i="52" s="1"/>
  <c r="C39" i="47"/>
  <c r="D39" i="47" s="1"/>
  <c r="B36" i="52" s="1"/>
  <c r="G38" i="47"/>
  <c r="H38" i="47" s="1"/>
  <c r="D35" i="52" s="1"/>
  <c r="C38" i="47"/>
  <c r="D38" i="47" s="1"/>
  <c r="B35" i="52" s="1"/>
  <c r="H37" i="47"/>
  <c r="D34" i="52" s="1"/>
  <c r="G37" i="47"/>
  <c r="C37" i="47"/>
  <c r="D37" i="47" s="1"/>
  <c r="B34" i="52" s="1"/>
  <c r="G36" i="47"/>
  <c r="H36" i="47" s="1"/>
  <c r="D33" i="52" s="1"/>
  <c r="C36" i="47"/>
  <c r="D36" i="47" s="1"/>
  <c r="B33" i="52" s="1"/>
  <c r="G35" i="47"/>
  <c r="H35" i="47" s="1"/>
  <c r="D32" i="52" s="1"/>
  <c r="C35" i="47"/>
  <c r="D35" i="47" s="1"/>
  <c r="B32" i="52" s="1"/>
  <c r="G34" i="47"/>
  <c r="H34" i="47" s="1"/>
  <c r="D31" i="52" s="1"/>
  <c r="C34" i="47"/>
  <c r="D34" i="47" s="1"/>
  <c r="B31" i="52" s="1"/>
  <c r="H33" i="47"/>
  <c r="D30" i="52" s="1"/>
  <c r="G33" i="47"/>
  <c r="C33" i="47"/>
  <c r="D33" i="47" s="1"/>
  <c r="B30" i="52" s="1"/>
  <c r="G32" i="47"/>
  <c r="H32" i="47" s="1"/>
  <c r="D29" i="52" s="1"/>
  <c r="C32" i="47"/>
  <c r="D32" i="47" s="1"/>
  <c r="B29" i="52" s="1"/>
  <c r="G31" i="47"/>
  <c r="H31" i="47" s="1"/>
  <c r="D28" i="52" s="1"/>
  <c r="C31" i="47"/>
  <c r="D31" i="47" s="1"/>
  <c r="B28" i="52" s="1"/>
  <c r="G30" i="47"/>
  <c r="H30" i="47" s="1"/>
  <c r="D27" i="52" s="1"/>
  <c r="C30" i="47"/>
  <c r="D30" i="47" s="1"/>
  <c r="B27" i="52" s="1"/>
  <c r="H29" i="47"/>
  <c r="D26" i="52" s="1"/>
  <c r="G29" i="47"/>
  <c r="C29" i="47"/>
  <c r="D29" i="47" s="1"/>
  <c r="B26" i="52" s="1"/>
  <c r="G28" i="47"/>
  <c r="H28" i="47" s="1"/>
  <c r="D25" i="52" s="1"/>
  <c r="C28" i="47"/>
  <c r="D28" i="47" s="1"/>
  <c r="B25" i="52" s="1"/>
  <c r="G27" i="47"/>
  <c r="H27" i="47" s="1"/>
  <c r="D24" i="52" s="1"/>
  <c r="D44" i="52" s="1"/>
  <c r="H44" i="52" s="1"/>
  <c r="C27" i="47"/>
  <c r="D27" i="47" s="1"/>
  <c r="B24" i="52" s="1"/>
  <c r="G26" i="47"/>
  <c r="H26" i="47" s="1"/>
  <c r="D23" i="52" s="1"/>
  <c r="C26" i="47"/>
  <c r="D26" i="47" s="1"/>
  <c r="B23" i="52" s="1"/>
  <c r="H25" i="47"/>
  <c r="D22" i="52" s="1"/>
  <c r="G25" i="47"/>
  <c r="C25" i="47"/>
  <c r="D25" i="47" s="1"/>
  <c r="B22" i="52" s="1"/>
  <c r="G24" i="47"/>
  <c r="H24" i="47" s="1"/>
  <c r="D21" i="52" s="1"/>
  <c r="C24" i="47"/>
  <c r="D24" i="47" s="1"/>
  <c r="B21" i="52" s="1"/>
  <c r="G23" i="47"/>
  <c r="H23" i="47" s="1"/>
  <c r="D20" i="52" s="1"/>
  <c r="C23" i="47"/>
  <c r="D23" i="47" s="1"/>
  <c r="B20" i="52" s="1"/>
  <c r="G22" i="47"/>
  <c r="H22" i="47" s="1"/>
  <c r="D19" i="52" s="1"/>
  <c r="C22" i="47"/>
  <c r="D22" i="47" s="1"/>
  <c r="B19" i="52" s="1"/>
  <c r="G21" i="47"/>
  <c r="H21" i="47" s="1"/>
  <c r="D18" i="52" s="1"/>
  <c r="C21" i="47"/>
  <c r="D21" i="47" s="1"/>
  <c r="B18" i="52" s="1"/>
  <c r="G20" i="47"/>
  <c r="H20" i="47" s="1"/>
  <c r="D17" i="52" s="1"/>
  <c r="C20" i="47"/>
  <c r="D20" i="47" s="1"/>
  <c r="B17" i="52" s="1"/>
  <c r="G19" i="47"/>
  <c r="H19" i="47" s="1"/>
  <c r="D16" i="52" s="1"/>
  <c r="C19" i="47"/>
  <c r="D19" i="47" s="1"/>
  <c r="G42" i="46"/>
  <c r="H42" i="46" s="1"/>
  <c r="C42" i="46"/>
  <c r="D42" i="46" s="1"/>
  <c r="H41" i="46"/>
  <c r="G41" i="46"/>
  <c r="C41" i="46"/>
  <c r="D41" i="46" s="1"/>
  <c r="G40" i="46"/>
  <c r="H40" i="46" s="1"/>
  <c r="C40" i="46"/>
  <c r="D40" i="46" s="1"/>
  <c r="G39" i="46"/>
  <c r="H39" i="46" s="1"/>
  <c r="C39" i="46"/>
  <c r="D39" i="46" s="1"/>
  <c r="G38" i="46"/>
  <c r="H38" i="46" s="1"/>
  <c r="C38" i="46"/>
  <c r="D38" i="46" s="1"/>
  <c r="H37" i="46"/>
  <c r="G37" i="46"/>
  <c r="C37" i="46"/>
  <c r="D37" i="46" s="1"/>
  <c r="G36" i="46"/>
  <c r="H36" i="46" s="1"/>
  <c r="C36" i="46"/>
  <c r="D36" i="46" s="1"/>
  <c r="G35" i="46"/>
  <c r="H35" i="46" s="1"/>
  <c r="C35" i="46"/>
  <c r="D35" i="46" s="1"/>
  <c r="G34" i="46"/>
  <c r="H34" i="46" s="1"/>
  <c r="C34" i="46"/>
  <c r="D34" i="46" s="1"/>
  <c r="H33" i="46"/>
  <c r="G33" i="46"/>
  <c r="C33" i="46"/>
  <c r="D33" i="46" s="1"/>
  <c r="G32" i="46"/>
  <c r="H32" i="46" s="1"/>
  <c r="C32" i="46"/>
  <c r="D32" i="46" s="1"/>
  <c r="G31" i="46"/>
  <c r="H31" i="46" s="1"/>
  <c r="C31" i="46"/>
  <c r="D31" i="46" s="1"/>
  <c r="G30" i="46"/>
  <c r="H30" i="46" s="1"/>
  <c r="C30" i="46"/>
  <c r="D30" i="46" s="1"/>
  <c r="G29" i="46"/>
  <c r="H29" i="46" s="1"/>
  <c r="C29" i="46"/>
  <c r="D29" i="46" s="1"/>
  <c r="G28" i="46"/>
  <c r="H28" i="46" s="1"/>
  <c r="C28" i="46"/>
  <c r="D28" i="46" s="1"/>
  <c r="G27" i="46"/>
  <c r="H27" i="46" s="1"/>
  <c r="C27" i="46"/>
  <c r="D27" i="46" s="1"/>
  <c r="G26" i="46"/>
  <c r="H26" i="46" s="1"/>
  <c r="C26" i="46"/>
  <c r="D26" i="46" s="1"/>
  <c r="H25" i="46"/>
  <c r="G25" i="46"/>
  <c r="C25" i="46"/>
  <c r="D25" i="46" s="1"/>
  <c r="G24" i="46"/>
  <c r="H24" i="46" s="1"/>
  <c r="C24" i="46"/>
  <c r="D24" i="46" s="1"/>
  <c r="G23" i="46"/>
  <c r="H23" i="46" s="1"/>
  <c r="C23" i="46"/>
  <c r="D23" i="46" s="1"/>
  <c r="G22" i="46"/>
  <c r="H22" i="46" s="1"/>
  <c r="C22" i="46"/>
  <c r="D22" i="46" s="1"/>
  <c r="G21" i="46"/>
  <c r="H21" i="46" s="1"/>
  <c r="C21" i="46"/>
  <c r="D21" i="46" s="1"/>
  <c r="G20" i="46"/>
  <c r="H20" i="46" s="1"/>
  <c r="C20" i="46"/>
  <c r="D20" i="46" s="1"/>
  <c r="G19" i="46"/>
  <c r="H19" i="46" s="1"/>
  <c r="C19" i="46"/>
  <c r="D19" i="46" s="1"/>
  <c r="G42" i="45"/>
  <c r="H42" i="45" s="1"/>
  <c r="C42" i="45"/>
  <c r="D42" i="45" s="1"/>
  <c r="H41" i="45"/>
  <c r="G41" i="45"/>
  <c r="C41" i="45"/>
  <c r="D41" i="45" s="1"/>
  <c r="G40" i="45"/>
  <c r="H40" i="45" s="1"/>
  <c r="C40" i="45"/>
  <c r="D40" i="45" s="1"/>
  <c r="G39" i="45"/>
  <c r="H39" i="45" s="1"/>
  <c r="C39" i="45"/>
  <c r="D39" i="45" s="1"/>
  <c r="G38" i="45"/>
  <c r="H38" i="45" s="1"/>
  <c r="C38" i="45"/>
  <c r="D38" i="45" s="1"/>
  <c r="H37" i="45"/>
  <c r="G37" i="45"/>
  <c r="C37" i="45"/>
  <c r="D37" i="45" s="1"/>
  <c r="G36" i="45"/>
  <c r="H36" i="45" s="1"/>
  <c r="C36" i="45"/>
  <c r="D36" i="45" s="1"/>
  <c r="G35" i="45"/>
  <c r="H35" i="45" s="1"/>
  <c r="C35" i="45"/>
  <c r="D35" i="45" s="1"/>
  <c r="G34" i="45"/>
  <c r="H34" i="45" s="1"/>
  <c r="C34" i="45"/>
  <c r="D34" i="45" s="1"/>
  <c r="H33" i="45"/>
  <c r="G33" i="45"/>
  <c r="C33" i="45"/>
  <c r="D33" i="45" s="1"/>
  <c r="G32" i="45"/>
  <c r="H32" i="45" s="1"/>
  <c r="C32" i="45"/>
  <c r="D32" i="45" s="1"/>
  <c r="G31" i="45"/>
  <c r="H31" i="45" s="1"/>
  <c r="C31" i="45"/>
  <c r="D31" i="45" s="1"/>
  <c r="G30" i="45"/>
  <c r="H30" i="45" s="1"/>
  <c r="C30" i="45"/>
  <c r="D30" i="45" s="1"/>
  <c r="H29" i="45"/>
  <c r="G29" i="45"/>
  <c r="C29" i="45"/>
  <c r="D29" i="45" s="1"/>
  <c r="G28" i="45"/>
  <c r="H28" i="45" s="1"/>
  <c r="C28" i="45"/>
  <c r="D28" i="45" s="1"/>
  <c r="G27" i="45"/>
  <c r="H27" i="45" s="1"/>
  <c r="C27" i="45"/>
  <c r="D27" i="45" s="1"/>
  <c r="G26" i="45"/>
  <c r="H26" i="45" s="1"/>
  <c r="C26" i="45"/>
  <c r="D26" i="45" s="1"/>
  <c r="H25" i="45"/>
  <c r="G25" i="45"/>
  <c r="C25" i="45"/>
  <c r="D25" i="45" s="1"/>
  <c r="G24" i="45"/>
  <c r="H24" i="45" s="1"/>
  <c r="C24" i="45"/>
  <c r="D24" i="45" s="1"/>
  <c r="G23" i="45"/>
  <c r="H23" i="45" s="1"/>
  <c r="C23" i="45"/>
  <c r="D23" i="45" s="1"/>
  <c r="G22" i="45"/>
  <c r="H22" i="45" s="1"/>
  <c r="C22" i="45"/>
  <c r="D22" i="45" s="1"/>
  <c r="H21" i="45"/>
  <c r="G21" i="45"/>
  <c r="C21" i="45"/>
  <c r="D21" i="45" s="1"/>
  <c r="G20" i="45"/>
  <c r="H20" i="45" s="1"/>
  <c r="C20" i="45"/>
  <c r="D20" i="45" s="1"/>
  <c r="G19" i="45"/>
  <c r="H19" i="45" s="1"/>
  <c r="C19" i="45"/>
  <c r="D19" i="45" s="1"/>
  <c r="G42" i="44"/>
  <c r="H42" i="44" s="1"/>
  <c r="C42" i="44"/>
  <c r="D42" i="44" s="1"/>
  <c r="H41" i="44"/>
  <c r="G41" i="44"/>
  <c r="C41" i="44"/>
  <c r="D41" i="44" s="1"/>
  <c r="G40" i="44"/>
  <c r="H40" i="44" s="1"/>
  <c r="C40" i="44"/>
  <c r="D40" i="44" s="1"/>
  <c r="G39" i="44"/>
  <c r="H39" i="44" s="1"/>
  <c r="C39" i="44"/>
  <c r="D39" i="44" s="1"/>
  <c r="G38" i="44"/>
  <c r="H38" i="44" s="1"/>
  <c r="C38" i="44"/>
  <c r="D38" i="44" s="1"/>
  <c r="H37" i="44"/>
  <c r="G37" i="44"/>
  <c r="C37" i="44"/>
  <c r="D37" i="44" s="1"/>
  <c r="G36" i="44"/>
  <c r="H36" i="44" s="1"/>
  <c r="C36" i="44"/>
  <c r="D36" i="44" s="1"/>
  <c r="G35" i="44"/>
  <c r="H35" i="44" s="1"/>
  <c r="C35" i="44"/>
  <c r="D35" i="44" s="1"/>
  <c r="G34" i="44"/>
  <c r="H34" i="44" s="1"/>
  <c r="C34" i="44"/>
  <c r="D34" i="44" s="1"/>
  <c r="H33" i="44"/>
  <c r="G33" i="44"/>
  <c r="C33" i="44"/>
  <c r="D33" i="44" s="1"/>
  <c r="G32" i="44"/>
  <c r="H32" i="44" s="1"/>
  <c r="C32" i="44"/>
  <c r="D32" i="44" s="1"/>
  <c r="G31" i="44"/>
  <c r="H31" i="44" s="1"/>
  <c r="C31" i="44"/>
  <c r="D31" i="44" s="1"/>
  <c r="G30" i="44"/>
  <c r="H30" i="44" s="1"/>
  <c r="C30" i="44"/>
  <c r="D30" i="44" s="1"/>
  <c r="H29" i="44"/>
  <c r="G29" i="44"/>
  <c r="C29" i="44"/>
  <c r="D29" i="44" s="1"/>
  <c r="G28" i="44"/>
  <c r="H28" i="44" s="1"/>
  <c r="C28" i="44"/>
  <c r="D28" i="44" s="1"/>
  <c r="G27" i="44"/>
  <c r="H27" i="44" s="1"/>
  <c r="C27" i="44"/>
  <c r="D27" i="44" s="1"/>
  <c r="G26" i="44"/>
  <c r="H26" i="44" s="1"/>
  <c r="C26" i="44"/>
  <c r="D26" i="44" s="1"/>
  <c r="H25" i="44"/>
  <c r="G25" i="44"/>
  <c r="C25" i="44"/>
  <c r="D25" i="44" s="1"/>
  <c r="G24" i="44"/>
  <c r="H24" i="44" s="1"/>
  <c r="C24" i="44"/>
  <c r="D24" i="44" s="1"/>
  <c r="G23" i="44"/>
  <c r="H23" i="44" s="1"/>
  <c r="C23" i="44"/>
  <c r="D23" i="44" s="1"/>
  <c r="G22" i="44"/>
  <c r="H22" i="44" s="1"/>
  <c r="C22" i="44"/>
  <c r="D22" i="44" s="1"/>
  <c r="H21" i="44"/>
  <c r="G21" i="44"/>
  <c r="C21" i="44"/>
  <c r="D21" i="44" s="1"/>
  <c r="G20" i="44"/>
  <c r="H20" i="44" s="1"/>
  <c r="C20" i="44"/>
  <c r="D20" i="44" s="1"/>
  <c r="G19" i="44"/>
  <c r="H19" i="44" s="1"/>
  <c r="C19" i="44"/>
  <c r="D19" i="44" s="1"/>
  <c r="D45" i="52" l="1"/>
  <c r="H45" i="52" s="1"/>
  <c r="F17" i="52"/>
  <c r="F18" i="52"/>
  <c r="F21" i="52"/>
  <c r="F22" i="52"/>
  <c r="F25" i="52"/>
  <c r="F26" i="52"/>
  <c r="F29" i="52"/>
  <c r="F30" i="52"/>
  <c r="F34" i="52"/>
  <c r="F37" i="52"/>
  <c r="F38" i="52"/>
  <c r="F19" i="52"/>
  <c r="F20" i="52"/>
  <c r="F23" i="52"/>
  <c r="F27" i="52"/>
  <c r="F28" i="52"/>
  <c r="F31" i="52"/>
  <c r="F32" i="52"/>
  <c r="F35" i="52"/>
  <c r="F36" i="52"/>
  <c r="F39" i="52"/>
  <c r="B44" i="52"/>
  <c r="E44" i="52" s="1"/>
  <c r="J44" i="52" s="1"/>
  <c r="F24" i="52"/>
  <c r="B45" i="52"/>
  <c r="E45" i="52" s="1"/>
  <c r="J45" i="52" s="1"/>
  <c r="F33" i="52"/>
  <c r="I20" i="47"/>
  <c r="I22" i="47"/>
  <c r="I24" i="47"/>
  <c r="I26" i="47"/>
  <c r="I28" i="47"/>
  <c r="I30" i="47"/>
  <c r="I32" i="47"/>
  <c r="I34" i="47"/>
  <c r="I36" i="47"/>
  <c r="I38" i="47"/>
  <c r="I40" i="47"/>
  <c r="D43" i="47"/>
  <c r="B16" i="52"/>
  <c r="B40" i="52" s="1"/>
  <c r="D43" i="46"/>
  <c r="I20" i="46"/>
  <c r="I22" i="46"/>
  <c r="I24" i="46"/>
  <c r="I26" i="46"/>
  <c r="I28" i="46"/>
  <c r="I30" i="46"/>
  <c r="I32" i="46"/>
  <c r="I34" i="46"/>
  <c r="I36" i="46"/>
  <c r="I38" i="46"/>
  <c r="D43" i="45"/>
  <c r="I19" i="45"/>
  <c r="I20" i="45"/>
  <c r="I21" i="45"/>
  <c r="I22" i="45"/>
  <c r="I23" i="45"/>
  <c r="I24" i="45"/>
  <c r="I25" i="45"/>
  <c r="I26" i="45"/>
  <c r="I27" i="45"/>
  <c r="I28" i="45"/>
  <c r="I29" i="45"/>
  <c r="I30" i="45"/>
  <c r="I31" i="45"/>
  <c r="I32" i="45"/>
  <c r="I33" i="45"/>
  <c r="I34" i="45"/>
  <c r="I35" i="45"/>
  <c r="I36" i="45"/>
  <c r="I37" i="45"/>
  <c r="I38" i="45"/>
  <c r="I39" i="45"/>
  <c r="I40" i="45"/>
  <c r="I41" i="45"/>
  <c r="D43" i="44"/>
  <c r="I19" i="44"/>
  <c r="I20" i="44"/>
  <c r="I21" i="44"/>
  <c r="I22" i="44"/>
  <c r="I23" i="44"/>
  <c r="I24" i="44"/>
  <c r="I25" i="44"/>
  <c r="I26" i="44"/>
  <c r="I27" i="44"/>
  <c r="I28" i="44"/>
  <c r="I29" i="44"/>
  <c r="I30" i="44"/>
  <c r="I31" i="44"/>
  <c r="I32" i="44"/>
  <c r="I33" i="44"/>
  <c r="I34" i="44"/>
  <c r="I35" i="44"/>
  <c r="I36" i="44"/>
  <c r="I37" i="44"/>
  <c r="I38" i="44"/>
  <c r="I39" i="44"/>
  <c r="I40" i="44"/>
  <c r="I41" i="44"/>
  <c r="B46" i="52"/>
  <c r="E46" i="52" s="1"/>
  <c r="I19" i="47"/>
  <c r="I21" i="47"/>
  <c r="I23" i="47"/>
  <c r="I25" i="47"/>
  <c r="I27" i="47"/>
  <c r="I29" i="47"/>
  <c r="I31" i="47"/>
  <c r="I33" i="47"/>
  <c r="I35" i="47"/>
  <c r="I37" i="47"/>
  <c r="I39" i="47"/>
  <c r="I41" i="47"/>
  <c r="I42" i="47"/>
  <c r="H43" i="47"/>
  <c r="I43" i="47" s="1"/>
  <c r="I40" i="46"/>
  <c r="I25" i="46"/>
  <c r="I31" i="46"/>
  <c r="I37" i="46"/>
  <c r="I39" i="46"/>
  <c r="I19" i="46"/>
  <c r="I21" i="46"/>
  <c r="I23" i="46"/>
  <c r="I27" i="46"/>
  <c r="I29" i="46"/>
  <c r="I33" i="46"/>
  <c r="I35" i="46"/>
  <c r="I41" i="46"/>
  <c r="I42" i="46"/>
  <c r="H43" i="46"/>
  <c r="I43" i="46" s="1"/>
  <c r="I42" i="45"/>
  <c r="H43" i="45"/>
  <c r="I43" i="45" s="1"/>
  <c r="I42" i="44"/>
  <c r="H43" i="44"/>
  <c r="I43" i="44" s="1"/>
  <c r="G42" i="43"/>
  <c r="H42" i="43" s="1"/>
  <c r="D39" i="51" s="1"/>
  <c r="C42" i="43"/>
  <c r="D42" i="43" s="1"/>
  <c r="B39" i="51" s="1"/>
  <c r="H41" i="43"/>
  <c r="D38" i="51" s="1"/>
  <c r="G41" i="43"/>
  <c r="C41" i="43"/>
  <c r="D41" i="43" s="1"/>
  <c r="B38" i="51" s="1"/>
  <c r="F38" i="51" s="1"/>
  <c r="G40" i="43"/>
  <c r="H40" i="43" s="1"/>
  <c r="D37" i="51" s="1"/>
  <c r="C40" i="43"/>
  <c r="D40" i="43" s="1"/>
  <c r="B37" i="51" s="1"/>
  <c r="F37" i="51" s="1"/>
  <c r="G39" i="43"/>
  <c r="H39" i="43" s="1"/>
  <c r="D36" i="51" s="1"/>
  <c r="C39" i="43"/>
  <c r="D39" i="43" s="1"/>
  <c r="B36" i="51" s="1"/>
  <c r="G38" i="43"/>
  <c r="H38" i="43" s="1"/>
  <c r="D35" i="51" s="1"/>
  <c r="C38" i="43"/>
  <c r="D38" i="43" s="1"/>
  <c r="B35" i="51" s="1"/>
  <c r="G37" i="43"/>
  <c r="H37" i="43" s="1"/>
  <c r="D34" i="51" s="1"/>
  <c r="C37" i="43"/>
  <c r="D37" i="43" s="1"/>
  <c r="B34" i="51" s="1"/>
  <c r="G36" i="43"/>
  <c r="H36" i="43" s="1"/>
  <c r="D33" i="51" s="1"/>
  <c r="C36" i="43"/>
  <c r="D36" i="43" s="1"/>
  <c r="B33" i="51" s="1"/>
  <c r="G35" i="43"/>
  <c r="H35" i="43" s="1"/>
  <c r="D32" i="51" s="1"/>
  <c r="C35" i="43"/>
  <c r="D35" i="43" s="1"/>
  <c r="B32" i="51" s="1"/>
  <c r="G34" i="43"/>
  <c r="H34" i="43" s="1"/>
  <c r="D31" i="51" s="1"/>
  <c r="C34" i="43"/>
  <c r="D34" i="43" s="1"/>
  <c r="B31" i="51" s="1"/>
  <c r="H33" i="43"/>
  <c r="D30" i="51" s="1"/>
  <c r="G33" i="43"/>
  <c r="C33" i="43"/>
  <c r="D33" i="43" s="1"/>
  <c r="B30" i="51" s="1"/>
  <c r="F30" i="51" s="1"/>
  <c r="G32" i="43"/>
  <c r="H32" i="43" s="1"/>
  <c r="D29" i="51" s="1"/>
  <c r="C32" i="43"/>
  <c r="D32" i="43" s="1"/>
  <c r="B29" i="51" s="1"/>
  <c r="F29" i="51" s="1"/>
  <c r="G31" i="43"/>
  <c r="H31" i="43" s="1"/>
  <c r="D28" i="51" s="1"/>
  <c r="C31" i="43"/>
  <c r="D31" i="43" s="1"/>
  <c r="B28" i="51" s="1"/>
  <c r="G30" i="43"/>
  <c r="H30" i="43" s="1"/>
  <c r="D27" i="51" s="1"/>
  <c r="C30" i="43"/>
  <c r="D30" i="43" s="1"/>
  <c r="B27" i="51" s="1"/>
  <c r="G29" i="43"/>
  <c r="H29" i="43" s="1"/>
  <c r="D26" i="51" s="1"/>
  <c r="C29" i="43"/>
  <c r="D29" i="43" s="1"/>
  <c r="B26" i="51" s="1"/>
  <c r="G28" i="43"/>
  <c r="H28" i="43" s="1"/>
  <c r="D25" i="51" s="1"/>
  <c r="C28" i="43"/>
  <c r="D28" i="43" s="1"/>
  <c r="B25" i="51" s="1"/>
  <c r="G27" i="43"/>
  <c r="H27" i="43" s="1"/>
  <c r="D24" i="51" s="1"/>
  <c r="C27" i="43"/>
  <c r="D27" i="43" s="1"/>
  <c r="B24" i="51" s="1"/>
  <c r="G26" i="43"/>
  <c r="H26" i="43" s="1"/>
  <c r="D23" i="51" s="1"/>
  <c r="C26" i="43"/>
  <c r="D26" i="43" s="1"/>
  <c r="B23" i="51" s="1"/>
  <c r="H25" i="43"/>
  <c r="D22" i="51" s="1"/>
  <c r="G25" i="43"/>
  <c r="C25" i="43"/>
  <c r="D25" i="43" s="1"/>
  <c r="B22" i="51" s="1"/>
  <c r="G24" i="43"/>
  <c r="H24" i="43" s="1"/>
  <c r="D21" i="51" s="1"/>
  <c r="C24" i="43"/>
  <c r="D24" i="43" s="1"/>
  <c r="B21" i="51" s="1"/>
  <c r="F21" i="51" s="1"/>
  <c r="G23" i="43"/>
  <c r="H23" i="43" s="1"/>
  <c r="D20" i="51" s="1"/>
  <c r="C23" i="43"/>
  <c r="D23" i="43" s="1"/>
  <c r="B20" i="51" s="1"/>
  <c r="G22" i="43"/>
  <c r="H22" i="43" s="1"/>
  <c r="D19" i="51" s="1"/>
  <c r="C22" i="43"/>
  <c r="D22" i="43" s="1"/>
  <c r="B19" i="51" s="1"/>
  <c r="G21" i="43"/>
  <c r="H21" i="43" s="1"/>
  <c r="D18" i="51" s="1"/>
  <c r="C21" i="43"/>
  <c r="D21" i="43" s="1"/>
  <c r="B18" i="51" s="1"/>
  <c r="G20" i="43"/>
  <c r="H20" i="43" s="1"/>
  <c r="D17" i="51" s="1"/>
  <c r="C20" i="43"/>
  <c r="D20" i="43" s="1"/>
  <c r="B17" i="51" s="1"/>
  <c r="G19" i="43"/>
  <c r="H19" i="43" s="1"/>
  <c r="C19" i="43"/>
  <c r="D19" i="43" s="1"/>
  <c r="B16" i="51" s="1"/>
  <c r="F18" i="51" l="1"/>
  <c r="F26" i="51"/>
  <c r="F34" i="51"/>
  <c r="D44" i="51"/>
  <c r="H44" i="51" s="1"/>
  <c r="F25" i="51"/>
  <c r="F17" i="51"/>
  <c r="F22" i="51"/>
  <c r="F19" i="51"/>
  <c r="F20" i="51"/>
  <c r="F23" i="51"/>
  <c r="F27" i="51"/>
  <c r="F28" i="51"/>
  <c r="F31" i="51"/>
  <c r="F32" i="51"/>
  <c r="D45" i="51"/>
  <c r="H45" i="51" s="1"/>
  <c r="F35" i="51"/>
  <c r="F36" i="51"/>
  <c r="F39" i="51"/>
  <c r="B44" i="51"/>
  <c r="E44" i="51" s="1"/>
  <c r="J44" i="51" s="1"/>
  <c r="F24" i="51"/>
  <c r="F33" i="51"/>
  <c r="B45" i="51"/>
  <c r="E45" i="51" s="1"/>
  <c r="I20" i="43"/>
  <c r="I22" i="43"/>
  <c r="I24" i="43"/>
  <c r="I26" i="43"/>
  <c r="I28" i="43"/>
  <c r="I30" i="43"/>
  <c r="I32" i="43"/>
  <c r="I34" i="43"/>
  <c r="I36" i="43"/>
  <c r="I38" i="43"/>
  <c r="I40" i="43"/>
  <c r="B46" i="51"/>
  <c r="E46" i="51" s="1"/>
  <c r="B40" i="51"/>
  <c r="D16" i="51"/>
  <c r="I21" i="43"/>
  <c r="I23" i="43"/>
  <c r="I29" i="43"/>
  <c r="I35" i="43"/>
  <c r="D43" i="43"/>
  <c r="I25" i="43"/>
  <c r="I27" i="43"/>
  <c r="I31" i="43"/>
  <c r="I33" i="43"/>
  <c r="I37" i="43"/>
  <c r="I39" i="43"/>
  <c r="I41" i="43"/>
  <c r="I42" i="43"/>
  <c r="I19" i="43"/>
  <c r="H43" i="43"/>
  <c r="I43" i="43" s="1"/>
  <c r="J45" i="51" l="1"/>
  <c r="D40" i="52"/>
  <c r="F40" i="52" s="1"/>
  <c r="D46" i="52"/>
  <c r="H46" i="52" s="1"/>
  <c r="J46" i="52" s="1"/>
  <c r="F16" i="52"/>
  <c r="G42" i="13"/>
  <c r="H42" i="13" s="1"/>
  <c r="C42" i="13"/>
  <c r="D42" i="13" s="1"/>
  <c r="H41" i="13"/>
  <c r="G41" i="13"/>
  <c r="C41" i="13"/>
  <c r="D41" i="13" s="1"/>
  <c r="G40" i="13"/>
  <c r="H40" i="13" s="1"/>
  <c r="C40" i="13"/>
  <c r="D40" i="13" s="1"/>
  <c r="G39" i="13"/>
  <c r="H39" i="13" s="1"/>
  <c r="C39" i="13"/>
  <c r="D39" i="13" s="1"/>
  <c r="G38" i="13"/>
  <c r="H38" i="13" s="1"/>
  <c r="C38" i="13"/>
  <c r="D38" i="13" s="1"/>
  <c r="H37" i="13"/>
  <c r="G37" i="13"/>
  <c r="C37" i="13"/>
  <c r="D37" i="13" s="1"/>
  <c r="G36" i="13"/>
  <c r="H36" i="13" s="1"/>
  <c r="C36" i="13"/>
  <c r="D36" i="13" s="1"/>
  <c r="G35" i="13"/>
  <c r="H35" i="13" s="1"/>
  <c r="C35" i="13"/>
  <c r="D35" i="13" s="1"/>
  <c r="G34" i="13"/>
  <c r="H34" i="13" s="1"/>
  <c r="C34" i="13"/>
  <c r="D34" i="13" s="1"/>
  <c r="H33" i="13"/>
  <c r="G33" i="13"/>
  <c r="C33" i="13"/>
  <c r="D33" i="13" s="1"/>
  <c r="G32" i="13"/>
  <c r="H32" i="13" s="1"/>
  <c r="C32" i="13"/>
  <c r="D32" i="13" s="1"/>
  <c r="G31" i="13"/>
  <c r="H31" i="13" s="1"/>
  <c r="C31" i="13"/>
  <c r="D31" i="13" s="1"/>
  <c r="G30" i="13"/>
  <c r="H30" i="13" s="1"/>
  <c r="C30" i="13"/>
  <c r="D30" i="13" s="1"/>
  <c r="H29" i="13"/>
  <c r="G29" i="13"/>
  <c r="C29" i="13"/>
  <c r="D29" i="13" s="1"/>
  <c r="G28" i="13"/>
  <c r="H28" i="13" s="1"/>
  <c r="C28" i="13"/>
  <c r="D28" i="13" s="1"/>
  <c r="G27" i="13"/>
  <c r="H27" i="13" s="1"/>
  <c r="C27" i="13"/>
  <c r="D27" i="13" s="1"/>
  <c r="G26" i="13"/>
  <c r="H26" i="13" s="1"/>
  <c r="C26" i="13"/>
  <c r="D26" i="13" s="1"/>
  <c r="G25" i="13"/>
  <c r="H25" i="13" s="1"/>
  <c r="C25" i="13"/>
  <c r="D25" i="13" s="1"/>
  <c r="G24" i="13"/>
  <c r="H24" i="13" s="1"/>
  <c r="C24" i="13"/>
  <c r="D24" i="13" s="1"/>
  <c r="G23" i="13"/>
  <c r="H23" i="13" s="1"/>
  <c r="C23" i="13"/>
  <c r="D23" i="13" s="1"/>
  <c r="G22" i="13"/>
  <c r="H22" i="13" s="1"/>
  <c r="C22" i="13"/>
  <c r="D22" i="13" s="1"/>
  <c r="H21" i="13"/>
  <c r="G21" i="13"/>
  <c r="C21" i="13"/>
  <c r="D21" i="13" s="1"/>
  <c r="G20" i="13"/>
  <c r="H20" i="13" s="1"/>
  <c r="C20" i="13"/>
  <c r="D20" i="13" s="1"/>
  <c r="G19" i="13"/>
  <c r="H19" i="13" s="1"/>
  <c r="C19" i="13"/>
  <c r="D19" i="13" s="1"/>
  <c r="G42" i="5"/>
  <c r="H42" i="5" s="1"/>
  <c r="C42" i="5"/>
  <c r="D42" i="5" s="1"/>
  <c r="G41" i="5"/>
  <c r="H41" i="5" s="1"/>
  <c r="C41" i="5"/>
  <c r="D41" i="5" s="1"/>
  <c r="H40" i="5"/>
  <c r="G40" i="5"/>
  <c r="C40" i="5"/>
  <c r="D40" i="5" s="1"/>
  <c r="G39" i="5"/>
  <c r="H39" i="5" s="1"/>
  <c r="C39" i="5"/>
  <c r="D39" i="5" s="1"/>
  <c r="G38" i="5"/>
  <c r="H38" i="5" s="1"/>
  <c r="C38" i="5"/>
  <c r="D38" i="5" s="1"/>
  <c r="G37" i="5"/>
  <c r="H37" i="5" s="1"/>
  <c r="C37" i="5"/>
  <c r="D37" i="5" s="1"/>
  <c r="G36" i="5"/>
  <c r="H36" i="5" s="1"/>
  <c r="C36" i="5"/>
  <c r="D36" i="5" s="1"/>
  <c r="G35" i="5"/>
  <c r="H35" i="5" s="1"/>
  <c r="C35" i="5"/>
  <c r="D35" i="5" s="1"/>
  <c r="G34" i="5"/>
  <c r="H34" i="5" s="1"/>
  <c r="C34" i="5"/>
  <c r="D34" i="5" s="1"/>
  <c r="G33" i="5"/>
  <c r="H33" i="5" s="1"/>
  <c r="C33" i="5"/>
  <c r="D33" i="5" s="1"/>
  <c r="G32" i="5"/>
  <c r="H32" i="5" s="1"/>
  <c r="C32" i="5"/>
  <c r="D32" i="5" s="1"/>
  <c r="G31" i="5"/>
  <c r="H31" i="5" s="1"/>
  <c r="C31" i="5"/>
  <c r="D31" i="5" s="1"/>
  <c r="G30" i="5"/>
  <c r="H30" i="5" s="1"/>
  <c r="C30" i="5"/>
  <c r="D30" i="5" s="1"/>
  <c r="G29" i="5"/>
  <c r="H29" i="5" s="1"/>
  <c r="C29" i="5"/>
  <c r="D29" i="5" s="1"/>
  <c r="G28" i="5"/>
  <c r="H28" i="5" s="1"/>
  <c r="C28" i="5"/>
  <c r="D28" i="5" s="1"/>
  <c r="G27" i="5"/>
  <c r="H27" i="5" s="1"/>
  <c r="C27" i="5"/>
  <c r="D27" i="5" s="1"/>
  <c r="G26" i="5"/>
  <c r="H26" i="5" s="1"/>
  <c r="C26" i="5"/>
  <c r="D26" i="5" s="1"/>
  <c r="G25" i="5"/>
  <c r="H25" i="5" s="1"/>
  <c r="C25" i="5"/>
  <c r="D25" i="5" s="1"/>
  <c r="G24" i="5"/>
  <c r="H24" i="5" s="1"/>
  <c r="C24" i="5"/>
  <c r="D24" i="5" s="1"/>
  <c r="G23" i="5"/>
  <c r="H23" i="5" s="1"/>
  <c r="C23" i="5"/>
  <c r="D23" i="5" s="1"/>
  <c r="G22" i="5"/>
  <c r="H22" i="5" s="1"/>
  <c r="C22" i="5"/>
  <c r="D22" i="5" s="1"/>
  <c r="G21" i="5"/>
  <c r="H21" i="5" s="1"/>
  <c r="C21" i="5"/>
  <c r="D21" i="5" s="1"/>
  <c r="G20" i="5"/>
  <c r="H20" i="5" s="1"/>
  <c r="C20" i="5"/>
  <c r="D20" i="5" s="1"/>
  <c r="G19" i="5"/>
  <c r="H19" i="5" s="1"/>
  <c r="C19" i="5"/>
  <c r="D19" i="5" s="1"/>
  <c r="I19" i="13" l="1"/>
  <c r="I20" i="13"/>
  <c r="I21" i="13"/>
  <c r="I22" i="13"/>
  <c r="I23" i="13"/>
  <c r="I24" i="13"/>
  <c r="I25" i="13"/>
  <c r="I26" i="13"/>
  <c r="I27" i="13"/>
  <c r="I28" i="13"/>
  <c r="I29" i="13"/>
  <c r="I30" i="13"/>
  <c r="I31" i="13"/>
  <c r="I32" i="13"/>
  <c r="I33" i="13"/>
  <c r="I34" i="13"/>
  <c r="I35" i="13"/>
  <c r="I36" i="13"/>
  <c r="I37" i="13"/>
  <c r="I38" i="13"/>
  <c r="I39" i="13"/>
  <c r="I40" i="13"/>
  <c r="I41" i="13"/>
  <c r="I41" i="5"/>
  <c r="I42" i="5"/>
  <c r="I20" i="5"/>
  <c r="I22" i="5"/>
  <c r="I24" i="5"/>
  <c r="I26" i="5"/>
  <c r="I33" i="5"/>
  <c r="I35" i="5"/>
  <c r="I37" i="5"/>
  <c r="I28" i="5"/>
  <c r="I30" i="5"/>
  <c r="I19" i="5"/>
  <c r="I21" i="5"/>
  <c r="I23" i="5"/>
  <c r="I25" i="5"/>
  <c r="I27" i="5"/>
  <c r="I29" i="5"/>
  <c r="I31" i="5"/>
  <c r="I32" i="5"/>
  <c r="I34" i="5"/>
  <c r="I36" i="5"/>
  <c r="I42" i="13"/>
  <c r="I40" i="5"/>
  <c r="I38" i="5"/>
  <c r="I39" i="5"/>
  <c r="G21" i="31" l="1"/>
  <c r="G22" i="31"/>
  <c r="G23" i="31"/>
  <c r="G24" i="31"/>
  <c r="G25" i="31"/>
  <c r="G26" i="31"/>
  <c r="G27" i="31"/>
  <c r="G28" i="31"/>
  <c r="G29" i="31"/>
  <c r="G30" i="31"/>
  <c r="G31" i="31"/>
  <c r="G32" i="31"/>
  <c r="G33" i="31"/>
  <c r="G34" i="31"/>
  <c r="G35" i="31"/>
  <c r="G36" i="31"/>
  <c r="G37" i="31"/>
  <c r="G38" i="31"/>
  <c r="G39" i="31"/>
  <c r="G40" i="31"/>
  <c r="G41" i="31"/>
  <c r="G42" i="31"/>
  <c r="G20" i="31"/>
  <c r="G19" i="31"/>
  <c r="G21" i="29"/>
  <c r="G22" i="29"/>
  <c r="G23" i="29"/>
  <c r="G24" i="29"/>
  <c r="G25" i="29"/>
  <c r="G26" i="29"/>
  <c r="G27" i="29"/>
  <c r="G28" i="29"/>
  <c r="G29" i="29"/>
  <c r="G30" i="29"/>
  <c r="G31" i="29"/>
  <c r="G32" i="29"/>
  <c r="G33" i="29"/>
  <c r="G34" i="29"/>
  <c r="G35" i="29"/>
  <c r="G36" i="29"/>
  <c r="G37" i="29"/>
  <c r="G38" i="29"/>
  <c r="G39" i="29"/>
  <c r="G40" i="29"/>
  <c r="G41" i="29"/>
  <c r="G42" i="29"/>
  <c r="G20" i="29"/>
  <c r="G19" i="29"/>
  <c r="G21" i="30"/>
  <c r="G22" i="30"/>
  <c r="G23" i="30"/>
  <c r="G24" i="30"/>
  <c r="G25" i="30"/>
  <c r="G26" i="30"/>
  <c r="G27" i="30"/>
  <c r="G28" i="30"/>
  <c r="G29" i="30"/>
  <c r="G30" i="30"/>
  <c r="G31" i="30"/>
  <c r="G32" i="30"/>
  <c r="G33" i="30"/>
  <c r="G34" i="30"/>
  <c r="G35" i="30"/>
  <c r="G36" i="30"/>
  <c r="G37" i="30"/>
  <c r="G38" i="30"/>
  <c r="G39" i="30"/>
  <c r="G40" i="30"/>
  <c r="G41" i="30"/>
  <c r="G42" i="30"/>
  <c r="G20" i="30"/>
  <c r="G19" i="30"/>
  <c r="G21" i="21"/>
  <c r="G22" i="21"/>
  <c r="G23" i="21"/>
  <c r="G24" i="21"/>
  <c r="G25" i="21"/>
  <c r="G26" i="21"/>
  <c r="G27" i="21"/>
  <c r="G28" i="21"/>
  <c r="G29" i="21"/>
  <c r="G30" i="21"/>
  <c r="G31" i="21"/>
  <c r="G32" i="21"/>
  <c r="G33" i="21"/>
  <c r="G34" i="21"/>
  <c r="G35" i="21"/>
  <c r="G36" i="21"/>
  <c r="G37" i="21"/>
  <c r="G38" i="21"/>
  <c r="G39" i="21"/>
  <c r="G40" i="21"/>
  <c r="G41" i="21"/>
  <c r="G42" i="21"/>
  <c r="G20" i="21"/>
  <c r="G19" i="21"/>
  <c r="G21" i="19"/>
  <c r="G22" i="19"/>
  <c r="G23" i="19"/>
  <c r="G24" i="19"/>
  <c r="G25" i="19"/>
  <c r="G26" i="19"/>
  <c r="G27" i="19"/>
  <c r="G28" i="19"/>
  <c r="G29" i="19"/>
  <c r="G30" i="19"/>
  <c r="G31" i="19"/>
  <c r="G32" i="19"/>
  <c r="G33" i="19"/>
  <c r="G34" i="19"/>
  <c r="G35" i="19"/>
  <c r="G36" i="19"/>
  <c r="G37" i="19"/>
  <c r="G38" i="19"/>
  <c r="G39" i="19"/>
  <c r="G40" i="19"/>
  <c r="G41" i="19"/>
  <c r="G42" i="19"/>
  <c r="G20" i="19"/>
  <c r="G19" i="19"/>
  <c r="G21" i="17"/>
  <c r="G22" i="17"/>
  <c r="G23" i="17"/>
  <c r="G24" i="17"/>
  <c r="G25" i="17"/>
  <c r="G26" i="17"/>
  <c r="G27" i="17"/>
  <c r="G28" i="17"/>
  <c r="G29" i="17"/>
  <c r="G30" i="17"/>
  <c r="G31" i="17"/>
  <c r="G32" i="17"/>
  <c r="G33" i="17"/>
  <c r="G34" i="17"/>
  <c r="G35" i="17"/>
  <c r="G36" i="17"/>
  <c r="G37" i="17"/>
  <c r="G38" i="17"/>
  <c r="G39" i="17"/>
  <c r="G40" i="17"/>
  <c r="G41" i="17"/>
  <c r="G42" i="17"/>
  <c r="G20" i="17"/>
  <c r="G19" i="17"/>
  <c r="G21" i="16"/>
  <c r="G22" i="16"/>
  <c r="G23" i="16"/>
  <c r="G24" i="16"/>
  <c r="G25" i="16"/>
  <c r="G26" i="16"/>
  <c r="G27" i="16"/>
  <c r="G28" i="16"/>
  <c r="G29" i="16"/>
  <c r="G30" i="16"/>
  <c r="G31" i="16"/>
  <c r="G32" i="16"/>
  <c r="G33" i="16"/>
  <c r="G34" i="16"/>
  <c r="G35" i="16"/>
  <c r="G36" i="16"/>
  <c r="G37" i="16"/>
  <c r="G38" i="16"/>
  <c r="G39" i="16"/>
  <c r="G40" i="16"/>
  <c r="G41" i="16"/>
  <c r="G42" i="16"/>
  <c r="G20" i="16"/>
  <c r="G19" i="16"/>
  <c r="G21" i="15"/>
  <c r="G22" i="15"/>
  <c r="G23" i="15"/>
  <c r="G24" i="15"/>
  <c r="G25" i="15"/>
  <c r="G26" i="15"/>
  <c r="G27" i="15"/>
  <c r="G28" i="15"/>
  <c r="G29" i="15"/>
  <c r="G30" i="15"/>
  <c r="G31" i="15"/>
  <c r="G32" i="15"/>
  <c r="G33" i="15"/>
  <c r="G34" i="15"/>
  <c r="G35" i="15"/>
  <c r="G36" i="15"/>
  <c r="G37" i="15"/>
  <c r="G38" i="15"/>
  <c r="G39" i="15"/>
  <c r="G40" i="15"/>
  <c r="G41" i="15"/>
  <c r="G42" i="15"/>
  <c r="G20" i="15"/>
  <c r="G19" i="15"/>
  <c r="G21" i="14"/>
  <c r="G22" i="14"/>
  <c r="G23" i="14"/>
  <c r="G24" i="14"/>
  <c r="G25" i="14"/>
  <c r="G26" i="14"/>
  <c r="G27" i="14"/>
  <c r="G28" i="14"/>
  <c r="G29" i="14"/>
  <c r="G30" i="14"/>
  <c r="G31" i="14"/>
  <c r="G32" i="14"/>
  <c r="G33" i="14"/>
  <c r="G34" i="14"/>
  <c r="G35" i="14"/>
  <c r="G36" i="14"/>
  <c r="G37" i="14"/>
  <c r="G38" i="14"/>
  <c r="G39" i="14"/>
  <c r="G40" i="14"/>
  <c r="G41" i="14"/>
  <c r="G42" i="14"/>
  <c r="G20" i="14"/>
  <c r="G19" i="14"/>
  <c r="G21" i="37"/>
  <c r="G22" i="37"/>
  <c r="G23" i="37"/>
  <c r="G24" i="37"/>
  <c r="G25" i="37"/>
  <c r="G26" i="37"/>
  <c r="G27" i="37"/>
  <c r="G28" i="37"/>
  <c r="G29" i="37"/>
  <c r="G30" i="37"/>
  <c r="G31" i="37"/>
  <c r="G32" i="37"/>
  <c r="G33" i="37"/>
  <c r="G34" i="37"/>
  <c r="G35" i="37"/>
  <c r="G36" i="37"/>
  <c r="G37" i="37"/>
  <c r="G38" i="37"/>
  <c r="G39" i="37"/>
  <c r="G40" i="37"/>
  <c r="G41" i="37"/>
  <c r="G42" i="37"/>
  <c r="G20" i="37"/>
  <c r="G19" i="37"/>
  <c r="G21" i="36"/>
  <c r="G22" i="36"/>
  <c r="G23" i="36"/>
  <c r="G24" i="36"/>
  <c r="G25" i="36"/>
  <c r="G26" i="36"/>
  <c r="G27" i="36"/>
  <c r="G28" i="36"/>
  <c r="G29" i="36"/>
  <c r="G30" i="36"/>
  <c r="G31" i="36"/>
  <c r="G32" i="36"/>
  <c r="G33" i="36"/>
  <c r="G34" i="36"/>
  <c r="G35" i="36"/>
  <c r="G36" i="36"/>
  <c r="G37" i="36"/>
  <c r="G38" i="36"/>
  <c r="G39" i="36"/>
  <c r="G40" i="36"/>
  <c r="G41" i="36"/>
  <c r="G42" i="36"/>
  <c r="G20" i="36"/>
  <c r="G19" i="36"/>
  <c r="G21" i="22"/>
  <c r="G22" i="22"/>
  <c r="G23" i="22"/>
  <c r="G24" i="22"/>
  <c r="G25" i="22"/>
  <c r="G26" i="22"/>
  <c r="G27" i="22"/>
  <c r="G28" i="22"/>
  <c r="G29" i="22"/>
  <c r="G30" i="22"/>
  <c r="G31" i="22"/>
  <c r="G32" i="22"/>
  <c r="G33" i="22"/>
  <c r="G34" i="22"/>
  <c r="G35" i="22"/>
  <c r="G36" i="22"/>
  <c r="G37" i="22"/>
  <c r="G38" i="22"/>
  <c r="G39" i="22"/>
  <c r="G40" i="22"/>
  <c r="G41" i="22"/>
  <c r="G42" i="22"/>
  <c r="G20" i="22"/>
  <c r="G19" i="22"/>
  <c r="H41" i="36" l="1"/>
  <c r="H37" i="36"/>
  <c r="H33" i="36"/>
  <c r="H29" i="36"/>
  <c r="H25" i="36"/>
  <c r="H21" i="36"/>
  <c r="H42" i="36"/>
  <c r="H38" i="36"/>
  <c r="H34" i="36"/>
  <c r="H30" i="36"/>
  <c r="H26" i="36"/>
  <c r="H22" i="36"/>
  <c r="H20" i="36"/>
  <c r="H20" i="22"/>
  <c r="H20" i="37"/>
  <c r="H21" i="22"/>
  <c r="H21" i="37"/>
  <c r="H22" i="22"/>
  <c r="H22" i="37"/>
  <c r="H23" i="22"/>
  <c r="H23" i="36"/>
  <c r="H23" i="37"/>
  <c r="H24" i="22"/>
  <c r="H24" i="36"/>
  <c r="H24" i="37"/>
  <c r="H25" i="22"/>
  <c r="H25" i="37"/>
  <c r="H26" i="22"/>
  <c r="H26" i="37"/>
  <c r="H27" i="22"/>
  <c r="H27" i="36"/>
  <c r="H27" i="37"/>
  <c r="H28" i="22"/>
  <c r="H28" i="36"/>
  <c r="H28" i="37"/>
  <c r="H29" i="22"/>
  <c r="H29" i="37"/>
  <c r="H30" i="22"/>
  <c r="H30" i="37"/>
  <c r="H31" i="22"/>
  <c r="H31" i="36"/>
  <c r="H31" i="37"/>
  <c r="H32" i="22"/>
  <c r="H32" i="36"/>
  <c r="H32" i="37"/>
  <c r="H33" i="22"/>
  <c r="H33" i="37"/>
  <c r="H34" i="22"/>
  <c r="H34" i="37"/>
  <c r="H35" i="22"/>
  <c r="H35" i="36"/>
  <c r="H35" i="37"/>
  <c r="H36" i="22"/>
  <c r="H36" i="36"/>
  <c r="H36" i="37"/>
  <c r="H37" i="22"/>
  <c r="H37" i="37"/>
  <c r="H38" i="22"/>
  <c r="H38" i="37"/>
  <c r="H39" i="22"/>
  <c r="H39" i="36"/>
  <c r="H39" i="37"/>
  <c r="H40" i="22"/>
  <c r="H40" i="36"/>
  <c r="H40" i="37"/>
  <c r="H41" i="22"/>
  <c r="H41" i="37"/>
  <c r="H42" i="22"/>
  <c r="H42" i="37"/>
  <c r="H19" i="22"/>
  <c r="H19" i="36"/>
  <c r="H19" i="37"/>
  <c r="F14" i="40"/>
  <c r="F15" i="40"/>
  <c r="H20" i="29"/>
  <c r="H20" i="23"/>
  <c r="H20" i="31"/>
  <c r="H21" i="29"/>
  <c r="H21" i="23"/>
  <c r="H21" i="31"/>
  <c r="H22" i="29"/>
  <c r="H22" i="23"/>
  <c r="H22" i="31"/>
  <c r="H23" i="29"/>
  <c r="H23" i="23"/>
  <c r="H23" i="31"/>
  <c r="H24" i="29"/>
  <c r="H24" i="23"/>
  <c r="H24" i="31"/>
  <c r="H25" i="29"/>
  <c r="H25" i="23"/>
  <c r="H25" i="31"/>
  <c r="H26" i="29"/>
  <c r="H26" i="23"/>
  <c r="H26" i="31"/>
  <c r="H27" i="29"/>
  <c r="H27" i="23"/>
  <c r="H27" i="31"/>
  <c r="H28" i="29"/>
  <c r="H28" i="23"/>
  <c r="H28" i="31"/>
  <c r="H29" i="29"/>
  <c r="H29" i="23"/>
  <c r="H29" i="31"/>
  <c r="H30" i="29"/>
  <c r="H30" i="23"/>
  <c r="H30" i="31"/>
  <c r="H31" i="29"/>
  <c r="H31" i="23"/>
  <c r="H31" i="31"/>
  <c r="H32" i="29"/>
  <c r="H32" i="23"/>
  <c r="H32" i="31"/>
  <c r="H33" i="29"/>
  <c r="H33" i="23"/>
  <c r="H33" i="31"/>
  <c r="H34" i="29"/>
  <c r="H34" i="23"/>
  <c r="H34" i="31"/>
  <c r="H35" i="29"/>
  <c r="H35" i="23"/>
  <c r="H35" i="31"/>
  <c r="H36" i="29"/>
  <c r="H36" i="23"/>
  <c r="H36" i="31"/>
  <c r="H37" i="29"/>
  <c r="H37" i="23"/>
  <c r="H37" i="31"/>
  <c r="H38" i="29"/>
  <c r="H38" i="23"/>
  <c r="H38" i="31"/>
  <c r="H39" i="29"/>
  <c r="H39" i="23"/>
  <c r="H39" i="31"/>
  <c r="H40" i="29"/>
  <c r="H40" i="23"/>
  <c r="H40" i="31"/>
  <c r="H41" i="29"/>
  <c r="H41" i="23"/>
  <c r="H41" i="31"/>
  <c r="H42" i="29"/>
  <c r="H42" i="23"/>
  <c r="H42" i="31"/>
  <c r="H19" i="29"/>
  <c r="H19" i="23"/>
  <c r="H19" i="31"/>
  <c r="F14" i="35"/>
  <c r="F15" i="35"/>
  <c r="H20" i="21"/>
  <c r="H21" i="21"/>
  <c r="H22" i="21"/>
  <c r="H23" i="21"/>
  <c r="H24" i="21"/>
  <c r="H25" i="21"/>
  <c r="H26" i="21"/>
  <c r="H27" i="21"/>
  <c r="H28" i="21"/>
  <c r="H29" i="21"/>
  <c r="H30" i="21"/>
  <c r="H31" i="21"/>
  <c r="H32" i="21"/>
  <c r="H33" i="21"/>
  <c r="H34" i="21"/>
  <c r="H35" i="21"/>
  <c r="H36" i="21"/>
  <c r="H37" i="21"/>
  <c r="H38" i="21"/>
  <c r="H39" i="21"/>
  <c r="H40" i="21"/>
  <c r="H41" i="21"/>
  <c r="H42" i="21"/>
  <c r="H19" i="21"/>
  <c r="F14" i="34"/>
  <c r="F15" i="34"/>
  <c r="H20" i="19"/>
  <c r="H21" i="19"/>
  <c r="H22" i="19"/>
  <c r="H23" i="19"/>
  <c r="H24" i="19"/>
  <c r="H25" i="19"/>
  <c r="H26" i="19"/>
  <c r="H27" i="19"/>
  <c r="H28" i="19"/>
  <c r="H29" i="19"/>
  <c r="H30" i="19"/>
  <c r="H31" i="19"/>
  <c r="H32" i="19"/>
  <c r="H33" i="19"/>
  <c r="H34" i="19"/>
  <c r="H35" i="19"/>
  <c r="H36" i="19"/>
  <c r="H37" i="19"/>
  <c r="H38" i="19"/>
  <c r="H39" i="19"/>
  <c r="H40" i="19"/>
  <c r="H41" i="19"/>
  <c r="H42" i="19"/>
  <c r="H19" i="19"/>
  <c r="F14" i="33"/>
  <c r="F15" i="33"/>
  <c r="H19" i="30"/>
  <c r="H20" i="30"/>
  <c r="H21" i="30"/>
  <c r="H22" i="30"/>
  <c r="H23" i="30"/>
  <c r="H24" i="30"/>
  <c r="H25" i="30"/>
  <c r="H26" i="30"/>
  <c r="H27" i="30"/>
  <c r="H28" i="30"/>
  <c r="H29" i="30"/>
  <c r="H30" i="30"/>
  <c r="H31" i="30"/>
  <c r="H32" i="30"/>
  <c r="H33" i="30"/>
  <c r="H34" i="30"/>
  <c r="H35" i="30"/>
  <c r="H36" i="30"/>
  <c r="H37" i="30"/>
  <c r="H38" i="30"/>
  <c r="H39" i="30"/>
  <c r="H40" i="30"/>
  <c r="H41" i="30"/>
  <c r="H42" i="30"/>
  <c r="H19" i="14"/>
  <c r="H20" i="14"/>
  <c r="H21" i="14"/>
  <c r="H22" i="14"/>
  <c r="H23" i="14"/>
  <c r="H24" i="14"/>
  <c r="H25" i="14"/>
  <c r="H26" i="14"/>
  <c r="H27" i="14"/>
  <c r="H28" i="14"/>
  <c r="H29" i="14"/>
  <c r="H30" i="14"/>
  <c r="H31" i="14"/>
  <c r="H32" i="14"/>
  <c r="H33" i="14"/>
  <c r="H34" i="14"/>
  <c r="H35" i="14"/>
  <c r="H36" i="14"/>
  <c r="H37" i="14"/>
  <c r="H38" i="14"/>
  <c r="H39" i="14"/>
  <c r="H40" i="14"/>
  <c r="H41" i="14"/>
  <c r="H42" i="14"/>
  <c r="F15" i="27"/>
  <c r="F14" i="27"/>
  <c r="H35" i="15"/>
  <c r="I35" i="15" s="1"/>
  <c r="H35" i="16"/>
  <c r="H36" i="15"/>
  <c r="H36" i="16"/>
  <c r="H37" i="15"/>
  <c r="I37" i="15" s="1"/>
  <c r="H37" i="16"/>
  <c r="H38" i="15"/>
  <c r="I38" i="15" s="1"/>
  <c r="H38" i="16"/>
  <c r="H32" i="15"/>
  <c r="I32" i="15" s="1"/>
  <c r="H32" i="16"/>
  <c r="H31" i="15"/>
  <c r="I31" i="15" s="1"/>
  <c r="H31" i="16"/>
  <c r="H29" i="15"/>
  <c r="I29" i="15" s="1"/>
  <c r="H29" i="16"/>
  <c r="H30" i="15"/>
  <c r="I30" i="15" s="1"/>
  <c r="H30" i="16"/>
  <c r="H28" i="15"/>
  <c r="H28" i="16"/>
  <c r="H22" i="15"/>
  <c r="I22" i="15" s="1"/>
  <c r="H22" i="16"/>
  <c r="H21" i="15"/>
  <c r="H21" i="16"/>
  <c r="H20" i="15"/>
  <c r="I20" i="15" s="1"/>
  <c r="H20" i="16"/>
  <c r="H27" i="15"/>
  <c r="H27" i="16"/>
  <c r="H26" i="15"/>
  <c r="I26" i="15" s="1"/>
  <c r="H26" i="16"/>
  <c r="H25" i="15"/>
  <c r="I25" i="15" s="1"/>
  <c r="H25" i="16"/>
  <c r="H19" i="15"/>
  <c r="I19" i="15" s="1"/>
  <c r="H19" i="16"/>
  <c r="I19" i="16" s="1"/>
  <c r="H24" i="15"/>
  <c r="H24" i="16"/>
  <c r="H23" i="15"/>
  <c r="H23" i="16"/>
  <c r="H34" i="15"/>
  <c r="H34" i="16"/>
  <c r="H33" i="15"/>
  <c r="I33" i="15" s="1"/>
  <c r="H33" i="16"/>
  <c r="H42" i="15"/>
  <c r="I42" i="15" s="1"/>
  <c r="H42" i="16"/>
  <c r="H40" i="15"/>
  <c r="H40" i="16"/>
  <c r="H39" i="15"/>
  <c r="H39" i="16"/>
  <c r="H41" i="15"/>
  <c r="H41" i="16"/>
  <c r="I41" i="16" s="1"/>
  <c r="F15" i="25"/>
  <c r="F14" i="25"/>
  <c r="F15" i="26"/>
  <c r="F14" i="26"/>
  <c r="F15" i="1"/>
  <c r="F14" i="1"/>
  <c r="F15" i="6"/>
  <c r="F14" i="6"/>
  <c r="F15" i="24"/>
  <c r="F14" i="24"/>
  <c r="F15" i="7"/>
  <c r="F14" i="7"/>
  <c r="D40" i="51" l="1"/>
  <c r="F40" i="51" s="1"/>
  <c r="D46" i="51"/>
  <c r="H46" i="51" s="1"/>
  <c r="J46" i="51" s="1"/>
  <c r="F16" i="51"/>
  <c r="D43" i="19"/>
  <c r="I35" i="18"/>
  <c r="D34" i="40"/>
  <c r="D33" i="40"/>
  <c r="D32" i="40"/>
  <c r="I42" i="30"/>
  <c r="I41" i="30"/>
  <c r="I40" i="30"/>
  <c r="B16" i="40"/>
  <c r="B39" i="40"/>
  <c r="I31" i="29"/>
  <c r="I30" i="30"/>
  <c r="I29" i="30"/>
  <c r="I26" i="30"/>
  <c r="I25" i="30"/>
  <c r="I22" i="30"/>
  <c r="I21" i="30"/>
  <c r="H19" i="17"/>
  <c r="H42" i="17"/>
  <c r="H38" i="17"/>
  <c r="H34" i="17"/>
  <c r="H30" i="17"/>
  <c r="I30" i="17" s="1"/>
  <c r="H26" i="17"/>
  <c r="I26" i="17" s="1"/>
  <c r="H22" i="17"/>
  <c r="I27" i="16"/>
  <c r="I28" i="16"/>
  <c r="I27" i="15"/>
  <c r="I40" i="15"/>
  <c r="I25" i="37"/>
  <c r="D27" i="40"/>
  <c r="B35" i="40"/>
  <c r="B25" i="40"/>
  <c r="I25" i="18"/>
  <c r="B17" i="7"/>
  <c r="I21" i="23"/>
  <c r="B26" i="33"/>
  <c r="I41" i="19"/>
  <c r="I37" i="19"/>
  <c r="I42" i="29"/>
  <c r="I40" i="29"/>
  <c r="I33" i="23"/>
  <c r="I32" i="29"/>
  <c r="I29" i="31"/>
  <c r="I41" i="18"/>
  <c r="I38" i="37"/>
  <c r="I28" i="18"/>
  <c r="I39" i="15"/>
  <c r="I34" i="17"/>
  <c r="I34" i="15"/>
  <c r="I23" i="15"/>
  <c r="I24" i="16"/>
  <c r="I22" i="16"/>
  <c r="I38" i="30"/>
  <c r="I37" i="30"/>
  <c r="I36" i="30"/>
  <c r="I34" i="30"/>
  <c r="I33" i="30"/>
  <c r="I42" i="19"/>
  <c r="I38" i="19"/>
  <c r="I39" i="29"/>
  <c r="I37" i="29"/>
  <c r="I35" i="29"/>
  <c r="I27" i="23"/>
  <c r="I23" i="23"/>
  <c r="B29" i="40"/>
  <c r="I32" i="18"/>
  <c r="B22" i="40"/>
  <c r="I19" i="18"/>
  <c r="D39" i="40"/>
  <c r="D36" i="40"/>
  <c r="I27" i="37"/>
  <c r="I27" i="22"/>
  <c r="I21" i="37"/>
  <c r="D39" i="7"/>
  <c r="I42" i="16"/>
  <c r="I29" i="23"/>
  <c r="I35" i="23"/>
  <c r="I41" i="29"/>
  <c r="I38" i="29"/>
  <c r="I36" i="29"/>
  <c r="D25" i="40"/>
  <c r="D22" i="40"/>
  <c r="D38" i="40"/>
  <c r="D37" i="40"/>
  <c r="D35" i="40"/>
  <c r="D31" i="40"/>
  <c r="D30" i="40"/>
  <c r="D29" i="40"/>
  <c r="D26" i="40"/>
  <c r="D24" i="40"/>
  <c r="D23" i="40"/>
  <c r="D21" i="40"/>
  <c r="D20" i="40"/>
  <c r="D19" i="40"/>
  <c r="D18" i="40"/>
  <c r="D17" i="40"/>
  <c r="B38" i="40"/>
  <c r="B37" i="40"/>
  <c r="B36" i="40"/>
  <c r="B34" i="40"/>
  <c r="B33" i="40"/>
  <c r="B32" i="40"/>
  <c r="B31" i="40"/>
  <c r="B30" i="40"/>
  <c r="B28" i="40"/>
  <c r="B27" i="40"/>
  <c r="B26" i="40"/>
  <c r="B24" i="40"/>
  <c r="B23" i="40"/>
  <c r="B21" i="40"/>
  <c r="B20" i="40"/>
  <c r="B19" i="40"/>
  <c r="B18" i="40"/>
  <c r="B17" i="40"/>
  <c r="D16" i="40"/>
  <c r="I19" i="36"/>
  <c r="D28" i="40"/>
  <c r="I31" i="36"/>
  <c r="I33" i="18"/>
  <c r="I24" i="18"/>
  <c r="I30" i="18"/>
  <c r="B38" i="33"/>
  <c r="B24" i="33"/>
  <c r="I41" i="31"/>
  <c r="I33" i="31"/>
  <c r="I25" i="31"/>
  <c r="I34" i="31"/>
  <c r="I21" i="31"/>
  <c r="I30" i="31"/>
  <c r="I28" i="31"/>
  <c r="I26" i="31"/>
  <c r="I23" i="31"/>
  <c r="I22" i="31"/>
  <c r="I20" i="31"/>
  <c r="I42" i="31"/>
  <c r="I40" i="31"/>
  <c r="I39" i="31"/>
  <c r="I38" i="31"/>
  <c r="I37" i="31"/>
  <c r="I36" i="31"/>
  <c r="I27" i="31"/>
  <c r="I24" i="31"/>
  <c r="I31" i="23"/>
  <c r="I25" i="23"/>
  <c r="I34" i="23"/>
  <c r="I32" i="23"/>
  <c r="I26" i="23"/>
  <c r="I24" i="23"/>
  <c r="I30" i="23"/>
  <c r="I28" i="23"/>
  <c r="I22" i="23"/>
  <c r="I20" i="23"/>
  <c r="I32" i="30"/>
  <c r="I28" i="30"/>
  <c r="I24" i="30"/>
  <c r="I20" i="30"/>
  <c r="I39" i="30"/>
  <c r="I35" i="30"/>
  <c r="I31" i="30"/>
  <c r="I27" i="30"/>
  <c r="I23" i="30"/>
  <c r="I31" i="19"/>
  <c r="I29" i="19"/>
  <c r="I27" i="19"/>
  <c r="I25" i="19"/>
  <c r="I23" i="19"/>
  <c r="I21" i="19"/>
  <c r="I19" i="19"/>
  <c r="I40" i="19"/>
  <c r="I39" i="19"/>
  <c r="I36" i="19"/>
  <c r="I35" i="19"/>
  <c r="I34" i="19"/>
  <c r="I33" i="19"/>
  <c r="I32" i="19"/>
  <c r="I28" i="19"/>
  <c r="I26" i="19"/>
  <c r="I24" i="19"/>
  <c r="I22" i="19"/>
  <c r="B30" i="7"/>
  <c r="I42" i="17"/>
  <c r="B22" i="7"/>
  <c r="I33" i="16"/>
  <c r="I38" i="16"/>
  <c r="I23" i="16"/>
  <c r="B33" i="7"/>
  <c r="I36" i="16"/>
  <c r="B20" i="7"/>
  <c r="B21" i="7"/>
  <c r="B19" i="7"/>
  <c r="B35" i="7"/>
  <c r="I24" i="15"/>
  <c r="I36" i="15"/>
  <c r="I41" i="15"/>
  <c r="I28" i="15"/>
  <c r="B36" i="6"/>
  <c r="B37" i="6"/>
  <c r="B33" i="6"/>
  <c r="B33" i="24"/>
  <c r="D43" i="37"/>
  <c r="I42" i="37"/>
  <c r="I37" i="37"/>
  <c r="I33" i="37"/>
  <c r="I32" i="37"/>
  <c r="I30" i="37"/>
  <c r="I26" i="37"/>
  <c r="I24" i="37"/>
  <c r="I22" i="37"/>
  <c r="I40" i="37"/>
  <c r="I39" i="37"/>
  <c r="I36" i="37"/>
  <c r="I34" i="37"/>
  <c r="I31" i="37"/>
  <c r="I29" i="37"/>
  <c r="I28" i="37"/>
  <c r="I23" i="37"/>
  <c r="I20" i="37"/>
  <c r="I41" i="36"/>
  <c r="D43" i="36"/>
  <c r="I21" i="36"/>
  <c r="I39" i="36"/>
  <c r="I36" i="36"/>
  <c r="I35" i="36"/>
  <c r="I33" i="36"/>
  <c r="I32" i="36"/>
  <c r="I28" i="36"/>
  <c r="I27" i="36"/>
  <c r="I23" i="36"/>
  <c r="I42" i="36"/>
  <c r="I38" i="36"/>
  <c r="I37" i="36"/>
  <c r="I34" i="36"/>
  <c r="I29" i="36"/>
  <c r="I26" i="36"/>
  <c r="I25" i="36"/>
  <c r="I24" i="36"/>
  <c r="I22" i="36"/>
  <c r="I23" i="22"/>
  <c r="I21" i="22"/>
  <c r="D37" i="33"/>
  <c r="I41" i="22"/>
  <c r="I34" i="22"/>
  <c r="I30" i="22"/>
  <c r="I20" i="22"/>
  <c r="I42" i="22"/>
  <c r="I40" i="22"/>
  <c r="I39" i="22"/>
  <c r="I38" i="22"/>
  <c r="I37" i="22"/>
  <c r="I36" i="22"/>
  <c r="I35" i="22"/>
  <c r="I31" i="22"/>
  <c r="I29" i="22"/>
  <c r="I26" i="22"/>
  <c r="I22" i="22"/>
  <c r="I40" i="18"/>
  <c r="D38" i="33"/>
  <c r="B34" i="33"/>
  <c r="B35" i="33"/>
  <c r="B29" i="33"/>
  <c r="B23" i="33"/>
  <c r="D28" i="1"/>
  <c r="D26" i="1"/>
  <c r="D28" i="35"/>
  <c r="I31" i="31"/>
  <c r="H43" i="31"/>
  <c r="I19" i="31"/>
  <c r="I35" i="31"/>
  <c r="D32" i="35"/>
  <c r="I32" i="31"/>
  <c r="D29" i="35"/>
  <c r="B34" i="35"/>
  <c r="F32" i="40"/>
  <c r="B32" i="35"/>
  <c r="B33" i="35"/>
  <c r="D43" i="31"/>
  <c r="I43" i="31" s="1"/>
  <c r="I41" i="23"/>
  <c r="D38" i="35"/>
  <c r="D36" i="35"/>
  <c r="I39" i="23"/>
  <c r="D34" i="35"/>
  <c r="I37" i="23"/>
  <c r="F34" i="40"/>
  <c r="H43" i="23"/>
  <c r="I19" i="23"/>
  <c r="I42" i="23"/>
  <c r="D39" i="35"/>
  <c r="D37" i="35"/>
  <c r="I40" i="23"/>
  <c r="I38" i="23"/>
  <c r="D35" i="35"/>
  <c r="I36" i="23"/>
  <c r="D33" i="35"/>
  <c r="B38" i="35"/>
  <c r="F38" i="35" s="1"/>
  <c r="F36" i="40"/>
  <c r="B36" i="35"/>
  <c r="F36" i="35" s="1"/>
  <c r="D43" i="23"/>
  <c r="F37" i="40"/>
  <c r="B37" i="35"/>
  <c r="B35" i="35"/>
  <c r="F35" i="40"/>
  <c r="H43" i="29"/>
  <c r="I19" i="29"/>
  <c r="D16" i="35"/>
  <c r="I33" i="29"/>
  <c r="D30" i="35"/>
  <c r="I29" i="29"/>
  <c r="D26" i="35"/>
  <c r="I27" i="29"/>
  <c r="D24" i="35"/>
  <c r="I25" i="29"/>
  <c r="D22" i="35"/>
  <c r="I23" i="29"/>
  <c r="D20" i="35"/>
  <c r="D18" i="35"/>
  <c r="I21" i="29"/>
  <c r="I34" i="29"/>
  <c r="D31" i="35"/>
  <c r="I30" i="29"/>
  <c r="D27" i="35"/>
  <c r="I28" i="29"/>
  <c r="D25" i="35"/>
  <c r="I26" i="29"/>
  <c r="D23" i="35"/>
  <c r="I24" i="29"/>
  <c r="D21" i="35"/>
  <c r="D19" i="35"/>
  <c r="I22" i="29"/>
  <c r="I20" i="29"/>
  <c r="D17" i="35"/>
  <c r="F38" i="40"/>
  <c r="B39" i="35"/>
  <c r="F39" i="35" s="1"/>
  <c r="F39" i="40"/>
  <c r="F30" i="40"/>
  <c r="B30" i="35"/>
  <c r="B28" i="35"/>
  <c r="F28" i="35" s="1"/>
  <c r="F28" i="40"/>
  <c r="F26" i="40"/>
  <c r="B26" i="35"/>
  <c r="B24" i="35"/>
  <c r="B22" i="35"/>
  <c r="F22" i="40"/>
  <c r="B20" i="35"/>
  <c r="F20" i="40"/>
  <c r="F18" i="40"/>
  <c r="B18" i="35"/>
  <c r="F18" i="35" s="1"/>
  <c r="B16" i="35"/>
  <c r="D43" i="29"/>
  <c r="I43" i="29" s="1"/>
  <c r="B31" i="35"/>
  <c r="F31" i="40"/>
  <c r="B29" i="35"/>
  <c r="F29" i="35" s="1"/>
  <c r="F29" i="40"/>
  <c r="F27" i="40"/>
  <c r="B27" i="35"/>
  <c r="F27" i="35" s="1"/>
  <c r="F25" i="40"/>
  <c r="B25" i="35"/>
  <c r="F25" i="35" s="1"/>
  <c r="B23" i="35"/>
  <c r="F23" i="40"/>
  <c r="F21" i="40"/>
  <c r="B21" i="35"/>
  <c r="F21" i="35" s="1"/>
  <c r="F19" i="40"/>
  <c r="B19" i="35"/>
  <c r="F19" i="35" s="1"/>
  <c r="F17" i="40"/>
  <c r="B17" i="35"/>
  <c r="F17" i="35" s="1"/>
  <c r="I19" i="30"/>
  <c r="H43" i="30"/>
  <c r="D43" i="30"/>
  <c r="B35" i="34"/>
  <c r="B33" i="34"/>
  <c r="B31" i="34"/>
  <c r="B29" i="34"/>
  <c r="B27" i="34"/>
  <c r="B25" i="34"/>
  <c r="B23" i="34"/>
  <c r="B21" i="34"/>
  <c r="B19" i="34"/>
  <c r="B17" i="34"/>
  <c r="B38" i="34"/>
  <c r="B36" i="34"/>
  <c r="B34" i="34"/>
  <c r="B32" i="34"/>
  <c r="B30" i="34"/>
  <c r="B28" i="34"/>
  <c r="B26" i="34"/>
  <c r="B24" i="34"/>
  <c r="B22" i="34"/>
  <c r="B20" i="34"/>
  <c r="B18" i="34"/>
  <c r="B39" i="34"/>
  <c r="B37" i="34"/>
  <c r="D16" i="34"/>
  <c r="H43" i="21"/>
  <c r="I19" i="21"/>
  <c r="I41" i="21"/>
  <c r="D38" i="34"/>
  <c r="D36" i="34"/>
  <c r="I39" i="21"/>
  <c r="D34" i="34"/>
  <c r="I37" i="21"/>
  <c r="I35" i="21"/>
  <c r="D32" i="34"/>
  <c r="D30" i="34"/>
  <c r="I33" i="21"/>
  <c r="D28" i="34"/>
  <c r="I31" i="21"/>
  <c r="D26" i="34"/>
  <c r="I29" i="21"/>
  <c r="I27" i="21"/>
  <c r="D24" i="34"/>
  <c r="D22" i="34"/>
  <c r="I25" i="21"/>
  <c r="D20" i="34"/>
  <c r="I23" i="21"/>
  <c r="D18" i="34"/>
  <c r="I21" i="21"/>
  <c r="I42" i="21"/>
  <c r="D39" i="34"/>
  <c r="D37" i="34"/>
  <c r="I40" i="21"/>
  <c r="D35" i="34"/>
  <c r="I38" i="21"/>
  <c r="D33" i="34"/>
  <c r="D45" i="34" s="1"/>
  <c r="H45" i="34" s="1"/>
  <c r="I36" i="21"/>
  <c r="I34" i="21"/>
  <c r="D31" i="34"/>
  <c r="I32" i="21"/>
  <c r="D29" i="34"/>
  <c r="D27" i="34"/>
  <c r="I30" i="21"/>
  <c r="D25" i="34"/>
  <c r="I28" i="21"/>
  <c r="I26" i="21"/>
  <c r="D23" i="34"/>
  <c r="I24" i="21"/>
  <c r="D21" i="34"/>
  <c r="F21" i="34" s="1"/>
  <c r="D19" i="34"/>
  <c r="I22" i="21"/>
  <c r="D17" i="34"/>
  <c r="F17" i="34" s="1"/>
  <c r="I20" i="21"/>
  <c r="F35" i="34"/>
  <c r="F31" i="34"/>
  <c r="F27" i="34"/>
  <c r="F23" i="34"/>
  <c r="F19" i="34"/>
  <c r="F38" i="34"/>
  <c r="F36" i="34"/>
  <c r="F34" i="34"/>
  <c r="F32" i="34"/>
  <c r="F30" i="34"/>
  <c r="F28" i="34"/>
  <c r="F26" i="34"/>
  <c r="F22" i="34"/>
  <c r="F18" i="34"/>
  <c r="F37" i="34"/>
  <c r="D43" i="21"/>
  <c r="B16" i="34"/>
  <c r="B45" i="34"/>
  <c r="E45" i="34" s="1"/>
  <c r="B44" i="34"/>
  <c r="E44" i="34" s="1"/>
  <c r="D27" i="33"/>
  <c r="I30" i="19"/>
  <c r="I20" i="19"/>
  <c r="H43" i="19"/>
  <c r="I43" i="19" s="1"/>
  <c r="D32" i="33"/>
  <c r="D32" i="26" s="1"/>
  <c r="B28" i="33"/>
  <c r="B28" i="26" s="1"/>
  <c r="F38" i="33"/>
  <c r="I19" i="17"/>
  <c r="D16" i="7"/>
  <c r="I22" i="17"/>
  <c r="D19" i="7"/>
  <c r="F19" i="7" s="1"/>
  <c r="D35" i="7"/>
  <c r="F35" i="7" s="1"/>
  <c r="I38" i="17"/>
  <c r="B37" i="7"/>
  <c r="B37" i="24"/>
  <c r="B36" i="7"/>
  <c r="B36" i="24"/>
  <c r="D43" i="17"/>
  <c r="B31" i="7"/>
  <c r="B23" i="7"/>
  <c r="B18" i="7"/>
  <c r="B25" i="7"/>
  <c r="B27" i="7"/>
  <c r="B26" i="7"/>
  <c r="B28" i="7"/>
  <c r="B32" i="7"/>
  <c r="B38" i="7"/>
  <c r="B39" i="7"/>
  <c r="B24" i="7"/>
  <c r="B29" i="7"/>
  <c r="B34" i="7"/>
  <c r="I40" i="16"/>
  <c r="I25" i="16"/>
  <c r="I30" i="16"/>
  <c r="D27" i="7"/>
  <c r="F27" i="7" s="1"/>
  <c r="I31" i="16"/>
  <c r="I37" i="16"/>
  <c r="I39" i="16"/>
  <c r="I34" i="16"/>
  <c r="D31" i="7"/>
  <c r="D23" i="7"/>
  <c r="I26" i="16"/>
  <c r="H43" i="16"/>
  <c r="I20" i="16"/>
  <c r="I21" i="16"/>
  <c r="I29" i="16"/>
  <c r="I32" i="16"/>
  <c r="I35" i="16"/>
  <c r="F39" i="7"/>
  <c r="B16" i="7"/>
  <c r="D43" i="16"/>
  <c r="B19" i="24"/>
  <c r="I21" i="15"/>
  <c r="H43" i="15"/>
  <c r="B31" i="24"/>
  <c r="B31" i="6"/>
  <c r="B23" i="24"/>
  <c r="B23" i="6"/>
  <c r="B18" i="24"/>
  <c r="B18" i="6"/>
  <c r="B28" i="6"/>
  <c r="B28" i="24"/>
  <c r="D43" i="15"/>
  <c r="B20" i="6"/>
  <c r="B20" i="24"/>
  <c r="B22" i="24"/>
  <c r="B22" i="6"/>
  <c r="B26" i="24"/>
  <c r="B26" i="6"/>
  <c r="B34" i="6"/>
  <c r="B34" i="24"/>
  <c r="B19" i="6"/>
  <c r="D39" i="24"/>
  <c r="D39" i="6"/>
  <c r="I42" i="14"/>
  <c r="D37" i="6"/>
  <c r="F37" i="6" s="1"/>
  <c r="I40" i="14"/>
  <c r="D35" i="24"/>
  <c r="I38" i="14"/>
  <c r="D35" i="6"/>
  <c r="D33" i="6"/>
  <c r="I36" i="14"/>
  <c r="D31" i="24"/>
  <c r="F31" i="24" s="1"/>
  <c r="D31" i="6"/>
  <c r="F31" i="6" s="1"/>
  <c r="I34" i="14"/>
  <c r="D29" i="6"/>
  <c r="I32" i="14"/>
  <c r="D27" i="6"/>
  <c r="I30" i="14"/>
  <c r="D27" i="24"/>
  <c r="D25" i="6"/>
  <c r="I28" i="14"/>
  <c r="I26" i="14"/>
  <c r="D23" i="6"/>
  <c r="F23" i="6" s="1"/>
  <c r="D23" i="24"/>
  <c r="F23" i="24" s="1"/>
  <c r="I24" i="14"/>
  <c r="D21" i="6"/>
  <c r="D19" i="24"/>
  <c r="F19" i="24" s="1"/>
  <c r="I22" i="14"/>
  <c r="D19" i="6"/>
  <c r="D17" i="6"/>
  <c r="I20" i="14"/>
  <c r="D38" i="6"/>
  <c r="I41" i="14"/>
  <c r="D36" i="6"/>
  <c r="F36" i="6" s="1"/>
  <c r="I39" i="14"/>
  <c r="D34" i="6"/>
  <c r="F34" i="6" s="1"/>
  <c r="I37" i="14"/>
  <c r="I35" i="14"/>
  <c r="D32" i="6"/>
  <c r="D30" i="6"/>
  <c r="I33" i="14"/>
  <c r="D28" i="6"/>
  <c r="F28" i="6" s="1"/>
  <c r="I31" i="14"/>
  <c r="I29" i="14"/>
  <c r="D26" i="6"/>
  <c r="F26" i="6" s="1"/>
  <c r="D24" i="6"/>
  <c r="D44" i="6" s="1"/>
  <c r="H44" i="6" s="1"/>
  <c r="I27" i="14"/>
  <c r="I25" i="14"/>
  <c r="D22" i="6"/>
  <c r="F22" i="6" s="1"/>
  <c r="D20" i="6"/>
  <c r="F20" i="6" s="1"/>
  <c r="I23" i="14"/>
  <c r="D18" i="6"/>
  <c r="F18" i="6" s="1"/>
  <c r="I21" i="14"/>
  <c r="D16" i="24"/>
  <c r="H43" i="14"/>
  <c r="I19" i="14"/>
  <c r="D16" i="6"/>
  <c r="B38" i="24"/>
  <c r="B38" i="6"/>
  <c r="B21" i="24"/>
  <c r="B21" i="6"/>
  <c r="F21" i="6" s="1"/>
  <c r="B24" i="24"/>
  <c r="B24" i="6"/>
  <c r="B25" i="6"/>
  <c r="F25" i="6" s="1"/>
  <c r="B25" i="24"/>
  <c r="B29" i="24"/>
  <c r="B29" i="6"/>
  <c r="F29" i="6" s="1"/>
  <c r="B32" i="6"/>
  <c r="F32" i="6" s="1"/>
  <c r="B32" i="24"/>
  <c r="B30" i="24"/>
  <c r="B30" i="6"/>
  <c r="B16" i="6"/>
  <c r="B16" i="24"/>
  <c r="D43" i="14"/>
  <c r="B17" i="6"/>
  <c r="F17" i="6" s="1"/>
  <c r="B17" i="24"/>
  <c r="B27" i="24"/>
  <c r="B27" i="6"/>
  <c r="F27" i="6" s="1"/>
  <c r="B35" i="24"/>
  <c r="B35" i="6"/>
  <c r="F35" i="6" s="1"/>
  <c r="B39" i="24"/>
  <c r="B39" i="6"/>
  <c r="F39" i="6" s="1"/>
  <c r="H43" i="37"/>
  <c r="I19" i="37"/>
  <c r="I41" i="37"/>
  <c r="I35" i="37"/>
  <c r="I43" i="37"/>
  <c r="I30" i="36"/>
  <c r="I40" i="36"/>
  <c r="H43" i="36"/>
  <c r="I20" i="36"/>
  <c r="I43" i="36"/>
  <c r="H43" i="22"/>
  <c r="I19" i="22"/>
  <c r="D16" i="33"/>
  <c r="D16" i="26" s="1"/>
  <c r="D22" i="33"/>
  <c r="D22" i="26" s="1"/>
  <c r="I25" i="22"/>
  <c r="D21" i="33"/>
  <c r="D21" i="26" s="1"/>
  <c r="I24" i="22"/>
  <c r="D30" i="33"/>
  <c r="D30" i="26" s="1"/>
  <c r="I33" i="22"/>
  <c r="D29" i="33"/>
  <c r="I32" i="22"/>
  <c r="I28" i="22"/>
  <c r="D25" i="33"/>
  <c r="D25" i="26" s="1"/>
  <c r="B36" i="33"/>
  <c r="B36" i="26" s="1"/>
  <c r="B19" i="33"/>
  <c r="B19" i="26" s="1"/>
  <c r="B37" i="33"/>
  <c r="D43" i="22"/>
  <c r="I43" i="22" s="1"/>
  <c r="I42" i="18"/>
  <c r="D39" i="33"/>
  <c r="D39" i="26" s="1"/>
  <c r="I38" i="18"/>
  <c r="D35" i="33"/>
  <c r="D33" i="33"/>
  <c r="D33" i="26" s="1"/>
  <c r="I36" i="18"/>
  <c r="I31" i="18"/>
  <c r="D28" i="33"/>
  <c r="D24" i="33"/>
  <c r="D24" i="26" s="1"/>
  <c r="I27" i="18"/>
  <c r="I23" i="18"/>
  <c r="D20" i="33"/>
  <c r="D20" i="26" s="1"/>
  <c r="D18" i="33"/>
  <c r="D18" i="26" s="1"/>
  <c r="I21" i="18"/>
  <c r="I39" i="18"/>
  <c r="D36" i="33"/>
  <c r="I37" i="18"/>
  <c r="D34" i="33"/>
  <c r="D31" i="33"/>
  <c r="D31" i="26" s="1"/>
  <c r="I34" i="18"/>
  <c r="D26" i="33"/>
  <c r="I29" i="18"/>
  <c r="D23" i="33"/>
  <c r="I26" i="18"/>
  <c r="D19" i="33"/>
  <c r="I22" i="18"/>
  <c r="H43" i="18"/>
  <c r="D17" i="33"/>
  <c r="D17" i="26" s="1"/>
  <c r="I20" i="18"/>
  <c r="D43" i="18"/>
  <c r="B16" i="33"/>
  <c r="B16" i="26" s="1"/>
  <c r="B33" i="33"/>
  <c r="B33" i="26" s="1"/>
  <c r="B31" i="33"/>
  <c r="B31" i="26" s="1"/>
  <c r="B27" i="33"/>
  <c r="B22" i="33"/>
  <c r="B20" i="33"/>
  <c r="B20" i="26" s="1"/>
  <c r="F20" i="26" s="1"/>
  <c r="B17" i="33"/>
  <c r="B17" i="26" s="1"/>
  <c r="B39" i="33"/>
  <c r="B32" i="33"/>
  <c r="B30" i="33"/>
  <c r="B25" i="33"/>
  <c r="B21" i="33"/>
  <c r="B18" i="33"/>
  <c r="D36" i="1"/>
  <c r="D39" i="1"/>
  <c r="D39" i="25"/>
  <c r="D39" i="27" s="1"/>
  <c r="D31" i="25"/>
  <c r="D31" i="1"/>
  <c r="D24" i="1"/>
  <c r="D19" i="1"/>
  <c r="D19" i="25"/>
  <c r="D27" i="25"/>
  <c r="D27" i="1"/>
  <c r="D37" i="1"/>
  <c r="D30" i="1"/>
  <c r="H43" i="13"/>
  <c r="D17" i="1"/>
  <c r="D25" i="1"/>
  <c r="D38" i="1"/>
  <c r="D43" i="13"/>
  <c r="D21" i="1"/>
  <c r="D22" i="1"/>
  <c r="D18" i="1"/>
  <c r="D35" i="25"/>
  <c r="D35" i="1"/>
  <c r="D33" i="1"/>
  <c r="D20" i="1"/>
  <c r="D16" i="1"/>
  <c r="H43" i="5"/>
  <c r="D16" i="25"/>
  <c r="D23" i="1"/>
  <c r="D23" i="25"/>
  <c r="D29" i="1"/>
  <c r="D34" i="1"/>
  <c r="D32" i="1"/>
  <c r="B38" i="25"/>
  <c r="B38" i="1"/>
  <c r="B37" i="1"/>
  <c r="F37" i="1" s="1"/>
  <c r="B37" i="25"/>
  <c r="B30" i="1"/>
  <c r="F30" i="1" s="1"/>
  <c r="B30" i="25"/>
  <c r="B20" i="25"/>
  <c r="B20" i="1"/>
  <c r="B16" i="1"/>
  <c r="B16" i="25"/>
  <c r="D43" i="5"/>
  <c r="B23" i="1"/>
  <c r="B23" i="25"/>
  <c r="B17" i="1"/>
  <c r="F17" i="1" s="1"/>
  <c r="B17" i="25"/>
  <c r="B19" i="1"/>
  <c r="F19" i="1" s="1"/>
  <c r="B19" i="25"/>
  <c r="B27" i="25"/>
  <c r="B27" i="1"/>
  <c r="F27" i="1" s="1"/>
  <c r="B28" i="1"/>
  <c r="F28" i="1" s="1"/>
  <c r="B28" i="25"/>
  <c r="B35" i="25"/>
  <c r="B35" i="1"/>
  <c r="F35" i="1" s="1"/>
  <c r="B33" i="25"/>
  <c r="B33" i="1"/>
  <c r="B36" i="25"/>
  <c r="B36" i="1"/>
  <c r="F36" i="1" s="1"/>
  <c r="B39" i="1"/>
  <c r="F39" i="1" s="1"/>
  <c r="B39" i="25"/>
  <c r="B31" i="1"/>
  <c r="F31" i="1" s="1"/>
  <c r="B31" i="25"/>
  <c r="B21" i="25"/>
  <c r="B21" i="1"/>
  <c r="F21" i="1" s="1"/>
  <c r="B22" i="25"/>
  <c r="B22" i="1"/>
  <c r="F22" i="1" s="1"/>
  <c r="B24" i="25"/>
  <c r="B24" i="1"/>
  <c r="B18" i="1"/>
  <c r="F18" i="1" s="1"/>
  <c r="B18" i="25"/>
  <c r="B25" i="1"/>
  <c r="F25" i="1" s="1"/>
  <c r="B25" i="25"/>
  <c r="B26" i="25"/>
  <c r="B26" i="1"/>
  <c r="F26" i="1" s="1"/>
  <c r="B29" i="1"/>
  <c r="B29" i="25"/>
  <c r="B34" i="1"/>
  <c r="F34" i="1" s="1"/>
  <c r="B34" i="25"/>
  <c r="B32" i="1"/>
  <c r="F32" i="1" s="1"/>
  <c r="B32" i="25"/>
  <c r="D27" i="26" l="1"/>
  <c r="D27" i="27" s="1"/>
  <c r="D38" i="26"/>
  <c r="D37" i="26"/>
  <c r="B23" i="26"/>
  <c r="B35" i="26"/>
  <c r="B24" i="26"/>
  <c r="B29" i="26"/>
  <c r="B34" i="26"/>
  <c r="B38" i="26"/>
  <c r="B26" i="26"/>
  <c r="B26" i="27" s="1"/>
  <c r="F31" i="26"/>
  <c r="F23" i="33"/>
  <c r="D23" i="26"/>
  <c r="F26" i="33"/>
  <c r="D26" i="26"/>
  <c r="D44" i="26" s="1"/>
  <c r="H44" i="26" s="1"/>
  <c r="F35" i="33"/>
  <c r="D35" i="26"/>
  <c r="F35" i="26" s="1"/>
  <c r="F29" i="33"/>
  <c r="D29" i="26"/>
  <c r="F19" i="33"/>
  <c r="D19" i="26"/>
  <c r="D19" i="27" s="1"/>
  <c r="F34" i="33"/>
  <c r="D34" i="26"/>
  <c r="F36" i="33"/>
  <c r="D36" i="26"/>
  <c r="F36" i="26" s="1"/>
  <c r="F28" i="33"/>
  <c r="D28" i="26"/>
  <c r="F28" i="26" s="1"/>
  <c r="F25" i="33"/>
  <c r="B25" i="26"/>
  <c r="F25" i="26" s="1"/>
  <c r="F18" i="33"/>
  <c r="B18" i="26"/>
  <c r="F18" i="26" s="1"/>
  <c r="F32" i="33"/>
  <c r="B32" i="26"/>
  <c r="F32" i="26" s="1"/>
  <c r="F27" i="33"/>
  <c r="B27" i="26"/>
  <c r="F27" i="26" s="1"/>
  <c r="F37" i="33"/>
  <c r="B37" i="26"/>
  <c r="B37" i="27" s="1"/>
  <c r="F21" i="33"/>
  <c r="B21" i="26"/>
  <c r="F21" i="26" s="1"/>
  <c r="F30" i="33"/>
  <c r="B30" i="26"/>
  <c r="F30" i="26" s="1"/>
  <c r="F39" i="33"/>
  <c r="B39" i="26"/>
  <c r="F39" i="26" s="1"/>
  <c r="F22" i="33"/>
  <c r="B22" i="26"/>
  <c r="F22" i="26" s="1"/>
  <c r="F32" i="35"/>
  <c r="B44" i="7"/>
  <c r="E44" i="7" s="1"/>
  <c r="F23" i="7"/>
  <c r="I43" i="21"/>
  <c r="B40" i="40"/>
  <c r="I43" i="18"/>
  <c r="I43" i="5"/>
  <c r="I43" i="16"/>
  <c r="F29" i="1"/>
  <c r="F37" i="26"/>
  <c r="F17" i="26"/>
  <c r="F29" i="26"/>
  <c r="J45" i="34"/>
  <c r="F20" i="1"/>
  <c r="F31" i="7"/>
  <c r="H20" i="17"/>
  <c r="H21" i="17"/>
  <c r="H24" i="17"/>
  <c r="H25" i="17"/>
  <c r="H28" i="17"/>
  <c r="H29" i="17"/>
  <c r="H32" i="17"/>
  <c r="H33" i="17"/>
  <c r="H36" i="17"/>
  <c r="H37" i="17"/>
  <c r="H40" i="17"/>
  <c r="H41" i="17"/>
  <c r="H27" i="17"/>
  <c r="H35" i="17"/>
  <c r="H23" i="17"/>
  <c r="H31" i="17"/>
  <c r="H39" i="17"/>
  <c r="I43" i="13"/>
  <c r="B45" i="7"/>
  <c r="E45" i="7" s="1"/>
  <c r="I43" i="23"/>
  <c r="F34" i="35"/>
  <c r="F20" i="33"/>
  <c r="F30" i="35"/>
  <c r="F17" i="33"/>
  <c r="F22" i="35"/>
  <c r="F26" i="35"/>
  <c r="F37" i="35"/>
  <c r="F23" i="35"/>
  <c r="F31" i="35"/>
  <c r="F20" i="35"/>
  <c r="F35" i="35"/>
  <c r="F39" i="34"/>
  <c r="F20" i="34"/>
  <c r="F24" i="34"/>
  <c r="F25" i="34"/>
  <c r="F29" i="34"/>
  <c r="F33" i="34"/>
  <c r="I43" i="30"/>
  <c r="D31" i="27"/>
  <c r="F31" i="33"/>
  <c r="I43" i="15"/>
  <c r="I43" i="14"/>
  <c r="F23" i="1"/>
  <c r="F38" i="1"/>
  <c r="D44" i="35"/>
  <c r="H44" i="35" s="1"/>
  <c r="D44" i="40"/>
  <c r="H44" i="40" s="1"/>
  <c r="B45" i="35"/>
  <c r="E45" i="35" s="1"/>
  <c r="B44" i="26"/>
  <c r="E44" i="26" s="1"/>
  <c r="B45" i="40"/>
  <c r="E45" i="40" s="1"/>
  <c r="D45" i="40"/>
  <c r="H45" i="40" s="1"/>
  <c r="F33" i="40"/>
  <c r="D45" i="35"/>
  <c r="H45" i="35" s="1"/>
  <c r="F33" i="35"/>
  <c r="D46" i="40"/>
  <c r="H46" i="40" s="1"/>
  <c r="D40" i="40"/>
  <c r="F40" i="40" s="1"/>
  <c r="D46" i="35"/>
  <c r="H46" i="35" s="1"/>
  <c r="D40" i="35"/>
  <c r="B46" i="35"/>
  <c r="E46" i="35" s="1"/>
  <c r="J46" i="35" s="1"/>
  <c r="F16" i="35"/>
  <c r="B40" i="35"/>
  <c r="B44" i="35"/>
  <c r="E44" i="35" s="1"/>
  <c r="F24" i="35"/>
  <c r="F16" i="40"/>
  <c r="B46" i="40"/>
  <c r="E46" i="40" s="1"/>
  <c r="F24" i="40"/>
  <c r="B44" i="40"/>
  <c r="E44" i="40" s="1"/>
  <c r="J44" i="40" s="1"/>
  <c r="D44" i="34"/>
  <c r="H44" i="34" s="1"/>
  <c r="J44" i="34" s="1"/>
  <c r="D40" i="34"/>
  <c r="D46" i="34"/>
  <c r="H46" i="34" s="1"/>
  <c r="F16" i="34"/>
  <c r="B46" i="34"/>
  <c r="E46" i="34" s="1"/>
  <c r="B40" i="34"/>
  <c r="F40" i="34" s="1"/>
  <c r="D45" i="33"/>
  <c r="H45" i="33" s="1"/>
  <c r="B44" i="33"/>
  <c r="E44" i="33" s="1"/>
  <c r="B45" i="24"/>
  <c r="E45" i="24" s="1"/>
  <c r="B40" i="7"/>
  <c r="F16" i="7"/>
  <c r="B46" i="7"/>
  <c r="E46" i="7" s="1"/>
  <c r="F19" i="6"/>
  <c r="B45" i="6"/>
  <c r="E45" i="6" s="1"/>
  <c r="D46" i="6"/>
  <c r="H46" i="6" s="1"/>
  <c r="D40" i="6"/>
  <c r="F33" i="6"/>
  <c r="D45" i="6"/>
  <c r="H45" i="6" s="1"/>
  <c r="J45" i="6" s="1"/>
  <c r="F39" i="24"/>
  <c r="F35" i="24"/>
  <c r="F27" i="24"/>
  <c r="F30" i="6"/>
  <c r="F38" i="6"/>
  <c r="F16" i="6"/>
  <c r="B46" i="6"/>
  <c r="E46" i="6" s="1"/>
  <c r="J46" i="6" s="1"/>
  <c r="B40" i="6"/>
  <c r="F40" i="6" s="1"/>
  <c r="B44" i="24"/>
  <c r="E44" i="24" s="1"/>
  <c r="B46" i="24"/>
  <c r="E46" i="24" s="1"/>
  <c r="B40" i="24"/>
  <c r="F16" i="24"/>
  <c r="B44" i="6"/>
  <c r="E44" i="6" s="1"/>
  <c r="J44" i="6" s="1"/>
  <c r="F24" i="6"/>
  <c r="F19" i="26"/>
  <c r="D46" i="33"/>
  <c r="H46" i="33" s="1"/>
  <c r="D40" i="33"/>
  <c r="F24" i="26"/>
  <c r="D44" i="33"/>
  <c r="H44" i="33" s="1"/>
  <c r="J44" i="33" s="1"/>
  <c r="F24" i="33"/>
  <c r="B45" i="26"/>
  <c r="E45" i="26" s="1"/>
  <c r="F33" i="26"/>
  <c r="B46" i="26"/>
  <c r="E46" i="26" s="1"/>
  <c r="F16" i="26"/>
  <c r="B45" i="33"/>
  <c r="E45" i="33" s="1"/>
  <c r="F33" i="33"/>
  <c r="F16" i="33"/>
  <c r="B46" i="33"/>
  <c r="E46" i="33" s="1"/>
  <c r="B40" i="33"/>
  <c r="D45" i="1"/>
  <c r="H45" i="1" s="1"/>
  <c r="D44" i="1"/>
  <c r="H44" i="1" s="1"/>
  <c r="D46" i="1"/>
  <c r="H46" i="1" s="1"/>
  <c r="D40" i="1"/>
  <c r="D16" i="27"/>
  <c r="B34" i="27"/>
  <c r="B29" i="27"/>
  <c r="B25" i="27"/>
  <c r="F24" i="1"/>
  <c r="B44" i="1"/>
  <c r="E44" i="1" s="1"/>
  <c r="J44" i="1" s="1"/>
  <c r="B31" i="27"/>
  <c r="F31" i="25"/>
  <c r="F39" i="25"/>
  <c r="F33" i="1"/>
  <c r="B45" i="1"/>
  <c r="E45" i="1" s="1"/>
  <c r="J45" i="1" s="1"/>
  <c r="B28" i="27"/>
  <c r="F19" i="25"/>
  <c r="B19" i="27"/>
  <c r="B17" i="27"/>
  <c r="B23" i="27"/>
  <c r="F23" i="25"/>
  <c r="F16" i="1"/>
  <c r="B40" i="1"/>
  <c r="F40" i="1" s="1"/>
  <c r="B46" i="1"/>
  <c r="E46" i="1" s="1"/>
  <c r="B20" i="27"/>
  <c r="B38" i="27"/>
  <c r="B24" i="27"/>
  <c r="B44" i="25"/>
  <c r="E44" i="25" s="1"/>
  <c r="B36" i="27"/>
  <c r="B45" i="25"/>
  <c r="E45" i="25" s="1"/>
  <c r="B33" i="27"/>
  <c r="B35" i="27"/>
  <c r="F35" i="25"/>
  <c r="F27" i="25"/>
  <c r="B46" i="25"/>
  <c r="E46" i="25" s="1"/>
  <c r="F16" i="25"/>
  <c r="B40" i="25"/>
  <c r="B16" i="27"/>
  <c r="B40" i="26" l="1"/>
  <c r="F34" i="26"/>
  <c r="F23" i="26"/>
  <c r="F38" i="26"/>
  <c r="B27" i="27"/>
  <c r="F27" i="27" s="1"/>
  <c r="B18" i="27"/>
  <c r="B32" i="27"/>
  <c r="J46" i="34"/>
  <c r="F40" i="33"/>
  <c r="J45" i="33"/>
  <c r="B21" i="27"/>
  <c r="F26" i="26"/>
  <c r="B30" i="27"/>
  <c r="B39" i="27"/>
  <c r="F39" i="27" s="1"/>
  <c r="F31" i="27"/>
  <c r="D40" i="26"/>
  <c r="D23" i="27"/>
  <c r="F23" i="27" s="1"/>
  <c r="B22" i="27"/>
  <c r="D46" i="26"/>
  <c r="H46" i="26" s="1"/>
  <c r="D45" i="26"/>
  <c r="H45" i="26" s="1"/>
  <c r="F19" i="27"/>
  <c r="D35" i="27"/>
  <c r="F35" i="27" s="1"/>
  <c r="J44" i="26"/>
  <c r="J45" i="26"/>
  <c r="J46" i="33"/>
  <c r="J44" i="35"/>
  <c r="J45" i="35"/>
  <c r="F40" i="26"/>
  <c r="J46" i="26"/>
  <c r="D36" i="25"/>
  <c r="I39" i="17"/>
  <c r="D36" i="7"/>
  <c r="F36" i="7" s="1"/>
  <c r="D36" i="24"/>
  <c r="F36" i="24" s="1"/>
  <c r="D20" i="7"/>
  <c r="F20" i="7" s="1"/>
  <c r="I23" i="17"/>
  <c r="D20" i="24"/>
  <c r="F20" i="24" s="1"/>
  <c r="D20" i="25"/>
  <c r="I35" i="17"/>
  <c r="D32" i="7"/>
  <c r="F32" i="7" s="1"/>
  <c r="D32" i="24"/>
  <c r="F32" i="24" s="1"/>
  <c r="D32" i="25"/>
  <c r="D38" i="7"/>
  <c r="F38" i="7" s="1"/>
  <c r="I41" i="17"/>
  <c r="D38" i="24"/>
  <c r="F38" i="24" s="1"/>
  <c r="D38" i="25"/>
  <c r="I37" i="17"/>
  <c r="D34" i="24"/>
  <c r="F34" i="24" s="1"/>
  <c r="D34" i="25"/>
  <c r="D34" i="7"/>
  <c r="F34" i="7" s="1"/>
  <c r="I33" i="17"/>
  <c r="D30" i="24"/>
  <c r="F30" i="24" s="1"/>
  <c r="D30" i="7"/>
  <c r="F30" i="7" s="1"/>
  <c r="D30" i="25"/>
  <c r="I29" i="17"/>
  <c r="D26" i="7"/>
  <c r="F26" i="7" s="1"/>
  <c r="D26" i="25"/>
  <c r="D26" i="24"/>
  <c r="F26" i="24" s="1"/>
  <c r="I25" i="17"/>
  <c r="D22" i="7"/>
  <c r="F22" i="7" s="1"/>
  <c r="D22" i="24"/>
  <c r="F22" i="24" s="1"/>
  <c r="D22" i="25"/>
  <c r="I21" i="17"/>
  <c r="D18" i="7"/>
  <c r="F18" i="7" s="1"/>
  <c r="D18" i="24"/>
  <c r="F18" i="24" s="1"/>
  <c r="D18" i="25"/>
  <c r="I31" i="17"/>
  <c r="D28" i="24"/>
  <c r="F28" i="24" s="1"/>
  <c r="D28" i="25"/>
  <c r="D28" i="7"/>
  <c r="F28" i="7" s="1"/>
  <c r="D24" i="7"/>
  <c r="D24" i="25"/>
  <c r="I27" i="17"/>
  <c r="D24" i="24"/>
  <c r="I40" i="17"/>
  <c r="D37" i="7"/>
  <c r="F37" i="7" s="1"/>
  <c r="D37" i="24"/>
  <c r="F37" i="24" s="1"/>
  <c r="D37" i="25"/>
  <c r="D33" i="7"/>
  <c r="I36" i="17"/>
  <c r="D33" i="24"/>
  <c r="D33" i="25"/>
  <c r="D29" i="24"/>
  <c r="F29" i="24" s="1"/>
  <c r="I32" i="17"/>
  <c r="D29" i="7"/>
  <c r="F29" i="7" s="1"/>
  <c r="D29" i="25"/>
  <c r="D25" i="7"/>
  <c r="F25" i="7" s="1"/>
  <c r="I28" i="17"/>
  <c r="D25" i="24"/>
  <c r="F25" i="24" s="1"/>
  <c r="D25" i="25"/>
  <c r="D21" i="7"/>
  <c r="F21" i="7" s="1"/>
  <c r="I24" i="17"/>
  <c r="D21" i="24"/>
  <c r="F21" i="24" s="1"/>
  <c r="D21" i="25"/>
  <c r="I20" i="17"/>
  <c r="D17" i="25"/>
  <c r="H43" i="17"/>
  <c r="I43" i="17" s="1"/>
  <c r="D17" i="7"/>
  <c r="D17" i="24"/>
  <c r="J46" i="40"/>
  <c r="F40" i="35"/>
  <c r="J45" i="40"/>
  <c r="J46" i="1"/>
  <c r="B40" i="27"/>
  <c r="B46" i="27"/>
  <c r="E46" i="27" s="1"/>
  <c r="F16" i="27"/>
  <c r="B45" i="27"/>
  <c r="E45" i="27" s="1"/>
  <c r="B44" i="27"/>
  <c r="E44" i="27" s="1"/>
  <c r="F17" i="24" l="1"/>
  <c r="D46" i="24"/>
  <c r="H46" i="24" s="1"/>
  <c r="J46" i="24" s="1"/>
  <c r="D40" i="24"/>
  <c r="F40" i="24" s="1"/>
  <c r="D45" i="24"/>
  <c r="H45" i="24" s="1"/>
  <c r="J45" i="24" s="1"/>
  <c r="F33" i="24"/>
  <c r="F33" i="7"/>
  <c r="D45" i="7"/>
  <c r="H45" i="7" s="1"/>
  <c r="J45" i="7" s="1"/>
  <c r="F24" i="7"/>
  <c r="D44" i="7"/>
  <c r="H44" i="7" s="1"/>
  <c r="J44" i="7" s="1"/>
  <c r="D28" i="27"/>
  <c r="F28" i="27" s="1"/>
  <c r="F28" i="25"/>
  <c r="D18" i="27"/>
  <c r="F18" i="27" s="1"/>
  <c r="F18" i="25"/>
  <c r="D22" i="27"/>
  <c r="F22" i="27" s="1"/>
  <c r="F22" i="25"/>
  <c r="D30" i="27"/>
  <c r="F30" i="27" s="1"/>
  <c r="F30" i="25"/>
  <c r="D38" i="27"/>
  <c r="F38" i="27" s="1"/>
  <c r="F38" i="25"/>
  <c r="D32" i="27"/>
  <c r="F32" i="27" s="1"/>
  <c r="F32" i="25"/>
  <c r="D20" i="27"/>
  <c r="F20" i="27" s="1"/>
  <c r="F20" i="25"/>
  <c r="F17" i="7"/>
  <c r="D46" i="7"/>
  <c r="H46" i="7" s="1"/>
  <c r="J46" i="7" s="1"/>
  <c r="D40" i="7"/>
  <c r="F40" i="7" s="1"/>
  <c r="D17" i="27"/>
  <c r="D40" i="25"/>
  <c r="F40" i="25" s="1"/>
  <c r="F17" i="25"/>
  <c r="D46" i="25"/>
  <c r="H46" i="25" s="1"/>
  <c r="J46" i="25" s="1"/>
  <c r="D21" i="27"/>
  <c r="F21" i="27" s="1"/>
  <c r="F21" i="25"/>
  <c r="D25" i="27"/>
  <c r="F25" i="27" s="1"/>
  <c r="F25" i="25"/>
  <c r="D29" i="27"/>
  <c r="F29" i="27" s="1"/>
  <c r="F29" i="25"/>
  <c r="D33" i="27"/>
  <c r="F33" i="25"/>
  <c r="D45" i="25"/>
  <c r="H45" i="25" s="1"/>
  <c r="J45" i="25" s="1"/>
  <c r="D37" i="27"/>
  <c r="F37" i="27" s="1"/>
  <c r="F37" i="25"/>
  <c r="D44" i="24"/>
  <c r="H44" i="24" s="1"/>
  <c r="J44" i="24" s="1"/>
  <c r="F24" i="24"/>
  <c r="D24" i="27"/>
  <c r="D44" i="25"/>
  <c r="H44" i="25" s="1"/>
  <c r="J44" i="25" s="1"/>
  <c r="F24" i="25"/>
  <c r="D26" i="27"/>
  <c r="F26" i="27" s="1"/>
  <c r="F26" i="25"/>
  <c r="D34" i="27"/>
  <c r="F34" i="27" s="1"/>
  <c r="F34" i="25"/>
  <c r="D36" i="27"/>
  <c r="F36" i="27" s="1"/>
  <c r="F36" i="25"/>
  <c r="D45" i="27" l="1"/>
  <c r="H45" i="27" s="1"/>
  <c r="J45" i="27" s="1"/>
  <c r="F33" i="27"/>
  <c r="F17" i="27"/>
  <c r="D46" i="27"/>
  <c r="H46" i="27" s="1"/>
  <c r="J46" i="27" s="1"/>
  <c r="D40" i="27"/>
  <c r="F40" i="27" s="1"/>
  <c r="D44" i="27"/>
  <c r="H44" i="27" s="1"/>
  <c r="J44" i="27" s="1"/>
  <c r="F24" i="27"/>
</calcChain>
</file>

<file path=xl/sharedStrings.xml><?xml version="1.0" encoding="utf-8"?>
<sst xmlns="http://schemas.openxmlformats.org/spreadsheetml/2006/main" count="6545" uniqueCount="412">
  <si>
    <t>ПРОТОКОЛ (суммарный)</t>
  </si>
  <si>
    <t>(предприятию или отдельно питающему центру)</t>
  </si>
  <si>
    <t>Часы</t>
  </si>
  <si>
    <t>активной кВт</t>
  </si>
  <si>
    <t>реактивной кВар</t>
  </si>
  <si>
    <t>Тангенс "фи"</t>
  </si>
  <si>
    <t>Кол. пр.</t>
  </si>
  <si>
    <t>0-00</t>
  </si>
  <si>
    <t>1-00</t>
  </si>
  <si>
    <t>2-00</t>
  </si>
  <si>
    <t>3-00</t>
  </si>
  <si>
    <t>4-00</t>
  </si>
  <si>
    <t>5-00</t>
  </si>
  <si>
    <t>6-00</t>
  </si>
  <si>
    <t>7-00</t>
  </si>
  <si>
    <t>8-00</t>
  </si>
  <si>
    <t>9-00</t>
  </si>
  <si>
    <t>10-00</t>
  </si>
  <si>
    <t>11-00</t>
  </si>
  <si>
    <t>12-00</t>
  </si>
  <si>
    <t>13-00</t>
  </si>
  <si>
    <t>14-00</t>
  </si>
  <si>
    <t>15-00</t>
  </si>
  <si>
    <t>16-00</t>
  </si>
  <si>
    <t>17-00</t>
  </si>
  <si>
    <t>18-00</t>
  </si>
  <si>
    <t>19-00</t>
  </si>
  <si>
    <t>20-00</t>
  </si>
  <si>
    <t>21-00</t>
  </si>
  <si>
    <t>22-00</t>
  </si>
  <si>
    <t>23-00</t>
  </si>
  <si>
    <t>24-00</t>
  </si>
  <si>
    <t>А сутки</t>
  </si>
  <si>
    <t>КС</t>
  </si>
  <si>
    <t>Включенные компенсирующие</t>
  </si>
  <si>
    <t>устройства кВар</t>
  </si>
  <si>
    <t>Суммарный расход эл. энергии</t>
  </si>
  <si>
    <t>Потребление эл. энергии</t>
  </si>
  <si>
    <t>активной кВт ч</t>
  </si>
  <si>
    <t>реактивной кВар ч</t>
  </si>
  <si>
    <t>Средняя нагрузка</t>
  </si>
  <si>
    <t>активная кВт</t>
  </si>
  <si>
    <t>реактивная кВар</t>
  </si>
  <si>
    <t>с 17 до 21</t>
  </si>
  <si>
    <t>с 0 до 24</t>
  </si>
  <si>
    <t xml:space="preserve">                     (наименование предприятия)</t>
  </si>
  <si>
    <t xml:space="preserve">                                   (адрес)</t>
  </si>
  <si>
    <t xml:space="preserve">                     (министерство, ведомство)</t>
  </si>
  <si>
    <t>ПРОТОКОЛ (первичный)</t>
  </si>
  <si>
    <t>записей показания электросчетчиков и вольтметров, а также определение</t>
  </si>
  <si>
    <t>Время записи часы</t>
  </si>
  <si>
    <t>показ.</t>
  </si>
  <si>
    <t>сч-ка</t>
  </si>
  <si>
    <t>разность</t>
  </si>
  <si>
    <t>расход за</t>
  </si>
  <si>
    <t>час (кВт)</t>
  </si>
  <si>
    <t>Активн. сч-к тип</t>
  </si>
  <si>
    <t>____________л__</t>
  </si>
  <si>
    <t>Расчетн. коэф</t>
  </si>
  <si>
    <t>Реактивн. сч-к тип</t>
  </si>
  <si>
    <t>Показание</t>
  </si>
  <si>
    <t>вольтметр.</t>
  </si>
  <si>
    <t>на стороне</t>
  </si>
  <si>
    <t>в\н</t>
  </si>
  <si>
    <t>н\н</t>
  </si>
  <si>
    <t>Мощность</t>
  </si>
  <si>
    <t>включен.</t>
  </si>
  <si>
    <t>компенсир.</t>
  </si>
  <si>
    <t>устройств</t>
  </si>
  <si>
    <t>кВар</t>
  </si>
  <si>
    <t>Суточн. расход эл. энергии</t>
  </si>
  <si>
    <t>Контрольная сумма</t>
  </si>
  <si>
    <t>Запись показаний счетчиков производили:</t>
  </si>
  <si>
    <t>Расчеты произвел:</t>
  </si>
  <si>
    <t>___________________</t>
  </si>
  <si>
    <t>фамилия</t>
  </si>
  <si>
    <t>(подпись)</t>
  </si>
  <si>
    <t>_______________</t>
  </si>
  <si>
    <t>1. Трансформаторы</t>
  </si>
  <si>
    <t>№№</t>
  </si>
  <si>
    <t>п/п</t>
  </si>
  <si>
    <t>Место установки</t>
  </si>
  <si>
    <t>Номинальн.</t>
  </si>
  <si>
    <t>напряжение</t>
  </si>
  <si>
    <t>________ кВ</t>
  </si>
  <si>
    <t>Включен.</t>
  </si>
  <si>
    <t>на ответвление</t>
  </si>
  <si>
    <t>Назначение</t>
  </si>
  <si>
    <t>тр-ра</t>
  </si>
  <si>
    <t>силов. освет.</t>
  </si>
  <si>
    <t>печной</t>
  </si>
  <si>
    <t>Примечание</t>
  </si>
  <si>
    <t>2. Высоковольтные электродвигатели</t>
  </si>
  <si>
    <t>Номинальная</t>
  </si>
  <si>
    <t xml:space="preserve"> мощность кВт</t>
  </si>
  <si>
    <t>Указать отдельно рабочие и запломбированные трансформаторы и высоковольтные электродвигатели</t>
  </si>
  <si>
    <t>I.  Сведения о присоединенных трансформаторах и высоковольтных электродвигателях</t>
  </si>
  <si>
    <t>II. Статконденсаторы всех напряжений</t>
  </si>
  <si>
    <t>Место</t>
  </si>
  <si>
    <t>установки</t>
  </si>
  <si>
    <t>Номинальное</t>
  </si>
  <si>
    <t>кВ</t>
  </si>
  <si>
    <t>мощность</t>
  </si>
  <si>
    <t>В т.ч. с</t>
  </si>
  <si>
    <t>авторегулир.</t>
  </si>
  <si>
    <t>и отключения</t>
  </si>
  <si>
    <t>установки за сутки</t>
  </si>
  <si>
    <t>Тип</t>
  </si>
  <si>
    <t>(синхронный,</t>
  </si>
  <si>
    <t>III. Синхронные электродвигатели напряжением до 1000 В</t>
  </si>
  <si>
    <t>мощность кВт</t>
  </si>
  <si>
    <t>№ п-п</t>
  </si>
  <si>
    <t>нагрузок и тангенса "фи" за</t>
  </si>
  <si>
    <t>напряжения</t>
  </si>
  <si>
    <t>вольт</t>
  </si>
  <si>
    <t>№№ п/п</t>
  </si>
  <si>
    <t>Наименование</t>
  </si>
  <si>
    <t>Работающие</t>
  </si>
  <si>
    <t>Резервные</t>
  </si>
  <si>
    <t>шт.</t>
  </si>
  <si>
    <t>суммарная</t>
  </si>
  <si>
    <t>мощность кВа, кВт</t>
  </si>
  <si>
    <t>Трансформаторы</t>
  </si>
  <si>
    <t>а) головные 110-3510-6 кВ</t>
  </si>
  <si>
    <t>б) рабочие 10-610, 4-23 кВ</t>
  </si>
  <si>
    <t>Высоковольтные эл. двигатели</t>
  </si>
  <si>
    <t>а) асинхронные</t>
  </si>
  <si>
    <t>б) синхронные</t>
  </si>
  <si>
    <t>Синхронные эл. двигатели</t>
  </si>
  <si>
    <t>напряжением до 1000 В</t>
  </si>
  <si>
    <t>кол-во батарей</t>
  </si>
  <si>
    <t>в т.ч. с автом. регулир. кВар</t>
  </si>
  <si>
    <t>Статистические конденсаторы</t>
  </si>
  <si>
    <t>а) высоковольтные</t>
  </si>
  <si>
    <t>б) низковольтные</t>
  </si>
  <si>
    <t>ПРИМЕЧАНИЕ: Суммарный протокол составляется:</t>
  </si>
  <si>
    <t>а)</t>
  </si>
  <si>
    <t>по предприятию в целом с субабонентами;</t>
  </si>
  <si>
    <t>б)</t>
  </si>
  <si>
    <t>в)</t>
  </si>
  <si>
    <t>по каждому центру энергосистемы (эл. станция: районной подстанции;</t>
  </si>
  <si>
    <t>перепродавцу, от подстанции промышленного предприятия, если</t>
  </si>
  <si>
    <t xml:space="preserve"> предприятие питается от этого центра по 2-м и более фидерам;</t>
  </si>
  <si>
    <t>г)</t>
  </si>
  <si>
    <t>по каждой абонентской подстанции 110-35 кВ при наличии 2-х и более</t>
  </si>
  <si>
    <t>расчетных фидеров;</t>
  </si>
  <si>
    <t>д)</t>
  </si>
  <si>
    <t>по каждому субабоненту, если он питается по 2-м и более фидерам;</t>
  </si>
  <si>
    <t>е)</t>
  </si>
  <si>
    <t>по всем субабонентам, если их 2 и более.</t>
  </si>
  <si>
    <t>Главный энергетик</t>
  </si>
  <si>
    <t>по</t>
  </si>
  <si>
    <t xml:space="preserve">вычисления нагрузок и тангенса "фи" за </t>
  </si>
  <si>
    <t>с 8 до 11</t>
  </si>
  <si>
    <t>Шифр</t>
  </si>
  <si>
    <t>Питающий центр</t>
  </si>
  <si>
    <t>№ фидера</t>
  </si>
  <si>
    <t xml:space="preserve">                 ОАО "Пластик"                         </t>
  </si>
  <si>
    <t xml:space="preserve">        г. Узловая, Тульская, 1                      </t>
  </si>
  <si>
    <t xml:space="preserve">                                                                    </t>
  </si>
  <si>
    <t xml:space="preserve">                                                    </t>
  </si>
  <si>
    <t xml:space="preserve">                ОАО "Пластик"                        </t>
  </si>
  <si>
    <t xml:space="preserve">        г. Узловая, Тульская, 1                    </t>
  </si>
  <si>
    <t xml:space="preserve">                                  </t>
  </si>
  <si>
    <t>предприятию без субабонентов</t>
  </si>
  <si>
    <t>КТП-22,23,24,25</t>
  </si>
  <si>
    <t>РП-1</t>
  </si>
  <si>
    <t>РП-воздуход</t>
  </si>
  <si>
    <t>РП-воздуход.</t>
  </si>
  <si>
    <t>КТП-27,28,</t>
  </si>
  <si>
    <t>РП-5</t>
  </si>
  <si>
    <t>СДКН</t>
  </si>
  <si>
    <t>3х630</t>
  </si>
  <si>
    <t xml:space="preserve">        г. Узловая, Тульская, 1                  </t>
  </si>
  <si>
    <t xml:space="preserve">                                                                                                       </t>
  </si>
  <si>
    <t xml:space="preserve">                                                                                                        </t>
  </si>
  <si>
    <t xml:space="preserve">                                                                                                         </t>
  </si>
  <si>
    <t xml:space="preserve">                                                                        </t>
  </si>
  <si>
    <t xml:space="preserve">                                                                       </t>
  </si>
  <si>
    <t>Время включения</t>
  </si>
  <si>
    <t>по предприятию в целом без субабонентов;</t>
  </si>
  <si>
    <t>асинхронный)</t>
  </si>
  <si>
    <t>ква</t>
  </si>
  <si>
    <t>Каргина Т.В.</t>
  </si>
  <si>
    <t>предприятию с субабонентами</t>
  </si>
  <si>
    <t>субабонентам</t>
  </si>
  <si>
    <t>Расчеты производил ___________________ Т.В. Каргина</t>
  </si>
  <si>
    <t xml:space="preserve"> </t>
  </si>
  <si>
    <t xml:space="preserve">  </t>
  </si>
  <si>
    <t xml:space="preserve">    </t>
  </si>
  <si>
    <t>СЭТ-4ТМ.03</t>
  </si>
  <si>
    <t>№0103062007</t>
  </si>
  <si>
    <t>№0103062039</t>
  </si>
  <si>
    <t>№0102061040</t>
  </si>
  <si>
    <t>№0103061231</t>
  </si>
  <si>
    <t xml:space="preserve">П/ст №167  (ГПП-1)                                </t>
  </si>
  <si>
    <t xml:space="preserve">яч 24 тр-р №1                    </t>
  </si>
  <si>
    <t xml:space="preserve">П/ст №167 (ГПП-1)                                   </t>
  </si>
  <si>
    <t xml:space="preserve">яч 2 тр-р №2                      </t>
  </si>
  <si>
    <t xml:space="preserve">П/ст №214  (ГПП-2)                                  </t>
  </si>
  <si>
    <t xml:space="preserve">яч 3 тр-р №1                      </t>
  </si>
  <si>
    <t xml:space="preserve">П/ст №167  (ГПП-1)                                  </t>
  </si>
  <si>
    <t xml:space="preserve">П/ст №214 (ГПП-2)                                   </t>
  </si>
  <si>
    <t xml:space="preserve">яч 4  тр-р №1                      </t>
  </si>
  <si>
    <t xml:space="preserve">яч 36  тр-р №2                    </t>
  </si>
  <si>
    <t xml:space="preserve">П/ст №214   (ГПП-2)                                 </t>
  </si>
  <si>
    <t xml:space="preserve">яч 37  тр-р №2                    </t>
  </si>
  <si>
    <t xml:space="preserve">яч 10  Воейково-3               </t>
  </si>
  <si>
    <t>№ 0103061226</t>
  </si>
  <si>
    <t xml:space="preserve">П/ст №214   (ГПП-2)                                </t>
  </si>
  <si>
    <t xml:space="preserve">яч 16  Узловая-2                    </t>
  </si>
  <si>
    <t xml:space="preserve">яч 14 Дедилово                   </t>
  </si>
  <si>
    <t>№0103061217</t>
  </si>
  <si>
    <t>№0103061203</t>
  </si>
  <si>
    <t>№0808090590</t>
  </si>
  <si>
    <t>№ 0808090624</t>
  </si>
  <si>
    <t xml:space="preserve">_____6000______________ </t>
  </si>
  <si>
    <t xml:space="preserve">_________6000__________ </t>
  </si>
  <si>
    <t xml:space="preserve">__________6000__________ </t>
  </si>
  <si>
    <t xml:space="preserve">______6000______________ </t>
  </si>
  <si>
    <t xml:space="preserve">________6000_____________ </t>
  </si>
  <si>
    <t xml:space="preserve">________6000___________ </t>
  </si>
  <si>
    <t xml:space="preserve">п/ст 167 (ГПП-1)                              </t>
  </si>
  <si>
    <t xml:space="preserve">п/ст 214(ГПП-2)                                  </t>
  </si>
  <si>
    <t>п/ст 214(ГПП-2)</t>
  </si>
  <si>
    <t>п/ст 167, 214 (ГПП-1,ГПП-2)</t>
  </si>
  <si>
    <t>п/ст 167,214 (ГПП-1,ГПП-2)</t>
  </si>
  <si>
    <t xml:space="preserve">______6000_____________ </t>
  </si>
  <si>
    <t xml:space="preserve">_______6000_____________ </t>
  </si>
  <si>
    <t xml:space="preserve">_________6000___________ </t>
  </si>
  <si>
    <t xml:space="preserve">_________6000____________ </t>
  </si>
  <si>
    <t>№ 812091210</t>
  </si>
  <si>
    <t>№812091210</t>
  </si>
  <si>
    <t>№812091240</t>
  </si>
  <si>
    <t>№ 812091240</t>
  </si>
  <si>
    <t xml:space="preserve">яч 25 вв.1 РП-Хитрово            </t>
  </si>
  <si>
    <t xml:space="preserve">яч 13 вв.1 РП-Воздуходувная      </t>
  </si>
  <si>
    <t>яч 32 вв.2 РП-Воздуходувная</t>
  </si>
  <si>
    <t>яч. 27+30+10</t>
  </si>
  <si>
    <t>яч. 16+14</t>
  </si>
  <si>
    <t>п/ст 214 (ГПП-2)</t>
  </si>
  <si>
    <t>яч.13+32+25</t>
  </si>
  <si>
    <t>ПС 214</t>
  </si>
  <si>
    <t>яч.3+4+36+37</t>
  </si>
  <si>
    <t>ПС 214 тр-№2</t>
  </si>
  <si>
    <t>яч.36+37</t>
  </si>
  <si>
    <t>ПС 214 тр-р№1</t>
  </si>
  <si>
    <t>яч.3+4</t>
  </si>
  <si>
    <t>ПС 167</t>
  </si>
  <si>
    <t>яч.24+2</t>
  </si>
  <si>
    <t>п/ст167+п/ст214</t>
  </si>
  <si>
    <t xml:space="preserve">яч 26 вв.2  Геосинтетика               </t>
  </si>
  <si>
    <t>п/ст 167 (ГПП-1)</t>
  </si>
  <si>
    <t>субабонентам - ООО "Пластик-Геосинтетика"</t>
  </si>
  <si>
    <t xml:space="preserve">яч 3Г вв.1  Геосинтетика               </t>
  </si>
  <si>
    <t>№0806100082</t>
  </si>
  <si>
    <t>№ 0806100082</t>
  </si>
  <si>
    <t>№087090870</t>
  </si>
  <si>
    <t>№ 087090870</t>
  </si>
  <si>
    <t>№0110080758</t>
  </si>
  <si>
    <t>№0110080904</t>
  </si>
  <si>
    <t>Режимный день</t>
  </si>
  <si>
    <t>TYPE2</t>
  </si>
  <si>
    <t>1</t>
  </si>
  <si>
    <t>H</t>
  </si>
  <si>
    <t>MAIN</t>
  </si>
  <si>
    <t>EXCEL</t>
  </si>
  <si>
    <t>-1</t>
  </si>
  <si>
    <t>MAINSHEET</t>
  </si>
  <si>
    <t>2</t>
  </si>
  <si>
    <t>DATE</t>
  </si>
  <si>
    <t>10</t>
  </si>
  <si>
    <t>5</t>
  </si>
  <si>
    <t>BEGIN</t>
  </si>
  <si>
    <t>NOSHIFT</t>
  </si>
  <si>
    <t>8</t>
  </si>
  <si>
    <t>yyyy года</t>
  </si>
  <si>
    <t>dd mmmm</t>
  </si>
  <si>
    <t>18</t>
  </si>
  <si>
    <t>COLUMN</t>
  </si>
  <si>
    <t>RESNONE</t>
  </si>
  <si>
    <t>NONE</t>
  </si>
  <si>
    <t>CHN</t>
  </si>
  <si>
    <t>0</t>
  </si>
  <si>
    <t>4</t>
  </si>
  <si>
    <t>ZONENAMES</t>
  </si>
  <si>
    <t>RESULT_CAPTIONS</t>
  </si>
  <si>
    <t>61</t>
  </si>
  <si>
    <t>NOCHANGE</t>
  </si>
  <si>
    <t>CUTDATEBEGIN</t>
  </si>
  <si>
    <t>6</t>
  </si>
  <si>
    <t>ENLIKEPOW</t>
  </si>
  <si>
    <t>692</t>
  </si>
  <si>
    <t>480</t>
  </si>
  <si>
    <t>BEGINVALUE</t>
  </si>
  <si>
    <t>694</t>
  </si>
  <si>
    <t>95</t>
  </si>
  <si>
    <t>3</t>
  </si>
  <si>
    <t>687</t>
  </si>
  <si>
    <t>483</t>
  </si>
  <si>
    <t>689</t>
  </si>
  <si>
    <t>702</t>
  </si>
  <si>
    <t>484</t>
  </si>
  <si>
    <t>704</t>
  </si>
  <si>
    <t>697</t>
  </si>
  <si>
    <t>481</t>
  </si>
  <si>
    <t>699</t>
  </si>
  <si>
    <t>7</t>
  </si>
  <si>
    <t>9</t>
  </si>
  <si>
    <t>11</t>
  </si>
  <si>
    <t>12</t>
  </si>
  <si>
    <t>13</t>
  </si>
  <si>
    <t>14</t>
  </si>
  <si>
    <t>15</t>
  </si>
  <si>
    <t>16</t>
  </si>
  <si>
    <t>17</t>
  </si>
  <si>
    <t>19</t>
  </si>
  <si>
    <t>1786</t>
  </si>
  <si>
    <t>790</t>
  </si>
  <si>
    <t>1788</t>
  </si>
  <si>
    <t>1769</t>
  </si>
  <si>
    <t>784</t>
  </si>
  <si>
    <t>1771</t>
  </si>
  <si>
    <t>122</t>
  </si>
  <si>
    <t>198</t>
  </si>
  <si>
    <t>117</t>
  </si>
  <si>
    <t>201</t>
  </si>
  <si>
    <t>119</t>
  </si>
  <si>
    <t>732</t>
  </si>
  <si>
    <t>486</t>
  </si>
  <si>
    <t>734</t>
  </si>
  <si>
    <t>747</t>
  </si>
  <si>
    <t>489</t>
  </si>
  <si>
    <t>749</t>
  </si>
  <si>
    <t>737</t>
  </si>
  <si>
    <t>493</t>
  </si>
  <si>
    <t>739</t>
  </si>
  <si>
    <t>742</t>
  </si>
  <si>
    <t>488</t>
  </si>
  <si>
    <t>744</t>
  </si>
  <si>
    <t>717</t>
  </si>
  <si>
    <t>490</t>
  </si>
  <si>
    <t>719</t>
  </si>
  <si>
    <t>727</t>
  </si>
  <si>
    <t>492</t>
  </si>
  <si>
    <t>729</t>
  </si>
  <si>
    <t>722</t>
  </si>
  <si>
    <t>491</t>
  </si>
  <si>
    <t>724</t>
  </si>
  <si>
    <t>347</t>
  </si>
  <si>
    <t>138</t>
  </si>
  <si>
    <t>349</t>
  </si>
  <si>
    <t>352</t>
  </si>
  <si>
    <t>140</t>
  </si>
  <si>
    <t>354</t>
  </si>
  <si>
    <t>332</t>
  </si>
  <si>
    <t>132</t>
  </si>
  <si>
    <t>334</t>
  </si>
  <si>
    <t>HOUR</t>
  </si>
  <si>
    <t>25</t>
  </si>
  <si>
    <t>124</t>
  </si>
  <si>
    <t>субабонентам - ОАО "РЖД"</t>
  </si>
  <si>
    <t>яч.3Г+26</t>
  </si>
  <si>
    <t>субабонентам - ООО "БОС-Эксплуатация"</t>
  </si>
  <si>
    <t xml:space="preserve"> _________________________ И.Н. Чернышов</t>
  </si>
  <si>
    <t xml:space="preserve">1. </t>
  </si>
  <si>
    <t>2.</t>
  </si>
  <si>
    <t xml:space="preserve">3. </t>
  </si>
  <si>
    <t>субабонентам - ООО"Энергосеть"</t>
  </si>
  <si>
    <t>2017года</t>
  </si>
  <si>
    <t>КТП-4</t>
  </si>
  <si>
    <t>7,8,9,10</t>
  </si>
  <si>
    <t>РП-1, ТП-1</t>
  </si>
  <si>
    <t>яч.33 ввод 1 УЗСК</t>
  </si>
  <si>
    <t>СЭТ-4ТМ. 03М.09</t>
  </si>
  <si>
    <t>СЭТ-4ТМ.03.01</t>
  </si>
  <si>
    <t>№110080737</t>
  </si>
  <si>
    <t>СЭТ-4ТМ.03М</t>
  </si>
  <si>
    <t xml:space="preserve">________400___________ </t>
  </si>
  <si>
    <t>№0810125659</t>
  </si>
  <si>
    <t>№0804125062</t>
  </si>
  <si>
    <t>яч.16 ввод 2 УЗСК</t>
  </si>
  <si>
    <t>яч.26 ввод 3 УЗСК</t>
  </si>
  <si>
    <t>№0804125145</t>
  </si>
  <si>
    <t>ТП-фекальная</t>
  </si>
  <si>
    <t>яч.2 гр. Тихомирова</t>
  </si>
  <si>
    <t>ПСЧ-4ТМ.05МК.20</t>
  </si>
  <si>
    <t>№1110160049</t>
  </si>
  <si>
    <t>РП-1 ТП-3</t>
  </si>
  <si>
    <t>ввод 2 Добрыня</t>
  </si>
  <si>
    <t>ПСЧ-4ТМ.05МК.04</t>
  </si>
  <si>
    <t>№1108161763</t>
  </si>
  <si>
    <t>ввод 1 Добрыня</t>
  </si>
  <si>
    <t>РП-2 КТП-27</t>
  </si>
  <si>
    <t>№1109161417</t>
  </si>
  <si>
    <t>РП-1 ЩСУ-9 ц.02</t>
  </si>
  <si>
    <t>яч.24 Мегафон</t>
  </si>
  <si>
    <t>Меркурий 230ART-01</t>
  </si>
  <si>
    <t>№31644177</t>
  </si>
  <si>
    <t>РП-1 ТП-1</t>
  </si>
  <si>
    <t>яч.33+16+26</t>
  </si>
  <si>
    <t>субабонентам - ООО "УЗСК"</t>
  </si>
  <si>
    <t>вв.1+вв.2</t>
  </si>
  <si>
    <t>РП-1 ТП-4</t>
  </si>
  <si>
    <t>Академия Пластика</t>
  </si>
  <si>
    <t>№1109161537</t>
  </si>
  <si>
    <t>Энергосеть+РЖД+Бос-эксплуатация+ Пластик-Геосинтетика+ УЗСК+Добрыня+Мегафон+Тихомирова+Академия Пластика</t>
  </si>
  <si>
    <t>20 декабря</t>
  </si>
  <si>
    <t>субабонентам - ООО "Добрыня"</t>
  </si>
  <si>
    <t>РП-2 КТП-27; РП-1 ТП-3</t>
  </si>
  <si>
    <t xml:space="preserve">яч.30  Воейково-2               </t>
  </si>
  <si>
    <t xml:space="preserve">яч. 27  Воейково-1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</si>
</sst>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0.0000"/>
  </numFmts>
  <fonts count="22" x14ac:knownFonts="1">
    <font>
      <sz val="10"/>
      <name val="Arial Cyr"/>
      <charset val="204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</font>
    <font>
      <sz val="14"/>
      <name val="Times New Roman"/>
      <family val="1"/>
    </font>
    <font>
      <b/>
      <sz val="14"/>
      <name val="Times New Roman"/>
      <family val="1"/>
    </font>
    <font>
      <b/>
      <sz val="18"/>
      <name val="Times New Roman"/>
      <family val="1"/>
    </font>
    <font>
      <sz val="13"/>
      <name val="Times New Roman"/>
      <family val="1"/>
    </font>
    <font>
      <sz val="11"/>
      <name val="Times New Roman"/>
      <family val="1"/>
    </font>
    <font>
      <u/>
      <sz val="14"/>
      <name val="Times New Roman"/>
      <family val="1"/>
    </font>
    <font>
      <u/>
      <sz val="16"/>
      <name val="Times New Roman"/>
      <family val="1"/>
    </font>
    <font>
      <u/>
      <sz val="18"/>
      <name val="Times New Roman"/>
      <family val="1"/>
    </font>
    <font>
      <u/>
      <sz val="20"/>
      <name val="Times New Roman"/>
      <family val="1"/>
    </font>
    <font>
      <sz val="20"/>
      <name val="Times New Roman"/>
      <family val="1"/>
    </font>
    <font>
      <sz val="14"/>
      <name val="Times New Roman"/>
      <family val="1"/>
      <charset val="204"/>
    </font>
    <font>
      <sz val="11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u/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8">
    <xf numFmtId="0" fontId="0" fillId="0" borderId="0"/>
    <xf numFmtId="0" fontId="20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238">
    <xf numFmtId="0" fontId="0" fillId="0" borderId="0" xfId="0"/>
    <xf numFmtId="0" fontId="8" fillId="0" borderId="0" xfId="0" applyFont="1" applyBorder="1" applyAlignment="1" applyProtection="1">
      <alignment horizontal="left" vertical="center" wrapText="1"/>
      <protection hidden="1"/>
    </xf>
    <xf numFmtId="0" fontId="8" fillId="0" borderId="0" xfId="0" applyFont="1" applyBorder="1" applyAlignment="1" applyProtection="1">
      <alignment horizontal="center" vertical="center" wrapText="1"/>
      <protection hidden="1"/>
    </xf>
    <xf numFmtId="0" fontId="9" fillId="0" borderId="0" xfId="0" applyFont="1" applyBorder="1" applyAlignment="1" applyProtection="1">
      <alignment horizontal="center" vertical="center" wrapText="1"/>
      <protection hidden="1"/>
    </xf>
    <xf numFmtId="0" fontId="8" fillId="0" borderId="1" xfId="0" applyFont="1" applyBorder="1" applyAlignment="1" applyProtection="1">
      <alignment horizontal="center" vertical="center" wrapText="1"/>
      <protection hidden="1"/>
    </xf>
    <xf numFmtId="0" fontId="8" fillId="0" borderId="2" xfId="0" applyFont="1" applyBorder="1" applyAlignment="1" applyProtection="1">
      <alignment horizontal="center" vertical="center" wrapText="1"/>
      <protection hidden="1"/>
    </xf>
    <xf numFmtId="0" fontId="8" fillId="0" borderId="4" xfId="0" applyFont="1" applyBorder="1" applyAlignment="1" applyProtection="1">
      <alignment horizontal="center" vertical="center" wrapText="1"/>
      <protection hidden="1"/>
    </xf>
    <xf numFmtId="0" fontId="8" fillId="0" borderId="2" xfId="0" applyFont="1" applyBorder="1" applyAlignment="1" applyProtection="1">
      <alignment horizontal="center" vertical="center" wrapText="1"/>
      <protection locked="0"/>
    </xf>
    <xf numFmtId="0" fontId="8" fillId="0" borderId="3" xfId="0" applyFont="1" applyBorder="1" applyAlignment="1" applyProtection="1">
      <alignment horizontal="center" vertical="center" wrapText="1"/>
      <protection locked="0"/>
    </xf>
    <xf numFmtId="0" fontId="8" fillId="0" borderId="1" xfId="0" applyFont="1" applyBorder="1" applyAlignment="1" applyProtection="1">
      <alignment horizontal="center" vertical="center" wrapText="1"/>
      <protection locked="0"/>
    </xf>
    <xf numFmtId="0" fontId="11" fillId="0" borderId="5" xfId="0" applyFont="1" applyBorder="1" applyAlignment="1" applyProtection="1">
      <alignment horizontal="center" vertical="center" wrapText="1"/>
      <protection hidden="1"/>
    </xf>
    <xf numFmtId="0" fontId="11" fillId="0" borderId="6" xfId="0" applyFont="1" applyBorder="1" applyAlignment="1" applyProtection="1">
      <alignment horizontal="center" vertical="center" wrapText="1"/>
      <protection hidden="1"/>
    </xf>
    <xf numFmtId="0" fontId="11" fillId="0" borderId="7" xfId="0" applyFont="1" applyBorder="1" applyAlignment="1" applyProtection="1">
      <alignment horizontal="center" vertical="center" wrapText="1"/>
      <protection hidden="1"/>
    </xf>
    <xf numFmtId="0" fontId="11" fillId="0" borderId="3" xfId="0" applyFont="1" applyBorder="1" applyAlignment="1" applyProtection="1">
      <alignment horizontal="center" vertical="center" wrapText="1"/>
      <protection hidden="1"/>
    </xf>
    <xf numFmtId="0" fontId="11" fillId="0" borderId="9" xfId="0" applyFont="1" applyBorder="1" applyAlignment="1" applyProtection="1">
      <alignment horizontal="center" vertical="center" wrapText="1"/>
      <protection locked="0"/>
    </xf>
    <xf numFmtId="0" fontId="11" fillId="0" borderId="0" xfId="0" applyFont="1" applyBorder="1" applyAlignment="1" applyProtection="1">
      <alignment horizontal="center" vertical="center" wrapText="1"/>
      <protection locked="0"/>
    </xf>
    <xf numFmtId="0" fontId="11" fillId="0" borderId="10" xfId="0" applyFont="1" applyBorder="1" applyAlignment="1" applyProtection="1">
      <alignment horizontal="center" vertical="center" wrapText="1"/>
      <protection locked="0"/>
    </xf>
    <xf numFmtId="0" fontId="8" fillId="0" borderId="0" xfId="0" applyFont="1" applyBorder="1" applyAlignment="1" applyProtection="1">
      <alignment horizontal="left" vertical="center" wrapText="1" indent="4"/>
      <protection hidden="1"/>
    </xf>
    <xf numFmtId="0" fontId="8" fillId="0" borderId="11" xfId="0" applyFont="1" applyBorder="1" applyAlignment="1" applyProtection="1">
      <alignment horizontal="center" vertical="center" wrapText="1"/>
      <protection locked="0"/>
    </xf>
    <xf numFmtId="0" fontId="11" fillId="0" borderId="12" xfId="0" applyFont="1" applyBorder="1" applyAlignment="1" applyProtection="1">
      <alignment horizontal="center" vertical="center" wrapText="1"/>
      <protection hidden="1"/>
    </xf>
    <xf numFmtId="0" fontId="11" fillId="0" borderId="14" xfId="0" applyFont="1" applyBorder="1" applyAlignment="1" applyProtection="1">
      <alignment horizontal="center" vertical="center" wrapText="1"/>
      <protection hidden="1"/>
    </xf>
    <xf numFmtId="1" fontId="8" fillId="0" borderId="2" xfId="0" applyNumberFormat="1" applyFont="1" applyBorder="1" applyAlignment="1" applyProtection="1">
      <alignment horizontal="center" vertical="center" wrapText="1"/>
      <protection hidden="1"/>
    </xf>
    <xf numFmtId="165" fontId="18" fillId="0" borderId="1" xfId="0" applyNumberFormat="1" applyFont="1" applyBorder="1" applyAlignment="1" applyProtection="1">
      <alignment horizontal="center" vertical="center" wrapText="1"/>
      <protection hidden="1"/>
    </xf>
    <xf numFmtId="0" fontId="18" fillId="0" borderId="2" xfId="0" applyFont="1" applyBorder="1" applyAlignment="1" applyProtection="1">
      <alignment horizontal="center" vertical="center" wrapText="1"/>
      <protection hidden="1"/>
    </xf>
    <xf numFmtId="1" fontId="18" fillId="0" borderId="2" xfId="0" applyNumberFormat="1" applyFont="1" applyBorder="1" applyAlignment="1" applyProtection="1">
      <alignment horizontal="center" vertical="center" wrapText="1"/>
      <protection hidden="1"/>
    </xf>
    <xf numFmtId="165" fontId="18" fillId="0" borderId="2" xfId="0" applyNumberFormat="1" applyFont="1" applyBorder="1" applyAlignment="1" applyProtection="1">
      <alignment horizontal="center" vertical="center" wrapText="1"/>
      <protection hidden="1"/>
    </xf>
    <xf numFmtId="2" fontId="18" fillId="0" borderId="2" xfId="0" applyNumberFormat="1" applyFont="1" applyBorder="1" applyAlignment="1" applyProtection="1">
      <alignment horizontal="center" vertical="center" wrapText="1"/>
      <protection hidden="1"/>
    </xf>
    <xf numFmtId="0" fontId="8" fillId="0" borderId="8" xfId="0" applyFont="1" applyBorder="1" applyAlignment="1" applyProtection="1">
      <alignment horizontal="center" vertical="center" wrapText="1"/>
      <protection hidden="1"/>
    </xf>
    <xf numFmtId="0" fontId="18" fillId="0" borderId="3" xfId="0" applyFont="1" applyBorder="1" applyAlignment="1" applyProtection="1">
      <alignment horizontal="center" vertical="center" wrapText="1"/>
      <protection hidden="1"/>
    </xf>
    <xf numFmtId="0" fontId="18" fillId="0" borderId="2" xfId="0" applyNumberFormat="1" applyFont="1" applyBorder="1" applyAlignment="1" applyProtection="1">
      <alignment horizontal="center" vertical="center" wrapText="1"/>
      <protection hidden="1"/>
    </xf>
    <xf numFmtId="0" fontId="18" fillId="0" borderId="8" xfId="0" applyFont="1" applyBorder="1" applyAlignment="1" applyProtection="1">
      <alignment horizontal="center" vertical="center" wrapText="1"/>
      <protection hidden="1"/>
    </xf>
    <xf numFmtId="0" fontId="18" fillId="0" borderId="8" xfId="0" applyNumberFormat="1" applyFont="1" applyBorder="1" applyAlignment="1" applyProtection="1">
      <alignment horizontal="center" vertical="center" wrapText="1"/>
      <protection hidden="1"/>
    </xf>
    <xf numFmtId="0" fontId="18" fillId="0" borderId="0" xfId="0" applyFont="1" applyBorder="1" applyAlignment="1" applyProtection="1">
      <alignment horizontal="center" vertical="center" wrapText="1"/>
      <protection hidden="1"/>
    </xf>
    <xf numFmtId="0" fontId="18" fillId="0" borderId="0" xfId="0" applyNumberFormat="1" applyFont="1" applyBorder="1" applyAlignment="1" applyProtection="1">
      <alignment horizontal="center" vertical="center" wrapText="1"/>
      <protection hidden="1"/>
    </xf>
    <xf numFmtId="4" fontId="18" fillId="0" borderId="0" xfId="0" applyNumberFormat="1" applyFont="1" applyBorder="1" applyAlignment="1" applyProtection="1">
      <alignment horizontal="center" vertical="center" wrapText="1"/>
      <protection hidden="1"/>
    </xf>
    <xf numFmtId="0" fontId="18" fillId="0" borderId="0" xfId="0" applyFont="1" applyBorder="1" applyAlignment="1" applyProtection="1">
      <alignment horizontal="left" vertical="center" wrapText="1"/>
      <protection hidden="1"/>
    </xf>
    <xf numFmtId="0" fontId="18" fillId="0" borderId="1" xfId="0" applyFont="1" applyBorder="1" applyAlignment="1" applyProtection="1">
      <alignment horizontal="center" vertical="center" wrapText="1"/>
      <protection hidden="1"/>
    </xf>
    <xf numFmtId="0" fontId="19" fillId="0" borderId="0" xfId="0" applyFont="1" applyBorder="1" applyAlignment="1" applyProtection="1">
      <alignment horizontal="center" vertical="center" wrapText="1"/>
      <protection hidden="1"/>
    </xf>
    <xf numFmtId="1" fontId="8" fillId="0" borderId="2" xfId="0" applyNumberFormat="1" applyFont="1" applyBorder="1" applyAlignment="1" applyProtection="1">
      <alignment horizontal="center" vertical="center" wrapText="1"/>
      <protection hidden="1"/>
    </xf>
    <xf numFmtId="0" fontId="18" fillId="0" borderId="2" xfId="0" applyFont="1" applyFill="1" applyBorder="1" applyAlignment="1" applyProtection="1">
      <alignment horizontal="center" vertical="center" wrapText="1"/>
      <protection hidden="1"/>
    </xf>
    <xf numFmtId="0" fontId="11" fillId="0" borderId="9" xfId="0" applyFont="1" applyFill="1" applyBorder="1" applyAlignment="1" applyProtection="1">
      <alignment horizontal="center" vertical="center" wrapText="1"/>
      <protection locked="0"/>
    </xf>
    <xf numFmtId="0" fontId="11" fillId="0" borderId="3" xfId="0" applyFont="1" applyFill="1" applyBorder="1" applyAlignment="1" applyProtection="1">
      <alignment horizontal="center" vertical="center" wrapText="1"/>
      <protection hidden="1"/>
    </xf>
    <xf numFmtId="0" fontId="11" fillId="0" borderId="0" xfId="0" applyFont="1" applyFill="1" applyBorder="1" applyAlignment="1" applyProtection="1">
      <alignment horizontal="center" vertical="center" wrapText="1"/>
      <protection locked="0"/>
    </xf>
    <xf numFmtId="0" fontId="11" fillId="0" borderId="10" xfId="0" applyFont="1" applyFill="1" applyBorder="1" applyAlignment="1" applyProtection="1">
      <alignment horizontal="center" vertical="center" wrapText="1"/>
      <protection locked="0"/>
    </xf>
    <xf numFmtId="0" fontId="11" fillId="0" borderId="7" xfId="0" applyFont="1" applyFill="1" applyBorder="1" applyAlignment="1" applyProtection="1">
      <alignment horizontal="center" vertical="center" wrapText="1"/>
      <protection hidden="1"/>
    </xf>
    <xf numFmtId="0" fontId="11" fillId="0" borderId="5" xfId="0" applyFont="1" applyFill="1" applyBorder="1" applyAlignment="1" applyProtection="1">
      <alignment horizontal="center" vertical="center" wrapText="1"/>
      <protection hidden="1"/>
    </xf>
    <xf numFmtId="0" fontId="11" fillId="0" borderId="14" xfId="0" applyFont="1" applyFill="1" applyBorder="1" applyAlignment="1" applyProtection="1">
      <alignment horizontal="center" vertical="center" wrapText="1"/>
      <protection hidden="1"/>
    </xf>
    <xf numFmtId="0" fontId="11" fillId="0" borderId="8" xfId="0" applyFont="1" applyFill="1" applyBorder="1" applyAlignment="1" applyProtection="1">
      <alignment horizontal="center" vertical="center" wrapText="1"/>
      <protection hidden="1"/>
    </xf>
    <xf numFmtId="0" fontId="11" fillId="0" borderId="6" xfId="0" applyFont="1" applyFill="1" applyBorder="1" applyAlignment="1" applyProtection="1">
      <alignment horizontal="center" vertical="center" wrapText="1"/>
      <protection hidden="1"/>
    </xf>
    <xf numFmtId="0" fontId="18" fillId="0" borderId="15" xfId="0" applyFont="1" applyFill="1" applyBorder="1" applyAlignment="1" applyProtection="1">
      <alignment horizontal="center" vertical="center" wrapText="1"/>
      <protection hidden="1"/>
    </xf>
    <xf numFmtId="1" fontId="18" fillId="0" borderId="2" xfId="0" applyNumberFormat="1" applyFont="1" applyFill="1" applyBorder="1" applyAlignment="1" applyProtection="1">
      <alignment horizontal="center" vertical="center" wrapText="1"/>
      <protection hidden="1"/>
    </xf>
    <xf numFmtId="165" fontId="18" fillId="0" borderId="1" xfId="0" applyNumberFormat="1" applyFont="1" applyFill="1" applyBorder="1" applyAlignment="1" applyProtection="1">
      <alignment horizontal="center" vertical="center" wrapText="1"/>
      <protection hidden="1"/>
    </xf>
    <xf numFmtId="2" fontId="18" fillId="0" borderId="2" xfId="0" applyNumberFormat="1" applyFont="1" applyFill="1" applyBorder="1" applyAlignment="1" applyProtection="1">
      <alignment horizontal="center" vertical="center" wrapText="1"/>
      <protection hidden="1"/>
    </xf>
    <xf numFmtId="0" fontId="18" fillId="0" borderId="3" xfId="0" applyFont="1" applyFill="1" applyBorder="1" applyAlignment="1" applyProtection="1">
      <alignment horizontal="center" vertical="center" wrapText="1"/>
      <protection hidden="1"/>
    </xf>
    <xf numFmtId="0" fontId="18" fillId="0" borderId="2" xfId="0" applyNumberFormat="1" applyFont="1" applyFill="1" applyBorder="1" applyAlignment="1" applyProtection="1">
      <alignment horizontal="center" vertical="center" wrapText="1"/>
      <protection hidden="1"/>
    </xf>
    <xf numFmtId="0" fontId="18" fillId="0" borderId="0" xfId="0" applyFont="1" applyFill="1" applyBorder="1" applyAlignment="1" applyProtection="1">
      <alignment horizontal="center" vertical="center" wrapText="1"/>
      <protection hidden="1"/>
    </xf>
    <xf numFmtId="0" fontId="18" fillId="0" borderId="0" xfId="0" applyNumberFormat="1" applyFont="1" applyFill="1" applyBorder="1" applyAlignment="1" applyProtection="1">
      <alignment horizontal="center" vertical="center" wrapText="1"/>
      <protection hidden="1"/>
    </xf>
    <xf numFmtId="4" fontId="18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19" fillId="0" borderId="0" xfId="0" applyFont="1" applyFill="1" applyBorder="1" applyAlignment="1" applyProtection="1">
      <alignment horizontal="center" vertical="center" wrapText="1"/>
      <protection hidden="1"/>
    </xf>
    <xf numFmtId="0" fontId="18" fillId="0" borderId="0" xfId="0" applyFont="1" applyFill="1" applyBorder="1" applyAlignment="1" applyProtection="1">
      <alignment horizontal="left" vertical="center" wrapText="1"/>
      <protection hidden="1"/>
    </xf>
    <xf numFmtId="0" fontId="18" fillId="0" borderId="1" xfId="0" applyFont="1" applyFill="1" applyBorder="1" applyAlignment="1" applyProtection="1">
      <alignment horizontal="center" vertical="center" wrapText="1"/>
      <protection hidden="1"/>
    </xf>
    <xf numFmtId="0" fontId="18" fillId="0" borderId="8" xfId="0" applyFont="1" applyFill="1" applyBorder="1" applyAlignment="1" applyProtection="1">
      <alignment horizontal="center" vertical="center" wrapText="1"/>
      <protection hidden="1"/>
    </xf>
    <xf numFmtId="0" fontId="18" fillId="0" borderId="8" xfId="0" applyNumberFormat="1" applyFont="1" applyFill="1" applyBorder="1" applyAlignment="1" applyProtection="1">
      <alignment horizontal="center" vertical="center" wrapText="1"/>
      <protection hidden="1"/>
    </xf>
    <xf numFmtId="0" fontId="8" fillId="0" borderId="0" xfId="0" applyFont="1" applyFill="1" applyBorder="1" applyAlignment="1" applyProtection="1">
      <alignment horizontal="left" vertical="center" wrapText="1"/>
      <protection hidden="1"/>
    </xf>
    <xf numFmtId="0" fontId="8" fillId="0" borderId="0" xfId="0" applyFont="1" applyFill="1" applyBorder="1" applyAlignment="1" applyProtection="1">
      <alignment horizontal="center" vertical="center" wrapText="1"/>
      <protection hidden="1"/>
    </xf>
    <xf numFmtId="49" fontId="18" fillId="0" borderId="2" xfId="0" applyNumberFormat="1" applyFont="1" applyFill="1" applyBorder="1" applyAlignment="1" applyProtection="1">
      <alignment horizontal="center" vertical="center" wrapText="1"/>
      <protection hidden="1"/>
    </xf>
    <xf numFmtId="0" fontId="8" fillId="0" borderId="3" xfId="0" applyFont="1" applyFill="1" applyBorder="1" applyAlignment="1" applyProtection="1">
      <alignment horizontal="center" vertical="center" wrapText="1"/>
      <protection hidden="1"/>
    </xf>
    <xf numFmtId="0" fontId="8" fillId="0" borderId="0" xfId="0" applyNumberFormat="1" applyFont="1" applyFill="1" applyBorder="1" applyAlignment="1" applyProtection="1">
      <alignment horizontal="center" vertical="center" wrapText="1"/>
      <protection hidden="1"/>
    </xf>
    <xf numFmtId="4" fontId="8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8" fillId="0" borderId="2" xfId="0" applyFont="1" applyFill="1" applyBorder="1" applyAlignment="1" applyProtection="1">
      <alignment horizontal="center" vertical="center" wrapText="1"/>
      <protection hidden="1"/>
    </xf>
    <xf numFmtId="0" fontId="8" fillId="0" borderId="7" xfId="0" applyFont="1" applyFill="1" applyBorder="1" applyAlignment="1" applyProtection="1">
      <alignment horizontal="center" vertical="center" wrapText="1"/>
      <protection hidden="1"/>
    </xf>
    <xf numFmtId="0" fontId="11" fillId="0" borderId="12" xfId="0" applyFont="1" applyFill="1" applyBorder="1" applyAlignment="1" applyProtection="1">
      <alignment horizontal="center" vertical="center" wrapText="1"/>
      <protection hidden="1"/>
    </xf>
    <xf numFmtId="0" fontId="11" fillId="0" borderId="13" xfId="0" applyFont="1" applyFill="1" applyBorder="1" applyAlignment="1" applyProtection="1">
      <alignment horizontal="center" vertical="center" wrapText="1"/>
      <protection hidden="1"/>
    </xf>
    <xf numFmtId="0" fontId="18" fillId="0" borderId="6" xfId="0" applyFont="1" applyFill="1" applyBorder="1" applyAlignment="1" applyProtection="1">
      <alignment horizontal="center" vertical="center" wrapText="1"/>
      <protection hidden="1"/>
    </xf>
    <xf numFmtId="0" fontId="8" fillId="0" borderId="6" xfId="0" applyFont="1" applyFill="1" applyBorder="1" applyAlignment="1" applyProtection="1">
      <alignment horizontal="center" vertical="center" wrapText="1"/>
      <protection hidden="1"/>
    </xf>
    <xf numFmtId="0" fontId="12" fillId="0" borderId="0" xfId="0" applyFont="1" applyFill="1" applyBorder="1" applyAlignment="1" applyProtection="1">
      <alignment horizontal="center" vertical="center" wrapText="1"/>
      <protection hidden="1"/>
    </xf>
    <xf numFmtId="0" fontId="11" fillId="0" borderId="14" xfId="0" applyFont="1" applyBorder="1" applyAlignment="1" applyProtection="1">
      <alignment horizontal="center" vertical="center" wrapText="1"/>
      <protection hidden="1"/>
    </xf>
    <xf numFmtId="0" fontId="11" fillId="0" borderId="8" xfId="0" applyFont="1" applyBorder="1" applyAlignment="1" applyProtection="1">
      <alignment horizontal="center" vertical="center" wrapText="1"/>
      <protection hidden="1"/>
    </xf>
    <xf numFmtId="0" fontId="18" fillId="0" borderId="2" xfId="0" applyFont="1" applyFill="1" applyBorder="1" applyAlignment="1" applyProtection="1">
      <alignment horizontal="center" vertical="center" wrapText="1"/>
      <protection hidden="1"/>
    </xf>
    <xf numFmtId="0" fontId="18" fillId="0" borderId="2" xfId="0" applyFont="1" applyFill="1" applyBorder="1" applyAlignment="1" applyProtection="1">
      <alignment horizontal="center" vertical="center" wrapText="1"/>
      <protection hidden="1"/>
    </xf>
    <xf numFmtId="0" fontId="18" fillId="0" borderId="2" xfId="0" applyFont="1" applyFill="1" applyBorder="1" applyAlignment="1" applyProtection="1">
      <alignment horizontal="center" vertical="center" wrapText="1"/>
      <protection hidden="1"/>
    </xf>
    <xf numFmtId="0" fontId="18" fillId="0" borderId="2" xfId="0" applyFont="1" applyBorder="1" applyAlignment="1" applyProtection="1">
      <alignment horizontal="center" vertical="center" wrapText="1"/>
      <protection hidden="1"/>
    </xf>
    <xf numFmtId="165" fontId="18" fillId="0" borderId="2" xfId="1" applyNumberFormat="1" applyFont="1" applyBorder="1" applyAlignment="1">
      <alignment horizontal="center" vertical="center"/>
    </xf>
    <xf numFmtId="2" fontId="18" fillId="0" borderId="8" xfId="0" applyNumberFormat="1" applyFont="1" applyBorder="1" applyAlignment="1" applyProtection="1">
      <alignment horizontal="center" vertical="center" wrapText="1"/>
      <protection hidden="1"/>
    </xf>
    <xf numFmtId="0" fontId="8" fillId="0" borderId="3" xfId="0" applyFont="1" applyBorder="1" applyAlignment="1" applyProtection="1">
      <alignment horizontal="center" vertical="center" wrapText="1"/>
      <protection locked="0"/>
    </xf>
    <xf numFmtId="0" fontId="8" fillId="0" borderId="1" xfId="0" applyFont="1" applyBorder="1" applyAlignment="1" applyProtection="1">
      <alignment horizontal="center" vertical="center" wrapText="1"/>
      <protection locked="0"/>
    </xf>
    <xf numFmtId="0" fontId="8" fillId="0" borderId="1" xfId="0" applyFont="1" applyBorder="1" applyAlignment="1" applyProtection="1">
      <alignment horizontal="center" vertical="center" wrapText="1"/>
      <protection hidden="1"/>
    </xf>
    <xf numFmtId="0" fontId="8" fillId="0" borderId="2" xfId="0" applyFont="1" applyBorder="1" applyAlignment="1" applyProtection="1">
      <alignment horizontal="center" vertical="center" wrapText="1"/>
      <protection locked="0"/>
    </xf>
    <xf numFmtId="0" fontId="8" fillId="0" borderId="0" xfId="0" applyFont="1" applyBorder="1" applyAlignment="1" applyProtection="1">
      <alignment horizontal="center" vertical="center" wrapText="1"/>
      <protection hidden="1"/>
    </xf>
    <xf numFmtId="0" fontId="8" fillId="0" borderId="0" xfId="0" applyFont="1" applyBorder="1" applyAlignment="1" applyProtection="1">
      <alignment horizontal="left" vertical="center" wrapText="1"/>
      <protection hidden="1"/>
    </xf>
    <xf numFmtId="0" fontId="18" fillId="0" borderId="2" xfId="0" applyFont="1" applyBorder="1" applyAlignment="1" applyProtection="1">
      <alignment horizontal="center" vertical="center" wrapText="1"/>
      <protection hidden="1"/>
    </xf>
    <xf numFmtId="0" fontId="11" fillId="0" borderId="7" xfId="0" applyFont="1" applyFill="1" applyBorder="1" applyAlignment="1" applyProtection="1">
      <alignment horizontal="center" vertical="center" wrapText="1"/>
      <protection hidden="1"/>
    </xf>
    <xf numFmtId="0" fontId="11" fillId="0" borderId="8" xfId="0" applyFont="1" applyFill="1" applyBorder="1" applyAlignment="1" applyProtection="1">
      <alignment horizontal="center" vertical="center" wrapText="1"/>
      <protection hidden="1"/>
    </xf>
    <xf numFmtId="0" fontId="9" fillId="0" borderId="0" xfId="0" applyFont="1" applyBorder="1" applyAlignment="1" applyProtection="1">
      <alignment horizontal="center" vertical="center" wrapText="1"/>
      <protection hidden="1"/>
    </xf>
    <xf numFmtId="0" fontId="18" fillId="0" borderId="0" xfId="0" applyFont="1" applyFill="1" applyBorder="1" applyAlignment="1" applyProtection="1">
      <alignment horizontal="center" vertical="center" wrapText="1"/>
      <protection hidden="1"/>
    </xf>
    <xf numFmtId="0" fontId="11" fillId="0" borderId="5" xfId="0" applyFont="1" applyFill="1" applyBorder="1" applyAlignment="1" applyProtection="1">
      <alignment horizontal="center" vertical="center" wrapText="1"/>
      <protection hidden="1"/>
    </xf>
    <xf numFmtId="0" fontId="11" fillId="0" borderId="12" xfId="0" applyFont="1" applyFill="1" applyBorder="1" applyAlignment="1" applyProtection="1">
      <alignment horizontal="center" vertical="center" wrapText="1"/>
      <protection hidden="1"/>
    </xf>
    <xf numFmtId="0" fontId="11" fillId="0" borderId="0" xfId="0" applyFont="1" applyFill="1" applyBorder="1" applyAlignment="1" applyProtection="1">
      <alignment horizontal="center" vertical="center" wrapText="1"/>
      <protection locked="0"/>
    </xf>
    <xf numFmtId="0" fontId="11" fillId="0" borderId="6" xfId="0" applyFont="1" applyFill="1" applyBorder="1" applyAlignment="1" applyProtection="1">
      <alignment horizontal="center" vertical="center" wrapText="1"/>
      <protection hidden="1"/>
    </xf>
    <xf numFmtId="0" fontId="11" fillId="0" borderId="9" xfId="0" applyFont="1" applyFill="1" applyBorder="1" applyAlignment="1" applyProtection="1">
      <alignment horizontal="center" vertical="center" wrapText="1"/>
      <protection locked="0"/>
    </xf>
    <xf numFmtId="0" fontId="11" fillId="0" borderId="13" xfId="0" applyFont="1" applyFill="1" applyBorder="1" applyAlignment="1" applyProtection="1">
      <alignment horizontal="center" vertical="center" wrapText="1"/>
      <protection hidden="1"/>
    </xf>
    <xf numFmtId="0" fontId="11" fillId="0" borderId="14" xfId="0" applyFont="1" applyFill="1" applyBorder="1" applyAlignment="1" applyProtection="1">
      <alignment horizontal="center" vertical="center" wrapText="1"/>
      <protection hidden="1"/>
    </xf>
    <xf numFmtId="0" fontId="11" fillId="0" borderId="10" xfId="0" applyFont="1" applyFill="1" applyBorder="1" applyAlignment="1" applyProtection="1">
      <alignment horizontal="center" vertical="center" wrapText="1"/>
      <protection locked="0"/>
    </xf>
    <xf numFmtId="0" fontId="18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18" fillId="0" borderId="2" xfId="0" applyFont="1" applyFill="1" applyBorder="1" applyAlignment="1" applyProtection="1">
      <alignment horizontal="center" vertical="center" wrapText="1"/>
      <protection hidden="1"/>
    </xf>
    <xf numFmtId="0" fontId="8" fillId="0" borderId="0" xfId="0" applyFont="1" applyFill="1" applyBorder="1" applyAlignment="1" applyProtection="1">
      <alignment horizontal="center" vertical="center" wrapText="1"/>
      <protection hidden="1"/>
    </xf>
    <xf numFmtId="0" fontId="8" fillId="0" borderId="2" xfId="0" applyFont="1" applyBorder="1" applyAlignment="1" applyProtection="1">
      <alignment horizontal="center" vertical="center" wrapText="1"/>
      <protection hidden="1"/>
    </xf>
    <xf numFmtId="1" fontId="8" fillId="0" borderId="2" xfId="0" applyNumberFormat="1" applyFont="1" applyBorder="1" applyAlignment="1" applyProtection="1">
      <alignment horizontal="center" vertical="center" wrapText="1"/>
      <protection hidden="1"/>
    </xf>
    <xf numFmtId="0" fontId="18" fillId="0" borderId="2" xfId="0" applyFont="1" applyBorder="1" applyAlignment="1" applyProtection="1">
      <alignment horizontal="center" vertical="center" wrapText="1"/>
      <protection hidden="1"/>
    </xf>
    <xf numFmtId="2" fontId="18" fillId="0" borderId="2" xfId="1" applyNumberFormat="1" applyFont="1" applyBorder="1" applyAlignment="1">
      <alignment horizontal="center" vertical="center"/>
    </xf>
    <xf numFmtId="164" fontId="18" fillId="0" borderId="2" xfId="0" applyNumberFormat="1" applyFont="1" applyFill="1" applyBorder="1" applyAlignment="1" applyProtection="1">
      <alignment horizontal="center" vertical="center" wrapText="1"/>
      <protection hidden="1"/>
    </xf>
    <xf numFmtId="0" fontId="8" fillId="0" borderId="3" xfId="0" applyFont="1" applyBorder="1" applyAlignment="1" applyProtection="1">
      <alignment horizontal="center" vertical="center" wrapText="1"/>
      <protection locked="0"/>
    </xf>
    <xf numFmtId="0" fontId="8" fillId="0" borderId="11" xfId="0" applyFont="1" applyBorder="1" applyAlignment="1" applyProtection="1">
      <alignment horizontal="center" vertical="center" wrapText="1"/>
      <protection locked="0"/>
    </xf>
    <xf numFmtId="0" fontId="8" fillId="0" borderId="1" xfId="0" applyFont="1" applyBorder="1" applyAlignment="1" applyProtection="1">
      <alignment horizontal="center" vertical="center" wrapText="1"/>
      <protection locked="0"/>
    </xf>
    <xf numFmtId="0" fontId="14" fillId="0" borderId="0" xfId="0" applyFont="1" applyBorder="1" applyAlignment="1" applyProtection="1">
      <alignment horizontal="left" vertical="center" wrapText="1"/>
      <protection locked="0"/>
    </xf>
    <xf numFmtId="0" fontId="16" fillId="0" borderId="0" xfId="0" applyFont="1" applyBorder="1" applyAlignment="1" applyProtection="1">
      <alignment horizontal="left" vertical="center" wrapText="1"/>
      <protection locked="0"/>
    </xf>
    <xf numFmtId="0" fontId="8" fillId="0" borderId="15" xfId="0" applyFont="1" applyBorder="1" applyAlignment="1" applyProtection="1">
      <alignment horizontal="center" vertical="center" wrapText="1"/>
      <protection hidden="1"/>
    </xf>
    <xf numFmtId="0" fontId="8" fillId="0" borderId="4" xfId="0" applyFont="1" applyBorder="1" applyAlignment="1" applyProtection="1">
      <alignment horizontal="center" vertical="center" wrapText="1"/>
      <protection hidden="1"/>
    </xf>
    <xf numFmtId="0" fontId="8" fillId="0" borderId="14" xfId="0" applyFont="1" applyBorder="1" applyAlignment="1" applyProtection="1">
      <alignment horizontal="center" vertical="center" wrapText="1"/>
      <protection hidden="1"/>
    </xf>
    <xf numFmtId="0" fontId="8" fillId="0" borderId="8" xfId="0" applyFont="1" applyBorder="1" applyAlignment="1" applyProtection="1">
      <alignment horizontal="center" vertical="center" wrapText="1"/>
      <protection hidden="1"/>
    </xf>
    <xf numFmtId="0" fontId="8" fillId="0" borderId="2" xfId="0" applyFont="1" applyBorder="1" applyAlignment="1" applyProtection="1">
      <alignment horizontal="center" vertical="center" wrapText="1"/>
      <protection locked="0"/>
    </xf>
    <xf numFmtId="0" fontId="8" fillId="0" borderId="7" xfId="0" applyFont="1" applyBorder="1" applyAlignment="1" applyProtection="1">
      <alignment horizontal="center" vertical="center" wrapText="1"/>
      <protection hidden="1"/>
    </xf>
    <xf numFmtId="0" fontId="8" fillId="0" borderId="0" xfId="0" applyFont="1" applyBorder="1" applyAlignment="1" applyProtection="1">
      <alignment horizontal="center" vertical="center" wrapText="1"/>
      <protection hidden="1"/>
    </xf>
    <xf numFmtId="0" fontId="8" fillId="0" borderId="13" xfId="0" applyFont="1" applyBorder="1" applyAlignment="1" applyProtection="1">
      <alignment horizontal="center" vertical="center" wrapText="1"/>
      <protection hidden="1"/>
    </xf>
    <xf numFmtId="0" fontId="8" fillId="0" borderId="5" xfId="0" applyFont="1" applyBorder="1" applyAlignment="1" applyProtection="1">
      <alignment horizontal="center" vertical="center" wrapText="1"/>
      <protection hidden="1"/>
    </xf>
    <xf numFmtId="0" fontId="8" fillId="0" borderId="12" xfId="0" applyFont="1" applyBorder="1" applyAlignment="1" applyProtection="1">
      <alignment horizontal="center" vertical="center" wrapText="1"/>
      <protection hidden="1"/>
    </xf>
    <xf numFmtId="164" fontId="8" fillId="0" borderId="2" xfId="0" applyNumberFormat="1" applyFont="1" applyBorder="1" applyAlignment="1" applyProtection="1">
      <alignment horizontal="center" vertical="center" wrapText="1"/>
      <protection locked="0"/>
    </xf>
    <xf numFmtId="0" fontId="8" fillId="0" borderId="6" xfId="0" applyFont="1" applyBorder="1" applyAlignment="1" applyProtection="1">
      <alignment horizontal="center" vertical="center" wrapText="1"/>
      <protection hidden="1"/>
    </xf>
    <xf numFmtId="0" fontId="8" fillId="0" borderId="3" xfId="0" applyFont="1" applyBorder="1" applyAlignment="1" applyProtection="1">
      <alignment horizontal="center" vertical="center" wrapText="1"/>
      <protection hidden="1"/>
    </xf>
    <xf numFmtId="0" fontId="8" fillId="0" borderId="1" xfId="0" applyFont="1" applyBorder="1" applyAlignment="1" applyProtection="1">
      <alignment horizontal="center" vertical="center" wrapText="1"/>
      <protection hidden="1"/>
    </xf>
    <xf numFmtId="0" fontId="8" fillId="0" borderId="10" xfId="0" applyFont="1" applyBorder="1" applyAlignment="1" applyProtection="1">
      <alignment horizontal="center" vertical="center" wrapText="1"/>
      <protection hidden="1"/>
    </xf>
    <xf numFmtId="0" fontId="8" fillId="0" borderId="9" xfId="0" applyFont="1" applyBorder="1" applyAlignment="1" applyProtection="1">
      <alignment horizontal="center" vertical="center" wrapText="1"/>
      <protection hidden="1"/>
    </xf>
    <xf numFmtId="0" fontId="8" fillId="0" borderId="11" xfId="0" applyFont="1" applyBorder="1" applyAlignment="1" applyProtection="1">
      <alignment horizontal="center" vertical="center" wrapText="1"/>
      <protection hidden="1"/>
    </xf>
    <xf numFmtId="0" fontId="8" fillId="0" borderId="12" xfId="0" applyFont="1" applyBorder="1" applyAlignment="1" applyProtection="1">
      <alignment horizontal="center" vertical="center" wrapText="1"/>
      <protection locked="0"/>
    </xf>
    <xf numFmtId="0" fontId="8" fillId="0" borderId="15" xfId="0" applyFont="1" applyBorder="1" applyAlignment="1" applyProtection="1">
      <alignment horizontal="center" vertical="center" wrapText="1"/>
      <protection locked="0"/>
    </xf>
    <xf numFmtId="0" fontId="18" fillId="0" borderId="0" xfId="0" applyFont="1" applyBorder="1" applyAlignment="1" applyProtection="1">
      <alignment horizontal="center" vertical="center" wrapText="1"/>
      <protection hidden="1"/>
    </xf>
    <xf numFmtId="0" fontId="11" fillId="0" borderId="5" xfId="0" applyFont="1" applyBorder="1" applyAlignment="1" applyProtection="1">
      <alignment horizontal="center" vertical="center" wrapText="1"/>
      <protection hidden="1"/>
    </xf>
    <xf numFmtId="0" fontId="11" fillId="0" borderId="9" xfId="0" applyFont="1" applyBorder="1" applyAlignment="1" applyProtection="1">
      <alignment horizontal="center" vertical="center" wrapText="1"/>
      <protection hidden="1"/>
    </xf>
    <xf numFmtId="0" fontId="9" fillId="0" borderId="0" xfId="0" applyFont="1" applyBorder="1" applyAlignment="1" applyProtection="1">
      <alignment horizontal="left" vertical="center" wrapText="1"/>
      <protection hidden="1"/>
    </xf>
    <xf numFmtId="0" fontId="11" fillId="0" borderId="12" xfId="0" applyFont="1" applyBorder="1" applyAlignment="1" applyProtection="1">
      <alignment horizontal="center" vertical="center" wrapText="1"/>
      <protection hidden="1"/>
    </xf>
    <xf numFmtId="0" fontId="11" fillId="0" borderId="0" xfId="0" applyFont="1" applyBorder="1" applyAlignment="1" applyProtection="1">
      <alignment horizontal="center" vertical="center" wrapText="1"/>
      <protection hidden="1"/>
    </xf>
    <xf numFmtId="0" fontId="11" fillId="0" borderId="0" xfId="0" applyFont="1" applyBorder="1" applyAlignment="1" applyProtection="1">
      <alignment horizontal="center" vertical="center" wrapText="1"/>
      <protection locked="0"/>
    </xf>
    <xf numFmtId="0" fontId="11" fillId="0" borderId="15" xfId="0" applyFont="1" applyBorder="1" applyAlignment="1" applyProtection="1">
      <alignment horizontal="center" vertical="center" wrapText="1"/>
      <protection locked="0"/>
    </xf>
    <xf numFmtId="0" fontId="10" fillId="0" borderId="0" xfId="0" applyFont="1" applyBorder="1" applyAlignment="1" applyProtection="1">
      <alignment horizontal="center" vertical="center" wrapText="1"/>
      <protection hidden="1"/>
    </xf>
    <xf numFmtId="0" fontId="18" fillId="0" borderId="0" xfId="0" applyFont="1" applyFill="1" applyBorder="1" applyAlignment="1" applyProtection="1">
      <alignment horizontal="left" vertical="center" wrapText="1"/>
      <protection hidden="1"/>
    </xf>
    <xf numFmtId="0" fontId="8" fillId="0" borderId="0" xfId="0" applyFont="1" applyBorder="1" applyAlignment="1" applyProtection="1">
      <alignment horizontal="left" vertical="center" wrapText="1"/>
      <protection hidden="1"/>
    </xf>
    <xf numFmtId="0" fontId="7" fillId="0" borderId="0" xfId="0" applyFont="1" applyBorder="1" applyAlignment="1" applyProtection="1">
      <alignment horizontal="left" vertical="top" wrapText="1"/>
      <protection hidden="1"/>
    </xf>
    <xf numFmtId="0" fontId="17" fillId="0" borderId="0" xfId="0" applyFont="1" applyBorder="1" applyAlignment="1" applyProtection="1">
      <alignment horizontal="left" vertical="center" wrapText="1"/>
      <protection locked="0"/>
    </xf>
    <xf numFmtId="0" fontId="18" fillId="0" borderId="2" xfId="0" applyFont="1" applyBorder="1" applyAlignment="1" applyProtection="1">
      <alignment horizontal="center" vertical="center" wrapText="1"/>
      <protection hidden="1"/>
    </xf>
    <xf numFmtId="0" fontId="7" fillId="0" borderId="10" xfId="0" applyFont="1" applyBorder="1" applyAlignment="1" applyProtection="1">
      <alignment horizontal="center" vertical="top" wrapText="1"/>
      <protection hidden="1"/>
    </xf>
    <xf numFmtId="0" fontId="17" fillId="0" borderId="0" xfId="0" applyFont="1" applyBorder="1" applyAlignment="1" applyProtection="1">
      <alignment horizontal="center" vertical="center" wrapText="1"/>
      <protection hidden="1"/>
    </xf>
    <xf numFmtId="0" fontId="9" fillId="0" borderId="0" xfId="0" applyFont="1" applyBorder="1" applyAlignment="1" applyProtection="1">
      <alignment horizontal="right" vertical="center" wrapText="1"/>
      <protection hidden="1"/>
    </xf>
    <xf numFmtId="0" fontId="11" fillId="0" borderId="7" xfId="0" applyFont="1" applyBorder="1" applyAlignment="1" applyProtection="1">
      <alignment horizontal="center" vertical="center" wrapText="1"/>
      <protection hidden="1"/>
    </xf>
    <xf numFmtId="0" fontId="11" fillId="0" borderId="14" xfId="0" applyFont="1" applyBorder="1" applyAlignment="1" applyProtection="1">
      <alignment horizontal="center" vertical="center" wrapText="1"/>
      <protection hidden="1"/>
    </xf>
    <xf numFmtId="0" fontId="11" fillId="0" borderId="7" xfId="0" applyFont="1" applyFill="1" applyBorder="1" applyAlignment="1" applyProtection="1">
      <alignment horizontal="center" vertical="center" wrapText="1"/>
      <protection hidden="1"/>
    </xf>
    <xf numFmtId="0" fontId="11" fillId="0" borderId="8" xfId="0" applyFont="1" applyFill="1" applyBorder="1" applyAlignment="1" applyProtection="1">
      <alignment horizontal="center" vertical="center" wrapText="1"/>
      <protection hidden="1"/>
    </xf>
    <xf numFmtId="0" fontId="9" fillId="0" borderId="0" xfId="0" applyFont="1" applyBorder="1" applyAlignment="1" applyProtection="1">
      <alignment horizontal="center" vertical="center" wrapText="1"/>
      <protection hidden="1"/>
    </xf>
    <xf numFmtId="0" fontId="18" fillId="0" borderId="10" xfId="0" applyFont="1" applyBorder="1" applyAlignment="1" applyProtection="1">
      <alignment horizontal="center" vertical="center" wrapText="1"/>
      <protection hidden="1"/>
    </xf>
    <xf numFmtId="0" fontId="18" fillId="0" borderId="0" xfId="0" applyNumberFormat="1" applyFont="1" applyBorder="1" applyAlignment="1" applyProtection="1">
      <alignment horizontal="center" vertical="center" wrapText="1"/>
      <protection hidden="1"/>
    </xf>
    <xf numFmtId="0" fontId="11" fillId="0" borderId="6" xfId="0" applyFont="1" applyBorder="1" applyAlignment="1" applyProtection="1">
      <alignment horizontal="center" vertical="center" wrapText="1"/>
      <protection hidden="1"/>
    </xf>
    <xf numFmtId="0" fontId="11" fillId="0" borderId="4" xfId="0" applyFont="1" applyBorder="1" applyAlignment="1" applyProtection="1">
      <alignment horizontal="center" vertical="center" wrapText="1"/>
      <protection hidden="1"/>
    </xf>
    <xf numFmtId="0" fontId="9" fillId="0" borderId="0" xfId="0" applyFont="1" applyBorder="1" applyAlignment="1" applyProtection="1">
      <alignment horizontal="center" vertical="center" wrapText="1"/>
      <protection locked="0"/>
    </xf>
    <xf numFmtId="16" fontId="9" fillId="0" borderId="0" xfId="0" applyNumberFormat="1" applyFont="1" applyBorder="1" applyAlignment="1" applyProtection="1">
      <alignment horizontal="center" vertical="center"/>
      <protection locked="0"/>
    </xf>
    <xf numFmtId="0" fontId="9" fillId="0" borderId="0" xfId="0" applyFont="1" applyBorder="1" applyAlignment="1" applyProtection="1">
      <alignment horizontal="center" vertical="center"/>
      <protection locked="0"/>
    </xf>
    <xf numFmtId="0" fontId="11" fillId="0" borderId="10" xfId="0" applyFont="1" applyBorder="1" applyAlignment="1" applyProtection="1">
      <alignment horizontal="center" vertical="center" wrapText="1"/>
      <protection hidden="1"/>
    </xf>
    <xf numFmtId="0" fontId="11" fillId="0" borderId="7" xfId="0" applyFont="1" applyBorder="1" applyAlignment="1" applyProtection="1">
      <alignment horizontal="center" vertical="center" textRotation="90" wrapText="1"/>
      <protection hidden="1"/>
    </xf>
    <xf numFmtId="0" fontId="11" fillId="0" borderId="14" xfId="0" applyFont="1" applyBorder="1" applyAlignment="1" applyProtection="1">
      <alignment horizontal="center" vertical="center" textRotation="90" wrapText="1"/>
      <protection hidden="1"/>
    </xf>
    <xf numFmtId="0" fontId="11" fillId="0" borderId="13" xfId="0" applyFont="1" applyBorder="1" applyAlignment="1" applyProtection="1">
      <alignment horizontal="center" vertical="center" wrapText="1"/>
      <protection hidden="1"/>
    </xf>
    <xf numFmtId="0" fontId="11" fillId="0" borderId="15" xfId="0" applyFont="1" applyBorder="1" applyAlignment="1" applyProtection="1">
      <alignment horizontal="center" vertical="center" wrapText="1"/>
      <protection hidden="1"/>
    </xf>
    <xf numFmtId="0" fontId="11" fillId="0" borderId="10" xfId="0" applyFont="1" applyBorder="1" applyAlignment="1" applyProtection="1">
      <alignment horizontal="center" vertical="center" wrapText="1"/>
      <protection locked="0"/>
    </xf>
    <xf numFmtId="0" fontId="11" fillId="0" borderId="4" xfId="0" applyFont="1" applyBorder="1" applyAlignment="1" applyProtection="1">
      <alignment horizontal="center" vertical="center" wrapText="1"/>
      <protection locked="0"/>
    </xf>
    <xf numFmtId="0" fontId="11" fillId="0" borderId="9" xfId="0" applyFont="1" applyBorder="1" applyAlignment="1" applyProtection="1">
      <alignment horizontal="center" vertical="center" wrapText="1"/>
      <protection locked="0"/>
    </xf>
    <xf numFmtId="0" fontId="11" fillId="0" borderId="13" xfId="0" applyFont="1" applyBorder="1" applyAlignment="1" applyProtection="1">
      <alignment horizontal="center" vertical="center" wrapText="1"/>
      <protection locked="0"/>
    </xf>
    <xf numFmtId="0" fontId="12" fillId="0" borderId="0" xfId="0" applyFont="1" applyBorder="1" applyAlignment="1" applyProtection="1">
      <alignment horizontal="center" vertical="top" wrapText="1"/>
      <protection hidden="1"/>
    </xf>
    <xf numFmtId="0" fontId="19" fillId="0" borderId="0" xfId="0" applyFont="1" applyBorder="1" applyAlignment="1" applyProtection="1">
      <alignment horizontal="center" vertical="top" wrapText="1"/>
      <protection hidden="1"/>
    </xf>
    <xf numFmtId="0" fontId="19" fillId="0" borderId="0" xfId="0" applyFont="1" applyFill="1" applyBorder="1" applyAlignment="1" applyProtection="1">
      <alignment horizontal="center" vertical="top" wrapText="1"/>
      <protection hidden="1"/>
    </xf>
    <xf numFmtId="0" fontId="8" fillId="0" borderId="0" xfId="0" applyFont="1" applyBorder="1" applyAlignment="1" applyProtection="1">
      <alignment horizontal="center" vertical="center" wrapText="1"/>
      <protection locked="0"/>
    </xf>
    <xf numFmtId="0" fontId="8" fillId="0" borderId="0" xfId="0" applyFont="1" applyBorder="1" applyAlignment="1" applyProtection="1">
      <alignment horizontal="right" vertical="center" wrapText="1"/>
      <protection hidden="1"/>
    </xf>
    <xf numFmtId="0" fontId="18" fillId="0" borderId="0" xfId="0" applyFont="1" applyBorder="1" applyAlignment="1" applyProtection="1">
      <alignment horizontal="left" vertical="center" wrapText="1"/>
      <protection hidden="1"/>
    </xf>
    <xf numFmtId="0" fontId="18" fillId="0" borderId="0" xfId="0" applyFont="1" applyBorder="1" applyAlignment="1" applyProtection="1">
      <alignment horizontal="center" vertical="top" wrapText="1"/>
      <protection hidden="1"/>
    </xf>
    <xf numFmtId="0" fontId="11" fillId="0" borderId="8" xfId="0" applyFont="1" applyBorder="1" applyAlignment="1" applyProtection="1">
      <alignment horizontal="center" vertical="center" wrapText="1"/>
      <protection hidden="1"/>
    </xf>
    <xf numFmtId="0" fontId="11" fillId="0" borderId="8" xfId="0" applyFont="1" applyBorder="1" applyAlignment="1" applyProtection="1">
      <alignment horizontal="center" vertical="center" textRotation="90" wrapText="1"/>
      <protection hidden="1"/>
    </xf>
    <xf numFmtId="0" fontId="18" fillId="0" borderId="0" xfId="0" applyFont="1" applyFill="1" applyBorder="1" applyAlignment="1" applyProtection="1">
      <alignment horizontal="center" vertical="center" wrapText="1"/>
      <protection hidden="1"/>
    </xf>
    <xf numFmtId="0" fontId="18" fillId="0" borderId="10" xfId="0" applyFont="1" applyFill="1" applyBorder="1" applyAlignment="1" applyProtection="1">
      <alignment horizontal="center" vertical="center" wrapText="1"/>
      <protection hidden="1"/>
    </xf>
    <xf numFmtId="0" fontId="18" fillId="0" borderId="9" xfId="0" applyFont="1" applyFill="1" applyBorder="1" applyAlignment="1" applyProtection="1">
      <alignment horizontal="center" vertical="center" wrapText="1"/>
      <protection hidden="1"/>
    </xf>
    <xf numFmtId="0" fontId="11" fillId="0" borderId="9" xfId="0" applyFont="1" applyFill="1" applyBorder="1" applyAlignment="1" applyProtection="1">
      <alignment horizontal="center" vertical="center" wrapText="1"/>
      <protection locked="0"/>
    </xf>
    <xf numFmtId="0" fontId="11" fillId="0" borderId="13" xfId="0" applyFont="1" applyFill="1" applyBorder="1" applyAlignment="1" applyProtection="1">
      <alignment horizontal="center" vertical="center" wrapText="1"/>
      <protection locked="0"/>
    </xf>
    <xf numFmtId="0" fontId="11" fillId="0" borderId="13" xfId="0" applyFont="1" applyFill="1" applyBorder="1" applyAlignment="1" applyProtection="1">
      <alignment horizontal="center" vertical="center" wrapText="1"/>
      <protection hidden="1"/>
    </xf>
    <xf numFmtId="0" fontId="11" fillId="0" borderId="15" xfId="0" applyFont="1" applyFill="1" applyBorder="1" applyAlignment="1" applyProtection="1">
      <alignment horizontal="center" vertical="center" wrapText="1"/>
      <protection hidden="1"/>
    </xf>
    <xf numFmtId="0" fontId="11" fillId="0" borderId="4" xfId="0" applyFont="1" applyFill="1" applyBorder="1" applyAlignment="1" applyProtection="1">
      <alignment horizontal="center" vertical="center" wrapText="1"/>
      <protection hidden="1"/>
    </xf>
    <xf numFmtId="0" fontId="11" fillId="0" borderId="14" xfId="0" applyFont="1" applyFill="1" applyBorder="1" applyAlignment="1" applyProtection="1">
      <alignment horizontal="center" vertical="center" wrapText="1"/>
      <protection hidden="1"/>
    </xf>
    <xf numFmtId="0" fontId="11" fillId="0" borderId="6" xfId="0" applyFont="1" applyFill="1" applyBorder="1" applyAlignment="1" applyProtection="1">
      <alignment horizontal="center" vertical="center" wrapText="1"/>
      <protection hidden="1"/>
    </xf>
    <xf numFmtId="0" fontId="11" fillId="0" borderId="10" xfId="0" applyFont="1" applyFill="1" applyBorder="1" applyAlignment="1" applyProtection="1">
      <alignment horizontal="center" vertical="center" wrapText="1"/>
      <protection hidden="1"/>
    </xf>
    <xf numFmtId="0" fontId="11" fillId="0" borderId="10" xfId="0" applyFont="1" applyFill="1" applyBorder="1" applyAlignment="1" applyProtection="1">
      <alignment horizontal="center" vertical="center" wrapText="1"/>
      <protection locked="0"/>
    </xf>
    <xf numFmtId="0" fontId="11" fillId="0" borderId="4" xfId="0" applyFont="1" applyFill="1" applyBorder="1" applyAlignment="1" applyProtection="1">
      <alignment horizontal="center" vertical="center" wrapText="1"/>
      <protection locked="0"/>
    </xf>
    <xf numFmtId="0" fontId="11" fillId="0" borderId="5" xfId="0" applyFont="1" applyFill="1" applyBorder="1" applyAlignment="1" applyProtection="1">
      <alignment horizontal="center" vertical="center" wrapText="1"/>
      <protection hidden="1"/>
    </xf>
    <xf numFmtId="0" fontId="11" fillId="0" borderId="9" xfId="0" applyFont="1" applyFill="1" applyBorder="1" applyAlignment="1" applyProtection="1">
      <alignment horizontal="center" vertical="center" wrapText="1"/>
      <protection hidden="1"/>
    </xf>
    <xf numFmtId="0" fontId="11" fillId="0" borderId="7" xfId="0" applyFont="1" applyFill="1" applyBorder="1" applyAlignment="1" applyProtection="1">
      <alignment horizontal="center" vertical="center" textRotation="90" wrapText="1"/>
      <protection hidden="1"/>
    </xf>
    <xf numFmtId="0" fontId="11" fillId="0" borderId="14" xfId="0" applyFont="1" applyFill="1" applyBorder="1" applyAlignment="1" applyProtection="1">
      <alignment horizontal="center" vertical="center" textRotation="90" wrapText="1"/>
      <protection hidden="1"/>
    </xf>
    <xf numFmtId="0" fontId="11" fillId="0" borderId="8" xfId="0" applyFont="1" applyFill="1" applyBorder="1" applyAlignment="1" applyProtection="1">
      <alignment horizontal="center" vertical="center" textRotation="90" wrapText="1"/>
      <protection hidden="1"/>
    </xf>
    <xf numFmtId="0" fontId="11" fillId="0" borderId="12" xfId="0" applyFont="1" applyFill="1" applyBorder="1" applyAlignment="1" applyProtection="1">
      <alignment horizontal="center" vertical="center" wrapText="1"/>
      <protection hidden="1"/>
    </xf>
    <xf numFmtId="0" fontId="11" fillId="0" borderId="0" xfId="0" applyFont="1" applyFill="1" applyBorder="1" applyAlignment="1" applyProtection="1">
      <alignment horizontal="center" vertical="center" wrapText="1"/>
      <protection hidden="1"/>
    </xf>
    <xf numFmtId="0" fontId="11" fillId="0" borderId="0" xfId="0" applyFont="1" applyFill="1" applyBorder="1" applyAlignment="1" applyProtection="1">
      <alignment horizontal="center" vertical="center" wrapText="1"/>
      <protection locked="0"/>
    </xf>
    <xf numFmtId="0" fontId="11" fillId="0" borderId="15" xfId="0" applyFont="1" applyFill="1" applyBorder="1" applyAlignment="1" applyProtection="1">
      <alignment horizontal="center" vertical="center" wrapText="1"/>
      <protection locked="0"/>
    </xf>
    <xf numFmtId="0" fontId="18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8" fillId="0" borderId="5" xfId="0" applyFont="1" applyBorder="1" applyAlignment="1" applyProtection="1">
      <alignment horizontal="center" vertical="center" wrapText="1"/>
      <protection locked="0"/>
    </xf>
    <xf numFmtId="0" fontId="8" fillId="0" borderId="13" xfId="0" applyFont="1" applyBorder="1" applyAlignment="1" applyProtection="1">
      <alignment horizontal="center" vertical="center" wrapText="1"/>
      <protection locked="0"/>
    </xf>
    <xf numFmtId="0" fontId="8" fillId="0" borderId="6" xfId="0" applyFont="1" applyBorder="1" applyAlignment="1" applyProtection="1">
      <alignment horizontal="center" vertical="center" wrapText="1"/>
      <protection locked="0"/>
    </xf>
    <xf numFmtId="0" fontId="8" fillId="0" borderId="4" xfId="0" applyFont="1" applyBorder="1" applyAlignment="1" applyProtection="1">
      <alignment horizontal="center" vertical="center" wrapText="1"/>
      <protection locked="0"/>
    </xf>
    <xf numFmtId="0" fontId="8" fillId="0" borderId="0" xfId="0" applyFont="1" applyFill="1" applyBorder="1" applyAlignment="1" applyProtection="1">
      <alignment horizontal="center" vertical="center" wrapText="1"/>
      <protection hidden="1"/>
    </xf>
    <xf numFmtId="0" fontId="8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12" fillId="0" borderId="0" xfId="0" applyFont="1" applyFill="1" applyBorder="1" applyAlignment="1" applyProtection="1">
      <alignment horizontal="center" vertical="top" wrapText="1"/>
      <protection hidden="1"/>
    </xf>
    <xf numFmtId="0" fontId="8" fillId="0" borderId="2" xfId="0" applyFont="1" applyFill="1" applyBorder="1" applyAlignment="1" applyProtection="1">
      <alignment horizontal="center" vertical="center" wrapText="1"/>
      <protection hidden="1"/>
    </xf>
    <xf numFmtId="0" fontId="8" fillId="0" borderId="7" xfId="0" applyFont="1" applyFill="1" applyBorder="1" applyAlignment="1" applyProtection="1">
      <alignment horizontal="center" vertical="center" wrapText="1"/>
      <protection hidden="1"/>
    </xf>
    <xf numFmtId="0" fontId="18" fillId="0" borderId="2" xfId="0" applyFont="1" applyFill="1" applyBorder="1" applyAlignment="1" applyProtection="1">
      <alignment horizontal="center" vertical="center" wrapText="1"/>
      <protection hidden="1"/>
    </xf>
    <xf numFmtId="0" fontId="7" fillId="0" borderId="0" xfId="0" applyFont="1" applyBorder="1" applyAlignment="1" applyProtection="1">
      <alignment horizontal="center" vertical="top" wrapText="1"/>
      <protection hidden="1"/>
    </xf>
    <xf numFmtId="0" fontId="8" fillId="0" borderId="7" xfId="0" applyFont="1" applyBorder="1" applyAlignment="1" applyProtection="1">
      <alignment horizontal="left" vertical="center" wrapText="1"/>
      <protection hidden="1"/>
    </xf>
    <xf numFmtId="0" fontId="8" fillId="0" borderId="14" xfId="0" applyFont="1" applyBorder="1" applyAlignment="1" applyProtection="1">
      <alignment horizontal="left" vertical="center" wrapText="1" indent="2"/>
      <protection hidden="1"/>
    </xf>
    <xf numFmtId="0" fontId="8" fillId="0" borderId="14" xfId="0" applyFont="1" applyBorder="1" applyAlignment="1" applyProtection="1">
      <alignment horizontal="left" vertical="center" wrapText="1"/>
      <protection hidden="1"/>
    </xf>
    <xf numFmtId="0" fontId="8" fillId="0" borderId="2" xfId="0" applyFont="1" applyBorder="1" applyAlignment="1" applyProtection="1">
      <alignment horizontal="center" vertical="center" wrapText="1"/>
      <protection hidden="1"/>
    </xf>
    <xf numFmtId="0" fontId="9" fillId="0" borderId="0" xfId="0" applyFont="1" applyBorder="1" applyAlignment="1" applyProtection="1">
      <alignment horizontal="right" vertical="center"/>
      <protection hidden="1"/>
    </xf>
    <xf numFmtId="4" fontId="8" fillId="0" borderId="2" xfId="0" applyNumberFormat="1" applyFont="1" applyBorder="1" applyAlignment="1" applyProtection="1">
      <alignment horizontal="center" vertical="center" wrapText="1"/>
      <protection hidden="1"/>
    </xf>
    <xf numFmtId="0" fontId="8" fillId="0" borderId="8" xfId="0" applyFont="1" applyBorder="1" applyAlignment="1" applyProtection="1">
      <alignment horizontal="left" vertical="center" wrapText="1" indent="2"/>
      <protection hidden="1"/>
    </xf>
    <xf numFmtId="0" fontId="8" fillId="0" borderId="8" xfId="0" applyFont="1" applyBorder="1" applyAlignment="1" applyProtection="1">
      <alignment horizontal="left" vertical="center" wrapText="1"/>
      <protection hidden="1"/>
    </xf>
    <xf numFmtId="0" fontId="8" fillId="0" borderId="2" xfId="0" applyFont="1" applyBorder="1" applyAlignment="1" applyProtection="1">
      <alignment horizontal="center" vertical="center" textRotation="90" wrapText="1"/>
      <protection hidden="1"/>
    </xf>
    <xf numFmtId="1" fontId="8" fillId="0" borderId="2" xfId="0" applyNumberFormat="1" applyFont="1" applyBorder="1" applyAlignment="1" applyProtection="1">
      <alignment horizontal="center" vertical="center" wrapText="1"/>
      <protection hidden="1"/>
    </xf>
    <xf numFmtId="1" fontId="8" fillId="0" borderId="3" xfId="0" applyNumberFormat="1" applyFont="1" applyBorder="1" applyAlignment="1" applyProtection="1">
      <alignment horizontal="center" vertical="center" wrapText="1"/>
      <protection hidden="1"/>
    </xf>
    <xf numFmtId="1" fontId="8" fillId="0" borderId="1" xfId="0" applyNumberFormat="1" applyFont="1" applyBorder="1" applyAlignment="1" applyProtection="1">
      <alignment horizontal="center" vertical="center" wrapText="1"/>
      <protection hidden="1"/>
    </xf>
    <xf numFmtId="4" fontId="8" fillId="0" borderId="3" xfId="0" applyNumberFormat="1" applyFont="1" applyBorder="1" applyAlignment="1" applyProtection="1">
      <alignment horizontal="center" vertical="center" wrapText="1"/>
      <protection hidden="1"/>
    </xf>
    <xf numFmtId="4" fontId="8" fillId="0" borderId="11" xfId="0" applyNumberFormat="1" applyFont="1" applyBorder="1" applyAlignment="1" applyProtection="1">
      <alignment horizontal="center" vertical="center" wrapText="1"/>
      <protection hidden="1"/>
    </xf>
    <xf numFmtId="0" fontId="13" fillId="0" borderId="0" xfId="0" applyFont="1" applyBorder="1" applyAlignment="1" applyProtection="1">
      <alignment horizontal="left" vertical="center" wrapText="1"/>
      <protection locked="0"/>
    </xf>
    <xf numFmtId="1" fontId="8" fillId="0" borderId="11" xfId="0" applyNumberFormat="1" applyFont="1" applyBorder="1" applyAlignment="1" applyProtection="1">
      <alignment horizontal="center" vertical="center" wrapText="1"/>
      <protection hidden="1"/>
    </xf>
    <xf numFmtId="4" fontId="8" fillId="0" borderId="1" xfId="0" applyNumberFormat="1" applyFont="1" applyBorder="1" applyAlignment="1" applyProtection="1">
      <alignment horizontal="center" vertical="center" wrapText="1"/>
      <protection hidden="1"/>
    </xf>
    <xf numFmtId="0" fontId="21" fillId="0" borderId="0" xfId="0" applyFont="1" applyBorder="1" applyAlignment="1" applyProtection="1">
      <alignment horizontal="left" vertical="center" wrapText="1"/>
      <protection locked="0"/>
    </xf>
    <xf numFmtId="0" fontId="15" fillId="0" borderId="0" xfId="0" applyFont="1" applyBorder="1" applyAlignment="1" applyProtection="1">
      <alignment horizontal="left" vertical="center" wrapText="1"/>
      <protection locked="0"/>
    </xf>
    <xf numFmtId="0" fontId="8" fillId="0" borderId="10" xfId="0" applyFont="1" applyBorder="1" applyAlignment="1" applyProtection="1">
      <alignment horizontal="center" vertical="center" wrapText="1"/>
      <protection locked="0"/>
    </xf>
    <xf numFmtId="4" fontId="8" fillId="0" borderId="6" xfId="0" applyNumberFormat="1" applyFont="1" applyBorder="1" applyAlignment="1" applyProtection="1">
      <alignment horizontal="center" vertical="center" wrapText="1"/>
      <protection hidden="1"/>
    </xf>
    <xf numFmtId="4" fontId="8" fillId="0" borderId="4" xfId="0" applyNumberFormat="1" applyFont="1" applyBorder="1" applyAlignment="1" applyProtection="1">
      <alignment horizontal="center" vertical="center" wrapText="1"/>
      <protection hidden="1"/>
    </xf>
  </cellXfs>
  <cellStyles count="8">
    <cellStyle name="Обычный" xfId="0" builtinId="0"/>
    <cellStyle name="Обычный 2" xfId="1"/>
    <cellStyle name="Обычный 3" xfId="2"/>
    <cellStyle name="Обычный 4" xfId="3"/>
    <cellStyle name="Обычный 5" xfId="4"/>
    <cellStyle name="Обычный 6" xfId="5"/>
    <cellStyle name="Обычный 7" xfId="6"/>
    <cellStyle name="Обычный 8" xfId="7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val>
            <c:numRef>
              <c:f>'Всего без субабонентов'!$B$16:$B$39</c:f>
              <c:numCache>
                <c:formatCode>0</c:formatCode>
                <c:ptCount val="24"/>
                <c:pt idx="0">
                  <c:v>6795.6134999754668</c:v>
                </c:pt>
                <c:pt idx="1">
                  <c:v>6821.6100000303304</c:v>
                </c:pt>
                <c:pt idx="2">
                  <c:v>6775.4259999955775</c:v>
                </c:pt>
                <c:pt idx="3">
                  <c:v>6739.4444999776906</c:v>
                </c:pt>
                <c:pt idx="4">
                  <c:v>6738.4110000217715</c:v>
                </c:pt>
                <c:pt idx="5">
                  <c:v>6712.9439999821352</c:v>
                </c:pt>
                <c:pt idx="6">
                  <c:v>6794.345500043024</c:v>
                </c:pt>
                <c:pt idx="7">
                  <c:v>7088.307999982525</c:v>
                </c:pt>
                <c:pt idx="8">
                  <c:v>7276.825999976094</c:v>
                </c:pt>
                <c:pt idx="9">
                  <c:v>7434.0280000207267</c:v>
                </c:pt>
                <c:pt idx="10">
                  <c:v>7420.2294999558462</c:v>
                </c:pt>
                <c:pt idx="11">
                  <c:v>7303.8325000161867</c:v>
                </c:pt>
                <c:pt idx="12">
                  <c:v>6878.6854999993702</c:v>
                </c:pt>
                <c:pt idx="13">
                  <c:v>7097.563999975835</c:v>
                </c:pt>
                <c:pt idx="14">
                  <c:v>7153.9165000280891</c:v>
                </c:pt>
                <c:pt idx="15">
                  <c:v>7193.4460000358686</c:v>
                </c:pt>
                <c:pt idx="16">
                  <c:v>7282.1444999691312</c:v>
                </c:pt>
                <c:pt idx="17">
                  <c:v>7063.6084999890036</c:v>
                </c:pt>
                <c:pt idx="18">
                  <c:v>6828.837500012035</c:v>
                </c:pt>
                <c:pt idx="19">
                  <c:v>7012.3704999895444</c:v>
                </c:pt>
                <c:pt idx="20">
                  <c:v>6862.9280000308881</c:v>
                </c:pt>
                <c:pt idx="21">
                  <c:v>6962.3014999981815</c:v>
                </c:pt>
                <c:pt idx="22">
                  <c:v>7000.3904999925262</c:v>
                </c:pt>
                <c:pt idx="23">
                  <c:v>6857.4784999706153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5582720"/>
        <c:axId val="145617280"/>
      </c:lineChart>
      <c:catAx>
        <c:axId val="145582720"/>
        <c:scaling>
          <c:orientation val="minMax"/>
        </c:scaling>
        <c:delete val="0"/>
        <c:axPos val="b"/>
        <c:majorTickMark val="out"/>
        <c:minorTickMark val="none"/>
        <c:tickLblPos val="nextTo"/>
        <c:crossAx val="145617280"/>
        <c:crosses val="autoZero"/>
        <c:auto val="1"/>
        <c:lblAlgn val="ctr"/>
        <c:lblOffset val="100"/>
        <c:noMultiLvlLbl val="0"/>
      </c:catAx>
      <c:valAx>
        <c:axId val="145617280"/>
        <c:scaling>
          <c:orientation val="minMax"/>
          <c:max val="7500"/>
          <c:min val="6500"/>
        </c:scaling>
        <c:delete val="0"/>
        <c:axPos val="l"/>
        <c:majorGridlines/>
        <c:minorGridlines/>
        <c:numFmt formatCode="0" sourceLinked="1"/>
        <c:majorTickMark val="out"/>
        <c:minorTickMark val="none"/>
        <c:tickLblPos val="nextTo"/>
        <c:crossAx val="145582720"/>
        <c:crosses val="autoZero"/>
        <c:crossBetween val="between"/>
        <c:majorUnit val="100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342899</xdr:colOff>
      <xdr:row>3</xdr:row>
      <xdr:rowOff>85724</xdr:rowOff>
    </xdr:from>
    <xdr:to>
      <xdr:col>13</xdr:col>
      <xdr:colOff>352425</xdr:colOff>
      <xdr:row>35</xdr:row>
      <xdr:rowOff>38099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7"/>
  <dimension ref="A1:BM92"/>
  <sheetViews>
    <sheetView workbookViewId="0"/>
  </sheetViews>
  <sheetFormatPr defaultRowHeight="12.75" x14ac:dyDescent="0.2"/>
  <sheetData>
    <row r="1" spans="1:65" x14ac:dyDescent="0.2">
      <c r="A1" t="s">
        <v>261</v>
      </c>
    </row>
    <row r="2" spans="1:65" x14ac:dyDescent="0.2">
      <c r="A2" t="s">
        <v>262</v>
      </c>
      <c r="B2" t="s">
        <v>358</v>
      </c>
      <c r="C2" t="s">
        <v>359</v>
      </c>
      <c r="D2" t="s">
        <v>263</v>
      </c>
      <c r="E2" t="s">
        <v>264</v>
      </c>
      <c r="F2" t="s">
        <v>263</v>
      </c>
      <c r="G2" t="s">
        <v>265</v>
      </c>
      <c r="K2" t="s">
        <v>266</v>
      </c>
      <c r="M2" t="s">
        <v>284</v>
      </c>
      <c r="W2" t="s">
        <v>263</v>
      </c>
    </row>
    <row r="3" spans="1:65" x14ac:dyDescent="0.2">
      <c r="A3" t="s">
        <v>268</v>
      </c>
      <c r="B3" t="s">
        <v>269</v>
      </c>
    </row>
    <row r="4" spans="1:65" x14ac:dyDescent="0.2">
      <c r="A4" t="s">
        <v>270</v>
      </c>
      <c r="B4" t="s">
        <v>271</v>
      </c>
      <c r="C4" t="s">
        <v>272</v>
      </c>
      <c r="D4" t="s">
        <v>277</v>
      </c>
      <c r="F4" t="s">
        <v>273</v>
      </c>
      <c r="O4" t="s">
        <v>274</v>
      </c>
    </row>
    <row r="5" spans="1:65" x14ac:dyDescent="0.2">
      <c r="A5" t="s">
        <v>270</v>
      </c>
      <c r="B5" t="s">
        <v>271</v>
      </c>
      <c r="C5" t="s">
        <v>275</v>
      </c>
      <c r="D5" t="s">
        <v>276</v>
      </c>
      <c r="F5" t="s">
        <v>273</v>
      </c>
      <c r="O5" t="s">
        <v>274</v>
      </c>
    </row>
    <row r="6" spans="1:65" x14ac:dyDescent="0.2">
      <c r="A6" t="s">
        <v>279</v>
      </c>
      <c r="B6" t="s">
        <v>278</v>
      </c>
      <c r="C6" t="s">
        <v>269</v>
      </c>
      <c r="E6" t="s">
        <v>292</v>
      </c>
      <c r="G6" t="s">
        <v>280</v>
      </c>
      <c r="J6" t="s">
        <v>281</v>
      </c>
      <c r="K6" t="s">
        <v>282</v>
      </c>
      <c r="M6" t="s">
        <v>294</v>
      </c>
      <c r="N6" t="s">
        <v>283</v>
      </c>
      <c r="O6" t="s">
        <v>293</v>
      </c>
      <c r="P6" t="s">
        <v>284</v>
      </c>
      <c r="T6" t="s">
        <v>285</v>
      </c>
      <c r="Z6" t="s">
        <v>286</v>
      </c>
      <c r="AF6" t="s">
        <v>267</v>
      </c>
      <c r="AG6" t="s">
        <v>283</v>
      </c>
      <c r="AO6" t="s">
        <v>274</v>
      </c>
      <c r="AT6" t="s">
        <v>283</v>
      </c>
      <c r="AV6" t="s">
        <v>287</v>
      </c>
      <c r="AW6" t="s">
        <v>288</v>
      </c>
      <c r="BC6" t="s">
        <v>289</v>
      </c>
      <c r="BI6" t="s">
        <v>284</v>
      </c>
      <c r="BJ6" t="s">
        <v>283</v>
      </c>
      <c r="BK6" t="s">
        <v>283</v>
      </c>
      <c r="BL6" t="s">
        <v>263</v>
      </c>
      <c r="BM6" t="s">
        <v>283</v>
      </c>
    </row>
    <row r="7" spans="1:65" x14ac:dyDescent="0.2">
      <c r="A7" t="s">
        <v>279</v>
      </c>
      <c r="B7" t="s">
        <v>278</v>
      </c>
      <c r="C7" t="s">
        <v>290</v>
      </c>
      <c r="E7" t="s">
        <v>295</v>
      </c>
      <c r="G7" t="s">
        <v>280</v>
      </c>
      <c r="J7" t="s">
        <v>281</v>
      </c>
      <c r="K7" t="s">
        <v>282</v>
      </c>
      <c r="M7" t="s">
        <v>294</v>
      </c>
      <c r="N7" t="s">
        <v>283</v>
      </c>
      <c r="O7" t="s">
        <v>293</v>
      </c>
      <c r="P7" t="s">
        <v>284</v>
      </c>
      <c r="T7" t="s">
        <v>285</v>
      </c>
      <c r="Z7" t="s">
        <v>286</v>
      </c>
      <c r="AF7" t="s">
        <v>267</v>
      </c>
      <c r="AG7" t="s">
        <v>283</v>
      </c>
      <c r="AO7" t="s">
        <v>274</v>
      </c>
      <c r="AT7" t="s">
        <v>283</v>
      </c>
      <c r="AV7" t="s">
        <v>296</v>
      </c>
      <c r="AW7" t="s">
        <v>288</v>
      </c>
      <c r="BC7" t="s">
        <v>289</v>
      </c>
      <c r="BE7" t="s">
        <v>291</v>
      </c>
      <c r="BI7" t="s">
        <v>275</v>
      </c>
      <c r="BJ7" t="s">
        <v>283</v>
      </c>
      <c r="BK7" t="s">
        <v>283</v>
      </c>
      <c r="BL7" t="s">
        <v>263</v>
      </c>
      <c r="BM7" t="s">
        <v>283</v>
      </c>
    </row>
    <row r="8" spans="1:65" x14ac:dyDescent="0.2">
      <c r="A8" t="s">
        <v>268</v>
      </c>
      <c r="B8" t="s">
        <v>297</v>
      </c>
    </row>
    <row r="9" spans="1:65" x14ac:dyDescent="0.2">
      <c r="A9" t="s">
        <v>270</v>
      </c>
      <c r="B9" t="s">
        <v>271</v>
      </c>
      <c r="C9" t="s">
        <v>272</v>
      </c>
      <c r="D9" t="s">
        <v>277</v>
      </c>
      <c r="F9" t="s">
        <v>273</v>
      </c>
      <c r="O9" t="s">
        <v>274</v>
      </c>
    </row>
    <row r="10" spans="1:65" x14ac:dyDescent="0.2">
      <c r="A10" t="s">
        <v>270</v>
      </c>
      <c r="B10" t="s">
        <v>271</v>
      </c>
      <c r="C10" t="s">
        <v>275</v>
      </c>
      <c r="D10" t="s">
        <v>276</v>
      </c>
      <c r="F10" t="s">
        <v>273</v>
      </c>
      <c r="O10" t="s">
        <v>274</v>
      </c>
    </row>
    <row r="11" spans="1:65" x14ac:dyDescent="0.2">
      <c r="A11" t="s">
        <v>279</v>
      </c>
      <c r="B11" t="s">
        <v>278</v>
      </c>
      <c r="C11" t="s">
        <v>269</v>
      </c>
      <c r="E11" t="s">
        <v>298</v>
      </c>
      <c r="G11" t="s">
        <v>280</v>
      </c>
      <c r="J11" t="s">
        <v>281</v>
      </c>
      <c r="K11" t="s">
        <v>282</v>
      </c>
      <c r="M11" t="s">
        <v>294</v>
      </c>
      <c r="N11" t="s">
        <v>283</v>
      </c>
      <c r="O11" t="s">
        <v>299</v>
      </c>
      <c r="P11" t="s">
        <v>284</v>
      </c>
      <c r="T11" t="s">
        <v>285</v>
      </c>
      <c r="Z11" t="s">
        <v>286</v>
      </c>
      <c r="AF11" t="s">
        <v>267</v>
      </c>
      <c r="AG11" t="s">
        <v>283</v>
      </c>
      <c r="AO11" t="s">
        <v>274</v>
      </c>
      <c r="AT11" t="s">
        <v>283</v>
      </c>
      <c r="AV11" t="s">
        <v>287</v>
      </c>
      <c r="AW11" t="s">
        <v>288</v>
      </c>
      <c r="BC11" t="s">
        <v>289</v>
      </c>
      <c r="BI11" t="s">
        <v>284</v>
      </c>
      <c r="BJ11" t="s">
        <v>283</v>
      </c>
      <c r="BK11" t="s">
        <v>283</v>
      </c>
      <c r="BL11" t="s">
        <v>263</v>
      </c>
      <c r="BM11" t="s">
        <v>283</v>
      </c>
    </row>
    <row r="12" spans="1:65" x14ac:dyDescent="0.2">
      <c r="A12" t="s">
        <v>279</v>
      </c>
      <c r="B12" t="s">
        <v>278</v>
      </c>
      <c r="C12" t="s">
        <v>290</v>
      </c>
      <c r="E12" t="s">
        <v>300</v>
      </c>
      <c r="G12" t="s">
        <v>280</v>
      </c>
      <c r="J12" t="s">
        <v>281</v>
      </c>
      <c r="K12" t="s">
        <v>282</v>
      </c>
      <c r="M12" t="s">
        <v>294</v>
      </c>
      <c r="N12" t="s">
        <v>283</v>
      </c>
      <c r="O12" t="s">
        <v>299</v>
      </c>
      <c r="P12" t="s">
        <v>284</v>
      </c>
      <c r="T12" t="s">
        <v>285</v>
      </c>
      <c r="Z12" t="s">
        <v>286</v>
      </c>
      <c r="AF12" t="s">
        <v>267</v>
      </c>
      <c r="AG12" t="s">
        <v>283</v>
      </c>
      <c r="AO12" t="s">
        <v>274</v>
      </c>
      <c r="AT12" t="s">
        <v>283</v>
      </c>
      <c r="AV12" t="s">
        <v>296</v>
      </c>
      <c r="AW12" t="s">
        <v>288</v>
      </c>
      <c r="BC12" t="s">
        <v>289</v>
      </c>
      <c r="BE12" t="s">
        <v>291</v>
      </c>
      <c r="BI12" t="s">
        <v>275</v>
      </c>
      <c r="BJ12" t="s">
        <v>283</v>
      </c>
      <c r="BK12" t="s">
        <v>283</v>
      </c>
      <c r="BL12" t="s">
        <v>263</v>
      </c>
      <c r="BM12" t="s">
        <v>283</v>
      </c>
    </row>
    <row r="13" spans="1:65" x14ac:dyDescent="0.2">
      <c r="A13" t="s">
        <v>268</v>
      </c>
      <c r="B13" t="s">
        <v>284</v>
      </c>
    </row>
    <row r="14" spans="1:65" x14ac:dyDescent="0.2">
      <c r="A14" t="s">
        <v>270</v>
      </c>
      <c r="B14" t="s">
        <v>271</v>
      </c>
      <c r="C14" t="s">
        <v>272</v>
      </c>
      <c r="D14" t="s">
        <v>277</v>
      </c>
      <c r="F14" t="s">
        <v>273</v>
      </c>
      <c r="O14" t="s">
        <v>274</v>
      </c>
    </row>
    <row r="15" spans="1:65" x14ac:dyDescent="0.2">
      <c r="A15" t="s">
        <v>270</v>
      </c>
      <c r="B15" t="s">
        <v>271</v>
      </c>
      <c r="C15" t="s">
        <v>275</v>
      </c>
      <c r="D15" t="s">
        <v>276</v>
      </c>
      <c r="F15" t="s">
        <v>273</v>
      </c>
      <c r="O15" t="s">
        <v>274</v>
      </c>
    </row>
    <row r="16" spans="1:65" x14ac:dyDescent="0.2">
      <c r="A16" t="s">
        <v>279</v>
      </c>
      <c r="B16" t="s">
        <v>278</v>
      </c>
      <c r="C16" t="s">
        <v>269</v>
      </c>
      <c r="E16" t="s">
        <v>301</v>
      </c>
      <c r="G16" t="s">
        <v>280</v>
      </c>
      <c r="J16" t="s">
        <v>281</v>
      </c>
      <c r="K16" t="s">
        <v>282</v>
      </c>
      <c r="M16" t="s">
        <v>294</v>
      </c>
      <c r="N16" t="s">
        <v>283</v>
      </c>
      <c r="O16" t="s">
        <v>302</v>
      </c>
      <c r="P16" t="s">
        <v>284</v>
      </c>
      <c r="T16" t="s">
        <v>285</v>
      </c>
      <c r="Z16" t="s">
        <v>286</v>
      </c>
      <c r="AF16" t="s">
        <v>267</v>
      </c>
      <c r="AG16" t="s">
        <v>283</v>
      </c>
      <c r="AO16" t="s">
        <v>274</v>
      </c>
      <c r="AT16" t="s">
        <v>283</v>
      </c>
      <c r="AV16" t="s">
        <v>287</v>
      </c>
      <c r="AW16" t="s">
        <v>288</v>
      </c>
      <c r="BC16" t="s">
        <v>289</v>
      </c>
      <c r="BI16" t="s">
        <v>284</v>
      </c>
      <c r="BJ16" t="s">
        <v>283</v>
      </c>
      <c r="BK16" t="s">
        <v>283</v>
      </c>
      <c r="BL16" t="s">
        <v>263</v>
      </c>
      <c r="BM16" t="s">
        <v>283</v>
      </c>
    </row>
    <row r="17" spans="1:65" x14ac:dyDescent="0.2">
      <c r="A17" t="s">
        <v>279</v>
      </c>
      <c r="B17" t="s">
        <v>278</v>
      </c>
      <c r="C17" t="s">
        <v>290</v>
      </c>
      <c r="E17" t="s">
        <v>303</v>
      </c>
      <c r="G17" t="s">
        <v>280</v>
      </c>
      <c r="J17" t="s">
        <v>281</v>
      </c>
      <c r="K17" t="s">
        <v>282</v>
      </c>
      <c r="M17" t="s">
        <v>294</v>
      </c>
      <c r="N17" t="s">
        <v>283</v>
      </c>
      <c r="O17" t="s">
        <v>302</v>
      </c>
      <c r="P17" t="s">
        <v>284</v>
      </c>
      <c r="T17" t="s">
        <v>285</v>
      </c>
      <c r="Z17" t="s">
        <v>286</v>
      </c>
      <c r="AF17" t="s">
        <v>267</v>
      </c>
      <c r="AG17" t="s">
        <v>283</v>
      </c>
      <c r="AO17" t="s">
        <v>274</v>
      </c>
      <c r="AT17" t="s">
        <v>283</v>
      </c>
      <c r="AV17" t="s">
        <v>296</v>
      </c>
      <c r="AW17" t="s">
        <v>288</v>
      </c>
      <c r="BC17" t="s">
        <v>289</v>
      </c>
      <c r="BE17" t="s">
        <v>291</v>
      </c>
      <c r="BI17" t="s">
        <v>275</v>
      </c>
      <c r="BJ17" t="s">
        <v>283</v>
      </c>
      <c r="BK17" t="s">
        <v>283</v>
      </c>
      <c r="BL17" t="s">
        <v>263</v>
      </c>
      <c r="BM17" t="s">
        <v>283</v>
      </c>
    </row>
    <row r="18" spans="1:65" x14ac:dyDescent="0.2">
      <c r="A18" t="s">
        <v>268</v>
      </c>
      <c r="B18" t="s">
        <v>272</v>
      </c>
    </row>
    <row r="19" spans="1:65" x14ac:dyDescent="0.2">
      <c r="A19" t="s">
        <v>270</v>
      </c>
      <c r="B19" t="s">
        <v>271</v>
      </c>
      <c r="C19" t="s">
        <v>272</v>
      </c>
      <c r="D19" t="s">
        <v>277</v>
      </c>
      <c r="F19" t="s">
        <v>273</v>
      </c>
      <c r="O19" t="s">
        <v>274</v>
      </c>
    </row>
    <row r="20" spans="1:65" x14ac:dyDescent="0.2">
      <c r="A20" t="s">
        <v>270</v>
      </c>
      <c r="B20" t="s">
        <v>271</v>
      </c>
      <c r="C20" t="s">
        <v>275</v>
      </c>
      <c r="D20" t="s">
        <v>276</v>
      </c>
      <c r="F20" t="s">
        <v>273</v>
      </c>
      <c r="O20" t="s">
        <v>274</v>
      </c>
    </row>
    <row r="21" spans="1:65" x14ac:dyDescent="0.2">
      <c r="A21" t="s">
        <v>279</v>
      </c>
      <c r="B21" t="s">
        <v>278</v>
      </c>
      <c r="C21" t="s">
        <v>269</v>
      </c>
      <c r="E21" t="s">
        <v>304</v>
      </c>
      <c r="G21" t="s">
        <v>280</v>
      </c>
      <c r="J21" t="s">
        <v>281</v>
      </c>
      <c r="K21" t="s">
        <v>282</v>
      </c>
      <c r="M21" t="s">
        <v>294</v>
      </c>
      <c r="N21" t="s">
        <v>283</v>
      </c>
      <c r="O21" t="s">
        <v>305</v>
      </c>
      <c r="P21" t="s">
        <v>284</v>
      </c>
      <c r="T21" t="s">
        <v>285</v>
      </c>
      <c r="Z21" t="s">
        <v>286</v>
      </c>
      <c r="AF21" t="s">
        <v>267</v>
      </c>
      <c r="AG21" t="s">
        <v>283</v>
      </c>
      <c r="AO21" t="s">
        <v>274</v>
      </c>
      <c r="AT21" t="s">
        <v>283</v>
      </c>
      <c r="AV21" t="s">
        <v>287</v>
      </c>
      <c r="AW21" t="s">
        <v>288</v>
      </c>
      <c r="BC21" t="s">
        <v>289</v>
      </c>
      <c r="BI21" t="s">
        <v>284</v>
      </c>
      <c r="BJ21" t="s">
        <v>283</v>
      </c>
      <c r="BK21" t="s">
        <v>283</v>
      </c>
      <c r="BL21" t="s">
        <v>263</v>
      </c>
      <c r="BM21" t="s">
        <v>283</v>
      </c>
    </row>
    <row r="22" spans="1:65" x14ac:dyDescent="0.2">
      <c r="A22" t="s">
        <v>279</v>
      </c>
      <c r="B22" t="s">
        <v>278</v>
      </c>
      <c r="C22" t="s">
        <v>290</v>
      </c>
      <c r="E22" t="s">
        <v>306</v>
      </c>
      <c r="G22" t="s">
        <v>280</v>
      </c>
      <c r="J22" t="s">
        <v>281</v>
      </c>
      <c r="K22" t="s">
        <v>282</v>
      </c>
      <c r="M22" t="s">
        <v>294</v>
      </c>
      <c r="N22" t="s">
        <v>283</v>
      </c>
      <c r="O22" t="s">
        <v>305</v>
      </c>
      <c r="P22" t="s">
        <v>284</v>
      </c>
      <c r="T22" t="s">
        <v>285</v>
      </c>
      <c r="Z22" t="s">
        <v>286</v>
      </c>
      <c r="AF22" t="s">
        <v>267</v>
      </c>
      <c r="AG22" t="s">
        <v>283</v>
      </c>
      <c r="AO22" t="s">
        <v>274</v>
      </c>
      <c r="AT22" t="s">
        <v>283</v>
      </c>
      <c r="AV22" t="s">
        <v>296</v>
      </c>
      <c r="AW22" t="s">
        <v>288</v>
      </c>
      <c r="BC22" t="s">
        <v>289</v>
      </c>
      <c r="BE22" t="s">
        <v>291</v>
      </c>
      <c r="BI22" t="s">
        <v>275</v>
      </c>
      <c r="BJ22" t="s">
        <v>283</v>
      </c>
      <c r="BK22" t="s">
        <v>283</v>
      </c>
      <c r="BL22" t="s">
        <v>263</v>
      </c>
      <c r="BM22" t="s">
        <v>283</v>
      </c>
    </row>
    <row r="23" spans="1:65" x14ac:dyDescent="0.2">
      <c r="A23" t="s">
        <v>268</v>
      </c>
      <c r="B23" t="s">
        <v>290</v>
      </c>
    </row>
    <row r="24" spans="1:65" x14ac:dyDescent="0.2">
      <c r="A24" t="s">
        <v>270</v>
      </c>
      <c r="B24" t="s">
        <v>271</v>
      </c>
      <c r="C24" t="s">
        <v>272</v>
      </c>
      <c r="D24" t="s">
        <v>277</v>
      </c>
      <c r="F24" t="s">
        <v>273</v>
      </c>
      <c r="O24" t="s">
        <v>274</v>
      </c>
    </row>
    <row r="25" spans="1:65" x14ac:dyDescent="0.2">
      <c r="A25" t="s">
        <v>270</v>
      </c>
      <c r="B25" t="s">
        <v>271</v>
      </c>
      <c r="C25" t="s">
        <v>275</v>
      </c>
      <c r="D25" t="s">
        <v>276</v>
      </c>
      <c r="F25" t="s">
        <v>273</v>
      </c>
      <c r="O25" t="s">
        <v>274</v>
      </c>
    </row>
    <row r="26" spans="1:65" x14ac:dyDescent="0.2">
      <c r="A26" t="s">
        <v>279</v>
      </c>
      <c r="B26" t="s">
        <v>278</v>
      </c>
      <c r="C26" t="s">
        <v>269</v>
      </c>
      <c r="E26" t="s">
        <v>317</v>
      </c>
      <c r="G26" t="s">
        <v>280</v>
      </c>
      <c r="J26" t="s">
        <v>281</v>
      </c>
      <c r="K26" t="s">
        <v>282</v>
      </c>
      <c r="M26" t="s">
        <v>294</v>
      </c>
      <c r="N26" t="s">
        <v>283</v>
      </c>
      <c r="O26" t="s">
        <v>318</v>
      </c>
      <c r="P26" t="s">
        <v>284</v>
      </c>
      <c r="T26" t="s">
        <v>285</v>
      </c>
      <c r="Z26" t="s">
        <v>286</v>
      </c>
      <c r="AF26" t="s">
        <v>267</v>
      </c>
      <c r="AG26" t="s">
        <v>283</v>
      </c>
      <c r="AO26" t="s">
        <v>274</v>
      </c>
      <c r="AT26" t="s">
        <v>283</v>
      </c>
      <c r="AV26" t="s">
        <v>287</v>
      </c>
      <c r="AW26" t="s">
        <v>288</v>
      </c>
      <c r="BC26" t="s">
        <v>289</v>
      </c>
      <c r="BI26" t="s">
        <v>284</v>
      </c>
      <c r="BJ26" t="s">
        <v>283</v>
      </c>
      <c r="BK26" t="s">
        <v>283</v>
      </c>
      <c r="BL26" t="s">
        <v>263</v>
      </c>
      <c r="BM26" t="s">
        <v>283</v>
      </c>
    </row>
    <row r="27" spans="1:65" x14ac:dyDescent="0.2">
      <c r="A27" t="s">
        <v>279</v>
      </c>
      <c r="B27" t="s">
        <v>278</v>
      </c>
      <c r="C27" t="s">
        <v>290</v>
      </c>
      <c r="E27" t="s">
        <v>319</v>
      </c>
      <c r="G27" t="s">
        <v>280</v>
      </c>
      <c r="J27" t="s">
        <v>281</v>
      </c>
      <c r="K27" t="s">
        <v>282</v>
      </c>
      <c r="M27" t="s">
        <v>294</v>
      </c>
      <c r="N27" t="s">
        <v>283</v>
      </c>
      <c r="O27" t="s">
        <v>318</v>
      </c>
      <c r="P27" t="s">
        <v>284</v>
      </c>
      <c r="T27" t="s">
        <v>285</v>
      </c>
      <c r="Z27" t="s">
        <v>286</v>
      </c>
      <c r="AF27" t="s">
        <v>267</v>
      </c>
      <c r="AG27" t="s">
        <v>283</v>
      </c>
      <c r="AO27" t="s">
        <v>274</v>
      </c>
      <c r="AT27" t="s">
        <v>283</v>
      </c>
      <c r="AV27" t="s">
        <v>296</v>
      </c>
      <c r="AW27" t="s">
        <v>288</v>
      </c>
      <c r="BC27" t="s">
        <v>289</v>
      </c>
      <c r="BE27" t="s">
        <v>291</v>
      </c>
      <c r="BI27" t="s">
        <v>275</v>
      </c>
      <c r="BJ27" t="s">
        <v>283</v>
      </c>
      <c r="BK27" t="s">
        <v>283</v>
      </c>
      <c r="BL27" t="s">
        <v>263</v>
      </c>
      <c r="BM27" t="s">
        <v>283</v>
      </c>
    </row>
    <row r="28" spans="1:65" x14ac:dyDescent="0.2">
      <c r="A28" t="s">
        <v>268</v>
      </c>
      <c r="B28" t="s">
        <v>307</v>
      </c>
    </row>
    <row r="29" spans="1:65" x14ac:dyDescent="0.2">
      <c r="A29" t="s">
        <v>270</v>
      </c>
      <c r="B29" t="s">
        <v>271</v>
      </c>
      <c r="C29" t="s">
        <v>272</v>
      </c>
      <c r="D29" t="s">
        <v>277</v>
      </c>
      <c r="F29" t="s">
        <v>273</v>
      </c>
      <c r="O29" t="s">
        <v>274</v>
      </c>
    </row>
    <row r="30" spans="1:65" x14ac:dyDescent="0.2">
      <c r="A30" t="s">
        <v>270</v>
      </c>
      <c r="B30" t="s">
        <v>271</v>
      </c>
      <c r="C30" t="s">
        <v>275</v>
      </c>
      <c r="D30" t="s">
        <v>276</v>
      </c>
      <c r="F30" t="s">
        <v>273</v>
      </c>
      <c r="O30" t="s">
        <v>274</v>
      </c>
    </row>
    <row r="31" spans="1:65" x14ac:dyDescent="0.2">
      <c r="A31" t="s">
        <v>279</v>
      </c>
      <c r="B31" t="s">
        <v>278</v>
      </c>
      <c r="C31" t="s">
        <v>269</v>
      </c>
      <c r="E31" t="s">
        <v>320</v>
      </c>
      <c r="G31" t="s">
        <v>280</v>
      </c>
      <c r="J31" t="s">
        <v>281</v>
      </c>
      <c r="K31" t="s">
        <v>282</v>
      </c>
      <c r="M31" t="s">
        <v>294</v>
      </c>
      <c r="N31" t="s">
        <v>283</v>
      </c>
      <c r="O31" t="s">
        <v>321</v>
      </c>
      <c r="P31" t="s">
        <v>284</v>
      </c>
      <c r="T31" t="s">
        <v>285</v>
      </c>
      <c r="Z31" t="s">
        <v>286</v>
      </c>
      <c r="AF31" t="s">
        <v>267</v>
      </c>
      <c r="AG31" t="s">
        <v>283</v>
      </c>
      <c r="AO31" t="s">
        <v>274</v>
      </c>
      <c r="AT31" t="s">
        <v>283</v>
      </c>
      <c r="AV31" t="s">
        <v>287</v>
      </c>
      <c r="AW31" t="s">
        <v>288</v>
      </c>
      <c r="BC31" t="s">
        <v>289</v>
      </c>
      <c r="BI31" t="s">
        <v>284</v>
      </c>
      <c r="BJ31" t="s">
        <v>283</v>
      </c>
      <c r="BK31" t="s">
        <v>283</v>
      </c>
      <c r="BL31" t="s">
        <v>263</v>
      </c>
      <c r="BM31" t="s">
        <v>283</v>
      </c>
    </row>
    <row r="32" spans="1:65" x14ac:dyDescent="0.2">
      <c r="A32" t="s">
        <v>279</v>
      </c>
      <c r="B32" t="s">
        <v>278</v>
      </c>
      <c r="C32" t="s">
        <v>290</v>
      </c>
      <c r="E32" t="s">
        <v>322</v>
      </c>
      <c r="G32" t="s">
        <v>280</v>
      </c>
      <c r="J32" t="s">
        <v>281</v>
      </c>
      <c r="K32" t="s">
        <v>282</v>
      </c>
      <c r="M32" t="s">
        <v>294</v>
      </c>
      <c r="N32" t="s">
        <v>283</v>
      </c>
      <c r="O32" t="s">
        <v>321</v>
      </c>
      <c r="P32" t="s">
        <v>284</v>
      </c>
      <c r="T32" t="s">
        <v>285</v>
      </c>
      <c r="Z32" t="s">
        <v>286</v>
      </c>
      <c r="AF32" t="s">
        <v>267</v>
      </c>
      <c r="AG32" t="s">
        <v>283</v>
      </c>
      <c r="AO32" t="s">
        <v>274</v>
      </c>
      <c r="AT32" t="s">
        <v>283</v>
      </c>
      <c r="AV32" t="s">
        <v>296</v>
      </c>
      <c r="AW32" t="s">
        <v>288</v>
      </c>
      <c r="BC32" t="s">
        <v>289</v>
      </c>
      <c r="BE32" t="s">
        <v>291</v>
      </c>
      <c r="BI32" t="s">
        <v>275</v>
      </c>
      <c r="BJ32" t="s">
        <v>283</v>
      </c>
      <c r="BK32" t="s">
        <v>283</v>
      </c>
      <c r="BL32" t="s">
        <v>263</v>
      </c>
      <c r="BM32" t="s">
        <v>283</v>
      </c>
    </row>
    <row r="33" spans="1:65" x14ac:dyDescent="0.2">
      <c r="A33" t="s">
        <v>268</v>
      </c>
      <c r="B33" t="s">
        <v>275</v>
      </c>
    </row>
    <row r="34" spans="1:65" x14ac:dyDescent="0.2">
      <c r="A34" t="s">
        <v>270</v>
      </c>
      <c r="B34" t="s">
        <v>271</v>
      </c>
      <c r="C34" t="s">
        <v>272</v>
      </c>
      <c r="D34" t="s">
        <v>277</v>
      </c>
      <c r="F34" t="s">
        <v>273</v>
      </c>
      <c r="O34" t="s">
        <v>274</v>
      </c>
    </row>
    <row r="35" spans="1:65" x14ac:dyDescent="0.2">
      <c r="A35" t="s">
        <v>270</v>
      </c>
      <c r="B35" t="s">
        <v>271</v>
      </c>
      <c r="C35" t="s">
        <v>275</v>
      </c>
      <c r="D35" t="s">
        <v>276</v>
      </c>
      <c r="F35" t="s">
        <v>273</v>
      </c>
      <c r="O35" t="s">
        <v>274</v>
      </c>
    </row>
    <row r="36" spans="1:65" x14ac:dyDescent="0.2">
      <c r="A36" t="s">
        <v>279</v>
      </c>
      <c r="B36" t="s">
        <v>278</v>
      </c>
      <c r="C36" t="s">
        <v>269</v>
      </c>
      <c r="E36" t="s">
        <v>325</v>
      </c>
      <c r="G36" t="s">
        <v>280</v>
      </c>
      <c r="J36" t="s">
        <v>281</v>
      </c>
      <c r="K36" t="s">
        <v>282</v>
      </c>
      <c r="M36" t="s">
        <v>294</v>
      </c>
      <c r="N36" t="s">
        <v>283</v>
      </c>
      <c r="O36" t="s">
        <v>326</v>
      </c>
      <c r="P36" t="s">
        <v>284</v>
      </c>
      <c r="T36" t="s">
        <v>285</v>
      </c>
      <c r="Z36" t="s">
        <v>286</v>
      </c>
      <c r="AF36" t="s">
        <v>267</v>
      </c>
      <c r="AG36" t="s">
        <v>283</v>
      </c>
      <c r="AO36" t="s">
        <v>274</v>
      </c>
      <c r="AT36" t="s">
        <v>283</v>
      </c>
      <c r="AV36" t="s">
        <v>287</v>
      </c>
      <c r="AW36" t="s">
        <v>288</v>
      </c>
      <c r="BC36" t="s">
        <v>289</v>
      </c>
      <c r="BI36" t="s">
        <v>284</v>
      </c>
      <c r="BJ36" t="s">
        <v>283</v>
      </c>
      <c r="BK36" t="s">
        <v>283</v>
      </c>
      <c r="BL36" t="s">
        <v>263</v>
      </c>
      <c r="BM36" t="s">
        <v>283</v>
      </c>
    </row>
    <row r="37" spans="1:65" x14ac:dyDescent="0.2">
      <c r="A37" t="s">
        <v>279</v>
      </c>
      <c r="B37" t="s">
        <v>278</v>
      </c>
      <c r="C37" t="s">
        <v>290</v>
      </c>
      <c r="E37" t="s">
        <v>327</v>
      </c>
      <c r="G37" t="s">
        <v>280</v>
      </c>
      <c r="J37" t="s">
        <v>281</v>
      </c>
      <c r="K37" t="s">
        <v>282</v>
      </c>
      <c r="M37" t="s">
        <v>294</v>
      </c>
      <c r="N37" t="s">
        <v>283</v>
      </c>
      <c r="O37" t="s">
        <v>326</v>
      </c>
      <c r="P37" t="s">
        <v>284</v>
      </c>
      <c r="T37" t="s">
        <v>285</v>
      </c>
      <c r="Z37" t="s">
        <v>286</v>
      </c>
      <c r="AF37" t="s">
        <v>267</v>
      </c>
      <c r="AG37" t="s">
        <v>283</v>
      </c>
      <c r="AO37" t="s">
        <v>274</v>
      </c>
      <c r="AT37" t="s">
        <v>283</v>
      </c>
      <c r="AV37" t="s">
        <v>296</v>
      </c>
      <c r="AW37" t="s">
        <v>288</v>
      </c>
      <c r="BC37" t="s">
        <v>289</v>
      </c>
      <c r="BE37" t="s">
        <v>291</v>
      </c>
      <c r="BI37" t="s">
        <v>275</v>
      </c>
      <c r="BJ37" t="s">
        <v>283</v>
      </c>
      <c r="BK37" t="s">
        <v>283</v>
      </c>
      <c r="BL37" t="s">
        <v>263</v>
      </c>
      <c r="BM37" t="s">
        <v>283</v>
      </c>
    </row>
    <row r="38" spans="1:65" x14ac:dyDescent="0.2">
      <c r="A38" t="s">
        <v>268</v>
      </c>
      <c r="B38" t="s">
        <v>308</v>
      </c>
    </row>
    <row r="39" spans="1:65" x14ac:dyDescent="0.2">
      <c r="A39" t="s">
        <v>270</v>
      </c>
      <c r="B39" t="s">
        <v>271</v>
      </c>
      <c r="C39" t="s">
        <v>272</v>
      </c>
      <c r="D39" t="s">
        <v>277</v>
      </c>
      <c r="F39" t="s">
        <v>273</v>
      </c>
      <c r="O39" t="s">
        <v>274</v>
      </c>
    </row>
    <row r="40" spans="1:65" x14ac:dyDescent="0.2">
      <c r="A40" t="s">
        <v>270</v>
      </c>
      <c r="B40" t="s">
        <v>271</v>
      </c>
      <c r="C40" t="s">
        <v>275</v>
      </c>
      <c r="D40" t="s">
        <v>276</v>
      </c>
      <c r="F40" t="s">
        <v>273</v>
      </c>
      <c r="O40" t="s">
        <v>274</v>
      </c>
    </row>
    <row r="41" spans="1:65" x14ac:dyDescent="0.2">
      <c r="A41" t="s">
        <v>279</v>
      </c>
      <c r="B41" t="s">
        <v>278</v>
      </c>
      <c r="C41" t="s">
        <v>269</v>
      </c>
      <c r="E41" t="s">
        <v>323</v>
      </c>
      <c r="G41" t="s">
        <v>280</v>
      </c>
      <c r="J41" t="s">
        <v>281</v>
      </c>
      <c r="K41" t="s">
        <v>282</v>
      </c>
      <c r="M41" t="s">
        <v>294</v>
      </c>
      <c r="N41" t="s">
        <v>283</v>
      </c>
      <c r="O41" t="s">
        <v>324</v>
      </c>
      <c r="P41" t="s">
        <v>284</v>
      </c>
      <c r="T41" t="s">
        <v>285</v>
      </c>
      <c r="Z41" t="s">
        <v>286</v>
      </c>
      <c r="AF41" t="s">
        <v>267</v>
      </c>
      <c r="AG41" t="s">
        <v>283</v>
      </c>
      <c r="AO41" t="s">
        <v>274</v>
      </c>
      <c r="AT41" t="s">
        <v>283</v>
      </c>
      <c r="AV41" t="s">
        <v>287</v>
      </c>
      <c r="AW41" t="s">
        <v>288</v>
      </c>
      <c r="BC41" t="s">
        <v>289</v>
      </c>
      <c r="BI41" t="s">
        <v>284</v>
      </c>
      <c r="BJ41" t="s">
        <v>283</v>
      </c>
      <c r="BK41" t="s">
        <v>283</v>
      </c>
      <c r="BL41" t="s">
        <v>263</v>
      </c>
      <c r="BM41" t="s">
        <v>283</v>
      </c>
    </row>
    <row r="42" spans="1:65" x14ac:dyDescent="0.2">
      <c r="A42" t="s">
        <v>279</v>
      </c>
      <c r="B42" t="s">
        <v>278</v>
      </c>
      <c r="C42" t="s">
        <v>290</v>
      </c>
      <c r="E42" t="s">
        <v>360</v>
      </c>
      <c r="G42" t="s">
        <v>280</v>
      </c>
      <c r="J42" t="s">
        <v>281</v>
      </c>
      <c r="K42" t="s">
        <v>282</v>
      </c>
      <c r="M42" t="s">
        <v>294</v>
      </c>
      <c r="N42" t="s">
        <v>283</v>
      </c>
      <c r="O42" t="s">
        <v>324</v>
      </c>
      <c r="P42" t="s">
        <v>284</v>
      </c>
      <c r="T42" t="s">
        <v>285</v>
      </c>
      <c r="Z42" t="s">
        <v>286</v>
      </c>
      <c r="AF42" t="s">
        <v>267</v>
      </c>
      <c r="AG42" t="s">
        <v>283</v>
      </c>
      <c r="AO42" t="s">
        <v>274</v>
      </c>
      <c r="AT42" t="s">
        <v>283</v>
      </c>
      <c r="AV42" t="s">
        <v>296</v>
      </c>
      <c r="AW42" t="s">
        <v>288</v>
      </c>
      <c r="BC42" t="s">
        <v>289</v>
      </c>
      <c r="BE42" t="s">
        <v>291</v>
      </c>
      <c r="BI42" t="s">
        <v>275</v>
      </c>
      <c r="BJ42" t="s">
        <v>283</v>
      </c>
      <c r="BK42" t="s">
        <v>283</v>
      </c>
      <c r="BL42" t="s">
        <v>263</v>
      </c>
      <c r="BM42" t="s">
        <v>283</v>
      </c>
    </row>
    <row r="43" spans="1:65" x14ac:dyDescent="0.2">
      <c r="A43" t="s">
        <v>268</v>
      </c>
      <c r="B43" t="s">
        <v>271</v>
      </c>
    </row>
    <row r="44" spans="1:65" x14ac:dyDescent="0.2">
      <c r="A44" t="s">
        <v>270</v>
      </c>
      <c r="B44" t="s">
        <v>271</v>
      </c>
      <c r="C44" t="s">
        <v>272</v>
      </c>
      <c r="D44" t="s">
        <v>277</v>
      </c>
      <c r="F44" t="s">
        <v>273</v>
      </c>
      <c r="O44" t="s">
        <v>274</v>
      </c>
    </row>
    <row r="45" spans="1:65" x14ac:dyDescent="0.2">
      <c r="A45" t="s">
        <v>270</v>
      </c>
      <c r="B45" t="s">
        <v>271</v>
      </c>
      <c r="C45" t="s">
        <v>275</v>
      </c>
      <c r="D45" t="s">
        <v>276</v>
      </c>
      <c r="F45" t="s">
        <v>273</v>
      </c>
      <c r="O45" t="s">
        <v>274</v>
      </c>
    </row>
    <row r="46" spans="1:65" x14ac:dyDescent="0.2">
      <c r="A46" t="s">
        <v>279</v>
      </c>
      <c r="B46" t="s">
        <v>278</v>
      </c>
      <c r="C46" t="s">
        <v>269</v>
      </c>
      <c r="E46" t="s">
        <v>328</v>
      </c>
      <c r="G46" t="s">
        <v>280</v>
      </c>
      <c r="J46" t="s">
        <v>281</v>
      </c>
      <c r="K46" t="s">
        <v>282</v>
      </c>
      <c r="M46" t="s">
        <v>294</v>
      </c>
      <c r="N46" t="s">
        <v>283</v>
      </c>
      <c r="O46" t="s">
        <v>329</v>
      </c>
      <c r="P46" t="s">
        <v>284</v>
      </c>
      <c r="T46" t="s">
        <v>285</v>
      </c>
      <c r="Z46" t="s">
        <v>286</v>
      </c>
      <c r="AF46" t="s">
        <v>267</v>
      </c>
      <c r="AG46" t="s">
        <v>283</v>
      </c>
      <c r="AO46" t="s">
        <v>274</v>
      </c>
      <c r="AT46" t="s">
        <v>283</v>
      </c>
      <c r="AV46" t="s">
        <v>287</v>
      </c>
      <c r="AW46" t="s">
        <v>288</v>
      </c>
      <c r="BC46" t="s">
        <v>289</v>
      </c>
      <c r="BI46" t="s">
        <v>284</v>
      </c>
      <c r="BJ46" t="s">
        <v>283</v>
      </c>
      <c r="BK46" t="s">
        <v>283</v>
      </c>
      <c r="BL46" t="s">
        <v>263</v>
      </c>
      <c r="BM46" t="s">
        <v>283</v>
      </c>
    </row>
    <row r="47" spans="1:65" x14ac:dyDescent="0.2">
      <c r="A47" t="s">
        <v>279</v>
      </c>
      <c r="B47" t="s">
        <v>278</v>
      </c>
      <c r="C47" t="s">
        <v>290</v>
      </c>
      <c r="E47" t="s">
        <v>330</v>
      </c>
      <c r="G47" t="s">
        <v>280</v>
      </c>
      <c r="J47" t="s">
        <v>281</v>
      </c>
      <c r="K47" t="s">
        <v>282</v>
      </c>
      <c r="M47" t="s">
        <v>294</v>
      </c>
      <c r="N47" t="s">
        <v>283</v>
      </c>
      <c r="O47" t="s">
        <v>329</v>
      </c>
      <c r="P47" t="s">
        <v>284</v>
      </c>
      <c r="T47" t="s">
        <v>285</v>
      </c>
      <c r="Z47" t="s">
        <v>286</v>
      </c>
      <c r="AF47" t="s">
        <v>267</v>
      </c>
      <c r="AG47" t="s">
        <v>283</v>
      </c>
      <c r="AO47" t="s">
        <v>274</v>
      </c>
      <c r="AT47" t="s">
        <v>283</v>
      </c>
      <c r="AV47" t="s">
        <v>296</v>
      </c>
      <c r="AW47" t="s">
        <v>288</v>
      </c>
      <c r="BC47" t="s">
        <v>289</v>
      </c>
      <c r="BE47" t="s">
        <v>291</v>
      </c>
      <c r="BI47" t="s">
        <v>275</v>
      </c>
      <c r="BJ47" t="s">
        <v>283</v>
      </c>
      <c r="BK47" t="s">
        <v>283</v>
      </c>
      <c r="BL47" t="s">
        <v>263</v>
      </c>
      <c r="BM47" t="s">
        <v>283</v>
      </c>
    </row>
    <row r="48" spans="1:65" x14ac:dyDescent="0.2">
      <c r="A48" t="s">
        <v>268</v>
      </c>
      <c r="B48" t="s">
        <v>309</v>
      </c>
    </row>
    <row r="49" spans="1:65" x14ac:dyDescent="0.2">
      <c r="A49" t="s">
        <v>270</v>
      </c>
      <c r="B49" t="s">
        <v>271</v>
      </c>
      <c r="C49" t="s">
        <v>272</v>
      </c>
      <c r="D49" t="s">
        <v>277</v>
      </c>
      <c r="F49" t="s">
        <v>273</v>
      </c>
      <c r="O49" t="s">
        <v>274</v>
      </c>
    </row>
    <row r="50" spans="1:65" x14ac:dyDescent="0.2">
      <c r="A50" t="s">
        <v>270</v>
      </c>
      <c r="B50" t="s">
        <v>271</v>
      </c>
      <c r="C50" t="s">
        <v>275</v>
      </c>
      <c r="D50" t="s">
        <v>276</v>
      </c>
      <c r="F50" t="s">
        <v>273</v>
      </c>
      <c r="O50" t="s">
        <v>274</v>
      </c>
    </row>
    <row r="51" spans="1:65" x14ac:dyDescent="0.2">
      <c r="A51" t="s">
        <v>279</v>
      </c>
      <c r="B51" t="s">
        <v>278</v>
      </c>
      <c r="C51" t="s">
        <v>269</v>
      </c>
      <c r="E51" t="s">
        <v>331</v>
      </c>
      <c r="G51" t="s">
        <v>280</v>
      </c>
      <c r="J51" t="s">
        <v>281</v>
      </c>
      <c r="K51" t="s">
        <v>282</v>
      </c>
      <c r="M51" t="s">
        <v>294</v>
      </c>
      <c r="N51" t="s">
        <v>283</v>
      </c>
      <c r="O51" t="s">
        <v>332</v>
      </c>
      <c r="P51" t="s">
        <v>284</v>
      </c>
      <c r="T51" t="s">
        <v>285</v>
      </c>
      <c r="Z51" t="s">
        <v>286</v>
      </c>
      <c r="AF51" t="s">
        <v>267</v>
      </c>
      <c r="AG51" t="s">
        <v>283</v>
      </c>
      <c r="AO51" t="s">
        <v>274</v>
      </c>
      <c r="AT51" t="s">
        <v>283</v>
      </c>
      <c r="AV51" t="s">
        <v>287</v>
      </c>
      <c r="AW51" t="s">
        <v>288</v>
      </c>
      <c r="BC51" t="s">
        <v>289</v>
      </c>
      <c r="BI51" t="s">
        <v>284</v>
      </c>
      <c r="BJ51" t="s">
        <v>283</v>
      </c>
      <c r="BK51" t="s">
        <v>283</v>
      </c>
      <c r="BL51" t="s">
        <v>263</v>
      </c>
      <c r="BM51" t="s">
        <v>283</v>
      </c>
    </row>
    <row r="52" spans="1:65" x14ac:dyDescent="0.2">
      <c r="A52" t="s">
        <v>279</v>
      </c>
      <c r="B52" t="s">
        <v>278</v>
      </c>
      <c r="C52" t="s">
        <v>290</v>
      </c>
      <c r="E52" t="s">
        <v>333</v>
      </c>
      <c r="G52" t="s">
        <v>280</v>
      </c>
      <c r="J52" t="s">
        <v>281</v>
      </c>
      <c r="K52" t="s">
        <v>282</v>
      </c>
      <c r="M52" t="s">
        <v>294</v>
      </c>
      <c r="N52" t="s">
        <v>283</v>
      </c>
      <c r="O52" t="s">
        <v>332</v>
      </c>
      <c r="P52" t="s">
        <v>284</v>
      </c>
      <c r="T52" t="s">
        <v>285</v>
      </c>
      <c r="Z52" t="s">
        <v>286</v>
      </c>
      <c r="AF52" t="s">
        <v>267</v>
      </c>
      <c r="AG52" t="s">
        <v>283</v>
      </c>
      <c r="AO52" t="s">
        <v>274</v>
      </c>
      <c r="AT52" t="s">
        <v>283</v>
      </c>
      <c r="AV52" t="s">
        <v>296</v>
      </c>
      <c r="AW52" t="s">
        <v>288</v>
      </c>
      <c r="BC52" t="s">
        <v>289</v>
      </c>
      <c r="BE52" t="s">
        <v>291</v>
      </c>
      <c r="BI52" t="s">
        <v>275</v>
      </c>
      <c r="BJ52" t="s">
        <v>283</v>
      </c>
      <c r="BK52" t="s">
        <v>283</v>
      </c>
      <c r="BL52" t="s">
        <v>263</v>
      </c>
      <c r="BM52" t="s">
        <v>283</v>
      </c>
    </row>
    <row r="53" spans="1:65" x14ac:dyDescent="0.2">
      <c r="A53" t="s">
        <v>268</v>
      </c>
      <c r="B53" t="s">
        <v>310</v>
      </c>
    </row>
    <row r="54" spans="1:65" x14ac:dyDescent="0.2">
      <c r="A54" t="s">
        <v>270</v>
      </c>
      <c r="B54" t="s">
        <v>271</v>
      </c>
      <c r="C54" t="s">
        <v>272</v>
      </c>
      <c r="D54" t="s">
        <v>277</v>
      </c>
      <c r="F54" t="s">
        <v>273</v>
      </c>
      <c r="O54" t="s">
        <v>274</v>
      </c>
    </row>
    <row r="55" spans="1:65" x14ac:dyDescent="0.2">
      <c r="A55" t="s">
        <v>270</v>
      </c>
      <c r="B55" t="s">
        <v>271</v>
      </c>
      <c r="C55" t="s">
        <v>275</v>
      </c>
      <c r="D55" t="s">
        <v>276</v>
      </c>
      <c r="F55" t="s">
        <v>273</v>
      </c>
      <c r="O55" t="s">
        <v>274</v>
      </c>
    </row>
    <row r="56" spans="1:65" x14ac:dyDescent="0.2">
      <c r="A56" t="s">
        <v>279</v>
      </c>
      <c r="B56" t="s">
        <v>278</v>
      </c>
      <c r="C56" t="s">
        <v>269</v>
      </c>
      <c r="E56" t="s">
        <v>334</v>
      </c>
      <c r="G56" t="s">
        <v>280</v>
      </c>
      <c r="J56" t="s">
        <v>281</v>
      </c>
      <c r="K56" t="s">
        <v>282</v>
      </c>
      <c r="M56" t="s">
        <v>294</v>
      </c>
      <c r="N56" t="s">
        <v>283</v>
      </c>
      <c r="O56" t="s">
        <v>335</v>
      </c>
      <c r="P56" t="s">
        <v>284</v>
      </c>
      <c r="T56" t="s">
        <v>285</v>
      </c>
      <c r="Z56" t="s">
        <v>286</v>
      </c>
      <c r="AF56" t="s">
        <v>267</v>
      </c>
      <c r="AG56" t="s">
        <v>283</v>
      </c>
      <c r="AO56" t="s">
        <v>274</v>
      </c>
      <c r="AT56" t="s">
        <v>283</v>
      </c>
      <c r="AV56" t="s">
        <v>287</v>
      </c>
      <c r="AW56" t="s">
        <v>288</v>
      </c>
      <c r="BC56" t="s">
        <v>289</v>
      </c>
      <c r="BI56" t="s">
        <v>284</v>
      </c>
      <c r="BJ56" t="s">
        <v>283</v>
      </c>
      <c r="BK56" t="s">
        <v>283</v>
      </c>
      <c r="BL56" t="s">
        <v>263</v>
      </c>
      <c r="BM56" t="s">
        <v>283</v>
      </c>
    </row>
    <row r="57" spans="1:65" x14ac:dyDescent="0.2">
      <c r="A57" t="s">
        <v>279</v>
      </c>
      <c r="B57" t="s">
        <v>278</v>
      </c>
      <c r="C57" t="s">
        <v>290</v>
      </c>
      <c r="E57" t="s">
        <v>336</v>
      </c>
      <c r="G57" t="s">
        <v>280</v>
      </c>
      <c r="J57" t="s">
        <v>281</v>
      </c>
      <c r="K57" t="s">
        <v>282</v>
      </c>
      <c r="M57" t="s">
        <v>294</v>
      </c>
      <c r="N57" t="s">
        <v>283</v>
      </c>
      <c r="O57" t="s">
        <v>335</v>
      </c>
      <c r="P57" t="s">
        <v>284</v>
      </c>
      <c r="T57" t="s">
        <v>285</v>
      </c>
      <c r="Z57" t="s">
        <v>286</v>
      </c>
      <c r="AF57" t="s">
        <v>267</v>
      </c>
      <c r="AG57" t="s">
        <v>283</v>
      </c>
      <c r="AO57" t="s">
        <v>274</v>
      </c>
      <c r="AT57" t="s">
        <v>283</v>
      </c>
      <c r="AV57" t="s">
        <v>296</v>
      </c>
      <c r="AW57" t="s">
        <v>288</v>
      </c>
      <c r="BC57" t="s">
        <v>289</v>
      </c>
      <c r="BE57" t="s">
        <v>291</v>
      </c>
      <c r="BI57" t="s">
        <v>275</v>
      </c>
      <c r="BJ57" t="s">
        <v>283</v>
      </c>
      <c r="BK57" t="s">
        <v>283</v>
      </c>
      <c r="BL57" t="s">
        <v>263</v>
      </c>
      <c r="BM57" t="s">
        <v>283</v>
      </c>
    </row>
    <row r="58" spans="1:65" x14ac:dyDescent="0.2">
      <c r="A58" t="s">
        <v>268</v>
      </c>
      <c r="B58" t="s">
        <v>311</v>
      </c>
    </row>
    <row r="59" spans="1:65" x14ac:dyDescent="0.2">
      <c r="A59" t="s">
        <v>270</v>
      </c>
      <c r="B59" t="s">
        <v>271</v>
      </c>
      <c r="C59" t="s">
        <v>272</v>
      </c>
      <c r="D59" t="s">
        <v>277</v>
      </c>
      <c r="F59" t="s">
        <v>273</v>
      </c>
      <c r="O59" t="s">
        <v>274</v>
      </c>
    </row>
    <row r="60" spans="1:65" x14ac:dyDescent="0.2">
      <c r="A60" t="s">
        <v>270</v>
      </c>
      <c r="B60" t="s">
        <v>271</v>
      </c>
      <c r="C60" t="s">
        <v>275</v>
      </c>
      <c r="D60" t="s">
        <v>276</v>
      </c>
      <c r="F60" t="s">
        <v>273</v>
      </c>
      <c r="O60" t="s">
        <v>274</v>
      </c>
    </row>
    <row r="61" spans="1:65" x14ac:dyDescent="0.2">
      <c r="A61" t="s">
        <v>279</v>
      </c>
      <c r="B61" t="s">
        <v>278</v>
      </c>
      <c r="C61" t="s">
        <v>269</v>
      </c>
      <c r="E61" t="s">
        <v>337</v>
      </c>
      <c r="G61" t="s">
        <v>280</v>
      </c>
      <c r="J61" t="s">
        <v>281</v>
      </c>
      <c r="K61" t="s">
        <v>282</v>
      </c>
      <c r="M61" t="s">
        <v>294</v>
      </c>
      <c r="N61" t="s">
        <v>283</v>
      </c>
      <c r="O61" t="s">
        <v>338</v>
      </c>
      <c r="P61" t="s">
        <v>284</v>
      </c>
      <c r="T61" t="s">
        <v>285</v>
      </c>
      <c r="Z61" t="s">
        <v>286</v>
      </c>
      <c r="AF61" t="s">
        <v>267</v>
      </c>
      <c r="AG61" t="s">
        <v>283</v>
      </c>
      <c r="AO61" t="s">
        <v>274</v>
      </c>
      <c r="AT61" t="s">
        <v>283</v>
      </c>
      <c r="AV61" t="s">
        <v>287</v>
      </c>
      <c r="AW61" t="s">
        <v>288</v>
      </c>
      <c r="BC61" t="s">
        <v>289</v>
      </c>
      <c r="BI61" t="s">
        <v>284</v>
      </c>
      <c r="BJ61" t="s">
        <v>283</v>
      </c>
      <c r="BK61" t="s">
        <v>283</v>
      </c>
      <c r="BL61" t="s">
        <v>263</v>
      </c>
      <c r="BM61" t="s">
        <v>283</v>
      </c>
    </row>
    <row r="62" spans="1:65" x14ac:dyDescent="0.2">
      <c r="A62" t="s">
        <v>279</v>
      </c>
      <c r="B62" t="s">
        <v>278</v>
      </c>
      <c r="C62" t="s">
        <v>290</v>
      </c>
      <c r="E62" t="s">
        <v>339</v>
      </c>
      <c r="G62" t="s">
        <v>280</v>
      </c>
      <c r="J62" t="s">
        <v>281</v>
      </c>
      <c r="K62" t="s">
        <v>282</v>
      </c>
      <c r="M62" t="s">
        <v>294</v>
      </c>
      <c r="N62" t="s">
        <v>283</v>
      </c>
      <c r="O62" t="s">
        <v>338</v>
      </c>
      <c r="P62" t="s">
        <v>284</v>
      </c>
      <c r="T62" t="s">
        <v>285</v>
      </c>
      <c r="Z62" t="s">
        <v>286</v>
      </c>
      <c r="AF62" t="s">
        <v>267</v>
      </c>
      <c r="AG62" t="s">
        <v>283</v>
      </c>
      <c r="AO62" t="s">
        <v>274</v>
      </c>
      <c r="AT62" t="s">
        <v>283</v>
      </c>
      <c r="AV62" t="s">
        <v>296</v>
      </c>
      <c r="AW62" t="s">
        <v>288</v>
      </c>
      <c r="BC62" t="s">
        <v>289</v>
      </c>
      <c r="BE62" t="s">
        <v>291</v>
      </c>
      <c r="BI62" t="s">
        <v>275</v>
      </c>
      <c r="BJ62" t="s">
        <v>283</v>
      </c>
      <c r="BK62" t="s">
        <v>283</v>
      </c>
      <c r="BL62" t="s">
        <v>263</v>
      </c>
      <c r="BM62" t="s">
        <v>283</v>
      </c>
    </row>
    <row r="63" spans="1:65" x14ac:dyDescent="0.2">
      <c r="A63" t="s">
        <v>268</v>
      </c>
      <c r="B63" t="s">
        <v>312</v>
      </c>
    </row>
    <row r="64" spans="1:65" x14ac:dyDescent="0.2">
      <c r="A64" t="s">
        <v>270</v>
      </c>
      <c r="B64" t="s">
        <v>271</v>
      </c>
      <c r="C64" t="s">
        <v>272</v>
      </c>
      <c r="D64" t="s">
        <v>277</v>
      </c>
      <c r="F64" t="s">
        <v>273</v>
      </c>
      <c r="O64" t="s">
        <v>274</v>
      </c>
    </row>
    <row r="65" spans="1:65" x14ac:dyDescent="0.2">
      <c r="A65" t="s">
        <v>270</v>
      </c>
      <c r="B65" t="s">
        <v>271</v>
      </c>
      <c r="C65" t="s">
        <v>275</v>
      </c>
      <c r="D65" t="s">
        <v>276</v>
      </c>
      <c r="F65" t="s">
        <v>273</v>
      </c>
      <c r="O65" t="s">
        <v>274</v>
      </c>
    </row>
    <row r="66" spans="1:65" x14ac:dyDescent="0.2">
      <c r="A66" t="s">
        <v>279</v>
      </c>
      <c r="B66" t="s">
        <v>278</v>
      </c>
      <c r="C66" t="s">
        <v>269</v>
      </c>
      <c r="E66" t="s">
        <v>340</v>
      </c>
      <c r="G66" t="s">
        <v>280</v>
      </c>
      <c r="J66" t="s">
        <v>281</v>
      </c>
      <c r="K66" t="s">
        <v>282</v>
      </c>
      <c r="M66" t="s">
        <v>294</v>
      </c>
      <c r="N66" t="s">
        <v>283</v>
      </c>
      <c r="O66" t="s">
        <v>341</v>
      </c>
      <c r="P66" t="s">
        <v>284</v>
      </c>
      <c r="T66" t="s">
        <v>285</v>
      </c>
      <c r="Z66" t="s">
        <v>286</v>
      </c>
      <c r="AF66" t="s">
        <v>267</v>
      </c>
      <c r="AG66" t="s">
        <v>283</v>
      </c>
      <c r="AO66" t="s">
        <v>274</v>
      </c>
      <c r="AT66" t="s">
        <v>283</v>
      </c>
      <c r="AV66" t="s">
        <v>287</v>
      </c>
      <c r="AW66" t="s">
        <v>288</v>
      </c>
      <c r="BC66" t="s">
        <v>289</v>
      </c>
      <c r="BI66" t="s">
        <v>284</v>
      </c>
      <c r="BJ66" t="s">
        <v>283</v>
      </c>
      <c r="BK66" t="s">
        <v>283</v>
      </c>
      <c r="BL66" t="s">
        <v>263</v>
      </c>
      <c r="BM66" t="s">
        <v>283</v>
      </c>
    </row>
    <row r="67" spans="1:65" x14ac:dyDescent="0.2">
      <c r="A67" t="s">
        <v>279</v>
      </c>
      <c r="B67" t="s">
        <v>278</v>
      </c>
      <c r="C67" t="s">
        <v>290</v>
      </c>
      <c r="E67" t="s">
        <v>342</v>
      </c>
      <c r="G67" t="s">
        <v>280</v>
      </c>
      <c r="J67" t="s">
        <v>281</v>
      </c>
      <c r="K67" t="s">
        <v>282</v>
      </c>
      <c r="M67" t="s">
        <v>294</v>
      </c>
      <c r="N67" t="s">
        <v>283</v>
      </c>
      <c r="O67" t="s">
        <v>341</v>
      </c>
      <c r="P67" t="s">
        <v>284</v>
      </c>
      <c r="T67" t="s">
        <v>285</v>
      </c>
      <c r="Z67" t="s">
        <v>286</v>
      </c>
      <c r="AF67" t="s">
        <v>267</v>
      </c>
      <c r="AG67" t="s">
        <v>283</v>
      </c>
      <c r="AO67" t="s">
        <v>274</v>
      </c>
      <c r="AT67" t="s">
        <v>283</v>
      </c>
      <c r="AV67" t="s">
        <v>296</v>
      </c>
      <c r="AW67" t="s">
        <v>288</v>
      </c>
      <c r="BC67" t="s">
        <v>289</v>
      </c>
      <c r="BE67" t="s">
        <v>291</v>
      </c>
      <c r="BI67" t="s">
        <v>275</v>
      </c>
      <c r="BJ67" t="s">
        <v>283</v>
      </c>
      <c r="BK67" t="s">
        <v>283</v>
      </c>
      <c r="BL67" t="s">
        <v>263</v>
      </c>
      <c r="BM67" t="s">
        <v>283</v>
      </c>
    </row>
    <row r="68" spans="1:65" x14ac:dyDescent="0.2">
      <c r="A68" t="s">
        <v>268</v>
      </c>
      <c r="B68" t="s">
        <v>313</v>
      </c>
    </row>
    <row r="69" spans="1:65" x14ac:dyDescent="0.2">
      <c r="A69" t="s">
        <v>270</v>
      </c>
      <c r="B69" t="s">
        <v>271</v>
      </c>
      <c r="C69" t="s">
        <v>272</v>
      </c>
      <c r="D69" t="s">
        <v>277</v>
      </c>
      <c r="F69" t="s">
        <v>273</v>
      </c>
      <c r="O69" t="s">
        <v>274</v>
      </c>
    </row>
    <row r="70" spans="1:65" x14ac:dyDescent="0.2">
      <c r="A70" t="s">
        <v>270</v>
      </c>
      <c r="B70" t="s">
        <v>271</v>
      </c>
      <c r="C70" t="s">
        <v>275</v>
      </c>
      <c r="D70" t="s">
        <v>276</v>
      </c>
      <c r="F70" t="s">
        <v>273</v>
      </c>
      <c r="O70" t="s">
        <v>274</v>
      </c>
    </row>
    <row r="71" spans="1:65" x14ac:dyDescent="0.2">
      <c r="A71" t="s">
        <v>279</v>
      </c>
      <c r="B71" t="s">
        <v>278</v>
      </c>
      <c r="C71" t="s">
        <v>269</v>
      </c>
      <c r="E71" t="s">
        <v>343</v>
      </c>
      <c r="G71" t="s">
        <v>280</v>
      </c>
      <c r="J71" t="s">
        <v>281</v>
      </c>
      <c r="K71" t="s">
        <v>282</v>
      </c>
      <c r="M71" t="s">
        <v>294</v>
      </c>
      <c r="N71" t="s">
        <v>283</v>
      </c>
      <c r="O71" t="s">
        <v>344</v>
      </c>
      <c r="P71" t="s">
        <v>284</v>
      </c>
      <c r="T71" t="s">
        <v>285</v>
      </c>
      <c r="Z71" t="s">
        <v>286</v>
      </c>
      <c r="AF71" t="s">
        <v>267</v>
      </c>
      <c r="AG71" t="s">
        <v>283</v>
      </c>
      <c r="AO71" t="s">
        <v>274</v>
      </c>
      <c r="AT71" t="s">
        <v>283</v>
      </c>
      <c r="AV71" t="s">
        <v>287</v>
      </c>
      <c r="AW71" t="s">
        <v>288</v>
      </c>
      <c r="BC71" t="s">
        <v>289</v>
      </c>
      <c r="BI71" t="s">
        <v>284</v>
      </c>
      <c r="BJ71" t="s">
        <v>283</v>
      </c>
      <c r="BK71" t="s">
        <v>283</v>
      </c>
      <c r="BL71" t="s">
        <v>263</v>
      </c>
      <c r="BM71" t="s">
        <v>283</v>
      </c>
    </row>
    <row r="72" spans="1:65" x14ac:dyDescent="0.2">
      <c r="A72" t="s">
        <v>279</v>
      </c>
      <c r="B72" t="s">
        <v>278</v>
      </c>
      <c r="C72" t="s">
        <v>290</v>
      </c>
      <c r="E72" t="s">
        <v>345</v>
      </c>
      <c r="G72" t="s">
        <v>280</v>
      </c>
      <c r="J72" t="s">
        <v>281</v>
      </c>
      <c r="K72" t="s">
        <v>282</v>
      </c>
      <c r="M72" t="s">
        <v>294</v>
      </c>
      <c r="N72" t="s">
        <v>283</v>
      </c>
      <c r="O72" t="s">
        <v>344</v>
      </c>
      <c r="P72" t="s">
        <v>284</v>
      </c>
      <c r="T72" t="s">
        <v>285</v>
      </c>
      <c r="Z72" t="s">
        <v>286</v>
      </c>
      <c r="AF72" t="s">
        <v>267</v>
      </c>
      <c r="AG72" t="s">
        <v>283</v>
      </c>
      <c r="AO72" t="s">
        <v>274</v>
      </c>
      <c r="AT72" t="s">
        <v>283</v>
      </c>
      <c r="AV72" t="s">
        <v>296</v>
      </c>
      <c r="AW72" t="s">
        <v>288</v>
      </c>
      <c r="BC72" t="s">
        <v>289</v>
      </c>
      <c r="BE72" t="s">
        <v>291</v>
      </c>
      <c r="BI72" t="s">
        <v>275</v>
      </c>
      <c r="BJ72" t="s">
        <v>283</v>
      </c>
      <c r="BK72" t="s">
        <v>283</v>
      </c>
      <c r="BL72" t="s">
        <v>263</v>
      </c>
      <c r="BM72" t="s">
        <v>283</v>
      </c>
    </row>
    <row r="73" spans="1:65" x14ac:dyDescent="0.2">
      <c r="A73" t="s">
        <v>268</v>
      </c>
      <c r="B73" t="s">
        <v>314</v>
      </c>
    </row>
    <row r="74" spans="1:65" x14ac:dyDescent="0.2">
      <c r="A74" t="s">
        <v>270</v>
      </c>
      <c r="B74" t="s">
        <v>271</v>
      </c>
      <c r="C74" t="s">
        <v>272</v>
      </c>
      <c r="D74" t="s">
        <v>277</v>
      </c>
      <c r="F74" t="s">
        <v>273</v>
      </c>
      <c r="O74" t="s">
        <v>274</v>
      </c>
    </row>
    <row r="75" spans="1:65" x14ac:dyDescent="0.2">
      <c r="A75" t="s">
        <v>270</v>
      </c>
      <c r="B75" t="s">
        <v>271</v>
      </c>
      <c r="C75" t="s">
        <v>275</v>
      </c>
      <c r="D75" t="s">
        <v>276</v>
      </c>
      <c r="F75" t="s">
        <v>273</v>
      </c>
      <c r="O75" t="s">
        <v>274</v>
      </c>
    </row>
    <row r="76" spans="1:65" x14ac:dyDescent="0.2">
      <c r="A76" t="s">
        <v>279</v>
      </c>
      <c r="B76" t="s">
        <v>278</v>
      </c>
      <c r="C76" t="s">
        <v>269</v>
      </c>
      <c r="E76" t="s">
        <v>346</v>
      </c>
      <c r="G76" t="s">
        <v>280</v>
      </c>
      <c r="J76" t="s">
        <v>281</v>
      </c>
      <c r="K76" t="s">
        <v>282</v>
      </c>
      <c r="M76" t="s">
        <v>294</v>
      </c>
      <c r="N76" t="s">
        <v>283</v>
      </c>
      <c r="O76" t="s">
        <v>347</v>
      </c>
      <c r="P76" t="s">
        <v>284</v>
      </c>
      <c r="T76" t="s">
        <v>285</v>
      </c>
      <c r="Z76" t="s">
        <v>286</v>
      </c>
      <c r="AF76" t="s">
        <v>267</v>
      </c>
      <c r="AG76" t="s">
        <v>283</v>
      </c>
      <c r="AO76" t="s">
        <v>274</v>
      </c>
      <c r="AT76" t="s">
        <v>283</v>
      </c>
      <c r="AV76" t="s">
        <v>287</v>
      </c>
      <c r="AW76" t="s">
        <v>288</v>
      </c>
      <c r="BC76" t="s">
        <v>289</v>
      </c>
      <c r="BI76" t="s">
        <v>284</v>
      </c>
      <c r="BJ76" t="s">
        <v>283</v>
      </c>
      <c r="BK76" t="s">
        <v>283</v>
      </c>
      <c r="BL76" t="s">
        <v>263</v>
      </c>
      <c r="BM76" t="s">
        <v>283</v>
      </c>
    </row>
    <row r="77" spans="1:65" x14ac:dyDescent="0.2">
      <c r="A77" t="s">
        <v>279</v>
      </c>
      <c r="B77" t="s">
        <v>278</v>
      </c>
      <c r="C77" t="s">
        <v>290</v>
      </c>
      <c r="E77" t="s">
        <v>348</v>
      </c>
      <c r="G77" t="s">
        <v>280</v>
      </c>
      <c r="J77" t="s">
        <v>281</v>
      </c>
      <c r="K77" t="s">
        <v>282</v>
      </c>
      <c r="M77" t="s">
        <v>294</v>
      </c>
      <c r="N77" t="s">
        <v>283</v>
      </c>
      <c r="O77" t="s">
        <v>347</v>
      </c>
      <c r="P77" t="s">
        <v>284</v>
      </c>
      <c r="T77" t="s">
        <v>285</v>
      </c>
      <c r="Z77" t="s">
        <v>286</v>
      </c>
      <c r="AF77" t="s">
        <v>267</v>
      </c>
      <c r="AG77" t="s">
        <v>283</v>
      </c>
      <c r="AO77" t="s">
        <v>274</v>
      </c>
      <c r="AT77" t="s">
        <v>283</v>
      </c>
      <c r="AV77" t="s">
        <v>296</v>
      </c>
      <c r="AW77" t="s">
        <v>288</v>
      </c>
      <c r="BC77" t="s">
        <v>289</v>
      </c>
      <c r="BE77" t="s">
        <v>291</v>
      </c>
      <c r="BI77" t="s">
        <v>275</v>
      </c>
      <c r="BJ77" t="s">
        <v>283</v>
      </c>
      <c r="BK77" t="s">
        <v>283</v>
      </c>
      <c r="BL77" t="s">
        <v>263</v>
      </c>
      <c r="BM77" t="s">
        <v>283</v>
      </c>
    </row>
    <row r="78" spans="1:65" x14ac:dyDescent="0.2">
      <c r="A78" t="s">
        <v>268</v>
      </c>
      <c r="B78" t="s">
        <v>315</v>
      </c>
    </row>
    <row r="79" spans="1:65" x14ac:dyDescent="0.2">
      <c r="A79" t="s">
        <v>270</v>
      </c>
      <c r="B79" t="s">
        <v>271</v>
      </c>
      <c r="C79" t="s">
        <v>272</v>
      </c>
      <c r="D79" t="s">
        <v>277</v>
      </c>
      <c r="F79" t="s">
        <v>273</v>
      </c>
      <c r="O79" t="s">
        <v>274</v>
      </c>
    </row>
    <row r="80" spans="1:65" x14ac:dyDescent="0.2">
      <c r="A80" t="s">
        <v>270</v>
      </c>
      <c r="B80" t="s">
        <v>271</v>
      </c>
      <c r="C80" t="s">
        <v>275</v>
      </c>
      <c r="D80" t="s">
        <v>276</v>
      </c>
      <c r="F80" t="s">
        <v>273</v>
      </c>
      <c r="O80" t="s">
        <v>274</v>
      </c>
    </row>
    <row r="81" spans="1:65" x14ac:dyDescent="0.2">
      <c r="A81" t="s">
        <v>279</v>
      </c>
      <c r="B81" t="s">
        <v>278</v>
      </c>
      <c r="C81" t="s">
        <v>269</v>
      </c>
      <c r="E81" t="s">
        <v>349</v>
      </c>
      <c r="G81" t="s">
        <v>280</v>
      </c>
      <c r="J81" t="s">
        <v>281</v>
      </c>
      <c r="K81" t="s">
        <v>282</v>
      </c>
      <c r="M81" t="s">
        <v>294</v>
      </c>
      <c r="N81" t="s">
        <v>283</v>
      </c>
      <c r="O81" t="s">
        <v>350</v>
      </c>
      <c r="P81" t="s">
        <v>284</v>
      </c>
      <c r="T81" t="s">
        <v>285</v>
      </c>
      <c r="Z81" t="s">
        <v>286</v>
      </c>
      <c r="AF81" t="s">
        <v>267</v>
      </c>
      <c r="AG81" t="s">
        <v>283</v>
      </c>
      <c r="AO81" t="s">
        <v>274</v>
      </c>
      <c r="AT81" t="s">
        <v>283</v>
      </c>
      <c r="AV81" t="s">
        <v>287</v>
      </c>
      <c r="AW81" t="s">
        <v>288</v>
      </c>
      <c r="BC81" t="s">
        <v>289</v>
      </c>
      <c r="BI81" t="s">
        <v>284</v>
      </c>
      <c r="BJ81" t="s">
        <v>283</v>
      </c>
      <c r="BK81" t="s">
        <v>283</v>
      </c>
      <c r="BL81" t="s">
        <v>263</v>
      </c>
      <c r="BM81" t="s">
        <v>283</v>
      </c>
    </row>
    <row r="82" spans="1:65" x14ac:dyDescent="0.2">
      <c r="A82" t="s">
        <v>279</v>
      </c>
      <c r="B82" t="s">
        <v>278</v>
      </c>
      <c r="C82" t="s">
        <v>290</v>
      </c>
      <c r="E82" t="s">
        <v>351</v>
      </c>
      <c r="G82" t="s">
        <v>280</v>
      </c>
      <c r="J82" t="s">
        <v>281</v>
      </c>
      <c r="K82" t="s">
        <v>282</v>
      </c>
      <c r="M82" t="s">
        <v>294</v>
      </c>
      <c r="N82" t="s">
        <v>283</v>
      </c>
      <c r="O82" t="s">
        <v>350</v>
      </c>
      <c r="P82" t="s">
        <v>284</v>
      </c>
      <c r="T82" t="s">
        <v>285</v>
      </c>
      <c r="Z82" t="s">
        <v>286</v>
      </c>
      <c r="AF82" t="s">
        <v>267</v>
      </c>
      <c r="AG82" t="s">
        <v>283</v>
      </c>
      <c r="AO82" t="s">
        <v>274</v>
      </c>
      <c r="AT82" t="s">
        <v>283</v>
      </c>
      <c r="AV82" t="s">
        <v>296</v>
      </c>
      <c r="AW82" t="s">
        <v>288</v>
      </c>
      <c r="BC82" t="s">
        <v>289</v>
      </c>
      <c r="BE82" t="s">
        <v>291</v>
      </c>
      <c r="BI82" t="s">
        <v>275</v>
      </c>
      <c r="BJ82" t="s">
        <v>283</v>
      </c>
      <c r="BK82" t="s">
        <v>283</v>
      </c>
      <c r="BL82" t="s">
        <v>263</v>
      </c>
      <c r="BM82" t="s">
        <v>283</v>
      </c>
    </row>
    <row r="83" spans="1:65" x14ac:dyDescent="0.2">
      <c r="A83" t="s">
        <v>268</v>
      </c>
      <c r="B83" t="s">
        <v>278</v>
      </c>
    </row>
    <row r="84" spans="1:65" x14ac:dyDescent="0.2">
      <c r="A84" t="s">
        <v>270</v>
      </c>
      <c r="B84" t="s">
        <v>271</v>
      </c>
      <c r="C84" t="s">
        <v>272</v>
      </c>
      <c r="D84" t="s">
        <v>277</v>
      </c>
      <c r="F84" t="s">
        <v>273</v>
      </c>
      <c r="O84" t="s">
        <v>274</v>
      </c>
    </row>
    <row r="85" spans="1:65" x14ac:dyDescent="0.2">
      <c r="A85" t="s">
        <v>270</v>
      </c>
      <c r="B85" t="s">
        <v>271</v>
      </c>
      <c r="C85" t="s">
        <v>275</v>
      </c>
      <c r="D85" t="s">
        <v>276</v>
      </c>
      <c r="F85" t="s">
        <v>273</v>
      </c>
      <c r="O85" t="s">
        <v>274</v>
      </c>
    </row>
    <row r="86" spans="1:65" x14ac:dyDescent="0.2">
      <c r="A86" t="s">
        <v>279</v>
      </c>
      <c r="B86" t="s">
        <v>278</v>
      </c>
      <c r="C86" t="s">
        <v>269</v>
      </c>
      <c r="E86" t="s">
        <v>352</v>
      </c>
      <c r="G86" t="s">
        <v>280</v>
      </c>
      <c r="J86" t="s">
        <v>281</v>
      </c>
      <c r="K86" t="s">
        <v>282</v>
      </c>
      <c r="M86" t="s">
        <v>294</v>
      </c>
      <c r="N86" t="s">
        <v>283</v>
      </c>
      <c r="O86" t="s">
        <v>353</v>
      </c>
      <c r="P86" t="s">
        <v>284</v>
      </c>
      <c r="T86" t="s">
        <v>285</v>
      </c>
      <c r="Z86" t="s">
        <v>286</v>
      </c>
      <c r="AF86" t="s">
        <v>267</v>
      </c>
      <c r="AG86" t="s">
        <v>283</v>
      </c>
      <c r="AO86" t="s">
        <v>274</v>
      </c>
      <c r="AT86" t="s">
        <v>283</v>
      </c>
      <c r="AV86" t="s">
        <v>287</v>
      </c>
      <c r="AW86" t="s">
        <v>288</v>
      </c>
      <c r="BC86" t="s">
        <v>289</v>
      </c>
      <c r="BI86" t="s">
        <v>284</v>
      </c>
      <c r="BJ86" t="s">
        <v>283</v>
      </c>
      <c r="BK86" t="s">
        <v>283</v>
      </c>
      <c r="BL86" t="s">
        <v>263</v>
      </c>
      <c r="BM86" t="s">
        <v>283</v>
      </c>
    </row>
    <row r="87" spans="1:65" x14ac:dyDescent="0.2">
      <c r="A87" t="s">
        <v>279</v>
      </c>
      <c r="B87" t="s">
        <v>278</v>
      </c>
      <c r="C87" t="s">
        <v>290</v>
      </c>
      <c r="E87" t="s">
        <v>354</v>
      </c>
      <c r="G87" t="s">
        <v>280</v>
      </c>
      <c r="J87" t="s">
        <v>281</v>
      </c>
      <c r="K87" t="s">
        <v>282</v>
      </c>
      <c r="M87" t="s">
        <v>294</v>
      </c>
      <c r="N87" t="s">
        <v>283</v>
      </c>
      <c r="O87" t="s">
        <v>353</v>
      </c>
      <c r="P87" t="s">
        <v>284</v>
      </c>
      <c r="T87" t="s">
        <v>285</v>
      </c>
      <c r="Z87" t="s">
        <v>286</v>
      </c>
      <c r="AF87" t="s">
        <v>267</v>
      </c>
      <c r="AG87" t="s">
        <v>283</v>
      </c>
      <c r="AO87" t="s">
        <v>274</v>
      </c>
      <c r="AT87" t="s">
        <v>283</v>
      </c>
      <c r="AV87" t="s">
        <v>296</v>
      </c>
      <c r="AW87" t="s">
        <v>288</v>
      </c>
      <c r="BC87" t="s">
        <v>289</v>
      </c>
      <c r="BE87" t="s">
        <v>291</v>
      </c>
      <c r="BI87" t="s">
        <v>275</v>
      </c>
      <c r="BJ87" t="s">
        <v>283</v>
      </c>
      <c r="BK87" t="s">
        <v>283</v>
      </c>
      <c r="BL87" t="s">
        <v>263</v>
      </c>
      <c r="BM87" t="s">
        <v>283</v>
      </c>
    </row>
    <row r="88" spans="1:65" x14ac:dyDescent="0.2">
      <c r="A88" t="s">
        <v>268</v>
      </c>
      <c r="B88" t="s">
        <v>316</v>
      </c>
    </row>
    <row r="89" spans="1:65" x14ac:dyDescent="0.2">
      <c r="A89" t="s">
        <v>270</v>
      </c>
      <c r="B89" t="s">
        <v>271</v>
      </c>
      <c r="C89" t="s">
        <v>272</v>
      </c>
      <c r="D89" t="s">
        <v>277</v>
      </c>
      <c r="F89" t="s">
        <v>273</v>
      </c>
      <c r="O89" t="s">
        <v>274</v>
      </c>
    </row>
    <row r="90" spans="1:65" x14ac:dyDescent="0.2">
      <c r="A90" t="s">
        <v>270</v>
      </c>
      <c r="B90" t="s">
        <v>271</v>
      </c>
      <c r="C90" t="s">
        <v>275</v>
      </c>
      <c r="D90" t="s">
        <v>276</v>
      </c>
      <c r="F90" t="s">
        <v>273</v>
      </c>
      <c r="O90" t="s">
        <v>274</v>
      </c>
    </row>
    <row r="91" spans="1:65" x14ac:dyDescent="0.2">
      <c r="A91" t="s">
        <v>279</v>
      </c>
      <c r="B91" t="s">
        <v>278</v>
      </c>
      <c r="C91" t="s">
        <v>269</v>
      </c>
      <c r="E91" t="s">
        <v>355</v>
      </c>
      <c r="G91" t="s">
        <v>280</v>
      </c>
      <c r="J91" t="s">
        <v>281</v>
      </c>
      <c r="K91" t="s">
        <v>282</v>
      </c>
      <c r="M91" t="s">
        <v>294</v>
      </c>
      <c r="N91" t="s">
        <v>283</v>
      </c>
      <c r="O91" t="s">
        <v>356</v>
      </c>
      <c r="P91" t="s">
        <v>284</v>
      </c>
      <c r="T91" t="s">
        <v>285</v>
      </c>
      <c r="Z91" t="s">
        <v>286</v>
      </c>
      <c r="AF91" t="s">
        <v>267</v>
      </c>
      <c r="AG91" t="s">
        <v>283</v>
      </c>
      <c r="AO91" t="s">
        <v>274</v>
      </c>
      <c r="AT91" t="s">
        <v>283</v>
      </c>
      <c r="AV91" t="s">
        <v>287</v>
      </c>
      <c r="AW91" t="s">
        <v>288</v>
      </c>
      <c r="BC91" t="s">
        <v>289</v>
      </c>
      <c r="BI91" t="s">
        <v>284</v>
      </c>
      <c r="BJ91" t="s">
        <v>283</v>
      </c>
      <c r="BK91" t="s">
        <v>283</v>
      </c>
      <c r="BL91" t="s">
        <v>263</v>
      </c>
      <c r="BM91" t="s">
        <v>283</v>
      </c>
    </row>
    <row r="92" spans="1:65" x14ac:dyDescent="0.2">
      <c r="A92" t="s">
        <v>279</v>
      </c>
      <c r="B92" t="s">
        <v>278</v>
      </c>
      <c r="C92" t="s">
        <v>290</v>
      </c>
      <c r="E92" t="s">
        <v>357</v>
      </c>
      <c r="G92" t="s">
        <v>280</v>
      </c>
      <c r="J92" t="s">
        <v>281</v>
      </c>
      <c r="K92" t="s">
        <v>282</v>
      </c>
      <c r="M92" t="s">
        <v>294</v>
      </c>
      <c r="N92" t="s">
        <v>283</v>
      </c>
      <c r="O92" t="s">
        <v>356</v>
      </c>
      <c r="P92" t="s">
        <v>284</v>
      </c>
      <c r="T92" t="s">
        <v>285</v>
      </c>
      <c r="Z92" t="s">
        <v>286</v>
      </c>
      <c r="AF92" t="s">
        <v>267</v>
      </c>
      <c r="AG92" t="s">
        <v>283</v>
      </c>
      <c r="AO92" t="s">
        <v>274</v>
      </c>
      <c r="AT92" t="s">
        <v>283</v>
      </c>
      <c r="AV92" t="s">
        <v>296</v>
      </c>
      <c r="AW92" t="s">
        <v>288</v>
      </c>
      <c r="BC92" t="s">
        <v>289</v>
      </c>
      <c r="BE92" t="s">
        <v>291</v>
      </c>
      <c r="BI92" t="s">
        <v>275</v>
      </c>
      <c r="BJ92" t="s">
        <v>283</v>
      </c>
      <c r="BK92" t="s">
        <v>283</v>
      </c>
      <c r="BL92" t="s">
        <v>263</v>
      </c>
      <c r="BM92" t="s">
        <v>283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/>
  <dimension ref="A1:Z53"/>
  <sheetViews>
    <sheetView view="pageBreakPreview" zoomScale="75" zoomScaleNormal="100" zoomScaleSheetLayoutView="75" workbookViewId="0">
      <selection activeCell="D13" sqref="D13:E13"/>
    </sheetView>
  </sheetViews>
  <sheetFormatPr defaultRowHeight="18.75" x14ac:dyDescent="0.2"/>
  <cols>
    <col min="1" max="1" width="11.140625" style="2" customWidth="1"/>
    <col min="2" max="2" width="15.28515625" style="2" customWidth="1"/>
    <col min="3" max="3" width="14.42578125" style="2" customWidth="1"/>
    <col min="4" max="4" width="12.85546875" style="2" customWidth="1"/>
    <col min="5" max="5" width="8.7109375" style="2" customWidth="1"/>
    <col min="6" max="6" width="14.85546875" style="2" customWidth="1"/>
    <col min="7" max="7" width="14.140625" style="2" customWidth="1"/>
    <col min="8" max="8" width="19.140625" style="2" customWidth="1"/>
    <col min="9" max="9" width="8.28515625" style="2" customWidth="1"/>
    <col min="10" max="10" width="8.85546875" style="2" customWidth="1"/>
    <col min="11" max="11" width="9" style="2" customWidth="1"/>
    <col min="12" max="12" width="17" style="2" customWidth="1"/>
    <col min="13" max="14" width="10.28515625" style="2" customWidth="1"/>
    <col min="15" max="15" width="15" style="2" customWidth="1"/>
    <col min="16" max="26" width="10.28515625" style="2" customWidth="1"/>
    <col min="27" max="16384" width="9.140625" style="2"/>
  </cols>
  <sheetData>
    <row r="1" spans="1:26" ht="21.75" customHeight="1" x14ac:dyDescent="0.2">
      <c r="A1" s="115" t="s">
        <v>157</v>
      </c>
      <c r="B1" s="115"/>
      <c r="C1" s="115"/>
      <c r="D1" s="115"/>
      <c r="E1" s="115"/>
      <c r="F1" s="115"/>
      <c r="G1" s="150" t="s">
        <v>154</v>
      </c>
      <c r="H1" s="150"/>
      <c r="I1" s="114" t="s">
        <v>160</v>
      </c>
      <c r="J1" s="114"/>
      <c r="K1" s="114"/>
      <c r="L1" s="114"/>
      <c r="M1" s="122" t="s">
        <v>96</v>
      </c>
      <c r="N1" s="122"/>
      <c r="O1" s="122"/>
      <c r="P1" s="122"/>
      <c r="Q1" s="122"/>
      <c r="R1" s="122"/>
      <c r="S1" s="122"/>
      <c r="T1" s="122"/>
      <c r="U1" s="122"/>
      <c r="V1" s="122"/>
      <c r="W1" s="122"/>
      <c r="X1" s="122"/>
      <c r="Y1" s="122"/>
      <c r="Z1" s="122"/>
    </row>
    <row r="2" spans="1:26" ht="21.75" customHeight="1" x14ac:dyDescent="0.2">
      <c r="A2" s="146" t="s">
        <v>45</v>
      </c>
      <c r="B2" s="146"/>
      <c r="C2" s="146"/>
      <c r="D2" s="146"/>
      <c r="E2" s="146"/>
      <c r="F2" s="146"/>
      <c r="G2" s="150"/>
      <c r="H2" s="150"/>
      <c r="I2" s="114"/>
      <c r="J2" s="114"/>
      <c r="K2" s="114"/>
      <c r="L2" s="114"/>
      <c r="M2" s="122" t="s">
        <v>78</v>
      </c>
      <c r="N2" s="122"/>
      <c r="O2" s="122"/>
      <c r="P2" s="122"/>
      <c r="Q2" s="122"/>
      <c r="R2" s="122"/>
      <c r="S2" s="122"/>
      <c r="T2" s="122"/>
      <c r="U2" s="122"/>
      <c r="V2" s="122"/>
      <c r="W2" s="122"/>
      <c r="X2" s="122"/>
      <c r="Y2" s="122"/>
      <c r="Z2" s="122"/>
    </row>
    <row r="3" spans="1:26" ht="21.75" customHeight="1" x14ac:dyDescent="0.2">
      <c r="A3" s="115" t="s">
        <v>158</v>
      </c>
      <c r="B3" s="147"/>
      <c r="C3" s="147"/>
      <c r="D3" s="147"/>
      <c r="E3" s="147"/>
      <c r="F3" s="147"/>
      <c r="G3" s="150" t="s">
        <v>155</v>
      </c>
      <c r="H3" s="150"/>
      <c r="I3" s="115" t="s">
        <v>195</v>
      </c>
      <c r="J3" s="115"/>
      <c r="K3" s="115"/>
      <c r="L3" s="115"/>
      <c r="M3" s="123" t="s">
        <v>79</v>
      </c>
      <c r="N3" s="124" t="s">
        <v>81</v>
      </c>
      <c r="O3" s="123"/>
      <c r="P3" s="124" t="s">
        <v>65</v>
      </c>
      <c r="Q3" s="123"/>
      <c r="R3" s="124" t="s">
        <v>82</v>
      </c>
      <c r="S3" s="123"/>
      <c r="T3" s="124" t="s">
        <v>85</v>
      </c>
      <c r="U3" s="123"/>
      <c r="V3" s="124" t="s">
        <v>87</v>
      </c>
      <c r="W3" s="123"/>
      <c r="X3" s="128" t="s">
        <v>91</v>
      </c>
      <c r="Y3" s="132"/>
      <c r="Z3" s="132"/>
    </row>
    <row r="4" spans="1:26" ht="30" customHeight="1" x14ac:dyDescent="0.2">
      <c r="A4" s="146" t="s">
        <v>46</v>
      </c>
      <c r="B4" s="146"/>
      <c r="C4" s="146"/>
      <c r="D4" s="146"/>
      <c r="E4" s="146"/>
      <c r="F4" s="146"/>
      <c r="G4" s="150"/>
      <c r="H4" s="150"/>
      <c r="I4" s="115"/>
      <c r="J4" s="115"/>
      <c r="K4" s="115"/>
      <c r="L4" s="115"/>
      <c r="M4" s="116"/>
      <c r="N4" s="125"/>
      <c r="O4" s="116"/>
      <c r="P4" s="125"/>
      <c r="Q4" s="116"/>
      <c r="R4" s="125" t="s">
        <v>83</v>
      </c>
      <c r="S4" s="116"/>
      <c r="T4" s="125" t="s">
        <v>86</v>
      </c>
      <c r="U4" s="116"/>
      <c r="V4" s="125" t="s">
        <v>88</v>
      </c>
      <c r="W4" s="116"/>
      <c r="X4" s="128"/>
      <c r="Y4" s="132"/>
      <c r="Z4" s="132"/>
    </row>
    <row r="5" spans="1:26" ht="21.75" customHeight="1" x14ac:dyDescent="0.2">
      <c r="A5" s="115" t="s">
        <v>177</v>
      </c>
      <c r="B5" s="147"/>
      <c r="C5" s="147"/>
      <c r="D5" s="147"/>
      <c r="E5" s="147"/>
      <c r="F5" s="147"/>
      <c r="G5" s="150" t="s">
        <v>156</v>
      </c>
      <c r="H5" s="150"/>
      <c r="I5" s="115" t="s">
        <v>196</v>
      </c>
      <c r="J5" s="115"/>
      <c r="K5" s="115"/>
      <c r="L5" s="115"/>
      <c r="M5" s="116" t="s">
        <v>80</v>
      </c>
      <c r="N5" s="125"/>
      <c r="O5" s="116"/>
      <c r="P5" s="125" t="s">
        <v>182</v>
      </c>
      <c r="Q5" s="116"/>
      <c r="R5" s="133" t="s">
        <v>84</v>
      </c>
      <c r="S5" s="134"/>
      <c r="T5" s="133" t="s">
        <v>84</v>
      </c>
      <c r="U5" s="134"/>
      <c r="V5" s="125" t="s">
        <v>89</v>
      </c>
      <c r="W5" s="116"/>
      <c r="X5" s="128"/>
      <c r="Y5" s="132"/>
      <c r="Z5" s="132"/>
    </row>
    <row r="6" spans="1:26" ht="21.75" customHeight="1" x14ac:dyDescent="0.2">
      <c r="A6" s="146" t="s">
        <v>47</v>
      </c>
      <c r="B6" s="146"/>
      <c r="C6" s="146"/>
      <c r="D6" s="146"/>
      <c r="E6" s="146"/>
      <c r="F6" s="146"/>
      <c r="G6" s="150"/>
      <c r="H6" s="150"/>
      <c r="I6" s="115"/>
      <c r="J6" s="115"/>
      <c r="K6" s="115"/>
      <c r="L6" s="115"/>
      <c r="M6" s="117"/>
      <c r="N6" s="127"/>
      <c r="O6" s="117"/>
      <c r="P6" s="127"/>
      <c r="Q6" s="117"/>
      <c r="R6" s="127"/>
      <c r="S6" s="117"/>
      <c r="T6" s="127"/>
      <c r="U6" s="117"/>
      <c r="V6" s="127" t="s">
        <v>90</v>
      </c>
      <c r="W6" s="117"/>
      <c r="X6" s="128"/>
      <c r="Y6" s="132"/>
      <c r="Z6" s="132"/>
    </row>
    <row r="7" spans="1:26" ht="21.75" customHeight="1" x14ac:dyDescent="0.2">
      <c r="A7" s="122"/>
      <c r="B7" s="122"/>
      <c r="C7" s="122"/>
      <c r="D7" s="122"/>
      <c r="E7" s="122"/>
      <c r="F7" s="122"/>
      <c r="G7" s="122"/>
      <c r="H7" s="122"/>
      <c r="I7" s="122"/>
      <c r="J7" s="122"/>
      <c r="K7" s="122"/>
      <c r="L7" s="122"/>
      <c r="M7" s="9"/>
      <c r="N7" s="111"/>
      <c r="O7" s="113"/>
      <c r="P7" s="111"/>
      <c r="Q7" s="113"/>
      <c r="R7" s="111"/>
      <c r="S7" s="113"/>
      <c r="T7" s="111"/>
      <c r="U7" s="113"/>
      <c r="V7" s="111"/>
      <c r="W7" s="113"/>
      <c r="X7" s="111"/>
      <c r="Y7" s="112"/>
      <c r="Z7" s="112"/>
    </row>
    <row r="8" spans="1:26" ht="22.5" customHeight="1" x14ac:dyDescent="0.2">
      <c r="A8" s="143" t="s">
        <v>48</v>
      </c>
      <c r="B8" s="143"/>
      <c r="C8" s="143"/>
      <c r="D8" s="143"/>
      <c r="E8" s="143"/>
      <c r="F8" s="143"/>
      <c r="G8" s="143"/>
      <c r="H8" s="143"/>
      <c r="I8" s="143"/>
      <c r="J8" s="143"/>
      <c r="K8" s="143"/>
      <c r="L8" s="143"/>
      <c r="M8" s="9"/>
      <c r="N8" s="111"/>
      <c r="O8" s="113"/>
      <c r="P8" s="111"/>
      <c r="Q8" s="113"/>
      <c r="R8" s="111"/>
      <c r="S8" s="113"/>
      <c r="T8" s="111"/>
      <c r="U8" s="113"/>
      <c r="V8" s="111"/>
      <c r="W8" s="113"/>
      <c r="X8" s="111"/>
      <c r="Y8" s="112"/>
      <c r="Z8" s="112"/>
    </row>
    <row r="9" spans="1:26" ht="22.5" customHeight="1" x14ac:dyDescent="0.2">
      <c r="A9" s="156" t="s">
        <v>49</v>
      </c>
      <c r="B9" s="156"/>
      <c r="C9" s="156"/>
      <c r="D9" s="156"/>
      <c r="E9" s="156"/>
      <c r="F9" s="156"/>
      <c r="G9" s="156"/>
      <c r="H9" s="156"/>
      <c r="I9" s="156"/>
      <c r="J9" s="156"/>
      <c r="K9" s="156"/>
      <c r="L9" s="156"/>
      <c r="M9" s="9"/>
      <c r="N9" s="111"/>
      <c r="O9" s="113"/>
      <c r="P9" s="111"/>
      <c r="Q9" s="113"/>
      <c r="R9" s="111"/>
      <c r="S9" s="113"/>
      <c r="T9" s="111"/>
      <c r="U9" s="113"/>
      <c r="V9" s="111"/>
      <c r="W9" s="113"/>
      <c r="X9" s="111"/>
      <c r="Y9" s="112"/>
      <c r="Z9" s="112"/>
    </row>
    <row r="10" spans="1:26" ht="22.5" customHeight="1" x14ac:dyDescent="0.2">
      <c r="A10" s="151" t="s">
        <v>112</v>
      </c>
      <c r="B10" s="151"/>
      <c r="C10" s="151"/>
      <c r="D10" s="151"/>
      <c r="E10" s="162" t="s">
        <v>407</v>
      </c>
      <c r="F10" s="163"/>
      <c r="G10" s="163"/>
      <c r="H10" s="138" t="s">
        <v>369</v>
      </c>
      <c r="I10" s="138"/>
      <c r="J10" s="138"/>
      <c r="K10" s="138"/>
      <c r="L10" s="138"/>
      <c r="M10" s="9"/>
      <c r="N10" s="111"/>
      <c r="O10" s="113"/>
      <c r="P10" s="111"/>
      <c r="Q10" s="113"/>
      <c r="R10" s="111"/>
      <c r="S10" s="113"/>
      <c r="T10" s="111"/>
      <c r="U10" s="113"/>
      <c r="V10" s="111"/>
      <c r="W10" s="113"/>
      <c r="X10" s="111"/>
      <c r="Y10" s="112"/>
      <c r="Z10" s="112"/>
    </row>
    <row r="11" spans="1:26" ht="22.5" customHeight="1" x14ac:dyDescent="0.2">
      <c r="A11" s="151" t="s">
        <v>113</v>
      </c>
      <c r="B11" s="151"/>
      <c r="C11" s="151"/>
      <c r="D11" s="151"/>
      <c r="E11" s="161" t="s">
        <v>227</v>
      </c>
      <c r="F11" s="161"/>
      <c r="G11" s="161"/>
      <c r="H11" s="161"/>
      <c r="I11" s="138" t="s">
        <v>114</v>
      </c>
      <c r="J11" s="138"/>
      <c r="K11" s="138"/>
      <c r="L11" s="138"/>
      <c r="M11" s="9"/>
      <c r="N11" s="111"/>
      <c r="O11" s="113"/>
      <c r="P11" s="111"/>
      <c r="Q11" s="113"/>
      <c r="R11" s="111"/>
      <c r="S11" s="113"/>
      <c r="T11" s="111"/>
      <c r="U11" s="113"/>
      <c r="V11" s="111"/>
      <c r="W11" s="113"/>
      <c r="X11" s="111"/>
      <c r="Y11" s="112"/>
      <c r="Z11" s="112"/>
    </row>
    <row r="12" spans="1:26" ht="21.75" customHeight="1" x14ac:dyDescent="0.2">
      <c r="A12" s="149"/>
      <c r="B12" s="149"/>
      <c r="C12" s="149"/>
      <c r="D12" s="149"/>
      <c r="E12" s="149"/>
      <c r="F12" s="149"/>
      <c r="G12" s="149"/>
      <c r="H12" s="149"/>
      <c r="I12" s="149"/>
      <c r="J12" s="149"/>
      <c r="K12" s="149"/>
      <c r="L12" s="149"/>
      <c r="M12" s="9"/>
      <c r="N12" s="111"/>
      <c r="O12" s="113"/>
      <c r="P12" s="111"/>
      <c r="Q12" s="113"/>
      <c r="R12" s="111"/>
      <c r="S12" s="113"/>
      <c r="T12" s="111"/>
      <c r="U12" s="113"/>
      <c r="V12" s="111"/>
      <c r="W12" s="113"/>
      <c r="X12" s="111"/>
      <c r="Y12" s="112"/>
      <c r="Z12" s="112"/>
    </row>
    <row r="13" spans="1:26" ht="21.75" customHeight="1" x14ac:dyDescent="0.2">
      <c r="A13" s="167" t="s">
        <v>50</v>
      </c>
      <c r="B13" s="136" t="s">
        <v>56</v>
      </c>
      <c r="C13" s="137"/>
      <c r="D13" s="171" t="s">
        <v>377</v>
      </c>
      <c r="E13" s="172"/>
      <c r="F13" s="136" t="s">
        <v>59</v>
      </c>
      <c r="G13" s="137"/>
      <c r="H13" s="14" t="s">
        <v>377</v>
      </c>
      <c r="I13" s="165" t="s">
        <v>5</v>
      </c>
      <c r="J13" s="136" t="s">
        <v>60</v>
      </c>
      <c r="K13" s="167"/>
      <c r="L13" s="13" t="s">
        <v>65</v>
      </c>
      <c r="M13" s="9"/>
      <c r="N13" s="111"/>
      <c r="O13" s="113"/>
      <c r="P13" s="111"/>
      <c r="Q13" s="113"/>
      <c r="R13" s="111"/>
      <c r="S13" s="113"/>
      <c r="T13" s="111"/>
      <c r="U13" s="113"/>
      <c r="V13" s="111"/>
      <c r="W13" s="113"/>
      <c r="X13" s="111"/>
      <c r="Y13" s="112"/>
      <c r="Z13" s="112"/>
    </row>
    <row r="14" spans="1:26" ht="21.75" customHeight="1" x14ac:dyDescent="0.2">
      <c r="A14" s="168"/>
      <c r="B14" s="139" t="s">
        <v>57</v>
      </c>
      <c r="C14" s="140"/>
      <c r="D14" s="141" t="s">
        <v>231</v>
      </c>
      <c r="E14" s="142"/>
      <c r="F14" s="139" t="s">
        <v>57</v>
      </c>
      <c r="G14" s="140"/>
      <c r="H14" s="15" t="s">
        <v>232</v>
      </c>
      <c r="I14" s="166"/>
      <c r="J14" s="139" t="s">
        <v>61</v>
      </c>
      <c r="K14" s="168"/>
      <c r="L14" s="13" t="s">
        <v>66</v>
      </c>
      <c r="M14" s="9"/>
      <c r="N14" s="111"/>
      <c r="O14" s="113"/>
      <c r="P14" s="111"/>
      <c r="Q14" s="113"/>
      <c r="R14" s="111"/>
      <c r="S14" s="113"/>
      <c r="T14" s="111"/>
      <c r="U14" s="113"/>
      <c r="V14" s="111"/>
      <c r="W14" s="113"/>
      <c r="X14" s="111"/>
      <c r="Y14" s="112"/>
      <c r="Z14" s="112"/>
    </row>
    <row r="15" spans="1:26" ht="21.75" customHeight="1" x14ac:dyDescent="0.2">
      <c r="A15" s="168"/>
      <c r="B15" s="159" t="s">
        <v>58</v>
      </c>
      <c r="C15" s="164"/>
      <c r="D15" s="169">
        <v>18000</v>
      </c>
      <c r="E15" s="170"/>
      <c r="F15" s="159" t="s">
        <v>58</v>
      </c>
      <c r="G15" s="164"/>
      <c r="H15" s="16">
        <v>18000</v>
      </c>
      <c r="I15" s="166"/>
      <c r="J15" s="159" t="s">
        <v>62</v>
      </c>
      <c r="K15" s="160"/>
      <c r="L15" s="13" t="s">
        <v>67</v>
      </c>
      <c r="M15" s="9"/>
      <c r="N15" s="111"/>
      <c r="O15" s="113"/>
      <c r="P15" s="111"/>
      <c r="Q15" s="113"/>
      <c r="R15" s="111"/>
      <c r="S15" s="113"/>
      <c r="T15" s="111"/>
      <c r="U15" s="113"/>
      <c r="V15" s="111"/>
      <c r="W15" s="113"/>
      <c r="X15" s="111"/>
      <c r="Y15" s="112"/>
      <c r="Z15" s="112"/>
    </row>
    <row r="16" spans="1:26" ht="21.75" customHeight="1" x14ac:dyDescent="0.2">
      <c r="A16" s="168"/>
      <c r="B16" s="12" t="s">
        <v>51</v>
      </c>
      <c r="C16" s="12" t="s">
        <v>53</v>
      </c>
      <c r="D16" s="12" t="s">
        <v>54</v>
      </c>
      <c r="E16" s="152"/>
      <c r="F16" s="12" t="s">
        <v>51</v>
      </c>
      <c r="G16" s="12" t="s">
        <v>53</v>
      </c>
      <c r="H16" s="10" t="s">
        <v>54</v>
      </c>
      <c r="I16" s="166"/>
      <c r="J16" s="152" t="s">
        <v>63</v>
      </c>
      <c r="K16" s="154" t="s">
        <v>64</v>
      </c>
      <c r="L16" s="13" t="s">
        <v>68</v>
      </c>
      <c r="M16" s="9"/>
      <c r="N16" s="111"/>
      <c r="O16" s="113"/>
      <c r="P16" s="111"/>
      <c r="Q16" s="113"/>
      <c r="R16" s="111"/>
      <c r="S16" s="113"/>
      <c r="T16" s="111"/>
      <c r="U16" s="113"/>
      <c r="V16" s="111"/>
      <c r="W16" s="113"/>
      <c r="X16" s="111"/>
      <c r="Y16" s="112"/>
      <c r="Z16" s="112"/>
    </row>
    <row r="17" spans="1:26" ht="21.75" customHeight="1" x14ac:dyDescent="0.2">
      <c r="A17" s="168"/>
      <c r="B17" s="77" t="s">
        <v>52</v>
      </c>
      <c r="C17" s="20" t="s">
        <v>51</v>
      </c>
      <c r="D17" s="20" t="s">
        <v>55</v>
      </c>
      <c r="E17" s="153"/>
      <c r="F17" s="20" t="s">
        <v>52</v>
      </c>
      <c r="G17" s="20" t="s">
        <v>51</v>
      </c>
      <c r="H17" s="19" t="s">
        <v>55</v>
      </c>
      <c r="I17" s="166"/>
      <c r="J17" s="153"/>
      <c r="K17" s="155"/>
      <c r="L17" s="13" t="s">
        <v>69</v>
      </c>
      <c r="M17" s="130" t="s">
        <v>92</v>
      </c>
      <c r="N17" s="130"/>
      <c r="O17" s="130"/>
      <c r="P17" s="130"/>
      <c r="Q17" s="130"/>
      <c r="R17" s="130"/>
      <c r="S17" s="130"/>
      <c r="T17" s="130"/>
      <c r="U17" s="130"/>
      <c r="V17" s="130"/>
      <c r="W17" s="130"/>
      <c r="X17" s="130"/>
      <c r="Y17" s="130"/>
      <c r="Z17" s="130"/>
    </row>
    <row r="18" spans="1:26" ht="23.25" customHeight="1" x14ac:dyDescent="0.2">
      <c r="A18" s="23" t="s">
        <v>7</v>
      </c>
      <c r="B18" s="82">
        <v>6528.6958000000004</v>
      </c>
      <c r="C18" s="25"/>
      <c r="D18" s="24"/>
      <c r="E18" s="81"/>
      <c r="F18" s="82">
        <v>2117.8670000000002</v>
      </c>
      <c r="G18" s="25"/>
      <c r="H18" s="24"/>
      <c r="I18" s="26"/>
      <c r="J18" s="23"/>
      <c r="K18" s="28"/>
      <c r="L18" s="28"/>
      <c r="M18" s="123" t="s">
        <v>79</v>
      </c>
      <c r="N18" s="121" t="s">
        <v>98</v>
      </c>
      <c r="O18" s="121"/>
      <c r="P18" s="121"/>
      <c r="Q18" s="121" t="s">
        <v>107</v>
      </c>
      <c r="R18" s="121"/>
      <c r="S18" s="121"/>
      <c r="T18" s="121" t="s">
        <v>93</v>
      </c>
      <c r="U18" s="121"/>
      <c r="V18" s="121"/>
      <c r="W18" s="124" t="s">
        <v>91</v>
      </c>
      <c r="X18" s="131"/>
      <c r="Y18" s="131"/>
      <c r="Z18" s="131"/>
    </row>
    <row r="19" spans="1:26" ht="23.25" customHeight="1" x14ac:dyDescent="0.2">
      <c r="A19" s="23" t="s">
        <v>8</v>
      </c>
      <c r="B19" s="82">
        <v>6528.7743</v>
      </c>
      <c r="C19" s="25">
        <f t="shared" ref="C19:C42" si="0">IF(B19="","",IF(LEN(TRUNC(B18,0))-LEN(TRUNC(B19,0))=0,B19-B18,IF(LEN(TRUNC(B18,0))-LEN(TRUNC(B19,0))&gt;0,VALUE(LEFT(B18,LEN(TRUNC(B18,0))-LEN(TRUNC(B19,0))))*POWER(10,LEN(TRUNC(B19,0)))+B19-B18,B19-B18-VALUE(LEFT(B19,LEN(TRUNC(B19,0))-LEN(TRUNC(B18,0))))*POWER(10,LEN(TRUNC(B18,0))))))</f>
        <v>7.849999999962165E-2</v>
      </c>
      <c r="D19" s="24">
        <f>IF(C19="","",C19*$D$15)</f>
        <v>1412.9999999931897</v>
      </c>
      <c r="E19" s="81"/>
      <c r="F19" s="82">
        <v>2117.8957999999998</v>
      </c>
      <c r="G19" s="25">
        <f t="shared" ref="G19:G42" si="1">IF(F19="","",IF(LEN(TRUNC(F18,0))-LEN(TRUNC(F19,0))=0,F19-F18,IF(LEN(TRUNC(F18,0))-LEN(TRUNC(F19,0))&gt;0,VALUE(LEFT(F18,LEN(TRUNC(F18,0))-LEN(TRUNC(F19,0))))*POWER(10,LEN(TRUNC(F19,0)))+F19-F18,F19-F18-VALUE(LEFT(F19,LEN(TRUNC(F19,0))-LEN(TRUNC(F18,0))))*POWER(10,LEN(TRUNC(F18,0))))))</f>
        <v>2.8799999999591819E-2</v>
      </c>
      <c r="H19" s="24">
        <f>IF(G19="","",G19*$H$15)</f>
        <v>518.39999999265274</v>
      </c>
      <c r="I19" s="26">
        <f>IF(H19="","",IF(D19="","",IF(AND(H19=0,D19=0),0,H19/D19)))</f>
        <v>0.36687898088828824</v>
      </c>
      <c r="J19" s="23"/>
      <c r="K19" s="83">
        <v>6.2752619999999997</v>
      </c>
      <c r="L19" s="28"/>
      <c r="M19" s="116"/>
      <c r="N19" s="118"/>
      <c r="O19" s="118"/>
      <c r="P19" s="118"/>
      <c r="Q19" s="118" t="s">
        <v>108</v>
      </c>
      <c r="R19" s="118"/>
      <c r="S19" s="118"/>
      <c r="T19" s="118"/>
      <c r="U19" s="118"/>
      <c r="V19" s="118"/>
      <c r="W19" s="125"/>
      <c r="X19" s="122"/>
      <c r="Y19" s="122"/>
      <c r="Z19" s="122"/>
    </row>
    <row r="20" spans="1:26" ht="23.25" customHeight="1" x14ac:dyDescent="0.2">
      <c r="A20" s="23" t="s">
        <v>9</v>
      </c>
      <c r="B20" s="82">
        <v>6528.8563000000004</v>
      </c>
      <c r="C20" s="25">
        <f t="shared" si="0"/>
        <v>8.2000000000334694E-2</v>
      </c>
      <c r="D20" s="24">
        <f t="shared" ref="D20:D42" si="2">IF(C20="","",C20*$D$15)</f>
        <v>1476.0000000060245</v>
      </c>
      <c r="E20" s="81"/>
      <c r="F20" s="82">
        <v>2117.9254000000001</v>
      </c>
      <c r="G20" s="25">
        <f t="shared" si="1"/>
        <v>2.9600000000300497E-2</v>
      </c>
      <c r="H20" s="24">
        <f t="shared" ref="H20:H42" si="3">IF(G20="","",G20*$H$15)</f>
        <v>532.80000000540895</v>
      </c>
      <c r="I20" s="26">
        <f t="shared" ref="I20:I42" si="4">IF(H20="","",IF(D20="","",IF(AND(H20=0,D20=0),0,H20/D20)))</f>
        <v>0.3609756097582888</v>
      </c>
      <c r="J20" s="23"/>
      <c r="K20" s="83">
        <v>6.4158530000000003</v>
      </c>
      <c r="L20" s="28"/>
      <c r="M20" s="116" t="s">
        <v>80</v>
      </c>
      <c r="N20" s="118" t="s">
        <v>99</v>
      </c>
      <c r="O20" s="118"/>
      <c r="P20" s="118"/>
      <c r="Q20" s="118" t="s">
        <v>181</v>
      </c>
      <c r="R20" s="118"/>
      <c r="S20" s="118"/>
      <c r="T20" s="118" t="s">
        <v>94</v>
      </c>
      <c r="U20" s="118"/>
      <c r="V20" s="118"/>
      <c r="W20" s="125"/>
      <c r="X20" s="122"/>
      <c r="Y20" s="122"/>
      <c r="Z20" s="122"/>
    </row>
    <row r="21" spans="1:26" ht="23.25" customHeight="1" x14ac:dyDescent="0.2">
      <c r="A21" s="23" t="s">
        <v>10</v>
      </c>
      <c r="B21" s="82">
        <v>6528.9362000000001</v>
      </c>
      <c r="C21" s="25">
        <f t="shared" si="0"/>
        <v>7.9899999999724969E-2</v>
      </c>
      <c r="D21" s="24">
        <f t="shared" si="2"/>
        <v>1438.1999999950494</v>
      </c>
      <c r="E21" s="81"/>
      <c r="F21" s="82">
        <v>2117.9548</v>
      </c>
      <c r="G21" s="25">
        <f t="shared" si="1"/>
        <v>2.9399999999895954E-2</v>
      </c>
      <c r="H21" s="24">
        <f t="shared" si="3"/>
        <v>529.19999999812717</v>
      </c>
      <c r="I21" s="26">
        <f t="shared" si="4"/>
        <v>0.36795994993738618</v>
      </c>
      <c r="J21" s="23"/>
      <c r="K21" s="83">
        <v>6.3329520000000006</v>
      </c>
      <c r="L21" s="28"/>
      <c r="M21" s="117"/>
      <c r="N21" s="119"/>
      <c r="O21" s="119"/>
      <c r="P21" s="119"/>
      <c r="Q21" s="119"/>
      <c r="R21" s="119"/>
      <c r="S21" s="119"/>
      <c r="T21" s="119"/>
      <c r="U21" s="119"/>
      <c r="V21" s="119"/>
      <c r="W21" s="127"/>
      <c r="X21" s="130"/>
      <c r="Y21" s="130"/>
      <c r="Z21" s="130"/>
    </row>
    <row r="22" spans="1:26" ht="23.25" customHeight="1" x14ac:dyDescent="0.2">
      <c r="A22" s="23" t="s">
        <v>11</v>
      </c>
      <c r="B22" s="82">
        <v>6529.0151999999998</v>
      </c>
      <c r="C22" s="25">
        <f t="shared" si="0"/>
        <v>7.8999999999723514E-2</v>
      </c>
      <c r="D22" s="24">
        <f t="shared" si="2"/>
        <v>1421.9999999950232</v>
      </c>
      <c r="E22" s="81"/>
      <c r="F22" s="82">
        <v>2117.9843000000001</v>
      </c>
      <c r="G22" s="25">
        <f t="shared" si="1"/>
        <v>2.9500000000098225E-2</v>
      </c>
      <c r="H22" s="24">
        <f t="shared" si="3"/>
        <v>531.00000000176806</v>
      </c>
      <c r="I22" s="26">
        <f t="shared" si="4"/>
        <v>0.37341772152153763</v>
      </c>
      <c r="J22" s="23"/>
      <c r="K22" s="83">
        <v>6.4355640000000003</v>
      </c>
      <c r="L22" s="28"/>
      <c r="M22" s="9"/>
      <c r="N22" s="120"/>
      <c r="O22" s="120"/>
      <c r="P22" s="120"/>
      <c r="Q22" s="120"/>
      <c r="R22" s="120"/>
      <c r="S22" s="120"/>
      <c r="T22" s="120"/>
      <c r="U22" s="120"/>
      <c r="V22" s="120"/>
      <c r="W22" s="111"/>
      <c r="X22" s="112"/>
      <c r="Y22" s="112"/>
      <c r="Z22" s="112"/>
    </row>
    <row r="23" spans="1:26" ht="23.25" customHeight="1" x14ac:dyDescent="0.2">
      <c r="A23" s="23" t="s">
        <v>12</v>
      </c>
      <c r="B23" s="82">
        <v>6529.0937999999996</v>
      </c>
      <c r="C23" s="25">
        <f t="shared" si="0"/>
        <v>7.8599999999823922E-2</v>
      </c>
      <c r="D23" s="24">
        <f t="shared" si="2"/>
        <v>1414.7999999968306</v>
      </c>
      <c r="E23" s="81"/>
      <c r="F23" s="82">
        <v>2118.0138000000002</v>
      </c>
      <c r="G23" s="25">
        <f t="shared" si="1"/>
        <v>2.9500000000098225E-2</v>
      </c>
      <c r="H23" s="24">
        <f t="shared" si="3"/>
        <v>531.00000000176806</v>
      </c>
      <c r="I23" s="26">
        <f t="shared" si="4"/>
        <v>0.3753180661598513</v>
      </c>
      <c r="J23" s="23"/>
      <c r="K23" s="83">
        <v>6.4431769999999995</v>
      </c>
      <c r="L23" s="28"/>
      <c r="M23" s="9"/>
      <c r="N23" s="120"/>
      <c r="O23" s="120"/>
      <c r="P23" s="120"/>
      <c r="Q23" s="120"/>
      <c r="R23" s="120"/>
      <c r="S23" s="120"/>
      <c r="T23" s="120"/>
      <c r="U23" s="120"/>
      <c r="V23" s="120"/>
      <c r="W23" s="111"/>
      <c r="X23" s="112"/>
      <c r="Y23" s="112"/>
      <c r="Z23" s="112"/>
    </row>
    <row r="24" spans="1:26" ht="23.25" customHeight="1" x14ac:dyDescent="0.2">
      <c r="A24" s="23" t="s">
        <v>13</v>
      </c>
      <c r="B24" s="82">
        <v>6529.1719999999996</v>
      </c>
      <c r="C24" s="25">
        <f t="shared" si="0"/>
        <v>7.819999999992433E-2</v>
      </c>
      <c r="D24" s="24">
        <f t="shared" si="2"/>
        <v>1407.5999999986379</v>
      </c>
      <c r="E24" s="81"/>
      <c r="F24" s="82">
        <v>2118.0427</v>
      </c>
      <c r="G24" s="25">
        <f t="shared" si="1"/>
        <v>2.889999999979409E-2</v>
      </c>
      <c r="H24" s="24">
        <f t="shared" si="3"/>
        <v>520.19999999629363</v>
      </c>
      <c r="I24" s="26">
        <f t="shared" si="4"/>
        <v>0.36956521738902887</v>
      </c>
      <c r="J24" s="23"/>
      <c r="K24" s="83">
        <v>6.4358900000000006</v>
      </c>
      <c r="L24" s="28"/>
      <c r="M24" s="9"/>
      <c r="N24" s="120"/>
      <c r="O24" s="120"/>
      <c r="P24" s="120"/>
      <c r="Q24" s="120"/>
      <c r="R24" s="120"/>
      <c r="S24" s="120"/>
      <c r="T24" s="120"/>
      <c r="U24" s="120"/>
      <c r="V24" s="120"/>
      <c r="W24" s="111"/>
      <c r="X24" s="112"/>
      <c r="Y24" s="112"/>
      <c r="Z24" s="112"/>
    </row>
    <row r="25" spans="1:26" ht="23.25" customHeight="1" x14ac:dyDescent="0.2">
      <c r="A25" s="23" t="s">
        <v>14</v>
      </c>
      <c r="B25" s="82">
        <v>6529.2493999999997</v>
      </c>
      <c r="C25" s="25">
        <f t="shared" si="0"/>
        <v>7.7400000000125146E-2</v>
      </c>
      <c r="D25" s="24">
        <f t="shared" si="2"/>
        <v>1393.2000000022526</v>
      </c>
      <c r="E25" s="81"/>
      <c r="F25" s="82">
        <v>2118.0693000000001</v>
      </c>
      <c r="G25" s="25">
        <f t="shared" si="1"/>
        <v>2.6600000000144064E-2</v>
      </c>
      <c r="H25" s="24">
        <f t="shared" si="3"/>
        <v>478.80000000259315</v>
      </c>
      <c r="I25" s="26">
        <f t="shared" si="4"/>
        <v>0.34366925064730047</v>
      </c>
      <c r="J25" s="23"/>
      <c r="K25" s="83">
        <v>6.3013320000000004</v>
      </c>
      <c r="L25" s="28"/>
      <c r="M25" s="9"/>
      <c r="N25" s="120"/>
      <c r="O25" s="120"/>
      <c r="P25" s="120"/>
      <c r="Q25" s="120"/>
      <c r="R25" s="120"/>
      <c r="S25" s="120"/>
      <c r="T25" s="120"/>
      <c r="U25" s="120"/>
      <c r="V25" s="120"/>
      <c r="W25" s="111"/>
      <c r="X25" s="112"/>
      <c r="Y25" s="112"/>
      <c r="Z25" s="112"/>
    </row>
    <row r="26" spans="1:26" ht="23.25" customHeight="1" x14ac:dyDescent="0.2">
      <c r="A26" s="23" t="s">
        <v>15</v>
      </c>
      <c r="B26" s="82">
        <v>6529.3305</v>
      </c>
      <c r="C26" s="25">
        <f t="shared" si="0"/>
        <v>8.1100000000333239E-2</v>
      </c>
      <c r="D26" s="24">
        <f t="shared" si="2"/>
        <v>1459.8000000059983</v>
      </c>
      <c r="E26" s="81"/>
      <c r="F26" s="82">
        <v>2118.0953</v>
      </c>
      <c r="G26" s="25">
        <f t="shared" si="1"/>
        <v>2.5999999999839929E-2</v>
      </c>
      <c r="H26" s="24">
        <f t="shared" si="3"/>
        <v>467.99999999711872</v>
      </c>
      <c r="I26" s="26">
        <f t="shared" si="4"/>
        <v>0.32059186189559918</v>
      </c>
      <c r="J26" s="23"/>
      <c r="K26" s="83">
        <v>6.3835550000000003</v>
      </c>
      <c r="L26" s="28"/>
      <c r="M26" s="9"/>
      <c r="N26" s="120"/>
      <c r="O26" s="120"/>
      <c r="P26" s="120"/>
      <c r="Q26" s="120"/>
      <c r="R26" s="120"/>
      <c r="S26" s="120"/>
      <c r="T26" s="120"/>
      <c r="U26" s="120"/>
      <c r="V26" s="120"/>
      <c r="W26" s="111"/>
      <c r="X26" s="112"/>
      <c r="Y26" s="112"/>
      <c r="Z26" s="112"/>
    </row>
    <row r="27" spans="1:26" ht="23.25" customHeight="1" x14ac:dyDescent="0.2">
      <c r="A27" s="23" t="s">
        <v>16</v>
      </c>
      <c r="B27" s="82">
        <v>6529.4225999999999</v>
      </c>
      <c r="C27" s="25">
        <f t="shared" si="0"/>
        <v>9.209999999984575E-2</v>
      </c>
      <c r="D27" s="24">
        <f t="shared" si="2"/>
        <v>1657.7999999972235</v>
      </c>
      <c r="E27" s="81"/>
      <c r="F27" s="82">
        <v>2118.1304</v>
      </c>
      <c r="G27" s="25">
        <f t="shared" si="1"/>
        <v>3.5100000000056752E-2</v>
      </c>
      <c r="H27" s="24">
        <f t="shared" si="3"/>
        <v>631.80000000102154</v>
      </c>
      <c r="I27" s="26">
        <f t="shared" si="4"/>
        <v>0.38110749185793202</v>
      </c>
      <c r="J27" s="23"/>
      <c r="K27" s="83">
        <v>6.3139899999999995</v>
      </c>
      <c r="L27" s="28"/>
      <c r="M27" s="9"/>
      <c r="N27" s="120"/>
      <c r="O27" s="120"/>
      <c r="P27" s="120"/>
      <c r="Q27" s="120"/>
      <c r="R27" s="120"/>
      <c r="S27" s="120"/>
      <c r="T27" s="120"/>
      <c r="U27" s="120"/>
      <c r="V27" s="120"/>
      <c r="W27" s="111"/>
      <c r="X27" s="112"/>
      <c r="Y27" s="112"/>
      <c r="Z27" s="112"/>
    </row>
    <row r="28" spans="1:26" ht="23.25" customHeight="1" x14ac:dyDescent="0.2">
      <c r="A28" s="23" t="s">
        <v>17</v>
      </c>
      <c r="B28" s="82">
        <v>6529.5223999999998</v>
      </c>
      <c r="C28" s="25">
        <f t="shared" si="0"/>
        <v>9.9799999999959255E-2</v>
      </c>
      <c r="D28" s="24">
        <f t="shared" si="2"/>
        <v>1796.3999999992666</v>
      </c>
      <c r="E28" s="81"/>
      <c r="F28" s="82">
        <v>2118.1709999999998</v>
      </c>
      <c r="G28" s="25">
        <f t="shared" si="1"/>
        <v>4.0599999999813008E-2</v>
      </c>
      <c r="H28" s="24">
        <f t="shared" si="3"/>
        <v>730.79999999663414</v>
      </c>
      <c r="I28" s="26">
        <f t="shared" si="4"/>
        <v>0.40681362725280146</v>
      </c>
      <c r="J28" s="23"/>
      <c r="K28" s="83">
        <v>6.2872430000000001</v>
      </c>
      <c r="L28" s="28"/>
      <c r="M28" s="9"/>
      <c r="N28" s="120"/>
      <c r="O28" s="120"/>
      <c r="P28" s="120"/>
      <c r="Q28" s="120"/>
      <c r="R28" s="120"/>
      <c r="S28" s="120"/>
      <c r="T28" s="120"/>
      <c r="U28" s="120"/>
      <c r="V28" s="120"/>
      <c r="W28" s="111"/>
      <c r="X28" s="112"/>
      <c r="Y28" s="112"/>
      <c r="Z28" s="112"/>
    </row>
    <row r="29" spans="1:26" ht="23.25" customHeight="1" x14ac:dyDescent="0.2">
      <c r="A29" s="23" t="s">
        <v>18</v>
      </c>
      <c r="B29" s="82">
        <v>6529.6248999999998</v>
      </c>
      <c r="C29" s="25">
        <f t="shared" si="0"/>
        <v>0.10249999999996362</v>
      </c>
      <c r="D29" s="24">
        <f t="shared" si="2"/>
        <v>1844.9999999993452</v>
      </c>
      <c r="E29" s="81"/>
      <c r="F29" s="82">
        <v>2118.2150000000001</v>
      </c>
      <c r="G29" s="25">
        <f t="shared" si="1"/>
        <v>4.400000000032378E-2</v>
      </c>
      <c r="H29" s="24">
        <f t="shared" si="3"/>
        <v>792.00000000582804</v>
      </c>
      <c r="I29" s="26">
        <f t="shared" si="4"/>
        <v>0.42926829268623801</v>
      </c>
      <c r="J29" s="23"/>
      <c r="K29" s="83">
        <v>6.3209369999999998</v>
      </c>
      <c r="L29" s="28"/>
      <c r="M29" s="145" t="s">
        <v>95</v>
      </c>
      <c r="N29" s="145"/>
      <c r="O29" s="145"/>
      <c r="P29" s="145"/>
      <c r="Q29" s="145"/>
      <c r="R29" s="145"/>
      <c r="S29" s="145"/>
      <c r="T29" s="145"/>
      <c r="U29" s="145"/>
      <c r="V29" s="145"/>
      <c r="W29" s="145"/>
      <c r="X29" s="145"/>
      <c r="Y29" s="145"/>
      <c r="Z29" s="145"/>
    </row>
    <row r="30" spans="1:26" ht="23.25" customHeight="1" x14ac:dyDescent="0.2">
      <c r="A30" s="23" t="s">
        <v>19</v>
      </c>
      <c r="B30" s="82">
        <v>6529.7241999999997</v>
      </c>
      <c r="C30" s="25">
        <f t="shared" si="0"/>
        <v>9.9299999999857391E-2</v>
      </c>
      <c r="D30" s="24">
        <f t="shared" si="2"/>
        <v>1787.399999997433</v>
      </c>
      <c r="E30" s="81"/>
      <c r="F30" s="82">
        <v>2118.2597000000001</v>
      </c>
      <c r="G30" s="25">
        <f t="shared" si="1"/>
        <v>4.4699999999920692E-2</v>
      </c>
      <c r="H30" s="24">
        <f t="shared" si="3"/>
        <v>804.59999999857246</v>
      </c>
      <c r="I30" s="26">
        <f t="shared" si="4"/>
        <v>0.4501510574016605</v>
      </c>
      <c r="J30" s="23"/>
      <c r="K30" s="83">
        <v>6.3449340000000003</v>
      </c>
      <c r="L30" s="28"/>
      <c r="M30" s="122" t="s">
        <v>97</v>
      </c>
      <c r="N30" s="122"/>
      <c r="O30" s="122"/>
      <c r="P30" s="122"/>
      <c r="Q30" s="122"/>
      <c r="R30" s="122"/>
      <c r="S30" s="122"/>
      <c r="T30" s="122"/>
      <c r="U30" s="122"/>
      <c r="V30" s="122"/>
      <c r="W30" s="122"/>
      <c r="X30" s="122"/>
      <c r="Y30" s="122"/>
      <c r="Z30" s="122"/>
    </row>
    <row r="31" spans="1:26" ht="23.25" customHeight="1" x14ac:dyDescent="0.2">
      <c r="A31" s="23" t="s">
        <v>20</v>
      </c>
      <c r="B31" s="82">
        <v>6529.8180000000002</v>
      </c>
      <c r="C31" s="25">
        <f t="shared" si="0"/>
        <v>9.3800000000555883E-2</v>
      </c>
      <c r="D31" s="24">
        <f t="shared" si="2"/>
        <v>1688.4000000100059</v>
      </c>
      <c r="E31" s="81"/>
      <c r="F31" s="82">
        <v>2118.3027000000002</v>
      </c>
      <c r="G31" s="25">
        <f t="shared" si="1"/>
        <v>4.3000000000120053E-2</v>
      </c>
      <c r="H31" s="24">
        <f t="shared" si="3"/>
        <v>774.00000000216096</v>
      </c>
      <c r="I31" s="26">
        <f t="shared" si="4"/>
        <v>0.45842217483864844</v>
      </c>
      <c r="J31" s="23"/>
      <c r="K31" s="83">
        <v>6.3737180000000002</v>
      </c>
      <c r="L31" s="28"/>
      <c r="M31" s="123" t="s">
        <v>79</v>
      </c>
      <c r="N31" s="121" t="s">
        <v>98</v>
      </c>
      <c r="O31" s="121"/>
      <c r="P31" s="121" t="s">
        <v>100</v>
      </c>
      <c r="Q31" s="121"/>
      <c r="R31" s="121" t="s">
        <v>93</v>
      </c>
      <c r="S31" s="121"/>
      <c r="T31" s="121" t="s">
        <v>103</v>
      </c>
      <c r="U31" s="121"/>
      <c r="V31" s="121" t="s">
        <v>179</v>
      </c>
      <c r="W31" s="121"/>
      <c r="X31" s="121"/>
      <c r="Y31" s="121" t="s">
        <v>91</v>
      </c>
      <c r="Z31" s="124"/>
    </row>
    <row r="32" spans="1:26" ht="23.25" customHeight="1" x14ac:dyDescent="0.2">
      <c r="A32" s="23" t="s">
        <v>21</v>
      </c>
      <c r="B32" s="82">
        <v>6529.9173000000001</v>
      </c>
      <c r="C32" s="25">
        <f t="shared" si="0"/>
        <v>9.9299999999857391E-2</v>
      </c>
      <c r="D32" s="24">
        <f t="shared" si="2"/>
        <v>1787.399999997433</v>
      </c>
      <c r="E32" s="81"/>
      <c r="F32" s="82">
        <v>2118.3476000000001</v>
      </c>
      <c r="G32" s="25">
        <f t="shared" si="1"/>
        <v>4.4899999999870488E-2</v>
      </c>
      <c r="H32" s="24">
        <f t="shared" si="3"/>
        <v>808.19999999766878</v>
      </c>
      <c r="I32" s="26">
        <f t="shared" si="4"/>
        <v>0.45216515609199365</v>
      </c>
      <c r="J32" s="23"/>
      <c r="K32" s="83">
        <v>6.3469440000000006</v>
      </c>
      <c r="L32" s="28"/>
      <c r="M32" s="116"/>
      <c r="N32" s="118"/>
      <c r="O32" s="118"/>
      <c r="P32" s="118" t="s">
        <v>83</v>
      </c>
      <c r="Q32" s="118"/>
      <c r="R32" s="118" t="s">
        <v>102</v>
      </c>
      <c r="S32" s="118"/>
      <c r="T32" s="118" t="s">
        <v>104</v>
      </c>
      <c r="U32" s="118"/>
      <c r="V32" s="118" t="s">
        <v>105</v>
      </c>
      <c r="W32" s="118"/>
      <c r="X32" s="118"/>
      <c r="Y32" s="118"/>
      <c r="Z32" s="125"/>
    </row>
    <row r="33" spans="1:26" ht="23.25" customHeight="1" x14ac:dyDescent="0.2">
      <c r="A33" s="23" t="s">
        <v>22</v>
      </c>
      <c r="B33" s="82">
        <v>6530.0190000000002</v>
      </c>
      <c r="C33" s="25">
        <f t="shared" si="0"/>
        <v>0.10170000000016444</v>
      </c>
      <c r="D33" s="24">
        <f t="shared" si="2"/>
        <v>1830.6000000029599</v>
      </c>
      <c r="E33" s="81"/>
      <c r="F33" s="82">
        <v>2118.3937999999998</v>
      </c>
      <c r="G33" s="25">
        <f t="shared" si="1"/>
        <v>4.6199999999771535E-2</v>
      </c>
      <c r="H33" s="24">
        <f t="shared" si="3"/>
        <v>831.59999999588763</v>
      </c>
      <c r="I33" s="26">
        <f t="shared" si="4"/>
        <v>0.45427728613271223</v>
      </c>
      <c r="J33" s="23"/>
      <c r="K33" s="83">
        <v>6.2324570000000001</v>
      </c>
      <c r="L33" s="28"/>
      <c r="M33" s="116" t="s">
        <v>80</v>
      </c>
      <c r="N33" s="118" t="s">
        <v>99</v>
      </c>
      <c r="O33" s="118"/>
      <c r="P33" s="118" t="s">
        <v>101</v>
      </c>
      <c r="Q33" s="118"/>
      <c r="R33" s="118" t="s">
        <v>69</v>
      </c>
      <c r="S33" s="118"/>
      <c r="T33" s="118" t="s">
        <v>69</v>
      </c>
      <c r="U33" s="118"/>
      <c r="V33" s="118" t="s">
        <v>106</v>
      </c>
      <c r="W33" s="118"/>
      <c r="X33" s="118"/>
      <c r="Y33" s="118"/>
      <c r="Z33" s="125"/>
    </row>
    <row r="34" spans="1:26" ht="23.25" customHeight="1" x14ac:dyDescent="0.2">
      <c r="A34" s="23" t="s">
        <v>23</v>
      </c>
      <c r="B34" s="82">
        <v>6530.1197000000002</v>
      </c>
      <c r="C34" s="25">
        <f t="shared" si="0"/>
        <v>0.10069999999996071</v>
      </c>
      <c r="D34" s="24">
        <f t="shared" si="2"/>
        <v>1812.5999999992928</v>
      </c>
      <c r="E34" s="81"/>
      <c r="F34" s="82">
        <v>2118.4387999999999</v>
      </c>
      <c r="G34" s="25">
        <f t="shared" si="1"/>
        <v>4.500000000007276E-2</v>
      </c>
      <c r="H34" s="24">
        <f t="shared" si="3"/>
        <v>810.00000000130967</v>
      </c>
      <c r="I34" s="26">
        <f t="shared" si="4"/>
        <v>0.44687189672383631</v>
      </c>
      <c r="J34" s="23"/>
      <c r="K34" s="83">
        <v>6.3555829999999993</v>
      </c>
      <c r="L34" s="28"/>
      <c r="M34" s="117"/>
      <c r="N34" s="119"/>
      <c r="O34" s="119"/>
      <c r="P34" s="119"/>
      <c r="Q34" s="119"/>
      <c r="R34" s="127"/>
      <c r="S34" s="117"/>
      <c r="T34" s="127"/>
      <c r="U34" s="117"/>
      <c r="V34" s="127"/>
      <c r="W34" s="130"/>
      <c r="X34" s="117"/>
      <c r="Y34" s="119"/>
      <c r="Z34" s="127"/>
    </row>
    <row r="35" spans="1:26" ht="23.25" customHeight="1" x14ac:dyDescent="0.2">
      <c r="A35" s="23" t="s">
        <v>24</v>
      </c>
      <c r="B35" s="82">
        <v>6530.2134999999998</v>
      </c>
      <c r="C35" s="25">
        <f t="shared" si="0"/>
        <v>9.3799999999646388E-2</v>
      </c>
      <c r="D35" s="24">
        <f t="shared" si="2"/>
        <v>1688.399999993635</v>
      </c>
      <c r="E35" s="81"/>
      <c r="F35" s="82">
        <v>2118.4733999999999</v>
      </c>
      <c r="G35" s="25">
        <f t="shared" si="1"/>
        <v>3.4599999999954889E-2</v>
      </c>
      <c r="H35" s="24">
        <f t="shared" si="3"/>
        <v>622.799999999188</v>
      </c>
      <c r="I35" s="26">
        <f t="shared" si="4"/>
        <v>0.36886993603502477</v>
      </c>
      <c r="J35" s="23"/>
      <c r="K35" s="83">
        <v>6.2777330000000005</v>
      </c>
      <c r="L35" s="28"/>
      <c r="M35" s="9"/>
      <c r="N35" s="111" t="s">
        <v>165</v>
      </c>
      <c r="O35" s="113"/>
      <c r="P35" s="111">
        <v>0.4</v>
      </c>
      <c r="Q35" s="113"/>
      <c r="R35" s="111">
        <v>696</v>
      </c>
      <c r="S35" s="113"/>
      <c r="T35" s="120"/>
      <c r="U35" s="120"/>
      <c r="V35" s="120"/>
      <c r="W35" s="120"/>
      <c r="X35" s="120"/>
      <c r="Y35" s="120"/>
      <c r="Z35" s="111"/>
    </row>
    <row r="36" spans="1:26" ht="23.25" customHeight="1" x14ac:dyDescent="0.2">
      <c r="A36" s="23" t="s">
        <v>25</v>
      </c>
      <c r="B36" s="82">
        <v>6530.2995000000001</v>
      </c>
      <c r="C36" s="25">
        <f t="shared" si="0"/>
        <v>8.6000000000240107E-2</v>
      </c>
      <c r="D36" s="24">
        <f t="shared" si="2"/>
        <v>1548.0000000043219</v>
      </c>
      <c r="E36" s="81"/>
      <c r="F36" s="82">
        <v>2118.5052999999998</v>
      </c>
      <c r="G36" s="25">
        <f t="shared" si="1"/>
        <v>3.1899999999950523E-2</v>
      </c>
      <c r="H36" s="24">
        <f t="shared" si="3"/>
        <v>574.19999999910942</v>
      </c>
      <c r="I36" s="26">
        <f t="shared" si="4"/>
        <v>0.37093023255652863</v>
      </c>
      <c r="J36" s="23"/>
      <c r="K36" s="83">
        <v>6.3429009999999995</v>
      </c>
      <c r="L36" s="28"/>
      <c r="M36" s="9"/>
      <c r="N36" s="120" t="s">
        <v>166</v>
      </c>
      <c r="O36" s="120"/>
      <c r="P36" s="126">
        <v>6</v>
      </c>
      <c r="Q36" s="126"/>
      <c r="R36" s="120">
        <v>870</v>
      </c>
      <c r="S36" s="120"/>
      <c r="T36" s="120"/>
      <c r="U36" s="120"/>
      <c r="V36" s="120"/>
      <c r="W36" s="120"/>
      <c r="X36" s="120"/>
      <c r="Y36" s="120"/>
      <c r="Z36" s="111"/>
    </row>
    <row r="37" spans="1:26" ht="23.25" customHeight="1" x14ac:dyDescent="0.2">
      <c r="A37" s="23" t="s">
        <v>26</v>
      </c>
      <c r="B37" s="82">
        <v>6530.3765999999996</v>
      </c>
      <c r="C37" s="25">
        <f t="shared" si="0"/>
        <v>7.7099999999518332E-2</v>
      </c>
      <c r="D37" s="24">
        <f t="shared" si="2"/>
        <v>1387.79999999133</v>
      </c>
      <c r="E37" s="81"/>
      <c r="F37" s="82">
        <v>2118.5284999999999</v>
      </c>
      <c r="G37" s="25">
        <f t="shared" si="1"/>
        <v>2.3200000000088039E-2</v>
      </c>
      <c r="H37" s="24">
        <f t="shared" si="3"/>
        <v>417.6000000015847</v>
      </c>
      <c r="I37" s="26">
        <f t="shared" si="4"/>
        <v>0.30090791180587517</v>
      </c>
      <c r="J37" s="23"/>
      <c r="K37" s="83">
        <v>6.2913540000000001</v>
      </c>
      <c r="L37" s="28"/>
      <c r="M37" s="9"/>
      <c r="N37" s="120"/>
      <c r="O37" s="120"/>
      <c r="P37" s="111"/>
      <c r="Q37" s="113"/>
      <c r="R37" s="111"/>
      <c r="S37" s="113"/>
      <c r="T37" s="120"/>
      <c r="U37" s="120"/>
      <c r="V37" s="120"/>
      <c r="W37" s="120"/>
      <c r="X37" s="120"/>
      <c r="Y37" s="120"/>
      <c r="Z37" s="111"/>
    </row>
    <row r="38" spans="1:26" ht="23.25" customHeight="1" x14ac:dyDescent="0.2">
      <c r="A38" s="23" t="s">
        <v>27</v>
      </c>
      <c r="B38" s="82">
        <v>6530.4516999999996</v>
      </c>
      <c r="C38" s="25">
        <f t="shared" si="0"/>
        <v>7.5100000000020373E-2</v>
      </c>
      <c r="D38" s="24">
        <f t="shared" si="2"/>
        <v>1351.8000000003667</v>
      </c>
      <c r="E38" s="81"/>
      <c r="F38" s="82">
        <v>2118.5486000000001</v>
      </c>
      <c r="G38" s="25">
        <f t="shared" si="1"/>
        <v>2.0100000000184082E-2</v>
      </c>
      <c r="H38" s="24">
        <f t="shared" si="3"/>
        <v>361.80000000331347</v>
      </c>
      <c r="I38" s="26">
        <f t="shared" si="4"/>
        <v>0.26764314247907628</v>
      </c>
      <c r="J38" s="23"/>
      <c r="K38" s="83">
        <v>6.3212409999999997</v>
      </c>
      <c r="L38" s="28"/>
      <c r="M38" s="9"/>
      <c r="N38" s="128"/>
      <c r="O38" s="129"/>
      <c r="P38" s="128"/>
      <c r="Q38" s="129"/>
      <c r="R38" s="128"/>
      <c r="S38" s="129"/>
      <c r="T38" s="120"/>
      <c r="U38" s="120"/>
      <c r="V38" s="120"/>
      <c r="W38" s="120"/>
      <c r="X38" s="120"/>
      <c r="Y38" s="120"/>
      <c r="Z38" s="111"/>
    </row>
    <row r="39" spans="1:26" ht="23.25" customHeight="1" x14ac:dyDescent="0.2">
      <c r="A39" s="23" t="s">
        <v>28</v>
      </c>
      <c r="B39" s="82">
        <v>6530.5276999999996</v>
      </c>
      <c r="C39" s="25">
        <f t="shared" si="0"/>
        <v>7.6000000000021828E-2</v>
      </c>
      <c r="D39" s="24">
        <f t="shared" si="2"/>
        <v>1368.0000000003929</v>
      </c>
      <c r="E39" s="81"/>
      <c r="F39" s="82">
        <v>2118.5709000000002</v>
      </c>
      <c r="G39" s="25">
        <f t="shared" si="1"/>
        <v>2.2300000000086584E-2</v>
      </c>
      <c r="H39" s="24">
        <f t="shared" si="3"/>
        <v>401.40000000155851</v>
      </c>
      <c r="I39" s="26">
        <f t="shared" si="4"/>
        <v>0.29342105263263396</v>
      </c>
      <c r="J39" s="23"/>
      <c r="K39" s="83">
        <v>6.3442340000000002</v>
      </c>
      <c r="L39" s="28"/>
      <c r="M39" s="9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11"/>
    </row>
    <row r="40" spans="1:26" ht="23.25" customHeight="1" x14ac:dyDescent="0.2">
      <c r="A40" s="23" t="s">
        <v>29</v>
      </c>
      <c r="B40" s="82">
        <v>6530.6028999999999</v>
      </c>
      <c r="C40" s="25">
        <f t="shared" si="0"/>
        <v>7.5200000000222644E-2</v>
      </c>
      <c r="D40" s="24">
        <f t="shared" si="2"/>
        <v>1353.6000000040076</v>
      </c>
      <c r="E40" s="81"/>
      <c r="F40" s="82">
        <v>2118.5929000000001</v>
      </c>
      <c r="G40" s="25">
        <f t="shared" si="1"/>
        <v>2.1999999999934516E-2</v>
      </c>
      <c r="H40" s="24">
        <f t="shared" si="3"/>
        <v>395.99999999882129</v>
      </c>
      <c r="I40" s="26">
        <f t="shared" si="4"/>
        <v>0.29255319148762476</v>
      </c>
      <c r="J40" s="23"/>
      <c r="K40" s="83">
        <v>6.3640060000000007</v>
      </c>
      <c r="L40" s="28"/>
      <c r="M40" s="122" t="s">
        <v>109</v>
      </c>
      <c r="N40" s="122"/>
      <c r="O40" s="122"/>
      <c r="P40" s="122"/>
      <c r="Q40" s="122"/>
      <c r="R40" s="122"/>
      <c r="S40" s="122"/>
      <c r="T40" s="122"/>
      <c r="U40" s="122"/>
      <c r="V40" s="122"/>
      <c r="W40" s="122"/>
      <c r="X40" s="122"/>
      <c r="Y40" s="122"/>
      <c r="Z40" s="122"/>
    </row>
    <row r="41" spans="1:26" ht="23.25" customHeight="1" x14ac:dyDescent="0.2">
      <c r="A41" s="23" t="s">
        <v>30</v>
      </c>
      <c r="B41" s="82">
        <v>6530.6818999999996</v>
      </c>
      <c r="C41" s="25">
        <f t="shared" si="0"/>
        <v>7.8999999999723514E-2</v>
      </c>
      <c r="D41" s="24">
        <f t="shared" si="2"/>
        <v>1421.9999999950232</v>
      </c>
      <c r="E41" s="81"/>
      <c r="F41" s="82">
        <v>2118.6172999999999</v>
      </c>
      <c r="G41" s="25">
        <f t="shared" si="1"/>
        <v>2.4399999999786814E-2</v>
      </c>
      <c r="H41" s="24">
        <f t="shared" si="3"/>
        <v>439.19999999616266</v>
      </c>
      <c r="I41" s="26">
        <f t="shared" si="4"/>
        <v>0.30886075949205327</v>
      </c>
      <c r="J41" s="23"/>
      <c r="K41" s="83">
        <v>6.4005159999999997</v>
      </c>
      <c r="L41" s="28"/>
      <c r="M41" s="123" t="s">
        <v>79</v>
      </c>
      <c r="N41" s="121" t="s">
        <v>98</v>
      </c>
      <c r="O41" s="121"/>
      <c r="P41" s="121" t="s">
        <v>93</v>
      </c>
      <c r="Q41" s="121"/>
      <c r="R41" s="121"/>
      <c r="S41" s="121" t="s">
        <v>111</v>
      </c>
      <c r="T41" s="121" t="s">
        <v>81</v>
      </c>
      <c r="U41" s="121"/>
      <c r="V41" s="121"/>
      <c r="W41" s="121"/>
      <c r="X41" s="121" t="s">
        <v>93</v>
      </c>
      <c r="Y41" s="121"/>
      <c r="Z41" s="124"/>
    </row>
    <row r="42" spans="1:26" ht="23.25" customHeight="1" x14ac:dyDescent="0.2">
      <c r="A42" s="23" t="s">
        <v>31</v>
      </c>
      <c r="B42" s="82">
        <v>6530.7592999999997</v>
      </c>
      <c r="C42" s="25">
        <f t="shared" si="0"/>
        <v>7.7400000000125146E-2</v>
      </c>
      <c r="D42" s="24">
        <f t="shared" si="2"/>
        <v>1393.2000000022526</v>
      </c>
      <c r="E42" s="81"/>
      <c r="F42" s="82">
        <v>2118.6419999999998</v>
      </c>
      <c r="G42" s="25">
        <f t="shared" si="1"/>
        <v>2.4699999999938882E-2</v>
      </c>
      <c r="H42" s="24">
        <f t="shared" si="3"/>
        <v>444.59999999889988</v>
      </c>
      <c r="I42" s="26">
        <f t="shared" si="4"/>
        <v>0.31912144702711814</v>
      </c>
      <c r="J42" s="23"/>
      <c r="K42" s="83">
        <v>6.4120460000000001</v>
      </c>
      <c r="L42" s="28"/>
      <c r="M42" s="116"/>
      <c r="N42" s="118"/>
      <c r="O42" s="118"/>
      <c r="P42" s="118"/>
      <c r="Q42" s="118"/>
      <c r="R42" s="118"/>
      <c r="S42" s="118"/>
      <c r="T42" s="118"/>
      <c r="U42" s="118"/>
      <c r="V42" s="118"/>
      <c r="W42" s="118"/>
      <c r="X42" s="118"/>
      <c r="Y42" s="118"/>
      <c r="Z42" s="125"/>
    </row>
    <row r="43" spans="1:26" ht="22.5" customHeight="1" x14ac:dyDescent="0.2">
      <c r="A43" s="148" t="s">
        <v>70</v>
      </c>
      <c r="B43" s="148"/>
      <c r="C43" s="148"/>
      <c r="D43" s="24">
        <f>SUM(D18:D42)</f>
        <v>37142.999999987296</v>
      </c>
      <c r="E43" s="23"/>
      <c r="F43" s="29"/>
      <c r="G43" s="23"/>
      <c r="H43" s="24">
        <f>SUM(H18:H42)</f>
        <v>13949.999999993452</v>
      </c>
      <c r="I43" s="26">
        <f>IF(AND(H43=0,D43=0),0,H43/D43)</f>
        <v>0.37557547855580387</v>
      </c>
      <c r="J43" s="23"/>
      <c r="K43" s="23"/>
      <c r="L43" s="28"/>
      <c r="M43" s="116" t="s">
        <v>80</v>
      </c>
      <c r="N43" s="118" t="s">
        <v>99</v>
      </c>
      <c r="O43" s="118"/>
      <c r="P43" s="118" t="s">
        <v>110</v>
      </c>
      <c r="Q43" s="118"/>
      <c r="R43" s="118"/>
      <c r="S43" s="118"/>
      <c r="T43" s="118"/>
      <c r="U43" s="118"/>
      <c r="V43" s="118"/>
      <c r="W43" s="118"/>
      <c r="X43" s="118" t="s">
        <v>110</v>
      </c>
      <c r="Y43" s="118"/>
      <c r="Z43" s="125"/>
    </row>
    <row r="44" spans="1:26" ht="22.5" customHeight="1" x14ac:dyDescent="0.2">
      <c r="A44" s="157" t="s">
        <v>71</v>
      </c>
      <c r="B44" s="157"/>
      <c r="C44" s="157"/>
      <c r="D44" s="30"/>
      <c r="E44" s="30"/>
      <c r="F44" s="31"/>
      <c r="G44" s="30"/>
      <c r="H44" s="30"/>
      <c r="I44" s="30"/>
      <c r="J44" s="30"/>
      <c r="K44" s="30"/>
      <c r="L44" s="28"/>
      <c r="M44" s="117"/>
      <c r="N44" s="119"/>
      <c r="O44" s="119"/>
      <c r="P44" s="119"/>
      <c r="Q44" s="119"/>
      <c r="R44" s="119"/>
      <c r="S44" s="119"/>
      <c r="T44" s="119"/>
      <c r="U44" s="119"/>
      <c r="V44" s="119"/>
      <c r="W44" s="119"/>
      <c r="X44" s="119"/>
      <c r="Y44" s="119"/>
      <c r="Z44" s="127"/>
    </row>
    <row r="45" spans="1:26" ht="22.5" customHeight="1" x14ac:dyDescent="0.2">
      <c r="A45" s="32"/>
      <c r="B45" s="33"/>
      <c r="C45" s="33"/>
      <c r="D45" s="33"/>
      <c r="E45" s="33"/>
      <c r="F45" s="32"/>
      <c r="G45" s="32"/>
      <c r="H45" s="32"/>
      <c r="I45" s="33"/>
      <c r="J45" s="34"/>
      <c r="K45" s="34"/>
      <c r="L45" s="34"/>
      <c r="M45" s="9"/>
      <c r="N45" s="111"/>
      <c r="O45" s="113"/>
      <c r="P45" s="111"/>
      <c r="Q45" s="112"/>
      <c r="R45" s="113"/>
      <c r="S45" s="7"/>
      <c r="T45" s="111"/>
      <c r="U45" s="112"/>
      <c r="V45" s="112"/>
      <c r="W45" s="113"/>
      <c r="X45" s="111"/>
      <c r="Y45" s="112"/>
      <c r="Z45" s="112"/>
    </row>
    <row r="46" spans="1:26" ht="22.5" customHeight="1" x14ac:dyDescent="0.2">
      <c r="A46" s="135" t="s">
        <v>72</v>
      </c>
      <c r="B46" s="135"/>
      <c r="C46" s="135"/>
      <c r="D46" s="135"/>
      <c r="E46" s="135"/>
      <c r="F46" s="135"/>
      <c r="G46" s="158" t="s">
        <v>73</v>
      </c>
      <c r="H46" s="158"/>
      <c r="I46" s="158"/>
      <c r="J46" s="158"/>
      <c r="K46" s="158"/>
      <c r="L46" s="158"/>
      <c r="M46" s="9"/>
      <c r="N46" s="111"/>
      <c r="O46" s="113"/>
      <c r="P46" s="111"/>
      <c r="Q46" s="112"/>
      <c r="R46" s="113"/>
      <c r="S46" s="7"/>
      <c r="T46" s="111"/>
      <c r="U46" s="112"/>
      <c r="V46" s="112"/>
      <c r="W46" s="113"/>
      <c r="X46" s="111"/>
      <c r="Y46" s="112"/>
      <c r="Z46" s="112"/>
    </row>
    <row r="47" spans="1:26" ht="22.5" customHeight="1" x14ac:dyDescent="0.2">
      <c r="A47" s="144" t="s">
        <v>365</v>
      </c>
      <c r="B47" s="144"/>
      <c r="C47" s="144"/>
      <c r="D47" s="135" t="s">
        <v>74</v>
      </c>
      <c r="E47" s="135"/>
      <c r="F47" s="135"/>
      <c r="G47" s="33"/>
      <c r="H47" s="33"/>
      <c r="I47" s="33"/>
      <c r="J47" s="33"/>
      <c r="K47" s="33"/>
      <c r="L47" s="33"/>
      <c r="M47" s="9"/>
      <c r="N47" s="111"/>
      <c r="O47" s="113"/>
      <c r="P47" s="111"/>
      <c r="Q47" s="112"/>
      <c r="R47" s="113"/>
      <c r="S47" s="7"/>
      <c r="T47" s="111"/>
      <c r="U47" s="112"/>
      <c r="V47" s="112"/>
      <c r="W47" s="113"/>
      <c r="X47" s="111"/>
      <c r="Y47" s="112"/>
      <c r="Z47" s="112"/>
    </row>
    <row r="48" spans="1:26" ht="22.5" customHeight="1" x14ac:dyDescent="0.2">
      <c r="A48" s="175" t="s">
        <v>75</v>
      </c>
      <c r="B48" s="175"/>
      <c r="C48" s="175"/>
      <c r="D48" s="174" t="s">
        <v>76</v>
      </c>
      <c r="E48" s="174"/>
      <c r="F48" s="174"/>
      <c r="G48" s="32"/>
      <c r="H48" s="32"/>
      <c r="I48" s="32"/>
      <c r="J48" s="32"/>
      <c r="K48" s="32"/>
      <c r="L48" s="32"/>
    </row>
    <row r="49" spans="1:23" ht="22.5" customHeight="1" x14ac:dyDescent="0.2">
      <c r="A49" s="144" t="s">
        <v>366</v>
      </c>
      <c r="B49" s="144"/>
      <c r="C49" s="144"/>
      <c r="D49" s="135" t="s">
        <v>74</v>
      </c>
      <c r="E49" s="135"/>
      <c r="F49" s="135"/>
      <c r="G49" s="32"/>
      <c r="H49" s="135" t="s">
        <v>183</v>
      </c>
      <c r="I49" s="135"/>
      <c r="J49" s="135"/>
      <c r="K49" s="135" t="s">
        <v>77</v>
      </c>
      <c r="L49" s="135"/>
      <c r="N49" s="177" t="s">
        <v>150</v>
      </c>
      <c r="O49" s="177"/>
      <c r="P49" s="177"/>
      <c r="Q49" s="176" t="s">
        <v>364</v>
      </c>
      <c r="R49" s="176"/>
      <c r="S49" s="176"/>
      <c r="T49" s="176"/>
      <c r="U49" s="176"/>
      <c r="V49" s="176"/>
      <c r="W49" s="1"/>
    </row>
    <row r="50" spans="1:23" ht="22.15" customHeight="1" x14ac:dyDescent="0.2">
      <c r="A50" s="175" t="s">
        <v>75</v>
      </c>
      <c r="B50" s="175"/>
      <c r="C50" s="175"/>
      <c r="D50" s="174" t="s">
        <v>76</v>
      </c>
      <c r="E50" s="174"/>
      <c r="F50" s="174"/>
      <c r="G50" s="37"/>
      <c r="H50" s="174" t="s">
        <v>75</v>
      </c>
      <c r="I50" s="174"/>
      <c r="J50" s="174"/>
      <c r="K50" s="174" t="s">
        <v>76</v>
      </c>
      <c r="L50" s="174"/>
      <c r="S50" s="173" t="s">
        <v>76</v>
      </c>
      <c r="T50" s="173"/>
    </row>
    <row r="51" spans="1:23" ht="22.15" customHeight="1" x14ac:dyDescent="0.2">
      <c r="A51" s="144" t="s">
        <v>367</v>
      </c>
      <c r="B51" s="144"/>
      <c r="C51" s="144"/>
      <c r="D51" s="135" t="s">
        <v>74</v>
      </c>
      <c r="E51" s="135"/>
      <c r="F51" s="135"/>
      <c r="G51" s="32"/>
      <c r="H51" s="178"/>
      <c r="I51" s="178"/>
      <c r="J51" s="178"/>
      <c r="K51" s="179"/>
      <c r="L51" s="179"/>
      <c r="S51" s="173"/>
      <c r="T51" s="173"/>
    </row>
    <row r="52" spans="1:23" ht="20.100000000000001" customHeight="1" x14ac:dyDescent="0.2">
      <c r="A52" s="174" t="s">
        <v>75</v>
      </c>
      <c r="B52" s="174"/>
      <c r="C52" s="174"/>
      <c r="D52" s="173" t="s">
        <v>76</v>
      </c>
      <c r="E52" s="173"/>
      <c r="F52" s="173"/>
    </row>
    <row r="53" spans="1:23" ht="20.100000000000001" customHeight="1" x14ac:dyDescent="0.2">
      <c r="C53" s="1"/>
      <c r="D53" s="1"/>
      <c r="E53" s="1"/>
      <c r="F53" s="1"/>
      <c r="G53" s="1"/>
      <c r="H53" s="1"/>
    </row>
  </sheetData>
  <sheetProtection sheet="1" objects="1" scenarios="1"/>
  <mergeCells count="261">
    <mergeCell ref="A51:C51"/>
    <mergeCell ref="S50:T50"/>
    <mergeCell ref="A52:C52"/>
    <mergeCell ref="D52:F52"/>
    <mergeCell ref="D51:F51"/>
    <mergeCell ref="D48:F48"/>
    <mergeCell ref="A50:C50"/>
    <mergeCell ref="Q49:V49"/>
    <mergeCell ref="N49:P49"/>
    <mergeCell ref="H51:J51"/>
    <mergeCell ref="K51:L51"/>
    <mergeCell ref="D49:F49"/>
    <mergeCell ref="D50:F50"/>
    <mergeCell ref="H50:J50"/>
    <mergeCell ref="K50:L50"/>
    <mergeCell ref="A49:C49"/>
    <mergeCell ref="S51:T51"/>
    <mergeCell ref="A48:C48"/>
    <mergeCell ref="D47:F47"/>
    <mergeCell ref="F14:G14"/>
    <mergeCell ref="F15:G15"/>
    <mergeCell ref="I13:I17"/>
    <mergeCell ref="J13:K13"/>
    <mergeCell ref="J14:K14"/>
    <mergeCell ref="A5:F5"/>
    <mergeCell ref="A6:F6"/>
    <mergeCell ref="H10:L10"/>
    <mergeCell ref="G5:H6"/>
    <mergeCell ref="A13:A17"/>
    <mergeCell ref="E16:E17"/>
    <mergeCell ref="B15:C15"/>
    <mergeCell ref="D15:E15"/>
    <mergeCell ref="B13:C13"/>
    <mergeCell ref="D13:E13"/>
    <mergeCell ref="A1:F1"/>
    <mergeCell ref="A2:F2"/>
    <mergeCell ref="A3:F3"/>
    <mergeCell ref="A4:F4"/>
    <mergeCell ref="A43:C43"/>
    <mergeCell ref="A46:F46"/>
    <mergeCell ref="A12:L12"/>
    <mergeCell ref="G3:H4"/>
    <mergeCell ref="I3:L4"/>
    <mergeCell ref="A11:D11"/>
    <mergeCell ref="G1:H2"/>
    <mergeCell ref="J16:J17"/>
    <mergeCell ref="K16:K17"/>
    <mergeCell ref="A9:L9"/>
    <mergeCell ref="A44:C44"/>
    <mergeCell ref="G46:L46"/>
    <mergeCell ref="J15:K15"/>
    <mergeCell ref="E11:H11"/>
    <mergeCell ref="A10:D10"/>
    <mergeCell ref="E10:G10"/>
    <mergeCell ref="X8:Z8"/>
    <mergeCell ref="H49:J49"/>
    <mergeCell ref="K49:L49"/>
    <mergeCell ref="A7:L7"/>
    <mergeCell ref="F13:G13"/>
    <mergeCell ref="I11:L11"/>
    <mergeCell ref="B14:C14"/>
    <mergeCell ref="D14:E14"/>
    <mergeCell ref="A8:L8"/>
    <mergeCell ref="A47:C47"/>
    <mergeCell ref="M33:M34"/>
    <mergeCell ref="M29:Z29"/>
    <mergeCell ref="M30:Z30"/>
    <mergeCell ref="V31:X31"/>
    <mergeCell ref="V32:X32"/>
    <mergeCell ref="Y31:Z34"/>
    <mergeCell ref="V33:X33"/>
    <mergeCell ref="R33:S33"/>
    <mergeCell ref="T31:U31"/>
    <mergeCell ref="T32:U32"/>
    <mergeCell ref="M20:M21"/>
    <mergeCell ref="M31:M32"/>
    <mergeCell ref="N10:O10"/>
    <mergeCell ref="N11:O11"/>
    <mergeCell ref="N12:O12"/>
    <mergeCell ref="N13:O13"/>
    <mergeCell ref="P11:Q11"/>
    <mergeCell ref="N7:O7"/>
    <mergeCell ref="N8:O8"/>
    <mergeCell ref="N9:O9"/>
    <mergeCell ref="P15:Q15"/>
    <mergeCell ref="P14:Q14"/>
    <mergeCell ref="Q23:S23"/>
    <mergeCell ref="R8:S8"/>
    <mergeCell ref="R9:S9"/>
    <mergeCell ref="R10:S10"/>
    <mergeCell ref="N18:P19"/>
    <mergeCell ref="N22:P22"/>
    <mergeCell ref="M1:Z1"/>
    <mergeCell ref="M2:Z2"/>
    <mergeCell ref="X3:Z6"/>
    <mergeCell ref="M5:M6"/>
    <mergeCell ref="M3:M4"/>
    <mergeCell ref="X7:Z7"/>
    <mergeCell ref="P3:Q4"/>
    <mergeCell ref="R3:S3"/>
    <mergeCell ref="R4:S4"/>
    <mergeCell ref="R5:S5"/>
    <mergeCell ref="R6:S6"/>
    <mergeCell ref="V3:W3"/>
    <mergeCell ref="V4:W4"/>
    <mergeCell ref="V5:W5"/>
    <mergeCell ref="V6:W6"/>
    <mergeCell ref="T6:U6"/>
    <mergeCell ref="R7:S7"/>
    <mergeCell ref="P7:Q7"/>
    <mergeCell ref="N3:O6"/>
    <mergeCell ref="T3:U3"/>
    <mergeCell ref="T4:U4"/>
    <mergeCell ref="T5:U5"/>
    <mergeCell ref="T7:U7"/>
    <mergeCell ref="V8:W8"/>
    <mergeCell ref="V9:W9"/>
    <mergeCell ref="V10:W10"/>
    <mergeCell ref="T8:U8"/>
    <mergeCell ref="T9:U9"/>
    <mergeCell ref="T10:U10"/>
    <mergeCell ref="P5:Q6"/>
    <mergeCell ref="P8:Q8"/>
    <mergeCell ref="P9:Q9"/>
    <mergeCell ref="P10:Q10"/>
    <mergeCell ref="V7:W7"/>
    <mergeCell ref="T11:U11"/>
    <mergeCell ref="T12:U12"/>
    <mergeCell ref="T13:U13"/>
    <mergeCell ref="R14:S14"/>
    <mergeCell ref="V11:W11"/>
    <mergeCell ref="Q22:S22"/>
    <mergeCell ref="T20:V21"/>
    <mergeCell ref="Q20:S20"/>
    <mergeCell ref="Q21:S21"/>
    <mergeCell ref="V12:W12"/>
    <mergeCell ref="V13:W13"/>
    <mergeCell ref="T14:U14"/>
    <mergeCell ref="V14:W14"/>
    <mergeCell ref="P12:Q12"/>
    <mergeCell ref="R11:S11"/>
    <mergeCell ref="R12:S12"/>
    <mergeCell ref="R13:S13"/>
    <mergeCell ref="R15:S15"/>
    <mergeCell ref="T15:U15"/>
    <mergeCell ref="P13:Q13"/>
    <mergeCell ref="X9:Z9"/>
    <mergeCell ref="X10:Z10"/>
    <mergeCell ref="X11:Z11"/>
    <mergeCell ref="X12:Z12"/>
    <mergeCell ref="R34:S34"/>
    <mergeCell ref="T16:U16"/>
    <mergeCell ref="N28:P28"/>
    <mergeCell ref="Q28:S28"/>
    <mergeCell ref="P16:Q16"/>
    <mergeCell ref="M17:Z17"/>
    <mergeCell ref="W18:Z21"/>
    <mergeCell ref="Q26:S26"/>
    <mergeCell ref="T26:V26"/>
    <mergeCell ref="T18:V19"/>
    <mergeCell ref="T22:V22"/>
    <mergeCell ref="Q18:S18"/>
    <mergeCell ref="N33:O34"/>
    <mergeCell ref="P31:Q31"/>
    <mergeCell ref="P32:Q32"/>
    <mergeCell ref="P33:Q33"/>
    <mergeCell ref="P34:Q34"/>
    <mergeCell ref="N20:P21"/>
    <mergeCell ref="W23:Z23"/>
    <mergeCell ref="N23:P23"/>
    <mergeCell ref="W28:Z28"/>
    <mergeCell ref="R35:S35"/>
    <mergeCell ref="M18:M19"/>
    <mergeCell ref="N16:O16"/>
    <mergeCell ref="T25:V25"/>
    <mergeCell ref="W25:Z25"/>
    <mergeCell ref="N24:P24"/>
    <mergeCell ref="Q24:S24"/>
    <mergeCell ref="X14:Z14"/>
    <mergeCell ref="X15:Z15"/>
    <mergeCell ref="X16:Z16"/>
    <mergeCell ref="T23:V23"/>
    <mergeCell ref="W24:Z24"/>
    <mergeCell ref="N25:P25"/>
    <mergeCell ref="Q25:S25"/>
    <mergeCell ref="W22:Z22"/>
    <mergeCell ref="R16:S16"/>
    <mergeCell ref="Q19:S19"/>
    <mergeCell ref="V16:W16"/>
    <mergeCell ref="P38:Q38"/>
    <mergeCell ref="R38:S38"/>
    <mergeCell ref="T33:U33"/>
    <mergeCell ref="R31:S31"/>
    <mergeCell ref="R32:S32"/>
    <mergeCell ref="V15:W15"/>
    <mergeCell ref="N14:O14"/>
    <mergeCell ref="N15:O15"/>
    <mergeCell ref="X13:Z13"/>
    <mergeCell ref="Y35:Z35"/>
    <mergeCell ref="N35:O35"/>
    <mergeCell ref="T34:U34"/>
    <mergeCell ref="V34:X34"/>
    <mergeCell ref="T35:U35"/>
    <mergeCell ref="V35:X35"/>
    <mergeCell ref="W26:Z26"/>
    <mergeCell ref="N27:P27"/>
    <mergeCell ref="Q27:S27"/>
    <mergeCell ref="T27:V27"/>
    <mergeCell ref="W27:Z27"/>
    <mergeCell ref="N26:P26"/>
    <mergeCell ref="T24:V24"/>
    <mergeCell ref="N31:O32"/>
    <mergeCell ref="T28:V28"/>
    <mergeCell ref="Y38:Z38"/>
    <mergeCell ref="P35:Q35"/>
    <mergeCell ref="X41:Z42"/>
    <mergeCell ref="N36:O36"/>
    <mergeCell ref="P36:Q36"/>
    <mergeCell ref="R36:S36"/>
    <mergeCell ref="T38:U38"/>
    <mergeCell ref="R39:S39"/>
    <mergeCell ref="T39:U39"/>
    <mergeCell ref="V39:X39"/>
    <mergeCell ref="Y39:Z39"/>
    <mergeCell ref="S41:S44"/>
    <mergeCell ref="T41:W44"/>
    <mergeCell ref="N37:O37"/>
    <mergeCell ref="T37:U37"/>
    <mergeCell ref="V37:X37"/>
    <mergeCell ref="Y37:Z37"/>
    <mergeCell ref="T36:U36"/>
    <mergeCell ref="V36:X36"/>
    <mergeCell ref="Y36:Z36"/>
    <mergeCell ref="X43:Z44"/>
    <mergeCell ref="P37:Q37"/>
    <mergeCell ref="N38:O38"/>
    <mergeCell ref="R37:S37"/>
    <mergeCell ref="P46:R46"/>
    <mergeCell ref="P47:R47"/>
    <mergeCell ref="X45:Z45"/>
    <mergeCell ref="X46:Z46"/>
    <mergeCell ref="X47:Z47"/>
    <mergeCell ref="I1:L2"/>
    <mergeCell ref="I5:L6"/>
    <mergeCell ref="M43:M44"/>
    <mergeCell ref="N47:O47"/>
    <mergeCell ref="T45:W45"/>
    <mergeCell ref="T46:W46"/>
    <mergeCell ref="T47:W47"/>
    <mergeCell ref="N43:O44"/>
    <mergeCell ref="P43:R44"/>
    <mergeCell ref="P45:R45"/>
    <mergeCell ref="N39:O39"/>
    <mergeCell ref="P39:Q39"/>
    <mergeCell ref="N41:O42"/>
    <mergeCell ref="P41:R42"/>
    <mergeCell ref="M40:Z40"/>
    <mergeCell ref="M41:M42"/>
    <mergeCell ref="N45:O45"/>
    <mergeCell ref="N46:O46"/>
    <mergeCell ref="V38:X38"/>
  </mergeCells>
  <phoneticPr fontId="0" type="noConversion"/>
  <printOptions horizontalCentered="1"/>
  <pageMargins left="0.39370078740157483" right="0.39370078740157483" top="0.19685039370078741" bottom="0.19685039370078741" header="0" footer="0"/>
  <pageSetup paperSize="9" scale="63" orientation="portrait" horizontalDpi="180" verticalDpi="180" r:id="rId1"/>
  <headerFooter alignWithMargins="0"/>
  <colBreaks count="1" manualBreakCount="1">
    <brk id="12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"/>
  <dimension ref="A1:Z52"/>
  <sheetViews>
    <sheetView view="pageBreakPreview" topLeftCell="A16" zoomScale="75" zoomScaleNormal="75" zoomScaleSheetLayoutView="50" workbookViewId="0">
      <selection activeCell="G47" sqref="G47"/>
    </sheetView>
  </sheetViews>
  <sheetFormatPr defaultRowHeight="18.75" x14ac:dyDescent="0.2"/>
  <cols>
    <col min="1" max="1" width="11.140625" style="2" customWidth="1"/>
    <col min="2" max="2" width="14" style="2" customWidth="1"/>
    <col min="3" max="3" width="15.7109375" style="2" customWidth="1"/>
    <col min="4" max="4" width="12" style="2" customWidth="1"/>
    <col min="5" max="5" width="5.42578125" style="2" customWidth="1"/>
    <col min="6" max="6" width="15.140625" style="2" customWidth="1"/>
    <col min="7" max="7" width="14" style="2" customWidth="1"/>
    <col min="8" max="8" width="17.7109375" style="2" customWidth="1"/>
    <col min="9" max="9" width="8.28515625" style="2" customWidth="1"/>
    <col min="10" max="10" width="8.85546875" style="2" customWidth="1"/>
    <col min="11" max="11" width="11.28515625" style="2" customWidth="1"/>
    <col min="12" max="12" width="17.140625" style="2" customWidth="1"/>
    <col min="13" max="26" width="10.28515625" style="2" customWidth="1"/>
    <col min="27" max="16384" width="9.140625" style="2"/>
  </cols>
  <sheetData>
    <row r="1" spans="1:26" ht="21.75" customHeight="1" x14ac:dyDescent="0.2">
      <c r="A1" s="115" t="s">
        <v>157</v>
      </c>
      <c r="B1" s="115"/>
      <c r="C1" s="115"/>
      <c r="D1" s="115"/>
      <c r="E1" s="115"/>
      <c r="F1" s="115"/>
      <c r="G1" s="150" t="s">
        <v>154</v>
      </c>
      <c r="H1" s="150"/>
      <c r="I1" s="115" t="s">
        <v>160</v>
      </c>
      <c r="J1" s="115"/>
      <c r="K1" s="115"/>
      <c r="L1" s="115"/>
      <c r="M1" s="122" t="s">
        <v>96</v>
      </c>
      <c r="N1" s="122"/>
      <c r="O1" s="122"/>
      <c r="P1" s="122"/>
      <c r="Q1" s="122"/>
      <c r="R1" s="122"/>
      <c r="S1" s="122"/>
      <c r="T1" s="122"/>
      <c r="U1" s="122"/>
      <c r="V1" s="122"/>
      <c r="W1" s="122"/>
      <c r="X1" s="122"/>
      <c r="Y1" s="122"/>
      <c r="Z1" s="122"/>
    </row>
    <row r="2" spans="1:26" ht="21.75" customHeight="1" x14ac:dyDescent="0.2">
      <c r="A2" s="146" t="s">
        <v>45</v>
      </c>
      <c r="B2" s="146"/>
      <c r="C2" s="146"/>
      <c r="D2" s="146"/>
      <c r="E2" s="146"/>
      <c r="F2" s="146"/>
      <c r="G2" s="150"/>
      <c r="H2" s="150"/>
      <c r="I2" s="115"/>
      <c r="J2" s="115"/>
      <c r="K2" s="115"/>
      <c r="L2" s="115"/>
      <c r="M2" s="122" t="s">
        <v>78</v>
      </c>
      <c r="N2" s="122"/>
      <c r="O2" s="122"/>
      <c r="P2" s="122"/>
      <c r="Q2" s="122"/>
      <c r="R2" s="122"/>
      <c r="S2" s="122"/>
      <c r="T2" s="122"/>
      <c r="U2" s="122"/>
      <c r="V2" s="122"/>
      <c r="W2" s="122"/>
      <c r="X2" s="122"/>
      <c r="Y2" s="122"/>
      <c r="Z2" s="122"/>
    </row>
    <row r="3" spans="1:26" ht="21.75" customHeight="1" x14ac:dyDescent="0.2">
      <c r="A3" s="115" t="s">
        <v>158</v>
      </c>
      <c r="B3" s="147"/>
      <c r="C3" s="147"/>
      <c r="D3" s="147"/>
      <c r="E3" s="147"/>
      <c r="F3" s="147"/>
      <c r="G3" s="150" t="s">
        <v>155</v>
      </c>
      <c r="H3" s="150"/>
      <c r="I3" s="115" t="s">
        <v>197</v>
      </c>
      <c r="J3" s="115"/>
      <c r="K3" s="115"/>
      <c r="L3" s="115"/>
      <c r="M3" s="123" t="s">
        <v>79</v>
      </c>
      <c r="N3" s="124" t="s">
        <v>81</v>
      </c>
      <c r="O3" s="123"/>
      <c r="P3" s="124" t="s">
        <v>65</v>
      </c>
      <c r="Q3" s="123"/>
      <c r="R3" s="124" t="s">
        <v>82</v>
      </c>
      <c r="S3" s="123"/>
      <c r="T3" s="124" t="s">
        <v>85</v>
      </c>
      <c r="U3" s="123"/>
      <c r="V3" s="124" t="s">
        <v>87</v>
      </c>
      <c r="W3" s="123"/>
      <c r="X3" s="128" t="s">
        <v>91</v>
      </c>
      <c r="Y3" s="132"/>
      <c r="Z3" s="132"/>
    </row>
    <row r="4" spans="1:26" ht="30" customHeight="1" x14ac:dyDescent="0.2">
      <c r="A4" s="146" t="s">
        <v>46</v>
      </c>
      <c r="B4" s="146"/>
      <c r="C4" s="146"/>
      <c r="D4" s="146"/>
      <c r="E4" s="146"/>
      <c r="F4" s="146"/>
      <c r="G4" s="150"/>
      <c r="H4" s="150"/>
      <c r="I4" s="115"/>
      <c r="J4" s="115"/>
      <c r="K4" s="115"/>
      <c r="L4" s="115"/>
      <c r="M4" s="116"/>
      <c r="N4" s="125"/>
      <c r="O4" s="116"/>
      <c r="P4" s="125"/>
      <c r="Q4" s="116"/>
      <c r="R4" s="125" t="s">
        <v>83</v>
      </c>
      <c r="S4" s="116"/>
      <c r="T4" s="125" t="s">
        <v>86</v>
      </c>
      <c r="U4" s="116"/>
      <c r="V4" s="125" t="s">
        <v>88</v>
      </c>
      <c r="W4" s="116"/>
      <c r="X4" s="128"/>
      <c r="Y4" s="132"/>
      <c r="Z4" s="132"/>
    </row>
    <row r="5" spans="1:26" ht="21.75" customHeight="1" x14ac:dyDescent="0.2">
      <c r="A5" s="115" t="s">
        <v>177</v>
      </c>
      <c r="B5" s="147"/>
      <c r="C5" s="147"/>
      <c r="D5" s="147"/>
      <c r="E5" s="147"/>
      <c r="F5" s="147"/>
      <c r="G5" s="150" t="s">
        <v>156</v>
      </c>
      <c r="H5" s="150"/>
      <c r="I5" s="115" t="s">
        <v>198</v>
      </c>
      <c r="J5" s="115"/>
      <c r="K5" s="115"/>
      <c r="L5" s="115"/>
      <c r="M5" s="116" t="s">
        <v>80</v>
      </c>
      <c r="N5" s="125"/>
      <c r="O5" s="116"/>
      <c r="P5" s="125" t="s">
        <v>182</v>
      </c>
      <c r="Q5" s="116"/>
      <c r="R5" s="133" t="s">
        <v>84</v>
      </c>
      <c r="S5" s="134"/>
      <c r="T5" s="133" t="s">
        <v>84</v>
      </c>
      <c r="U5" s="134"/>
      <c r="V5" s="125" t="s">
        <v>89</v>
      </c>
      <c r="W5" s="116"/>
      <c r="X5" s="128"/>
      <c r="Y5" s="132"/>
      <c r="Z5" s="132"/>
    </row>
    <row r="6" spans="1:26" ht="21.75" customHeight="1" x14ac:dyDescent="0.2">
      <c r="A6" s="146" t="s">
        <v>47</v>
      </c>
      <c r="B6" s="146"/>
      <c r="C6" s="146"/>
      <c r="D6" s="146"/>
      <c r="E6" s="146"/>
      <c r="F6" s="146"/>
      <c r="G6" s="150"/>
      <c r="H6" s="150"/>
      <c r="I6" s="115"/>
      <c r="J6" s="115"/>
      <c r="K6" s="115"/>
      <c r="L6" s="115"/>
      <c r="M6" s="117"/>
      <c r="N6" s="127"/>
      <c r="O6" s="117"/>
      <c r="P6" s="127"/>
      <c r="Q6" s="117"/>
      <c r="R6" s="127"/>
      <c r="S6" s="117"/>
      <c r="T6" s="127"/>
      <c r="U6" s="117"/>
      <c r="V6" s="127" t="s">
        <v>90</v>
      </c>
      <c r="W6" s="117"/>
      <c r="X6" s="128"/>
      <c r="Y6" s="132"/>
      <c r="Z6" s="132"/>
    </row>
    <row r="7" spans="1:26" ht="21.75" customHeight="1" x14ac:dyDescent="0.2">
      <c r="A7" s="122"/>
      <c r="B7" s="122"/>
      <c r="C7" s="122"/>
      <c r="D7" s="122"/>
      <c r="E7" s="122"/>
      <c r="F7" s="122"/>
      <c r="G7" s="122"/>
      <c r="H7" s="122"/>
      <c r="I7" s="122"/>
      <c r="J7" s="122"/>
      <c r="K7" s="122"/>
      <c r="L7" s="122"/>
      <c r="M7" s="9"/>
      <c r="N7" s="111"/>
      <c r="O7" s="113"/>
      <c r="P7" s="111"/>
      <c r="Q7" s="113"/>
      <c r="R7" s="111"/>
      <c r="S7" s="113"/>
      <c r="T7" s="111"/>
      <c r="U7" s="113"/>
      <c r="V7" s="111"/>
      <c r="W7" s="113"/>
      <c r="X7" s="111"/>
      <c r="Y7" s="112"/>
      <c r="Z7" s="112"/>
    </row>
    <row r="8" spans="1:26" ht="22.5" customHeight="1" x14ac:dyDescent="0.2">
      <c r="A8" s="143" t="s">
        <v>48</v>
      </c>
      <c r="B8" s="143"/>
      <c r="C8" s="143"/>
      <c r="D8" s="143"/>
      <c r="E8" s="143"/>
      <c r="F8" s="143"/>
      <c r="G8" s="143"/>
      <c r="H8" s="143"/>
      <c r="I8" s="143"/>
      <c r="J8" s="143"/>
      <c r="K8" s="143"/>
      <c r="L8" s="143"/>
      <c r="M8" s="9"/>
      <c r="N8" s="111"/>
      <c r="O8" s="113"/>
      <c r="P8" s="111"/>
      <c r="Q8" s="113"/>
      <c r="R8" s="111"/>
      <c r="S8" s="113"/>
      <c r="T8" s="111"/>
      <c r="U8" s="113"/>
      <c r="V8" s="111"/>
      <c r="W8" s="113"/>
      <c r="X8" s="111"/>
      <c r="Y8" s="112"/>
      <c r="Z8" s="112"/>
    </row>
    <row r="9" spans="1:26" ht="22.5" customHeight="1" x14ac:dyDescent="0.2">
      <c r="A9" s="156" t="s">
        <v>49</v>
      </c>
      <c r="B9" s="156"/>
      <c r="C9" s="156"/>
      <c r="D9" s="156"/>
      <c r="E9" s="156"/>
      <c r="F9" s="156"/>
      <c r="G9" s="156"/>
      <c r="H9" s="156"/>
      <c r="I9" s="156"/>
      <c r="J9" s="156"/>
      <c r="K9" s="156"/>
      <c r="L9" s="156"/>
      <c r="M9" s="9"/>
      <c r="N9" s="111"/>
      <c r="O9" s="113"/>
      <c r="P9" s="111"/>
      <c r="Q9" s="113"/>
      <c r="R9" s="111"/>
      <c r="S9" s="113"/>
      <c r="T9" s="111"/>
      <c r="U9" s="113"/>
      <c r="V9" s="111"/>
      <c r="W9" s="113"/>
      <c r="X9" s="111"/>
      <c r="Y9" s="112"/>
      <c r="Z9" s="112"/>
    </row>
    <row r="10" spans="1:26" ht="22.5" customHeight="1" x14ac:dyDescent="0.2">
      <c r="A10" s="151" t="s">
        <v>112</v>
      </c>
      <c r="B10" s="151"/>
      <c r="C10" s="151"/>
      <c r="D10" s="151"/>
      <c r="E10" s="162" t="s">
        <v>407</v>
      </c>
      <c r="F10" s="163"/>
      <c r="G10" s="163"/>
      <c r="H10" s="138" t="s">
        <v>369</v>
      </c>
      <c r="I10" s="138"/>
      <c r="J10" s="138"/>
      <c r="K10" s="138"/>
      <c r="L10" s="138"/>
      <c r="M10" s="9"/>
      <c r="N10" s="111"/>
      <c r="O10" s="113"/>
      <c r="P10" s="111"/>
      <c r="Q10" s="113"/>
      <c r="R10" s="111"/>
      <c r="S10" s="113"/>
      <c r="T10" s="111"/>
      <c r="U10" s="113"/>
      <c r="V10" s="111"/>
      <c r="W10" s="113"/>
      <c r="X10" s="111"/>
      <c r="Y10" s="112"/>
      <c r="Z10" s="112"/>
    </row>
    <row r="11" spans="1:26" ht="22.5" customHeight="1" x14ac:dyDescent="0.2">
      <c r="A11" s="151" t="s">
        <v>113</v>
      </c>
      <c r="B11" s="151"/>
      <c r="C11" s="151"/>
      <c r="D11" s="151"/>
      <c r="E11" s="161" t="s">
        <v>228</v>
      </c>
      <c r="F11" s="161"/>
      <c r="G11" s="161"/>
      <c r="H11" s="161"/>
      <c r="I11" s="138" t="s">
        <v>114</v>
      </c>
      <c r="J11" s="138"/>
      <c r="K11" s="138"/>
      <c r="L11" s="138"/>
      <c r="M11" s="9"/>
      <c r="N11" s="111"/>
      <c r="O11" s="113"/>
      <c r="P11" s="111"/>
      <c r="Q11" s="113"/>
      <c r="R11" s="111"/>
      <c r="S11" s="113"/>
      <c r="T11" s="111"/>
      <c r="U11" s="113"/>
      <c r="V11" s="111"/>
      <c r="W11" s="113"/>
      <c r="X11" s="111"/>
      <c r="Y11" s="112"/>
      <c r="Z11" s="112"/>
    </row>
    <row r="12" spans="1:26" ht="21.75" customHeight="1" x14ac:dyDescent="0.2">
      <c r="A12" s="149"/>
      <c r="B12" s="149"/>
      <c r="C12" s="149"/>
      <c r="D12" s="149"/>
      <c r="E12" s="149"/>
      <c r="F12" s="149"/>
      <c r="G12" s="149"/>
      <c r="H12" s="149"/>
      <c r="I12" s="149"/>
      <c r="J12" s="149"/>
      <c r="K12" s="149"/>
      <c r="L12" s="149"/>
      <c r="M12" s="9"/>
      <c r="N12" s="111"/>
      <c r="O12" s="113"/>
      <c r="P12" s="111"/>
      <c r="Q12" s="113"/>
      <c r="R12" s="111"/>
      <c r="S12" s="113"/>
      <c r="T12" s="111"/>
      <c r="U12" s="113"/>
      <c r="V12" s="111"/>
      <c r="W12" s="113"/>
      <c r="X12" s="111"/>
      <c r="Y12" s="112"/>
      <c r="Z12" s="112"/>
    </row>
    <row r="13" spans="1:26" ht="21.75" customHeight="1" x14ac:dyDescent="0.2">
      <c r="A13" s="167" t="s">
        <v>50</v>
      </c>
      <c r="B13" s="136" t="s">
        <v>56</v>
      </c>
      <c r="C13" s="137"/>
      <c r="D13" s="171" t="s">
        <v>377</v>
      </c>
      <c r="E13" s="172"/>
      <c r="F13" s="136" t="s">
        <v>59</v>
      </c>
      <c r="G13" s="137"/>
      <c r="H13" s="14" t="s">
        <v>377</v>
      </c>
      <c r="I13" s="165" t="s">
        <v>5</v>
      </c>
      <c r="J13" s="136" t="s">
        <v>60</v>
      </c>
      <c r="K13" s="167"/>
      <c r="L13" s="13" t="s">
        <v>65</v>
      </c>
      <c r="M13" s="9"/>
      <c r="N13" s="111"/>
      <c r="O13" s="113"/>
      <c r="P13" s="111"/>
      <c r="Q13" s="113"/>
      <c r="R13" s="111"/>
      <c r="S13" s="113"/>
      <c r="T13" s="111"/>
      <c r="U13" s="113"/>
      <c r="V13" s="111"/>
      <c r="W13" s="113"/>
      <c r="X13" s="111"/>
      <c r="Y13" s="112"/>
      <c r="Z13" s="112"/>
    </row>
    <row r="14" spans="1:26" ht="21.75" customHeight="1" x14ac:dyDescent="0.2">
      <c r="A14" s="168"/>
      <c r="B14" s="139" t="s">
        <v>57</v>
      </c>
      <c r="C14" s="140"/>
      <c r="D14" s="141" t="s">
        <v>214</v>
      </c>
      <c r="E14" s="142"/>
      <c r="F14" s="139" t="s">
        <v>57</v>
      </c>
      <c r="G14" s="140"/>
      <c r="H14" s="15" t="s">
        <v>214</v>
      </c>
      <c r="I14" s="166"/>
      <c r="J14" s="139" t="s">
        <v>61</v>
      </c>
      <c r="K14" s="168"/>
      <c r="L14" s="13" t="s">
        <v>66</v>
      </c>
      <c r="M14" s="9"/>
      <c r="N14" s="111"/>
      <c r="O14" s="113"/>
      <c r="P14" s="111"/>
      <c r="Q14" s="113"/>
      <c r="R14" s="111"/>
      <c r="S14" s="113"/>
      <c r="T14" s="111"/>
      <c r="U14" s="113"/>
      <c r="V14" s="111"/>
      <c r="W14" s="113"/>
      <c r="X14" s="111"/>
      <c r="Y14" s="112"/>
      <c r="Z14" s="112"/>
    </row>
    <row r="15" spans="1:26" ht="18.75" customHeight="1" x14ac:dyDescent="0.2">
      <c r="A15" s="168"/>
      <c r="B15" s="159" t="s">
        <v>58</v>
      </c>
      <c r="C15" s="164"/>
      <c r="D15" s="169">
        <v>18000</v>
      </c>
      <c r="E15" s="170"/>
      <c r="F15" s="159" t="s">
        <v>58</v>
      </c>
      <c r="G15" s="164"/>
      <c r="H15" s="16">
        <v>18000</v>
      </c>
      <c r="I15" s="166"/>
      <c r="J15" s="159" t="s">
        <v>62</v>
      </c>
      <c r="K15" s="160"/>
      <c r="L15" s="13" t="s">
        <v>67</v>
      </c>
      <c r="M15" s="9"/>
      <c r="N15" s="111"/>
      <c r="O15" s="113"/>
      <c r="P15" s="111"/>
      <c r="Q15" s="113"/>
      <c r="R15" s="111"/>
      <c r="S15" s="113"/>
      <c r="T15" s="111"/>
      <c r="U15" s="113"/>
      <c r="V15" s="111"/>
      <c r="W15" s="113"/>
      <c r="X15" s="111"/>
      <c r="Y15" s="112"/>
      <c r="Z15" s="112"/>
    </row>
    <row r="16" spans="1:26" ht="30.75" customHeight="1" x14ac:dyDescent="0.2">
      <c r="A16" s="168"/>
      <c r="B16" s="12" t="s">
        <v>51</v>
      </c>
      <c r="C16" s="12" t="s">
        <v>53</v>
      </c>
      <c r="D16" s="12" t="s">
        <v>54</v>
      </c>
      <c r="E16" s="152"/>
      <c r="F16" s="12" t="s">
        <v>51</v>
      </c>
      <c r="G16" s="12" t="s">
        <v>53</v>
      </c>
      <c r="H16" s="10" t="s">
        <v>54</v>
      </c>
      <c r="I16" s="166"/>
      <c r="J16" s="152" t="s">
        <v>63</v>
      </c>
      <c r="K16" s="154" t="s">
        <v>64</v>
      </c>
      <c r="L16" s="13" t="s">
        <v>68</v>
      </c>
      <c r="M16" s="9"/>
      <c r="N16" s="111"/>
      <c r="O16" s="113"/>
      <c r="P16" s="111"/>
      <c r="Q16" s="113"/>
      <c r="R16" s="111"/>
      <c r="S16" s="113"/>
      <c r="T16" s="111"/>
      <c r="U16" s="113"/>
      <c r="V16" s="111"/>
      <c r="W16" s="113"/>
      <c r="X16" s="111"/>
      <c r="Y16" s="112"/>
      <c r="Z16" s="112"/>
    </row>
    <row r="17" spans="1:26" ht="21.75" customHeight="1" x14ac:dyDescent="0.2">
      <c r="A17" s="168"/>
      <c r="B17" s="12" t="s">
        <v>52</v>
      </c>
      <c r="C17" s="20" t="s">
        <v>51</v>
      </c>
      <c r="D17" s="20" t="s">
        <v>55</v>
      </c>
      <c r="E17" s="153"/>
      <c r="F17" s="20" t="s">
        <v>52</v>
      </c>
      <c r="G17" s="76" t="s">
        <v>51</v>
      </c>
      <c r="H17" s="11" t="s">
        <v>55</v>
      </c>
      <c r="I17" s="181"/>
      <c r="J17" s="180"/>
      <c r="K17" s="155"/>
      <c r="L17" s="13" t="s">
        <v>69</v>
      </c>
      <c r="M17" s="130" t="s">
        <v>92</v>
      </c>
      <c r="N17" s="130"/>
      <c r="O17" s="130"/>
      <c r="P17" s="130"/>
      <c r="Q17" s="130"/>
      <c r="R17" s="130"/>
      <c r="S17" s="130"/>
      <c r="T17" s="130"/>
      <c r="U17" s="130"/>
      <c r="V17" s="130"/>
      <c r="W17" s="130"/>
      <c r="X17" s="130"/>
      <c r="Y17" s="130"/>
      <c r="Z17" s="130"/>
    </row>
    <row r="18" spans="1:26" ht="23.25" customHeight="1" x14ac:dyDescent="0.2">
      <c r="A18" s="23" t="s">
        <v>7</v>
      </c>
      <c r="B18" s="82">
        <v>14969.4102</v>
      </c>
      <c r="C18" s="25"/>
      <c r="D18" s="24"/>
      <c r="E18" s="81"/>
      <c r="F18" s="82">
        <v>7520.7947999999997</v>
      </c>
      <c r="G18" s="22"/>
      <c r="H18" s="24"/>
      <c r="I18" s="26"/>
      <c r="J18" s="23"/>
      <c r="K18" s="79"/>
      <c r="L18" s="28"/>
      <c r="M18" s="123" t="s">
        <v>79</v>
      </c>
      <c r="N18" s="121" t="s">
        <v>98</v>
      </c>
      <c r="O18" s="121"/>
      <c r="P18" s="121"/>
      <c r="Q18" s="121" t="s">
        <v>107</v>
      </c>
      <c r="R18" s="121"/>
      <c r="S18" s="121"/>
      <c r="T18" s="121" t="s">
        <v>93</v>
      </c>
      <c r="U18" s="121"/>
      <c r="V18" s="121"/>
      <c r="W18" s="124" t="s">
        <v>91</v>
      </c>
      <c r="X18" s="131"/>
      <c r="Y18" s="131"/>
      <c r="Z18" s="131"/>
    </row>
    <row r="19" spans="1:26" ht="23.25" customHeight="1" x14ac:dyDescent="0.2">
      <c r="A19" s="23" t="s">
        <v>8</v>
      </c>
      <c r="B19" s="82">
        <v>14969.568799999999</v>
      </c>
      <c r="C19" s="25">
        <f t="shared" ref="C19:C42" si="0">IF(B19="","",IF(LEN(TRUNC(B18,0))-LEN(TRUNC(B19,0))=0,B19-B18,IF(LEN(TRUNC(B18,0))-LEN(TRUNC(B19,0))&gt;0,VALUE(LEFT(B18,LEN(TRUNC(B18,0))-LEN(TRUNC(B19,0))))*POWER(10,LEN(TRUNC(B19,0)))+B19-B18,B19-B18-VALUE(LEFT(B19,LEN(TRUNC(B19,0))-LEN(TRUNC(B18,0))))*POWER(10,LEN(TRUNC(B18,0))))))</f>
        <v>0.15859999999884167</v>
      </c>
      <c r="D19" s="24">
        <f t="shared" ref="D19:D42" si="1">IF(C19="","",C19*$D$15)</f>
        <v>2854.79999997915</v>
      </c>
      <c r="E19" s="81"/>
      <c r="F19" s="82">
        <v>7520.8657999999996</v>
      </c>
      <c r="G19" s="22">
        <f t="shared" ref="G19:G42" si="2">IF(F19="","",IF(LEN(TRUNC(F18,0))-LEN(TRUNC(F19,0))=0,F19-F18,IF(LEN(TRUNC(F18,0))-LEN(TRUNC(F19,0))&gt;0,VALUE(LEFT(F18,LEN(TRUNC(F18,0))-LEN(TRUNC(F19,0))))*POWER(10,LEN(TRUNC(F19,0)))+F19-F18,F19-F18-VALUE(LEFT(F19,LEN(TRUNC(F19,0))-LEN(TRUNC(F18,0))))*POWER(10,LEN(TRUNC(F18,0))))))</f>
        <v>7.0999999999912689E-2</v>
      </c>
      <c r="H19" s="24">
        <f t="shared" ref="H19:H42" si="3">IF(G19="","",G19*$H$15)</f>
        <v>1277.9999999984284</v>
      </c>
      <c r="I19" s="26">
        <f t="shared" ref="I19:I42" si="4">IF(H19="","",IF(D19="","",IF(AND(H19=0,D19=0),0,H19/D19)))</f>
        <v>0.44766708701406832</v>
      </c>
      <c r="J19" s="23"/>
      <c r="K19" s="26">
        <v>6.4027560000000001</v>
      </c>
      <c r="L19" s="28"/>
      <c r="M19" s="116"/>
      <c r="N19" s="118"/>
      <c r="O19" s="118"/>
      <c r="P19" s="118"/>
      <c r="Q19" s="118" t="s">
        <v>108</v>
      </c>
      <c r="R19" s="118"/>
      <c r="S19" s="118"/>
      <c r="T19" s="118"/>
      <c r="U19" s="118"/>
      <c r="V19" s="118"/>
      <c r="W19" s="125"/>
      <c r="X19" s="122"/>
      <c r="Y19" s="122"/>
      <c r="Z19" s="122"/>
    </row>
    <row r="20" spans="1:26" ht="23.25" customHeight="1" x14ac:dyDescent="0.2">
      <c r="A20" s="23" t="s">
        <v>9</v>
      </c>
      <c r="B20" s="82">
        <v>14969.718999999999</v>
      </c>
      <c r="C20" s="25">
        <f t="shared" si="0"/>
        <v>0.15020000000004075</v>
      </c>
      <c r="D20" s="24">
        <f t="shared" si="1"/>
        <v>2703.6000000007334</v>
      </c>
      <c r="E20" s="81"/>
      <c r="F20" s="82">
        <v>7520.9345000000003</v>
      </c>
      <c r="G20" s="22">
        <f t="shared" si="2"/>
        <v>6.8700000000717409E-2</v>
      </c>
      <c r="H20" s="24">
        <f t="shared" si="3"/>
        <v>1236.6000000129134</v>
      </c>
      <c r="I20" s="26">
        <f t="shared" si="4"/>
        <v>0.45739014647602377</v>
      </c>
      <c r="J20" s="23"/>
      <c r="K20" s="26">
        <v>6.4015010000000006</v>
      </c>
      <c r="L20" s="28"/>
      <c r="M20" s="116" t="s">
        <v>80</v>
      </c>
      <c r="N20" s="118" t="s">
        <v>99</v>
      </c>
      <c r="O20" s="118"/>
      <c r="P20" s="118"/>
      <c r="Q20" s="118" t="s">
        <v>181</v>
      </c>
      <c r="R20" s="118"/>
      <c r="S20" s="118"/>
      <c r="T20" s="118" t="s">
        <v>94</v>
      </c>
      <c r="U20" s="118"/>
      <c r="V20" s="118"/>
      <c r="W20" s="125"/>
      <c r="X20" s="122"/>
      <c r="Y20" s="122"/>
      <c r="Z20" s="122"/>
    </row>
    <row r="21" spans="1:26" ht="23.25" customHeight="1" x14ac:dyDescent="0.2">
      <c r="A21" s="23" t="s">
        <v>10</v>
      </c>
      <c r="B21" s="82">
        <v>14969.867</v>
      </c>
      <c r="C21" s="25">
        <f t="shared" si="0"/>
        <v>0.14800000000104774</v>
      </c>
      <c r="D21" s="24">
        <f t="shared" si="1"/>
        <v>2664.0000000188593</v>
      </c>
      <c r="E21" s="81"/>
      <c r="F21" s="82">
        <v>7521.0027</v>
      </c>
      <c r="G21" s="22">
        <f t="shared" si="2"/>
        <v>6.8199999999706051E-2</v>
      </c>
      <c r="H21" s="24">
        <f t="shared" si="3"/>
        <v>1227.5999999947089</v>
      </c>
      <c r="I21" s="26">
        <f t="shared" si="4"/>
        <v>0.46081081080556247</v>
      </c>
      <c r="J21" s="23"/>
      <c r="K21" s="26">
        <v>6.4059049999999997</v>
      </c>
      <c r="L21" s="28"/>
      <c r="M21" s="117"/>
      <c r="N21" s="119"/>
      <c r="O21" s="119"/>
      <c r="P21" s="119"/>
      <c r="Q21" s="119"/>
      <c r="R21" s="119"/>
      <c r="S21" s="119"/>
      <c r="T21" s="119"/>
      <c r="U21" s="119"/>
      <c r="V21" s="119"/>
      <c r="W21" s="127"/>
      <c r="X21" s="130"/>
      <c r="Y21" s="130"/>
      <c r="Z21" s="130"/>
    </row>
    <row r="22" spans="1:26" ht="23.25" customHeight="1" x14ac:dyDescent="0.2">
      <c r="A22" s="23" t="s">
        <v>11</v>
      </c>
      <c r="B22" s="82">
        <v>14970.021699999999</v>
      </c>
      <c r="C22" s="25">
        <f t="shared" si="0"/>
        <v>0.15469999999913853</v>
      </c>
      <c r="D22" s="24">
        <f t="shared" si="1"/>
        <v>2784.5999999844935</v>
      </c>
      <c r="E22" s="81"/>
      <c r="F22" s="82">
        <v>7521.0753999999997</v>
      </c>
      <c r="G22" s="22">
        <f t="shared" si="2"/>
        <v>7.2699999999713327E-2</v>
      </c>
      <c r="H22" s="24">
        <f t="shared" si="3"/>
        <v>1308.5999999948399</v>
      </c>
      <c r="I22" s="26">
        <f t="shared" si="4"/>
        <v>0.46994182288376324</v>
      </c>
      <c r="J22" s="23"/>
      <c r="K22" s="26">
        <v>6.4174610000000003</v>
      </c>
      <c r="L22" s="28"/>
      <c r="M22" s="9"/>
      <c r="N22" s="120"/>
      <c r="O22" s="120"/>
      <c r="P22" s="120"/>
      <c r="Q22" s="120"/>
      <c r="R22" s="120"/>
      <c r="S22" s="120"/>
      <c r="T22" s="120"/>
      <c r="U22" s="120"/>
      <c r="V22" s="120"/>
      <c r="W22" s="111"/>
      <c r="X22" s="112"/>
      <c r="Y22" s="112"/>
      <c r="Z22" s="112"/>
    </row>
    <row r="23" spans="1:26" ht="23.25" customHeight="1" x14ac:dyDescent="0.2">
      <c r="A23" s="23" t="s">
        <v>12</v>
      </c>
      <c r="B23" s="82">
        <v>14970.1772</v>
      </c>
      <c r="C23" s="25">
        <f t="shared" si="0"/>
        <v>0.1555000000007567</v>
      </c>
      <c r="D23" s="24">
        <f t="shared" si="1"/>
        <v>2799.0000000136206</v>
      </c>
      <c r="E23" s="81"/>
      <c r="F23" s="82">
        <v>7521.1504000000004</v>
      </c>
      <c r="G23" s="22">
        <f t="shared" si="2"/>
        <v>7.5000000000727596E-2</v>
      </c>
      <c r="H23" s="24">
        <f t="shared" si="3"/>
        <v>1350.0000000130967</v>
      </c>
      <c r="I23" s="26">
        <f t="shared" si="4"/>
        <v>0.48231511254252496</v>
      </c>
      <c r="J23" s="23"/>
      <c r="K23" s="26">
        <v>6.4230850000000004</v>
      </c>
      <c r="L23" s="28"/>
      <c r="M23" s="9"/>
      <c r="N23" s="120"/>
      <c r="O23" s="120"/>
      <c r="P23" s="120"/>
      <c r="Q23" s="120"/>
      <c r="R23" s="120"/>
      <c r="S23" s="120"/>
      <c r="T23" s="120"/>
      <c r="U23" s="120"/>
      <c r="V23" s="120"/>
      <c r="W23" s="111"/>
      <c r="X23" s="112"/>
      <c r="Y23" s="112"/>
      <c r="Z23" s="112"/>
    </row>
    <row r="24" spans="1:26" ht="23.25" customHeight="1" x14ac:dyDescent="0.2">
      <c r="A24" s="23" t="s">
        <v>13</v>
      </c>
      <c r="B24" s="82">
        <v>14970.3341</v>
      </c>
      <c r="C24" s="25">
        <f t="shared" si="0"/>
        <v>0.15689999999995052</v>
      </c>
      <c r="D24" s="24">
        <f t="shared" si="1"/>
        <v>2824.1999999991094</v>
      </c>
      <c r="E24" s="81"/>
      <c r="F24" s="82">
        <v>7521.2236000000003</v>
      </c>
      <c r="G24" s="22">
        <f t="shared" si="2"/>
        <v>7.3199999999815191E-2</v>
      </c>
      <c r="H24" s="24">
        <f t="shared" si="3"/>
        <v>1317.5999999966734</v>
      </c>
      <c r="I24" s="26">
        <f t="shared" si="4"/>
        <v>0.46653919693969581</v>
      </c>
      <c r="J24" s="23"/>
      <c r="K24" s="26">
        <v>6.4165290000000006</v>
      </c>
      <c r="L24" s="28"/>
      <c r="M24" s="9"/>
      <c r="N24" s="120"/>
      <c r="O24" s="120"/>
      <c r="P24" s="120"/>
      <c r="Q24" s="120"/>
      <c r="R24" s="120"/>
      <c r="S24" s="120"/>
      <c r="T24" s="120"/>
      <c r="U24" s="120"/>
      <c r="V24" s="120"/>
      <c r="W24" s="111"/>
      <c r="X24" s="112"/>
      <c r="Y24" s="112"/>
      <c r="Z24" s="112"/>
    </row>
    <row r="25" spans="1:26" ht="23.25" customHeight="1" x14ac:dyDescent="0.2">
      <c r="A25" s="23" t="s">
        <v>14</v>
      </c>
      <c r="B25" s="82">
        <v>14970.496300000001</v>
      </c>
      <c r="C25" s="25">
        <f t="shared" si="0"/>
        <v>0.16220000000066648</v>
      </c>
      <c r="D25" s="24">
        <f t="shared" si="1"/>
        <v>2919.6000000119966</v>
      </c>
      <c r="E25" s="81"/>
      <c r="F25" s="82">
        <v>7521.2955000000002</v>
      </c>
      <c r="G25" s="22">
        <f t="shared" si="2"/>
        <v>7.1899999999914144E-2</v>
      </c>
      <c r="H25" s="24">
        <f t="shared" si="3"/>
        <v>1294.1999999984546</v>
      </c>
      <c r="I25" s="26">
        <f t="shared" si="4"/>
        <v>0.44327990135399942</v>
      </c>
      <c r="J25" s="23"/>
      <c r="K25" s="26">
        <v>6.3840529999999998</v>
      </c>
      <c r="L25" s="28"/>
      <c r="M25" s="9"/>
      <c r="N25" s="120"/>
      <c r="O25" s="120"/>
      <c r="P25" s="120"/>
      <c r="Q25" s="120"/>
      <c r="R25" s="120"/>
      <c r="S25" s="120"/>
      <c r="T25" s="120"/>
      <c r="U25" s="120"/>
      <c r="V25" s="120"/>
      <c r="W25" s="111"/>
      <c r="X25" s="112"/>
      <c r="Y25" s="112"/>
      <c r="Z25" s="112"/>
    </row>
    <row r="26" spans="1:26" ht="23.25" customHeight="1" x14ac:dyDescent="0.2">
      <c r="A26" s="23" t="s">
        <v>15</v>
      </c>
      <c r="B26" s="82">
        <v>14970.6692</v>
      </c>
      <c r="C26" s="25">
        <f t="shared" si="0"/>
        <v>0.17289999999957217</v>
      </c>
      <c r="D26" s="24">
        <f t="shared" si="1"/>
        <v>3112.1999999922991</v>
      </c>
      <c r="E26" s="81"/>
      <c r="F26" s="82">
        <v>7521.3676999999998</v>
      </c>
      <c r="G26" s="22">
        <f t="shared" si="2"/>
        <v>7.2199999999611464E-2</v>
      </c>
      <c r="H26" s="24">
        <f t="shared" si="3"/>
        <v>1299.5999999930063</v>
      </c>
      <c r="I26" s="26">
        <f t="shared" si="4"/>
        <v>0.41758241758120368</v>
      </c>
      <c r="J26" s="23"/>
      <c r="K26" s="26">
        <v>6.2170870000000003</v>
      </c>
      <c r="L26" s="28"/>
      <c r="M26" s="9"/>
      <c r="N26" s="120"/>
      <c r="O26" s="120"/>
      <c r="P26" s="120"/>
      <c r="Q26" s="120"/>
      <c r="R26" s="120"/>
      <c r="S26" s="120"/>
      <c r="T26" s="120"/>
      <c r="U26" s="120"/>
      <c r="V26" s="120"/>
      <c r="W26" s="111"/>
      <c r="X26" s="112"/>
      <c r="Y26" s="112"/>
      <c r="Z26" s="112"/>
    </row>
    <row r="27" spans="1:26" ht="23.25" customHeight="1" x14ac:dyDescent="0.2">
      <c r="A27" s="23" t="s">
        <v>16</v>
      </c>
      <c r="B27" s="82">
        <v>14970.8503</v>
      </c>
      <c r="C27" s="25">
        <f t="shared" si="0"/>
        <v>0.18109999999978754</v>
      </c>
      <c r="D27" s="24">
        <f t="shared" si="1"/>
        <v>3259.7999999961758</v>
      </c>
      <c r="E27" s="81"/>
      <c r="F27" s="82">
        <v>7521.4408999999996</v>
      </c>
      <c r="G27" s="22">
        <f t="shared" si="2"/>
        <v>7.3199999999815191E-2</v>
      </c>
      <c r="H27" s="24">
        <f t="shared" si="3"/>
        <v>1317.5999999966734</v>
      </c>
      <c r="I27" s="26">
        <f t="shared" si="4"/>
        <v>0.40419657647653817</v>
      </c>
      <c r="J27" s="23"/>
      <c r="K27" s="26">
        <v>6.0935459999999999</v>
      </c>
      <c r="L27" s="28"/>
      <c r="M27" s="9"/>
      <c r="N27" s="120"/>
      <c r="O27" s="120"/>
      <c r="P27" s="120"/>
      <c r="Q27" s="120"/>
      <c r="R27" s="120"/>
      <c r="S27" s="120"/>
      <c r="T27" s="120"/>
      <c r="U27" s="120"/>
      <c r="V27" s="120"/>
      <c r="W27" s="111"/>
      <c r="X27" s="112"/>
      <c r="Y27" s="112"/>
      <c r="Z27" s="112"/>
    </row>
    <row r="28" spans="1:26" ht="23.25" customHeight="1" x14ac:dyDescent="0.2">
      <c r="A28" s="23" t="s">
        <v>17</v>
      </c>
      <c r="B28" s="82">
        <v>14971.043</v>
      </c>
      <c r="C28" s="25">
        <f t="shared" si="0"/>
        <v>0.19269999999960419</v>
      </c>
      <c r="D28" s="24">
        <f t="shared" si="1"/>
        <v>3468.5999999928754</v>
      </c>
      <c r="E28" s="81"/>
      <c r="F28" s="82">
        <v>7521.5195000000003</v>
      </c>
      <c r="G28" s="22">
        <f t="shared" si="2"/>
        <v>7.8600000000733417E-2</v>
      </c>
      <c r="H28" s="24">
        <f t="shared" si="3"/>
        <v>1414.8000000132015</v>
      </c>
      <c r="I28" s="26">
        <f t="shared" si="4"/>
        <v>0.40788790867096453</v>
      </c>
      <c r="J28" s="23"/>
      <c r="K28" s="26">
        <v>6.1457850000000001</v>
      </c>
      <c r="L28" s="28"/>
      <c r="M28" s="9"/>
      <c r="N28" s="120"/>
      <c r="O28" s="120"/>
      <c r="P28" s="120"/>
      <c r="Q28" s="120"/>
      <c r="R28" s="120"/>
      <c r="S28" s="120"/>
      <c r="T28" s="120"/>
      <c r="U28" s="120"/>
      <c r="V28" s="120"/>
      <c r="W28" s="111"/>
      <c r="X28" s="112"/>
      <c r="Y28" s="112"/>
      <c r="Z28" s="112"/>
    </row>
    <row r="29" spans="1:26" ht="23.25" customHeight="1" x14ac:dyDescent="0.2">
      <c r="A29" s="23" t="s">
        <v>18</v>
      </c>
      <c r="B29" s="82">
        <v>14971.2287</v>
      </c>
      <c r="C29" s="25">
        <f t="shared" si="0"/>
        <v>0.18569999999999709</v>
      </c>
      <c r="D29" s="24">
        <f t="shared" si="1"/>
        <v>3342.5999999999476</v>
      </c>
      <c r="E29" s="81"/>
      <c r="F29" s="82">
        <v>7521.5959999999995</v>
      </c>
      <c r="G29" s="22">
        <f t="shared" si="2"/>
        <v>7.6499999999214197E-2</v>
      </c>
      <c r="H29" s="24">
        <f t="shared" si="3"/>
        <v>1376.9999999858555</v>
      </c>
      <c r="I29" s="26">
        <f t="shared" si="4"/>
        <v>0.41195476574698653</v>
      </c>
      <c r="J29" s="23"/>
      <c r="K29" s="26">
        <v>6.1034700000000006</v>
      </c>
      <c r="L29" s="28"/>
      <c r="M29" s="145" t="s">
        <v>95</v>
      </c>
      <c r="N29" s="145"/>
      <c r="O29" s="145"/>
      <c r="P29" s="145"/>
      <c r="Q29" s="145"/>
      <c r="R29" s="145"/>
      <c r="S29" s="145"/>
      <c r="T29" s="145"/>
      <c r="U29" s="145"/>
      <c r="V29" s="145"/>
      <c r="W29" s="145"/>
      <c r="X29" s="145"/>
      <c r="Y29" s="145"/>
      <c r="Z29" s="145"/>
    </row>
    <row r="30" spans="1:26" ht="23.25" customHeight="1" x14ac:dyDescent="0.2">
      <c r="A30" s="23" t="s">
        <v>19</v>
      </c>
      <c r="B30" s="82">
        <v>14971.4126</v>
      </c>
      <c r="C30" s="25">
        <f t="shared" si="0"/>
        <v>0.18389999999999418</v>
      </c>
      <c r="D30" s="24">
        <f t="shared" si="1"/>
        <v>3310.1999999998952</v>
      </c>
      <c r="E30" s="81"/>
      <c r="F30" s="82">
        <v>7521.6727000000001</v>
      </c>
      <c r="G30" s="22">
        <f t="shared" si="2"/>
        <v>7.6700000000528235E-2</v>
      </c>
      <c r="H30" s="24">
        <f t="shared" si="3"/>
        <v>1380.6000000095082</v>
      </c>
      <c r="I30" s="26">
        <f t="shared" si="4"/>
        <v>0.41707449701212973</v>
      </c>
      <c r="J30" s="23"/>
      <c r="K30" s="26">
        <v>6.3353900000000003</v>
      </c>
      <c r="L30" s="28"/>
      <c r="M30" s="122" t="s">
        <v>97</v>
      </c>
      <c r="N30" s="122"/>
      <c r="O30" s="122"/>
      <c r="P30" s="122"/>
      <c r="Q30" s="122"/>
      <c r="R30" s="122"/>
      <c r="S30" s="122"/>
      <c r="T30" s="122"/>
      <c r="U30" s="122"/>
      <c r="V30" s="122"/>
      <c r="W30" s="122"/>
      <c r="X30" s="122"/>
      <c r="Y30" s="122"/>
      <c r="Z30" s="122"/>
    </row>
    <row r="31" spans="1:26" ht="23.25" customHeight="1" x14ac:dyDescent="0.2">
      <c r="A31" s="23" t="s">
        <v>20</v>
      </c>
      <c r="B31" s="82">
        <v>14971.591899999999</v>
      </c>
      <c r="C31" s="25">
        <f t="shared" si="0"/>
        <v>0.17929999999978463</v>
      </c>
      <c r="D31" s="24">
        <f t="shared" si="1"/>
        <v>3227.3999999961234</v>
      </c>
      <c r="E31" s="81"/>
      <c r="F31" s="82">
        <v>7521.7470999999996</v>
      </c>
      <c r="G31" s="22">
        <f t="shared" si="2"/>
        <v>7.4399999999513966E-2</v>
      </c>
      <c r="H31" s="24">
        <f t="shared" si="3"/>
        <v>1339.1999999912514</v>
      </c>
      <c r="I31" s="26">
        <f t="shared" si="4"/>
        <v>0.41494701617179774</v>
      </c>
      <c r="J31" s="23"/>
      <c r="K31" s="26">
        <v>6.3639320000000001</v>
      </c>
      <c r="L31" s="28"/>
      <c r="M31" s="123" t="s">
        <v>79</v>
      </c>
      <c r="N31" s="121" t="s">
        <v>98</v>
      </c>
      <c r="O31" s="121"/>
      <c r="P31" s="121" t="s">
        <v>100</v>
      </c>
      <c r="Q31" s="121"/>
      <c r="R31" s="121" t="s">
        <v>93</v>
      </c>
      <c r="S31" s="121"/>
      <c r="T31" s="121" t="s">
        <v>103</v>
      </c>
      <c r="U31" s="121"/>
      <c r="V31" s="121" t="s">
        <v>179</v>
      </c>
      <c r="W31" s="121"/>
      <c r="X31" s="121"/>
      <c r="Y31" s="121" t="s">
        <v>91</v>
      </c>
      <c r="Z31" s="124"/>
    </row>
    <row r="32" spans="1:26" ht="23.25" customHeight="1" x14ac:dyDescent="0.2">
      <c r="A32" s="23" t="s">
        <v>21</v>
      </c>
      <c r="B32" s="82">
        <v>14971.776599999999</v>
      </c>
      <c r="C32" s="25">
        <f t="shared" si="0"/>
        <v>0.18469999999979336</v>
      </c>
      <c r="D32" s="24">
        <f t="shared" si="1"/>
        <v>3324.5999999962805</v>
      </c>
      <c r="E32" s="81"/>
      <c r="F32" s="82">
        <v>7521.8285999999998</v>
      </c>
      <c r="G32" s="22">
        <f t="shared" si="2"/>
        <v>8.1500000000232831E-2</v>
      </c>
      <c r="H32" s="24">
        <f t="shared" si="3"/>
        <v>1467.000000004191</v>
      </c>
      <c r="I32" s="26">
        <f t="shared" si="4"/>
        <v>0.44125609096006502</v>
      </c>
      <c r="J32" s="23"/>
      <c r="K32" s="26">
        <v>6.3328509999999998</v>
      </c>
      <c r="L32" s="28"/>
      <c r="M32" s="116"/>
      <c r="N32" s="118"/>
      <c r="O32" s="118"/>
      <c r="P32" s="118" t="s">
        <v>83</v>
      </c>
      <c r="Q32" s="118"/>
      <c r="R32" s="118" t="s">
        <v>102</v>
      </c>
      <c r="S32" s="118"/>
      <c r="T32" s="118" t="s">
        <v>104</v>
      </c>
      <c r="U32" s="118"/>
      <c r="V32" s="118" t="s">
        <v>105</v>
      </c>
      <c r="W32" s="118"/>
      <c r="X32" s="118"/>
      <c r="Y32" s="118"/>
      <c r="Z32" s="125"/>
    </row>
    <row r="33" spans="1:26" ht="23.25" customHeight="1" x14ac:dyDescent="0.2">
      <c r="A33" s="23" t="s">
        <v>22</v>
      </c>
      <c r="B33" s="82">
        <v>14971.9581</v>
      </c>
      <c r="C33" s="25">
        <f t="shared" si="0"/>
        <v>0.18150000000059663</v>
      </c>
      <c r="D33" s="24">
        <f t="shared" si="1"/>
        <v>3267.0000000107393</v>
      </c>
      <c r="E33" s="81"/>
      <c r="F33" s="82">
        <v>7521.9093000000003</v>
      </c>
      <c r="G33" s="22">
        <f t="shared" si="2"/>
        <v>8.0700000000433647E-2</v>
      </c>
      <c r="H33" s="24">
        <f t="shared" si="3"/>
        <v>1452.6000000078056</v>
      </c>
      <c r="I33" s="26">
        <f t="shared" si="4"/>
        <v>0.44462809917448137</v>
      </c>
      <c r="J33" s="23"/>
      <c r="K33" s="26">
        <v>6.327693</v>
      </c>
      <c r="L33" s="28"/>
      <c r="M33" s="116" t="s">
        <v>80</v>
      </c>
      <c r="N33" s="118" t="s">
        <v>99</v>
      </c>
      <c r="O33" s="118"/>
      <c r="P33" s="118" t="s">
        <v>101</v>
      </c>
      <c r="Q33" s="118"/>
      <c r="R33" s="118" t="s">
        <v>69</v>
      </c>
      <c r="S33" s="118"/>
      <c r="T33" s="118" t="s">
        <v>69</v>
      </c>
      <c r="U33" s="118"/>
      <c r="V33" s="118" t="s">
        <v>106</v>
      </c>
      <c r="W33" s="118"/>
      <c r="X33" s="118"/>
      <c r="Y33" s="118"/>
      <c r="Z33" s="125"/>
    </row>
    <row r="34" spans="1:26" ht="23.25" customHeight="1" x14ac:dyDescent="0.2">
      <c r="A34" s="23" t="s">
        <v>23</v>
      </c>
      <c r="B34" s="82">
        <v>14972.1404</v>
      </c>
      <c r="C34" s="25">
        <f t="shared" si="0"/>
        <v>0.18230000000039581</v>
      </c>
      <c r="D34" s="24">
        <f t="shared" si="1"/>
        <v>3281.4000000071246</v>
      </c>
      <c r="E34" s="81"/>
      <c r="F34" s="82">
        <v>7521.9911000000002</v>
      </c>
      <c r="G34" s="22">
        <f t="shared" si="2"/>
        <v>8.1799999999930151E-2</v>
      </c>
      <c r="H34" s="24">
        <f t="shared" si="3"/>
        <v>1472.3999999987427</v>
      </c>
      <c r="I34" s="26">
        <f t="shared" si="4"/>
        <v>0.44871091607105074</v>
      </c>
      <c r="J34" s="23"/>
      <c r="K34" s="26">
        <v>6.3415850000000002</v>
      </c>
      <c r="L34" s="28"/>
      <c r="M34" s="117"/>
      <c r="N34" s="119"/>
      <c r="O34" s="119"/>
      <c r="P34" s="119"/>
      <c r="Q34" s="119"/>
      <c r="R34" s="127"/>
      <c r="S34" s="117"/>
      <c r="T34" s="127"/>
      <c r="U34" s="117"/>
      <c r="V34" s="127"/>
      <c r="W34" s="130"/>
      <c r="X34" s="117"/>
      <c r="Y34" s="119"/>
      <c r="Z34" s="127"/>
    </row>
    <row r="35" spans="1:26" ht="23.25" customHeight="1" x14ac:dyDescent="0.2">
      <c r="A35" s="23" t="s">
        <v>24</v>
      </c>
      <c r="B35" s="82">
        <v>14972.3208</v>
      </c>
      <c r="C35" s="25">
        <f t="shared" si="0"/>
        <v>0.18039999999928114</v>
      </c>
      <c r="D35" s="24">
        <f t="shared" si="1"/>
        <v>3247.1999999870604</v>
      </c>
      <c r="E35" s="81"/>
      <c r="F35" s="82">
        <v>7522.0691999999999</v>
      </c>
      <c r="G35" s="22">
        <f t="shared" si="2"/>
        <v>7.8099999999722058E-2</v>
      </c>
      <c r="H35" s="24">
        <f t="shared" si="3"/>
        <v>1405.7999999949971</v>
      </c>
      <c r="I35" s="26">
        <f t="shared" si="4"/>
        <v>0.43292682926847714</v>
      </c>
      <c r="J35" s="23"/>
      <c r="K35" s="26">
        <v>6.3318639999999995</v>
      </c>
      <c r="L35" s="28"/>
      <c r="M35" s="9"/>
      <c r="N35" s="120" t="s">
        <v>165</v>
      </c>
      <c r="O35" s="120"/>
      <c r="P35" s="120">
        <v>0.4</v>
      </c>
      <c r="Q35" s="120"/>
      <c r="R35" s="120">
        <v>696</v>
      </c>
      <c r="S35" s="120"/>
      <c r="T35" s="120"/>
      <c r="U35" s="120"/>
      <c r="V35" s="120"/>
      <c r="W35" s="120"/>
      <c r="X35" s="120"/>
      <c r="Y35" s="120"/>
      <c r="Z35" s="111"/>
    </row>
    <row r="36" spans="1:26" ht="23.25" customHeight="1" x14ac:dyDescent="0.2">
      <c r="A36" s="23" t="s">
        <v>25</v>
      </c>
      <c r="B36" s="82">
        <v>14972.501099999999</v>
      </c>
      <c r="C36" s="25">
        <f t="shared" si="0"/>
        <v>0.18029999999998836</v>
      </c>
      <c r="D36" s="24">
        <f t="shared" si="1"/>
        <v>3245.3999999997905</v>
      </c>
      <c r="E36" s="81"/>
      <c r="F36" s="82">
        <v>7522.1455999999998</v>
      </c>
      <c r="G36" s="22">
        <f t="shared" si="2"/>
        <v>7.639999999992142E-2</v>
      </c>
      <c r="H36" s="24">
        <f t="shared" si="3"/>
        <v>1375.1999999985856</v>
      </c>
      <c r="I36" s="26">
        <f t="shared" si="4"/>
        <v>0.42373821408722323</v>
      </c>
      <c r="J36" s="23"/>
      <c r="K36" s="26">
        <v>6.240767</v>
      </c>
      <c r="L36" s="28"/>
      <c r="M36" s="9"/>
      <c r="N36" s="120" t="s">
        <v>166</v>
      </c>
      <c r="O36" s="120"/>
      <c r="P36" s="126">
        <v>6</v>
      </c>
      <c r="Q36" s="126"/>
      <c r="R36" s="120">
        <v>870</v>
      </c>
      <c r="S36" s="120"/>
      <c r="T36" s="120"/>
      <c r="U36" s="120"/>
      <c r="V36" s="120"/>
      <c r="W36" s="120"/>
      <c r="X36" s="120"/>
      <c r="Y36" s="120"/>
      <c r="Z36" s="111"/>
    </row>
    <row r="37" spans="1:26" ht="23.25" customHeight="1" x14ac:dyDescent="0.2">
      <c r="A37" s="23" t="s">
        <v>26</v>
      </c>
      <c r="B37" s="82">
        <v>14972.6783</v>
      </c>
      <c r="C37" s="25">
        <f t="shared" si="0"/>
        <v>0.1772000000000844</v>
      </c>
      <c r="D37" s="24">
        <f t="shared" si="1"/>
        <v>3189.6000000015192</v>
      </c>
      <c r="E37" s="81"/>
      <c r="F37" s="82">
        <v>7522.2172</v>
      </c>
      <c r="G37" s="22">
        <f t="shared" si="2"/>
        <v>7.1600000000216824E-2</v>
      </c>
      <c r="H37" s="24">
        <f t="shared" si="3"/>
        <v>1288.8000000039028</v>
      </c>
      <c r="I37" s="26">
        <f t="shared" si="4"/>
        <v>0.40406320541863838</v>
      </c>
      <c r="J37" s="23"/>
      <c r="K37" s="26">
        <v>6.2652259999999993</v>
      </c>
      <c r="L37" s="28"/>
      <c r="M37" s="9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11"/>
    </row>
    <row r="38" spans="1:26" ht="23.25" customHeight="1" x14ac:dyDescent="0.2">
      <c r="A38" s="23" t="s">
        <v>27</v>
      </c>
      <c r="B38" s="82">
        <v>14972.8645</v>
      </c>
      <c r="C38" s="25">
        <f t="shared" si="0"/>
        <v>0.18620000000009895</v>
      </c>
      <c r="D38" s="24">
        <f t="shared" si="1"/>
        <v>3351.6000000017812</v>
      </c>
      <c r="E38" s="81"/>
      <c r="F38" s="82">
        <v>7522.2893999999997</v>
      </c>
      <c r="G38" s="22">
        <f t="shared" si="2"/>
        <v>7.2199999999611464E-2</v>
      </c>
      <c r="H38" s="24">
        <f t="shared" si="3"/>
        <v>1299.5999999930063</v>
      </c>
      <c r="I38" s="26">
        <f t="shared" si="4"/>
        <v>0.38775510203852359</v>
      </c>
      <c r="J38" s="23"/>
      <c r="K38" s="26">
        <v>6.1822330000000001</v>
      </c>
      <c r="L38" s="28"/>
      <c r="M38" s="9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11"/>
    </row>
    <row r="39" spans="1:26" ht="23.25" customHeight="1" x14ac:dyDescent="0.2">
      <c r="A39" s="23" t="s">
        <v>28</v>
      </c>
      <c r="B39" s="82">
        <v>14973.045400000001</v>
      </c>
      <c r="C39" s="25">
        <f t="shared" si="0"/>
        <v>0.18090000000120199</v>
      </c>
      <c r="D39" s="24">
        <f t="shared" si="1"/>
        <v>3256.2000000216358</v>
      </c>
      <c r="E39" s="81"/>
      <c r="F39" s="82">
        <v>7522.3624</v>
      </c>
      <c r="G39" s="22">
        <f t="shared" si="2"/>
        <v>7.3000000000320142E-2</v>
      </c>
      <c r="H39" s="24">
        <f t="shared" si="3"/>
        <v>1314.0000000057626</v>
      </c>
      <c r="I39" s="26">
        <f t="shared" si="4"/>
        <v>0.40353786622352178</v>
      </c>
      <c r="J39" s="23"/>
      <c r="K39" s="26">
        <v>6.2344140000000001</v>
      </c>
      <c r="L39" s="28"/>
      <c r="M39" s="9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11"/>
    </row>
    <row r="40" spans="1:26" ht="23.25" customHeight="1" x14ac:dyDescent="0.2">
      <c r="A40" s="23" t="s">
        <v>29</v>
      </c>
      <c r="B40" s="82">
        <v>14973.2253</v>
      </c>
      <c r="C40" s="25">
        <f t="shared" si="0"/>
        <v>0.17989999999917927</v>
      </c>
      <c r="D40" s="24">
        <f t="shared" si="1"/>
        <v>3238.1999999852269</v>
      </c>
      <c r="E40" s="81"/>
      <c r="F40" s="82">
        <v>7522.4368000000004</v>
      </c>
      <c r="G40" s="22">
        <f t="shared" si="2"/>
        <v>7.4400000000423461E-2</v>
      </c>
      <c r="H40" s="24">
        <f t="shared" si="3"/>
        <v>1339.2000000076223</v>
      </c>
      <c r="I40" s="26">
        <f t="shared" si="4"/>
        <v>0.41356309061013274</v>
      </c>
      <c r="J40" s="23"/>
      <c r="K40" s="26">
        <v>6.1531940000000001</v>
      </c>
      <c r="L40" s="28"/>
      <c r="M40" s="122" t="s">
        <v>109</v>
      </c>
      <c r="N40" s="122"/>
      <c r="O40" s="122"/>
      <c r="P40" s="122"/>
      <c r="Q40" s="122"/>
      <c r="R40" s="122"/>
      <c r="S40" s="122"/>
      <c r="T40" s="122"/>
      <c r="U40" s="122"/>
      <c r="V40" s="122"/>
      <c r="W40" s="122"/>
      <c r="X40" s="122"/>
      <c r="Y40" s="122"/>
      <c r="Z40" s="122"/>
    </row>
    <row r="41" spans="1:26" ht="23.25" customHeight="1" x14ac:dyDescent="0.2">
      <c r="A41" s="23" t="s">
        <v>30</v>
      </c>
      <c r="B41" s="82">
        <v>14973.399600000001</v>
      </c>
      <c r="C41" s="25">
        <f t="shared" si="0"/>
        <v>0.17430000000058499</v>
      </c>
      <c r="D41" s="24">
        <f t="shared" si="1"/>
        <v>3137.4000000105298</v>
      </c>
      <c r="E41" s="81"/>
      <c r="F41" s="82">
        <v>7522.5128999999997</v>
      </c>
      <c r="G41" s="22">
        <f t="shared" si="2"/>
        <v>7.6099999999314605E-2</v>
      </c>
      <c r="H41" s="24">
        <f t="shared" si="3"/>
        <v>1369.7999999876629</v>
      </c>
      <c r="I41" s="26">
        <f t="shared" si="4"/>
        <v>0.43660355708008719</v>
      </c>
      <c r="J41" s="23"/>
      <c r="K41" s="26">
        <v>6.3729949999999995</v>
      </c>
      <c r="L41" s="28"/>
      <c r="M41" s="123" t="s">
        <v>79</v>
      </c>
      <c r="N41" s="121" t="s">
        <v>98</v>
      </c>
      <c r="O41" s="121"/>
      <c r="P41" s="121" t="s">
        <v>93</v>
      </c>
      <c r="Q41" s="121"/>
      <c r="R41" s="121"/>
      <c r="S41" s="121" t="s">
        <v>111</v>
      </c>
      <c r="T41" s="121" t="s">
        <v>81</v>
      </c>
      <c r="U41" s="121"/>
      <c r="V41" s="121"/>
      <c r="W41" s="121"/>
      <c r="X41" s="121" t="s">
        <v>93</v>
      </c>
      <c r="Y41" s="121"/>
      <c r="Z41" s="124"/>
    </row>
    <row r="42" spans="1:26" ht="23.25" customHeight="1" x14ac:dyDescent="0.2">
      <c r="A42" s="23" t="s">
        <v>31</v>
      </c>
      <c r="B42" s="82">
        <v>14973.564899999999</v>
      </c>
      <c r="C42" s="25">
        <f t="shared" si="0"/>
        <v>0.16529999999875145</v>
      </c>
      <c r="D42" s="24">
        <f t="shared" si="1"/>
        <v>2975.399999977526</v>
      </c>
      <c r="E42" s="81"/>
      <c r="F42" s="82">
        <v>7522.5873000000001</v>
      </c>
      <c r="G42" s="22">
        <f t="shared" si="2"/>
        <v>7.4400000000423461E-2</v>
      </c>
      <c r="H42" s="24">
        <f t="shared" si="3"/>
        <v>1339.2000000076223</v>
      </c>
      <c r="I42" s="26">
        <f t="shared" si="4"/>
        <v>0.45009074410759481</v>
      </c>
      <c r="J42" s="23"/>
      <c r="K42" s="26">
        <v>6.3865259999999999</v>
      </c>
      <c r="L42" s="28"/>
      <c r="M42" s="116"/>
      <c r="N42" s="118"/>
      <c r="O42" s="118"/>
      <c r="P42" s="118"/>
      <c r="Q42" s="118"/>
      <c r="R42" s="118"/>
      <c r="S42" s="118"/>
      <c r="T42" s="118"/>
      <c r="U42" s="118"/>
      <c r="V42" s="118"/>
      <c r="W42" s="118"/>
      <c r="X42" s="118"/>
      <c r="Y42" s="118"/>
      <c r="Z42" s="125"/>
    </row>
    <row r="43" spans="1:26" ht="31.5" customHeight="1" x14ac:dyDescent="0.2">
      <c r="A43" s="148" t="s">
        <v>70</v>
      </c>
      <c r="B43" s="148"/>
      <c r="C43" s="148"/>
      <c r="D43" s="24">
        <f>SUM(D18:D42)</f>
        <v>74784.599999984493</v>
      </c>
      <c r="E43" s="23"/>
      <c r="F43" s="29"/>
      <c r="G43" s="36"/>
      <c r="H43" s="24">
        <f>SUM(H18:H42)</f>
        <v>32265.000000008513</v>
      </c>
      <c r="I43" s="26">
        <f>IF(AND(H43=0,D43=0),0,H43/D43)</f>
        <v>0.43143909307551559</v>
      </c>
      <c r="J43" s="23"/>
      <c r="K43" s="23"/>
      <c r="L43" s="28"/>
      <c r="M43" s="116" t="s">
        <v>80</v>
      </c>
      <c r="N43" s="118" t="s">
        <v>99</v>
      </c>
      <c r="O43" s="118"/>
      <c r="P43" s="118" t="s">
        <v>110</v>
      </c>
      <c r="Q43" s="118"/>
      <c r="R43" s="118"/>
      <c r="S43" s="118"/>
      <c r="T43" s="118"/>
      <c r="U43" s="118"/>
      <c r="V43" s="118"/>
      <c r="W43" s="118"/>
      <c r="X43" s="118" t="s">
        <v>110</v>
      </c>
      <c r="Y43" s="118"/>
      <c r="Z43" s="125"/>
    </row>
    <row r="44" spans="1:26" ht="22.5" customHeight="1" x14ac:dyDescent="0.2">
      <c r="A44" s="157" t="s">
        <v>71</v>
      </c>
      <c r="B44" s="157"/>
      <c r="C44" s="157"/>
      <c r="D44" s="30"/>
      <c r="E44" s="30"/>
      <c r="F44" s="31"/>
      <c r="G44" s="23"/>
      <c r="H44" s="23"/>
      <c r="I44" s="23"/>
      <c r="J44" s="23"/>
      <c r="K44" s="23"/>
      <c r="L44" s="28"/>
      <c r="M44" s="117"/>
      <c r="N44" s="119"/>
      <c r="O44" s="119"/>
      <c r="P44" s="119"/>
      <c r="Q44" s="119"/>
      <c r="R44" s="119"/>
      <c r="S44" s="119"/>
      <c r="T44" s="119"/>
      <c r="U44" s="119"/>
      <c r="V44" s="119"/>
      <c r="W44" s="119"/>
      <c r="X44" s="119"/>
      <c r="Y44" s="119"/>
      <c r="Z44" s="127"/>
    </row>
    <row r="45" spans="1:26" ht="22.5" customHeight="1" x14ac:dyDescent="0.2">
      <c r="A45" s="32"/>
      <c r="B45" s="33"/>
      <c r="C45" s="33"/>
      <c r="D45" s="33"/>
      <c r="E45" s="33"/>
      <c r="F45" s="33"/>
      <c r="G45" s="33"/>
      <c r="H45" s="33"/>
      <c r="I45" s="33"/>
      <c r="J45" s="34"/>
      <c r="K45" s="34"/>
      <c r="L45" s="34"/>
      <c r="M45" s="9"/>
      <c r="N45" s="111"/>
      <c r="O45" s="113"/>
      <c r="P45" s="111"/>
      <c r="Q45" s="112"/>
      <c r="R45" s="113"/>
      <c r="S45" s="7"/>
      <c r="T45" s="111"/>
      <c r="U45" s="112"/>
      <c r="V45" s="112"/>
      <c r="W45" s="113"/>
      <c r="X45" s="111"/>
      <c r="Y45" s="112"/>
      <c r="Z45" s="112"/>
    </row>
    <row r="46" spans="1:26" ht="22.5" customHeight="1" x14ac:dyDescent="0.2">
      <c r="A46" s="135" t="s">
        <v>72</v>
      </c>
      <c r="B46" s="135"/>
      <c r="C46" s="135"/>
      <c r="D46" s="135"/>
      <c r="E46" s="135"/>
      <c r="F46" s="135"/>
      <c r="G46" s="158" t="s">
        <v>73</v>
      </c>
      <c r="H46" s="158"/>
      <c r="I46" s="158"/>
      <c r="J46" s="158"/>
      <c r="K46" s="158"/>
      <c r="L46" s="158"/>
      <c r="M46" s="9"/>
      <c r="N46" s="111"/>
      <c r="O46" s="113"/>
      <c r="P46" s="111"/>
      <c r="Q46" s="112"/>
      <c r="R46" s="113"/>
      <c r="S46" s="7"/>
      <c r="T46" s="111"/>
      <c r="U46" s="112"/>
      <c r="V46" s="112"/>
      <c r="W46" s="113"/>
      <c r="X46" s="111"/>
      <c r="Y46" s="112"/>
      <c r="Z46" s="112"/>
    </row>
    <row r="47" spans="1:26" ht="22.5" customHeight="1" x14ac:dyDescent="0.2">
      <c r="A47" s="144" t="s">
        <v>365</v>
      </c>
      <c r="B47" s="144"/>
      <c r="C47" s="144"/>
      <c r="D47" s="135" t="s">
        <v>74</v>
      </c>
      <c r="E47" s="135"/>
      <c r="F47" s="135"/>
      <c r="G47" s="33"/>
      <c r="H47" s="33"/>
      <c r="I47" s="33"/>
      <c r="J47" s="33"/>
      <c r="K47" s="33"/>
      <c r="L47" s="33"/>
      <c r="M47" s="9"/>
      <c r="N47" s="111"/>
      <c r="O47" s="113"/>
      <c r="P47" s="111"/>
      <c r="Q47" s="112"/>
      <c r="R47" s="113"/>
      <c r="S47" s="7"/>
      <c r="T47" s="111"/>
      <c r="U47" s="112"/>
      <c r="V47" s="112"/>
      <c r="W47" s="113"/>
      <c r="X47" s="111"/>
      <c r="Y47" s="112"/>
      <c r="Z47" s="112"/>
    </row>
    <row r="48" spans="1:26" ht="22.5" customHeight="1" x14ac:dyDescent="0.2">
      <c r="A48" s="175" t="s">
        <v>75</v>
      </c>
      <c r="B48" s="175"/>
      <c r="C48" s="175"/>
      <c r="D48" s="174" t="s">
        <v>76</v>
      </c>
      <c r="E48" s="174"/>
      <c r="F48" s="174"/>
      <c r="G48" s="32"/>
      <c r="H48" s="32"/>
      <c r="I48" s="32"/>
      <c r="J48" s="32"/>
      <c r="K48" s="32"/>
      <c r="L48" s="32"/>
    </row>
    <row r="49" spans="1:23" ht="22.5" customHeight="1" x14ac:dyDescent="0.2">
      <c r="A49" s="144" t="s">
        <v>366</v>
      </c>
      <c r="B49" s="144"/>
      <c r="C49" s="144"/>
      <c r="D49" s="135" t="s">
        <v>74</v>
      </c>
      <c r="E49" s="135"/>
      <c r="F49" s="135"/>
      <c r="G49" s="32"/>
      <c r="H49" s="135" t="s">
        <v>183</v>
      </c>
      <c r="I49" s="135"/>
      <c r="J49" s="135"/>
      <c r="K49" s="135" t="s">
        <v>77</v>
      </c>
      <c r="L49" s="135"/>
      <c r="N49" s="177" t="s">
        <v>150</v>
      </c>
      <c r="O49" s="177"/>
      <c r="P49" s="177"/>
      <c r="Q49" s="176" t="s">
        <v>364</v>
      </c>
      <c r="R49" s="176"/>
      <c r="S49" s="176"/>
      <c r="T49" s="176"/>
      <c r="U49" s="176"/>
      <c r="V49" s="176"/>
      <c r="W49" s="1"/>
    </row>
    <row r="50" spans="1:23" ht="22.5" customHeight="1" x14ac:dyDescent="0.2">
      <c r="A50" s="175" t="s">
        <v>75</v>
      </c>
      <c r="B50" s="175"/>
      <c r="C50" s="175"/>
      <c r="D50" s="174" t="s">
        <v>76</v>
      </c>
      <c r="E50" s="174"/>
      <c r="F50" s="174"/>
      <c r="G50" s="37"/>
      <c r="H50" s="174" t="s">
        <v>75</v>
      </c>
      <c r="I50" s="174"/>
      <c r="J50" s="174"/>
      <c r="K50" s="174" t="s">
        <v>76</v>
      </c>
      <c r="L50" s="174"/>
      <c r="S50" s="173" t="s">
        <v>76</v>
      </c>
      <c r="T50" s="173"/>
    </row>
    <row r="51" spans="1:23" ht="20.100000000000001" customHeight="1" x14ac:dyDescent="0.2">
      <c r="A51" s="144" t="s">
        <v>367</v>
      </c>
      <c r="B51" s="144"/>
      <c r="C51" s="144"/>
      <c r="D51" s="135" t="s">
        <v>74</v>
      </c>
      <c r="E51" s="135"/>
      <c r="F51" s="135"/>
      <c r="G51" s="32"/>
      <c r="H51" s="32"/>
      <c r="I51" s="32"/>
      <c r="J51" s="32"/>
      <c r="K51" s="32"/>
      <c r="L51" s="32"/>
    </row>
    <row r="52" spans="1:23" ht="20.100000000000001" customHeight="1" x14ac:dyDescent="0.2">
      <c r="A52" s="174" t="s">
        <v>75</v>
      </c>
      <c r="B52" s="174"/>
      <c r="C52" s="174"/>
      <c r="D52" s="173" t="s">
        <v>76</v>
      </c>
      <c r="E52" s="173"/>
      <c r="F52" s="173"/>
      <c r="G52" s="35"/>
      <c r="H52" s="35"/>
      <c r="I52" s="32"/>
      <c r="J52" s="32"/>
      <c r="K52" s="32"/>
      <c r="L52" s="32"/>
    </row>
  </sheetData>
  <sheetProtection sheet="1" objects="1" scenarios="1"/>
  <mergeCells count="258">
    <mergeCell ref="A52:C52"/>
    <mergeCell ref="D52:F52"/>
    <mergeCell ref="I1:L2"/>
    <mergeCell ref="G5:H6"/>
    <mergeCell ref="I5:L6"/>
    <mergeCell ref="H10:L10"/>
    <mergeCell ref="F15:G15"/>
    <mergeCell ref="H50:J50"/>
    <mergeCell ref="K50:L50"/>
    <mergeCell ref="D49:F49"/>
    <mergeCell ref="A7:L7"/>
    <mergeCell ref="I11:L11"/>
    <mergeCell ref="A8:L8"/>
    <mergeCell ref="A1:F1"/>
    <mergeCell ref="A2:F2"/>
    <mergeCell ref="A3:F3"/>
    <mergeCell ref="A4:F4"/>
    <mergeCell ref="A5:F5"/>
    <mergeCell ref="A6:F6"/>
    <mergeCell ref="A9:L9"/>
    <mergeCell ref="G3:H4"/>
    <mergeCell ref="I3:L4"/>
    <mergeCell ref="A11:D11"/>
    <mergeCell ref="E11:H11"/>
    <mergeCell ref="N49:P49"/>
    <mergeCell ref="P45:R45"/>
    <mergeCell ref="A51:C51"/>
    <mergeCell ref="D51:F51"/>
    <mergeCell ref="N46:O46"/>
    <mergeCell ref="N47:O47"/>
    <mergeCell ref="T45:W45"/>
    <mergeCell ref="T46:W46"/>
    <mergeCell ref="H49:J49"/>
    <mergeCell ref="K49:L49"/>
    <mergeCell ref="A48:C48"/>
    <mergeCell ref="A49:C49"/>
    <mergeCell ref="A50:C50"/>
    <mergeCell ref="D50:F50"/>
    <mergeCell ref="D48:F48"/>
    <mergeCell ref="A47:C47"/>
    <mergeCell ref="D47:F47"/>
    <mergeCell ref="G46:L46"/>
    <mergeCell ref="X45:Z45"/>
    <mergeCell ref="X46:Z46"/>
    <mergeCell ref="X47:Z47"/>
    <mergeCell ref="S50:T50"/>
    <mergeCell ref="N39:O39"/>
    <mergeCell ref="P39:Q39"/>
    <mergeCell ref="N41:O42"/>
    <mergeCell ref="P41:R42"/>
    <mergeCell ref="M40:Z40"/>
    <mergeCell ref="M43:M44"/>
    <mergeCell ref="T47:W47"/>
    <mergeCell ref="N43:O44"/>
    <mergeCell ref="P43:R44"/>
    <mergeCell ref="P46:R46"/>
    <mergeCell ref="P47:R47"/>
    <mergeCell ref="N45:O45"/>
    <mergeCell ref="R39:S39"/>
    <mergeCell ref="T39:U39"/>
    <mergeCell ref="V39:X39"/>
    <mergeCell ref="Y39:Z39"/>
    <mergeCell ref="S41:S44"/>
    <mergeCell ref="T41:W44"/>
    <mergeCell ref="M41:M42"/>
    <mergeCell ref="Q49:V49"/>
    <mergeCell ref="V37:X37"/>
    <mergeCell ref="Y37:Z37"/>
    <mergeCell ref="V38:X38"/>
    <mergeCell ref="Y38:Z38"/>
    <mergeCell ref="X41:Z42"/>
    <mergeCell ref="X43:Z44"/>
    <mergeCell ref="N37:O37"/>
    <mergeCell ref="P37:Q37"/>
    <mergeCell ref="R37:S37"/>
    <mergeCell ref="T37:U37"/>
    <mergeCell ref="N38:O38"/>
    <mergeCell ref="P38:Q38"/>
    <mergeCell ref="R38:S38"/>
    <mergeCell ref="T38:U38"/>
    <mergeCell ref="V13:W13"/>
    <mergeCell ref="T11:U11"/>
    <mergeCell ref="T12:U12"/>
    <mergeCell ref="T13:U13"/>
    <mergeCell ref="T27:V27"/>
    <mergeCell ref="W27:Z27"/>
    <mergeCell ref="T25:V25"/>
    <mergeCell ref="Y35:Z35"/>
    <mergeCell ref="N36:O36"/>
    <mergeCell ref="P36:Q36"/>
    <mergeCell ref="R36:S36"/>
    <mergeCell ref="T36:U36"/>
    <mergeCell ref="V36:X36"/>
    <mergeCell ref="Y36:Z36"/>
    <mergeCell ref="R34:S34"/>
    <mergeCell ref="T34:U34"/>
    <mergeCell ref="V34:X34"/>
    <mergeCell ref="N35:O35"/>
    <mergeCell ref="P35:Q35"/>
    <mergeCell ref="R35:S35"/>
    <mergeCell ref="T35:U35"/>
    <mergeCell ref="V35:X35"/>
    <mergeCell ref="T23:V23"/>
    <mergeCell ref="Q26:S26"/>
    <mergeCell ref="T26:V26"/>
    <mergeCell ref="N24:P24"/>
    <mergeCell ref="Q24:S24"/>
    <mergeCell ref="T28:V28"/>
    <mergeCell ref="W28:Z28"/>
    <mergeCell ref="T24:V24"/>
    <mergeCell ref="X9:Z9"/>
    <mergeCell ref="X10:Z10"/>
    <mergeCell ref="X11:Z11"/>
    <mergeCell ref="X12:Z12"/>
    <mergeCell ref="X13:Z13"/>
    <mergeCell ref="X14:Z14"/>
    <mergeCell ref="X15:Z15"/>
    <mergeCell ref="X16:Z16"/>
    <mergeCell ref="W26:Z26"/>
    <mergeCell ref="W23:Z23"/>
    <mergeCell ref="W24:Z24"/>
    <mergeCell ref="W25:Z25"/>
    <mergeCell ref="T18:V19"/>
    <mergeCell ref="V14:W14"/>
    <mergeCell ref="V11:W11"/>
    <mergeCell ref="V12:W12"/>
    <mergeCell ref="N14:O14"/>
    <mergeCell ref="N15:O15"/>
    <mergeCell ref="N31:O32"/>
    <mergeCell ref="N33:O34"/>
    <mergeCell ref="P31:Q31"/>
    <mergeCell ref="P32:Q32"/>
    <mergeCell ref="P33:Q33"/>
    <mergeCell ref="P34:Q34"/>
    <mergeCell ref="N28:P28"/>
    <mergeCell ref="Q28:S28"/>
    <mergeCell ref="N23:P23"/>
    <mergeCell ref="N27:P27"/>
    <mergeCell ref="Q27:S27"/>
    <mergeCell ref="N26:P26"/>
    <mergeCell ref="N25:P25"/>
    <mergeCell ref="Q25:S25"/>
    <mergeCell ref="Q23:S23"/>
    <mergeCell ref="M31:M32"/>
    <mergeCell ref="T33:U33"/>
    <mergeCell ref="R31:S31"/>
    <mergeCell ref="R32:S32"/>
    <mergeCell ref="Q19:S19"/>
    <mergeCell ref="Q20:S20"/>
    <mergeCell ref="R16:S16"/>
    <mergeCell ref="V15:W15"/>
    <mergeCell ref="V16:W16"/>
    <mergeCell ref="T16:U16"/>
    <mergeCell ref="P16:Q16"/>
    <mergeCell ref="M17:Z17"/>
    <mergeCell ref="W18:Z21"/>
    <mergeCell ref="N18:P19"/>
    <mergeCell ref="W22:Z22"/>
    <mergeCell ref="T20:V21"/>
    <mergeCell ref="Q21:S21"/>
    <mergeCell ref="N22:P22"/>
    <mergeCell ref="M18:M19"/>
    <mergeCell ref="M20:M21"/>
    <mergeCell ref="Q22:S22"/>
    <mergeCell ref="T22:V22"/>
    <mergeCell ref="Q18:S18"/>
    <mergeCell ref="N20:P21"/>
    <mergeCell ref="V8:W8"/>
    <mergeCell ref="V9:W9"/>
    <mergeCell ref="V10:W10"/>
    <mergeCell ref="R7:S7"/>
    <mergeCell ref="R8:S8"/>
    <mergeCell ref="R9:S9"/>
    <mergeCell ref="R10:S10"/>
    <mergeCell ref="T8:U8"/>
    <mergeCell ref="T9:U9"/>
    <mergeCell ref="T10:U10"/>
    <mergeCell ref="N16:O16"/>
    <mergeCell ref="N12:O12"/>
    <mergeCell ref="N13:O13"/>
    <mergeCell ref="I13:I17"/>
    <mergeCell ref="J13:K13"/>
    <mergeCell ref="J14:K14"/>
    <mergeCell ref="J15:K15"/>
    <mergeCell ref="A12:L12"/>
    <mergeCell ref="F13:G13"/>
    <mergeCell ref="B14:C14"/>
    <mergeCell ref="D14:E14"/>
    <mergeCell ref="B13:C13"/>
    <mergeCell ref="F14:G14"/>
    <mergeCell ref="P12:Q12"/>
    <mergeCell ref="T14:U14"/>
    <mergeCell ref="T15:U15"/>
    <mergeCell ref="P13:Q13"/>
    <mergeCell ref="P14:Q14"/>
    <mergeCell ref="P15:Q15"/>
    <mergeCell ref="R11:S11"/>
    <mergeCell ref="R12:S12"/>
    <mergeCell ref="R13:S13"/>
    <mergeCell ref="R14:S14"/>
    <mergeCell ref="R15:S15"/>
    <mergeCell ref="M1:Z1"/>
    <mergeCell ref="M2:Z2"/>
    <mergeCell ref="X3:Z6"/>
    <mergeCell ref="M5:M6"/>
    <mergeCell ref="M3:M4"/>
    <mergeCell ref="P3:Q4"/>
    <mergeCell ref="R3:S3"/>
    <mergeCell ref="R4:S4"/>
    <mergeCell ref="R5:S5"/>
    <mergeCell ref="R6:S6"/>
    <mergeCell ref="P5:Q6"/>
    <mergeCell ref="N3:O6"/>
    <mergeCell ref="T3:U3"/>
    <mergeCell ref="T4:U4"/>
    <mergeCell ref="T5:U5"/>
    <mergeCell ref="V3:W3"/>
    <mergeCell ref="V4:W4"/>
    <mergeCell ref="V5:W5"/>
    <mergeCell ref="V6:W6"/>
    <mergeCell ref="T6:U6"/>
    <mergeCell ref="N10:O10"/>
    <mergeCell ref="N11:O11"/>
    <mergeCell ref="P7:Q7"/>
    <mergeCell ref="P8:Q8"/>
    <mergeCell ref="P9:Q9"/>
    <mergeCell ref="P10:Q10"/>
    <mergeCell ref="N8:O8"/>
    <mergeCell ref="M33:M34"/>
    <mergeCell ref="M29:Z29"/>
    <mergeCell ref="M30:Z30"/>
    <mergeCell ref="V31:X31"/>
    <mergeCell ref="V32:X32"/>
    <mergeCell ref="Y31:Z34"/>
    <mergeCell ref="V33:X33"/>
    <mergeCell ref="R33:S33"/>
    <mergeCell ref="T31:U31"/>
    <mergeCell ref="T32:U32"/>
    <mergeCell ref="X7:Z7"/>
    <mergeCell ref="X8:Z8"/>
    <mergeCell ref="N9:O9"/>
    <mergeCell ref="T7:U7"/>
    <mergeCell ref="N7:O7"/>
    <mergeCell ref="V7:W7"/>
    <mergeCell ref="P11:Q11"/>
    <mergeCell ref="A10:D10"/>
    <mergeCell ref="E10:G10"/>
    <mergeCell ref="D13:E13"/>
    <mergeCell ref="A46:F46"/>
    <mergeCell ref="A44:C44"/>
    <mergeCell ref="G1:H2"/>
    <mergeCell ref="J16:J17"/>
    <mergeCell ref="K16:K17"/>
    <mergeCell ref="A13:A17"/>
    <mergeCell ref="E16:E17"/>
    <mergeCell ref="B15:C15"/>
    <mergeCell ref="D15:E15"/>
    <mergeCell ref="A43:C43"/>
  </mergeCells>
  <phoneticPr fontId="0" type="noConversion"/>
  <printOptions horizontalCentered="1"/>
  <pageMargins left="0.39370078740157483" right="0.39370078740157483" top="0.19685039370078741" bottom="0.19685039370078741" header="0" footer="0"/>
  <pageSetup paperSize="9" scale="64" orientation="portrait" horizontalDpi="180" verticalDpi="180" r:id="rId1"/>
  <headerFooter alignWithMargins="0"/>
  <colBreaks count="1" manualBreakCount="1">
    <brk id="12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9"/>
  <dimension ref="A1:Z52"/>
  <sheetViews>
    <sheetView view="pageBreakPreview" topLeftCell="A13" zoomScale="75" zoomScaleNormal="100" zoomScaleSheetLayoutView="75" workbookViewId="0">
      <selection activeCell="G46" sqref="G46:L46"/>
    </sheetView>
  </sheetViews>
  <sheetFormatPr defaultRowHeight="18.75" x14ac:dyDescent="0.2"/>
  <cols>
    <col min="1" max="1" width="11.140625" style="2" customWidth="1"/>
    <col min="2" max="2" width="14.140625" style="2" customWidth="1"/>
    <col min="3" max="3" width="12.140625" style="2" customWidth="1"/>
    <col min="4" max="4" width="13.42578125" style="2" customWidth="1"/>
    <col min="5" max="5" width="5.42578125" style="2" customWidth="1"/>
    <col min="6" max="6" width="13.7109375" style="2" customWidth="1"/>
    <col min="7" max="7" width="13.42578125" style="2" customWidth="1"/>
    <col min="8" max="8" width="16.28515625" style="2" customWidth="1"/>
    <col min="9" max="9" width="8.28515625" style="2" customWidth="1"/>
    <col min="10" max="11" width="8.85546875" style="2" customWidth="1"/>
    <col min="12" max="12" width="17.85546875" style="2" customWidth="1"/>
    <col min="13" max="26" width="10.28515625" style="2" customWidth="1"/>
    <col min="27" max="16384" width="9.140625" style="2"/>
  </cols>
  <sheetData>
    <row r="1" spans="1:26" ht="21.75" customHeight="1" x14ac:dyDescent="0.2">
      <c r="A1" s="115" t="s">
        <v>157</v>
      </c>
      <c r="B1" s="115"/>
      <c r="C1" s="115"/>
      <c r="D1" s="115"/>
      <c r="E1" s="115"/>
      <c r="F1" s="115"/>
      <c r="G1" s="150" t="s">
        <v>154</v>
      </c>
      <c r="H1" s="150"/>
      <c r="I1" s="115" t="s">
        <v>160</v>
      </c>
      <c r="J1" s="115"/>
      <c r="K1" s="115"/>
      <c r="L1" s="115"/>
      <c r="M1" s="122" t="s">
        <v>96</v>
      </c>
      <c r="N1" s="122"/>
      <c r="O1" s="122"/>
      <c r="P1" s="122"/>
      <c r="Q1" s="122"/>
      <c r="R1" s="122"/>
      <c r="S1" s="122"/>
      <c r="T1" s="122"/>
      <c r="U1" s="122"/>
      <c r="V1" s="122"/>
      <c r="W1" s="122"/>
      <c r="X1" s="122"/>
      <c r="Y1" s="122"/>
      <c r="Z1" s="122"/>
    </row>
    <row r="2" spans="1:26" ht="21.75" customHeight="1" x14ac:dyDescent="0.2">
      <c r="A2" s="146" t="s">
        <v>45</v>
      </c>
      <c r="B2" s="146"/>
      <c r="C2" s="146"/>
      <c r="D2" s="146"/>
      <c r="E2" s="146"/>
      <c r="F2" s="146"/>
      <c r="G2" s="150"/>
      <c r="H2" s="150"/>
      <c r="I2" s="115"/>
      <c r="J2" s="115"/>
      <c r="K2" s="115"/>
      <c r="L2" s="115"/>
      <c r="M2" s="122" t="s">
        <v>78</v>
      </c>
      <c r="N2" s="122"/>
      <c r="O2" s="122"/>
      <c r="P2" s="122"/>
      <c r="Q2" s="122"/>
      <c r="R2" s="122"/>
      <c r="S2" s="122"/>
      <c r="T2" s="122"/>
      <c r="U2" s="122"/>
      <c r="V2" s="122"/>
      <c r="W2" s="122"/>
      <c r="X2" s="122"/>
      <c r="Y2" s="122"/>
      <c r="Z2" s="122"/>
    </row>
    <row r="3" spans="1:26" ht="21.75" customHeight="1" x14ac:dyDescent="0.2">
      <c r="A3" s="115" t="s">
        <v>158</v>
      </c>
      <c r="B3" s="147"/>
      <c r="C3" s="147"/>
      <c r="D3" s="147"/>
      <c r="E3" s="147"/>
      <c r="F3" s="147"/>
      <c r="G3" s="150" t="s">
        <v>155</v>
      </c>
      <c r="H3" s="150"/>
      <c r="I3" s="115" t="s">
        <v>199</v>
      </c>
      <c r="J3" s="115"/>
      <c r="K3" s="115"/>
      <c r="L3" s="115"/>
      <c r="M3" s="123" t="s">
        <v>79</v>
      </c>
      <c r="N3" s="124" t="s">
        <v>81</v>
      </c>
      <c r="O3" s="123"/>
      <c r="P3" s="124" t="s">
        <v>65</v>
      </c>
      <c r="Q3" s="123"/>
      <c r="R3" s="124" t="s">
        <v>82</v>
      </c>
      <c r="S3" s="123"/>
      <c r="T3" s="124" t="s">
        <v>85</v>
      </c>
      <c r="U3" s="123"/>
      <c r="V3" s="124" t="s">
        <v>87</v>
      </c>
      <c r="W3" s="123"/>
      <c r="X3" s="128" t="s">
        <v>91</v>
      </c>
      <c r="Y3" s="132"/>
      <c r="Z3" s="132"/>
    </row>
    <row r="4" spans="1:26" ht="29.25" customHeight="1" x14ac:dyDescent="0.2">
      <c r="A4" s="146" t="s">
        <v>46</v>
      </c>
      <c r="B4" s="146"/>
      <c r="C4" s="146"/>
      <c r="D4" s="146"/>
      <c r="E4" s="146"/>
      <c r="F4" s="146"/>
      <c r="G4" s="150"/>
      <c r="H4" s="150"/>
      <c r="I4" s="115"/>
      <c r="J4" s="115"/>
      <c r="K4" s="115"/>
      <c r="L4" s="115"/>
      <c r="M4" s="116"/>
      <c r="N4" s="125"/>
      <c r="O4" s="116"/>
      <c r="P4" s="125"/>
      <c r="Q4" s="116"/>
      <c r="R4" s="125" t="s">
        <v>83</v>
      </c>
      <c r="S4" s="116"/>
      <c r="T4" s="125" t="s">
        <v>86</v>
      </c>
      <c r="U4" s="116"/>
      <c r="V4" s="125" t="s">
        <v>88</v>
      </c>
      <c r="W4" s="116"/>
      <c r="X4" s="128"/>
      <c r="Y4" s="132"/>
      <c r="Z4" s="132"/>
    </row>
    <row r="5" spans="1:26" ht="21.75" customHeight="1" x14ac:dyDescent="0.2">
      <c r="A5" s="115" t="s">
        <v>178</v>
      </c>
      <c r="B5" s="147"/>
      <c r="C5" s="147"/>
      <c r="D5" s="147"/>
      <c r="E5" s="147"/>
      <c r="F5" s="147"/>
      <c r="G5" s="150" t="s">
        <v>156</v>
      </c>
      <c r="H5" s="150"/>
      <c r="I5" s="115" t="s">
        <v>200</v>
      </c>
      <c r="J5" s="115"/>
      <c r="K5" s="115"/>
      <c r="L5" s="115"/>
      <c r="M5" s="116" t="s">
        <v>80</v>
      </c>
      <c r="N5" s="125"/>
      <c r="O5" s="116"/>
      <c r="P5" s="125" t="s">
        <v>182</v>
      </c>
      <c r="Q5" s="116"/>
      <c r="R5" s="133" t="s">
        <v>84</v>
      </c>
      <c r="S5" s="134"/>
      <c r="T5" s="133" t="s">
        <v>84</v>
      </c>
      <c r="U5" s="134"/>
      <c r="V5" s="125" t="s">
        <v>89</v>
      </c>
      <c r="W5" s="116"/>
      <c r="X5" s="128"/>
      <c r="Y5" s="132"/>
      <c r="Z5" s="132"/>
    </row>
    <row r="6" spans="1:26" ht="21.75" customHeight="1" x14ac:dyDescent="0.2">
      <c r="A6" s="146" t="s">
        <v>47</v>
      </c>
      <c r="B6" s="146"/>
      <c r="C6" s="146"/>
      <c r="D6" s="146"/>
      <c r="E6" s="146"/>
      <c r="F6" s="146"/>
      <c r="G6" s="150"/>
      <c r="H6" s="150"/>
      <c r="I6" s="115"/>
      <c r="J6" s="115"/>
      <c r="K6" s="115"/>
      <c r="L6" s="115"/>
      <c r="M6" s="117"/>
      <c r="N6" s="127"/>
      <c r="O6" s="117"/>
      <c r="P6" s="127"/>
      <c r="Q6" s="117"/>
      <c r="R6" s="127"/>
      <c r="S6" s="117"/>
      <c r="T6" s="127"/>
      <c r="U6" s="117"/>
      <c r="V6" s="127" t="s">
        <v>90</v>
      </c>
      <c r="W6" s="117"/>
      <c r="X6" s="128"/>
      <c r="Y6" s="132"/>
      <c r="Z6" s="132"/>
    </row>
    <row r="7" spans="1:26" ht="21.75" customHeight="1" x14ac:dyDescent="0.2">
      <c r="A7" s="122"/>
      <c r="B7" s="122"/>
      <c r="C7" s="122"/>
      <c r="D7" s="122"/>
      <c r="E7" s="122"/>
      <c r="F7" s="122"/>
      <c r="G7" s="122"/>
      <c r="H7" s="122"/>
      <c r="I7" s="122"/>
      <c r="J7" s="122"/>
      <c r="K7" s="122"/>
      <c r="L7" s="122"/>
      <c r="M7" s="9"/>
      <c r="N7" s="111"/>
      <c r="O7" s="113"/>
      <c r="P7" s="111"/>
      <c r="Q7" s="113"/>
      <c r="R7" s="111"/>
      <c r="S7" s="113"/>
      <c r="T7" s="111"/>
      <c r="U7" s="113"/>
      <c r="V7" s="111"/>
      <c r="W7" s="113"/>
      <c r="X7" s="111"/>
      <c r="Y7" s="112"/>
      <c r="Z7" s="112"/>
    </row>
    <row r="8" spans="1:26" ht="22.5" customHeight="1" x14ac:dyDescent="0.2">
      <c r="A8" s="143" t="s">
        <v>48</v>
      </c>
      <c r="B8" s="143"/>
      <c r="C8" s="143"/>
      <c r="D8" s="143"/>
      <c r="E8" s="143"/>
      <c r="F8" s="143"/>
      <c r="G8" s="143"/>
      <c r="H8" s="143"/>
      <c r="I8" s="143"/>
      <c r="J8" s="143"/>
      <c r="K8" s="143"/>
      <c r="L8" s="143"/>
      <c r="M8" s="9"/>
      <c r="N8" s="111"/>
      <c r="O8" s="113"/>
      <c r="P8" s="111"/>
      <c r="Q8" s="113"/>
      <c r="R8" s="111"/>
      <c r="S8" s="113"/>
      <c r="T8" s="111"/>
      <c r="U8" s="113"/>
      <c r="V8" s="111"/>
      <c r="W8" s="113"/>
      <c r="X8" s="111"/>
      <c r="Y8" s="112"/>
      <c r="Z8" s="112"/>
    </row>
    <row r="9" spans="1:26" ht="22.5" customHeight="1" x14ac:dyDescent="0.2">
      <c r="A9" s="156" t="s">
        <v>49</v>
      </c>
      <c r="B9" s="156"/>
      <c r="C9" s="156"/>
      <c r="D9" s="156"/>
      <c r="E9" s="156"/>
      <c r="F9" s="156"/>
      <c r="G9" s="156"/>
      <c r="H9" s="156"/>
      <c r="I9" s="156"/>
      <c r="J9" s="156"/>
      <c r="K9" s="156"/>
      <c r="L9" s="156"/>
      <c r="M9" s="9"/>
      <c r="N9" s="111"/>
      <c r="O9" s="113"/>
      <c r="P9" s="111"/>
      <c r="Q9" s="113"/>
      <c r="R9" s="111"/>
      <c r="S9" s="113"/>
      <c r="T9" s="111"/>
      <c r="U9" s="113"/>
      <c r="V9" s="111"/>
      <c r="W9" s="113"/>
      <c r="X9" s="111"/>
      <c r="Y9" s="112"/>
      <c r="Z9" s="112"/>
    </row>
    <row r="10" spans="1:26" ht="22.5" customHeight="1" x14ac:dyDescent="0.2">
      <c r="A10" s="151" t="s">
        <v>112</v>
      </c>
      <c r="B10" s="151"/>
      <c r="C10" s="151"/>
      <c r="D10" s="151"/>
      <c r="E10" s="162" t="s">
        <v>407</v>
      </c>
      <c r="F10" s="163"/>
      <c r="G10" s="163"/>
      <c r="H10" s="138" t="s">
        <v>369</v>
      </c>
      <c r="I10" s="138"/>
      <c r="J10" s="138"/>
      <c r="K10" s="138"/>
      <c r="L10" s="138"/>
      <c r="M10" s="9"/>
      <c r="N10" s="111"/>
      <c r="O10" s="113"/>
      <c r="P10" s="111"/>
      <c r="Q10" s="113"/>
      <c r="R10" s="111"/>
      <c r="S10" s="113"/>
      <c r="T10" s="111"/>
      <c r="U10" s="113"/>
      <c r="V10" s="111"/>
      <c r="W10" s="113"/>
      <c r="X10" s="111"/>
      <c r="Y10" s="112"/>
      <c r="Z10" s="112"/>
    </row>
    <row r="11" spans="1:26" ht="22.5" customHeight="1" x14ac:dyDescent="0.2">
      <c r="A11" s="151" t="s">
        <v>113</v>
      </c>
      <c r="B11" s="151"/>
      <c r="C11" s="151"/>
      <c r="D11" s="151"/>
      <c r="E11" s="161" t="s">
        <v>230</v>
      </c>
      <c r="F11" s="161"/>
      <c r="G11" s="161"/>
      <c r="H11" s="161"/>
      <c r="I11" s="138" t="s">
        <v>114</v>
      </c>
      <c r="J11" s="138"/>
      <c r="K11" s="138"/>
      <c r="L11" s="138"/>
      <c r="M11" s="9"/>
      <c r="N11" s="111"/>
      <c r="O11" s="113"/>
      <c r="P11" s="111"/>
      <c r="Q11" s="113"/>
      <c r="R11" s="111"/>
      <c r="S11" s="113"/>
      <c r="T11" s="111"/>
      <c r="U11" s="113"/>
      <c r="V11" s="111"/>
      <c r="W11" s="113"/>
      <c r="X11" s="111"/>
      <c r="Y11" s="112"/>
      <c r="Z11" s="112"/>
    </row>
    <row r="12" spans="1:26" ht="21.75" customHeight="1" x14ac:dyDescent="0.2">
      <c r="A12" s="149"/>
      <c r="B12" s="149"/>
      <c r="C12" s="149"/>
      <c r="D12" s="149"/>
      <c r="E12" s="149"/>
      <c r="F12" s="149"/>
      <c r="G12" s="149"/>
      <c r="H12" s="149"/>
      <c r="I12" s="149"/>
      <c r="J12" s="149"/>
      <c r="K12" s="149"/>
      <c r="L12" s="149"/>
      <c r="M12" s="9"/>
      <c r="N12" s="111"/>
      <c r="O12" s="113"/>
      <c r="P12" s="111"/>
      <c r="Q12" s="113"/>
      <c r="R12" s="111"/>
      <c r="S12" s="113"/>
      <c r="T12" s="111"/>
      <c r="U12" s="113"/>
      <c r="V12" s="111"/>
      <c r="W12" s="113"/>
      <c r="X12" s="111"/>
      <c r="Y12" s="112"/>
      <c r="Z12" s="112"/>
    </row>
    <row r="13" spans="1:26" ht="21.75" customHeight="1" x14ac:dyDescent="0.2">
      <c r="A13" s="187" t="s">
        <v>50</v>
      </c>
      <c r="B13" s="195" t="s">
        <v>56</v>
      </c>
      <c r="C13" s="196"/>
      <c r="D13" s="185" t="s">
        <v>190</v>
      </c>
      <c r="E13" s="186"/>
      <c r="F13" s="195" t="s">
        <v>59</v>
      </c>
      <c r="G13" s="196"/>
      <c r="H13" s="40" t="s">
        <v>190</v>
      </c>
      <c r="I13" s="197" t="s">
        <v>5</v>
      </c>
      <c r="J13" s="195" t="s">
        <v>60</v>
      </c>
      <c r="K13" s="187"/>
      <c r="L13" s="41" t="s">
        <v>65</v>
      </c>
      <c r="M13" s="9"/>
      <c r="N13" s="111"/>
      <c r="O13" s="113"/>
      <c r="P13" s="111"/>
      <c r="Q13" s="113"/>
      <c r="R13" s="111"/>
      <c r="S13" s="113"/>
      <c r="T13" s="111"/>
      <c r="U13" s="113"/>
      <c r="V13" s="111"/>
      <c r="W13" s="113"/>
      <c r="X13" s="111"/>
      <c r="Y13" s="112"/>
      <c r="Z13" s="112"/>
    </row>
    <row r="14" spans="1:26" ht="21.75" customHeight="1" x14ac:dyDescent="0.2">
      <c r="A14" s="188"/>
      <c r="B14" s="200" t="s">
        <v>57</v>
      </c>
      <c r="C14" s="201"/>
      <c r="D14" s="202" t="s">
        <v>191</v>
      </c>
      <c r="E14" s="203"/>
      <c r="F14" s="200" t="s">
        <v>57</v>
      </c>
      <c r="G14" s="201"/>
      <c r="H14" s="42" t="s">
        <v>191</v>
      </c>
      <c r="I14" s="198"/>
      <c r="J14" s="200" t="s">
        <v>61</v>
      </c>
      <c r="K14" s="188"/>
      <c r="L14" s="41" t="s">
        <v>66</v>
      </c>
      <c r="M14" s="9"/>
      <c r="N14" s="111"/>
      <c r="O14" s="113"/>
      <c r="P14" s="111"/>
      <c r="Q14" s="113"/>
      <c r="R14" s="111"/>
      <c r="S14" s="113"/>
      <c r="T14" s="111"/>
      <c r="U14" s="113"/>
      <c r="V14" s="111"/>
      <c r="W14" s="113"/>
      <c r="X14" s="111"/>
      <c r="Y14" s="112"/>
      <c r="Z14" s="112"/>
    </row>
    <row r="15" spans="1:26" ht="21.75" customHeight="1" x14ac:dyDescent="0.2">
      <c r="A15" s="188"/>
      <c r="B15" s="191" t="s">
        <v>58</v>
      </c>
      <c r="C15" s="192"/>
      <c r="D15" s="193">
        <v>36000</v>
      </c>
      <c r="E15" s="194"/>
      <c r="F15" s="191" t="s">
        <v>58</v>
      </c>
      <c r="G15" s="192"/>
      <c r="H15" s="43">
        <v>36000</v>
      </c>
      <c r="I15" s="198"/>
      <c r="J15" s="191" t="s">
        <v>62</v>
      </c>
      <c r="K15" s="189"/>
      <c r="L15" s="41" t="s">
        <v>67</v>
      </c>
      <c r="M15" s="9"/>
      <c r="N15" s="111"/>
      <c r="O15" s="113"/>
      <c r="P15" s="111"/>
      <c r="Q15" s="113"/>
      <c r="R15" s="111"/>
      <c r="S15" s="113"/>
      <c r="T15" s="111"/>
      <c r="U15" s="113"/>
      <c r="V15" s="111"/>
      <c r="W15" s="113"/>
      <c r="X15" s="111"/>
      <c r="Y15" s="112"/>
      <c r="Z15" s="112"/>
    </row>
    <row r="16" spans="1:26" ht="21.75" customHeight="1" x14ac:dyDescent="0.2">
      <c r="A16" s="188"/>
      <c r="B16" s="44" t="s">
        <v>51</v>
      </c>
      <c r="C16" s="44" t="s">
        <v>53</v>
      </c>
      <c r="D16" s="44" t="s">
        <v>54</v>
      </c>
      <c r="E16" s="154"/>
      <c r="F16" s="44" t="s">
        <v>51</v>
      </c>
      <c r="G16" s="44" t="s">
        <v>53</v>
      </c>
      <c r="H16" s="45" t="s">
        <v>54</v>
      </c>
      <c r="I16" s="198"/>
      <c r="J16" s="154" t="s">
        <v>63</v>
      </c>
      <c r="K16" s="154" t="s">
        <v>64</v>
      </c>
      <c r="L16" s="41" t="s">
        <v>68</v>
      </c>
      <c r="M16" s="9"/>
      <c r="N16" s="111"/>
      <c r="O16" s="113"/>
      <c r="P16" s="111"/>
      <c r="Q16" s="113"/>
      <c r="R16" s="111"/>
      <c r="S16" s="113"/>
      <c r="T16" s="111"/>
      <c r="U16" s="113"/>
      <c r="V16" s="111"/>
      <c r="W16" s="113"/>
      <c r="X16" s="111"/>
      <c r="Y16" s="112"/>
      <c r="Z16" s="112"/>
    </row>
    <row r="17" spans="1:26" ht="21.75" customHeight="1" x14ac:dyDescent="0.2">
      <c r="A17" s="189"/>
      <c r="B17" s="44" t="s">
        <v>52</v>
      </c>
      <c r="C17" s="46" t="s">
        <v>51</v>
      </c>
      <c r="D17" s="46" t="s">
        <v>55</v>
      </c>
      <c r="E17" s="190"/>
      <c r="F17" s="46" t="s">
        <v>52</v>
      </c>
      <c r="G17" s="47" t="s">
        <v>51</v>
      </c>
      <c r="H17" s="48" t="s">
        <v>55</v>
      </c>
      <c r="I17" s="199"/>
      <c r="J17" s="155"/>
      <c r="K17" s="155"/>
      <c r="L17" s="41" t="s">
        <v>69</v>
      </c>
      <c r="M17" s="130" t="s">
        <v>92</v>
      </c>
      <c r="N17" s="130"/>
      <c r="O17" s="130"/>
      <c r="P17" s="130"/>
      <c r="Q17" s="130"/>
      <c r="R17" s="130"/>
      <c r="S17" s="130"/>
      <c r="T17" s="130"/>
      <c r="U17" s="130"/>
      <c r="V17" s="130"/>
      <c r="W17" s="130"/>
      <c r="X17" s="130"/>
      <c r="Y17" s="130"/>
      <c r="Z17" s="130"/>
    </row>
    <row r="18" spans="1:26" ht="23.25" customHeight="1" x14ac:dyDescent="0.2">
      <c r="A18" s="49" t="s">
        <v>7</v>
      </c>
      <c r="B18" s="82">
        <v>3589.1975000000002</v>
      </c>
      <c r="C18" s="25"/>
      <c r="D18" s="24"/>
      <c r="E18" s="108"/>
      <c r="F18" s="82">
        <v>2437.6984000000002</v>
      </c>
      <c r="G18" s="51"/>
      <c r="H18" s="50"/>
      <c r="I18" s="52"/>
      <c r="J18" s="39"/>
      <c r="K18" s="79"/>
      <c r="L18" s="53"/>
      <c r="M18" s="123" t="s">
        <v>79</v>
      </c>
      <c r="N18" s="121" t="s">
        <v>98</v>
      </c>
      <c r="O18" s="121"/>
      <c r="P18" s="121"/>
      <c r="Q18" s="121" t="s">
        <v>107</v>
      </c>
      <c r="R18" s="121"/>
      <c r="S18" s="121"/>
      <c r="T18" s="121" t="s">
        <v>93</v>
      </c>
      <c r="U18" s="121"/>
      <c r="V18" s="121"/>
      <c r="W18" s="124" t="s">
        <v>91</v>
      </c>
      <c r="X18" s="131"/>
      <c r="Y18" s="131"/>
      <c r="Z18" s="131"/>
    </row>
    <row r="19" spans="1:26" ht="23.25" customHeight="1" x14ac:dyDescent="0.2">
      <c r="A19" s="49" t="s">
        <v>8</v>
      </c>
      <c r="B19" s="82">
        <v>3589.2377999999999</v>
      </c>
      <c r="C19" s="25">
        <f t="shared" ref="C19:C42" si="0">IF(B19="","",IF(LEN(TRUNC(B18,0))-LEN(TRUNC(B19,0))=0,B19-B18,IF(LEN(TRUNC(B18,0))-LEN(TRUNC(B19,0))&gt;0,VALUE(LEFT(B18,LEN(TRUNC(B18,0))-LEN(TRUNC(B19,0))))*POWER(10,LEN(TRUNC(B19,0)))+B19-B18,B19-B18-VALUE(LEFT(B19,LEN(TRUNC(B19,0))-LEN(TRUNC(B18,0))))*POWER(10,LEN(TRUNC(B18,0))))))</f>
        <v>4.029999999966094E-2</v>
      </c>
      <c r="D19" s="24">
        <f t="shared" ref="D19:D42" si="1">IF(C19="","",C19*$D$15)</f>
        <v>1450.7999999877939</v>
      </c>
      <c r="E19" s="108"/>
      <c r="F19" s="82">
        <v>2437.7260000000001</v>
      </c>
      <c r="G19" s="51">
        <f>F19-ReportObject9_3</f>
        <v>2.7599999999893043E-2</v>
      </c>
      <c r="H19" s="50">
        <f t="shared" ref="H19:H42" si="2">IF(G19="","",G19*$H$15)</f>
        <v>993.59999999614956</v>
      </c>
      <c r="I19" s="52">
        <f t="shared" ref="I19:I42" si="3">IF(H19="","",IF(D19="","",IF(AND(H19=0,D19=0),0,H19/D19)))</f>
        <v>0.68486352357630897</v>
      </c>
      <c r="J19" s="53"/>
      <c r="K19" s="52">
        <v>6.3438500000000007</v>
      </c>
      <c r="L19" s="53"/>
      <c r="M19" s="116"/>
      <c r="N19" s="118"/>
      <c r="O19" s="118"/>
      <c r="P19" s="118"/>
      <c r="Q19" s="118" t="s">
        <v>108</v>
      </c>
      <c r="R19" s="118"/>
      <c r="S19" s="118"/>
      <c r="T19" s="118"/>
      <c r="U19" s="118"/>
      <c r="V19" s="118"/>
      <c r="W19" s="125"/>
      <c r="X19" s="122"/>
      <c r="Y19" s="122"/>
      <c r="Z19" s="122"/>
    </row>
    <row r="20" spans="1:26" ht="23.25" customHeight="1" x14ac:dyDescent="0.2">
      <c r="A20" s="49" t="s">
        <v>9</v>
      </c>
      <c r="B20" s="82">
        <v>3589.2779</v>
      </c>
      <c r="C20" s="25">
        <f t="shared" si="0"/>
        <v>4.0100000000165892E-2</v>
      </c>
      <c r="D20" s="24">
        <f t="shared" si="1"/>
        <v>1443.6000000059721</v>
      </c>
      <c r="E20" s="108"/>
      <c r="F20" s="82">
        <v>2437.7534999999998</v>
      </c>
      <c r="G20" s="51">
        <f>F20-F19</f>
        <v>2.7499999999690772E-2</v>
      </c>
      <c r="H20" s="50">
        <f t="shared" si="2"/>
        <v>989.99999998886778</v>
      </c>
      <c r="I20" s="52">
        <f t="shared" si="3"/>
        <v>0.68578553614905247</v>
      </c>
      <c r="J20" s="53"/>
      <c r="K20" s="52">
        <v>6.136908</v>
      </c>
      <c r="L20" s="53"/>
      <c r="M20" s="116" t="s">
        <v>80</v>
      </c>
      <c r="N20" s="118" t="s">
        <v>99</v>
      </c>
      <c r="O20" s="118"/>
      <c r="P20" s="118"/>
      <c r="Q20" s="118" t="s">
        <v>181</v>
      </c>
      <c r="R20" s="118"/>
      <c r="S20" s="118"/>
      <c r="T20" s="118" t="s">
        <v>94</v>
      </c>
      <c r="U20" s="118"/>
      <c r="V20" s="118"/>
      <c r="W20" s="125"/>
      <c r="X20" s="122"/>
      <c r="Y20" s="122"/>
      <c r="Z20" s="122"/>
    </row>
    <row r="21" spans="1:26" ht="23.25" customHeight="1" x14ac:dyDescent="0.2">
      <c r="A21" s="49" t="s">
        <v>10</v>
      </c>
      <c r="B21" s="82">
        <v>3589.3186000000001</v>
      </c>
      <c r="C21" s="25">
        <f t="shared" si="0"/>
        <v>4.070000000001528E-2</v>
      </c>
      <c r="D21" s="24">
        <f t="shared" si="1"/>
        <v>1465.2000000005501</v>
      </c>
      <c r="E21" s="108"/>
      <c r="F21" s="82">
        <v>2437.7813000000001</v>
      </c>
      <c r="G21" s="51">
        <f t="shared" ref="G21:G42" si="4">F21-F20</f>
        <v>2.7800000000297587E-2</v>
      </c>
      <c r="H21" s="50">
        <f t="shared" si="2"/>
        <v>1000.8000000107131</v>
      </c>
      <c r="I21" s="52">
        <f t="shared" si="3"/>
        <v>0.68304668305373828</v>
      </c>
      <c r="J21" s="53"/>
      <c r="K21" s="52">
        <v>6.343235</v>
      </c>
      <c r="L21" s="53"/>
      <c r="M21" s="117"/>
      <c r="N21" s="119"/>
      <c r="O21" s="119"/>
      <c r="P21" s="119"/>
      <c r="Q21" s="119"/>
      <c r="R21" s="119"/>
      <c r="S21" s="119"/>
      <c r="T21" s="119"/>
      <c r="U21" s="119"/>
      <c r="V21" s="119"/>
      <c r="W21" s="127"/>
      <c r="X21" s="130"/>
      <c r="Y21" s="130"/>
      <c r="Z21" s="130"/>
    </row>
    <row r="22" spans="1:26" ht="23.25" customHeight="1" x14ac:dyDescent="0.2">
      <c r="A22" s="49" t="s">
        <v>11</v>
      </c>
      <c r="B22" s="82">
        <v>3589.3586</v>
      </c>
      <c r="C22" s="25">
        <f t="shared" si="0"/>
        <v>3.999999999996362E-2</v>
      </c>
      <c r="D22" s="24">
        <f t="shared" si="1"/>
        <v>1439.9999999986903</v>
      </c>
      <c r="E22" s="108"/>
      <c r="F22" s="82">
        <v>2437.8087999999998</v>
      </c>
      <c r="G22" s="51">
        <f t="shared" si="4"/>
        <v>2.7499999999690772E-2</v>
      </c>
      <c r="H22" s="50">
        <f t="shared" si="2"/>
        <v>989.99999998886778</v>
      </c>
      <c r="I22" s="52">
        <f t="shared" si="3"/>
        <v>0.68749999999289457</v>
      </c>
      <c r="J22" s="53"/>
      <c r="K22" s="52">
        <v>6.3585940000000001</v>
      </c>
      <c r="L22" s="53"/>
      <c r="M22" s="9"/>
      <c r="N22" s="120"/>
      <c r="O22" s="120"/>
      <c r="P22" s="120"/>
      <c r="Q22" s="120"/>
      <c r="R22" s="120"/>
      <c r="S22" s="120"/>
      <c r="T22" s="120"/>
      <c r="U22" s="120"/>
      <c r="V22" s="120"/>
      <c r="W22" s="111"/>
      <c r="X22" s="112"/>
      <c r="Y22" s="112"/>
      <c r="Z22" s="112"/>
    </row>
    <row r="23" spans="1:26" ht="23.25" customHeight="1" x14ac:dyDescent="0.2">
      <c r="A23" s="49" t="s">
        <v>12</v>
      </c>
      <c r="B23" s="82">
        <v>3589.3978999999999</v>
      </c>
      <c r="C23" s="25">
        <f t="shared" si="0"/>
        <v>3.9299999999911961E-2</v>
      </c>
      <c r="D23" s="24">
        <f t="shared" si="1"/>
        <v>1414.7999999968306</v>
      </c>
      <c r="E23" s="108"/>
      <c r="F23" s="82">
        <v>2437.8359</v>
      </c>
      <c r="G23" s="51">
        <f t="shared" si="4"/>
        <v>2.7100000000245927E-2</v>
      </c>
      <c r="H23" s="50">
        <f t="shared" si="2"/>
        <v>975.60000000885339</v>
      </c>
      <c r="I23" s="52">
        <f t="shared" si="3"/>
        <v>0.68956743003324772</v>
      </c>
      <c r="J23" s="53"/>
      <c r="K23" s="52">
        <v>6.3668360000000002</v>
      </c>
      <c r="L23" s="53"/>
      <c r="M23" s="9"/>
      <c r="N23" s="120"/>
      <c r="O23" s="120"/>
      <c r="P23" s="120"/>
      <c r="Q23" s="120"/>
      <c r="R23" s="120"/>
      <c r="S23" s="120"/>
      <c r="T23" s="120"/>
      <c r="U23" s="120"/>
      <c r="V23" s="120"/>
      <c r="W23" s="111"/>
      <c r="X23" s="112"/>
      <c r="Y23" s="112"/>
      <c r="Z23" s="112"/>
    </row>
    <row r="24" spans="1:26" ht="23.25" customHeight="1" x14ac:dyDescent="0.2">
      <c r="A24" s="49" t="s">
        <v>13</v>
      </c>
      <c r="B24" s="82">
        <v>3589.4371000000001</v>
      </c>
      <c r="C24" s="25">
        <f t="shared" si="0"/>
        <v>3.9200000000164437E-2</v>
      </c>
      <c r="D24" s="24">
        <f t="shared" si="1"/>
        <v>1411.2000000059197</v>
      </c>
      <c r="E24" s="108"/>
      <c r="F24" s="82">
        <v>2437.8629000000001</v>
      </c>
      <c r="G24" s="51">
        <f t="shared" si="4"/>
        <v>2.7000000000043656E-2</v>
      </c>
      <c r="H24" s="50">
        <f t="shared" si="2"/>
        <v>972.00000000157161</v>
      </c>
      <c r="I24" s="52">
        <f t="shared" si="3"/>
        <v>0.68877551020230598</v>
      </c>
      <c r="J24" s="53"/>
      <c r="K24" s="52">
        <v>6.2612619999999994</v>
      </c>
      <c r="L24" s="53"/>
      <c r="M24" s="9"/>
      <c r="N24" s="120"/>
      <c r="O24" s="120"/>
      <c r="P24" s="120"/>
      <c r="Q24" s="120"/>
      <c r="R24" s="120"/>
      <c r="S24" s="120"/>
      <c r="T24" s="120"/>
      <c r="U24" s="120"/>
      <c r="V24" s="120"/>
      <c r="W24" s="111"/>
      <c r="X24" s="112"/>
      <c r="Y24" s="112"/>
      <c r="Z24" s="112"/>
    </row>
    <row r="25" spans="1:26" ht="23.25" customHeight="1" x14ac:dyDescent="0.2">
      <c r="A25" s="49" t="s">
        <v>14</v>
      </c>
      <c r="B25" s="82">
        <v>3589.4767000000002</v>
      </c>
      <c r="C25" s="25">
        <f t="shared" si="0"/>
        <v>3.9600000000064028E-2</v>
      </c>
      <c r="D25" s="24">
        <f t="shared" si="1"/>
        <v>1425.600000002305</v>
      </c>
      <c r="E25" s="108"/>
      <c r="F25" s="82">
        <v>2437.8897999999999</v>
      </c>
      <c r="G25" s="51">
        <f t="shared" si="4"/>
        <v>2.6899999999841384E-2</v>
      </c>
      <c r="H25" s="50">
        <f t="shared" si="2"/>
        <v>968.39999999428983</v>
      </c>
      <c r="I25" s="52">
        <f t="shared" si="3"/>
        <v>0.67929292928782548</v>
      </c>
      <c r="J25" s="53"/>
      <c r="K25" s="52">
        <v>6.3263249999999998</v>
      </c>
      <c r="L25" s="53"/>
      <c r="M25" s="9"/>
      <c r="N25" s="120"/>
      <c r="O25" s="120"/>
      <c r="P25" s="120"/>
      <c r="Q25" s="120"/>
      <c r="R25" s="120"/>
      <c r="S25" s="120"/>
      <c r="T25" s="120"/>
      <c r="U25" s="120"/>
      <c r="V25" s="120"/>
      <c r="W25" s="111"/>
      <c r="X25" s="112"/>
      <c r="Y25" s="112"/>
      <c r="Z25" s="112"/>
    </row>
    <row r="26" spans="1:26" ht="23.25" customHeight="1" x14ac:dyDescent="0.2">
      <c r="A26" s="49" t="s">
        <v>15</v>
      </c>
      <c r="B26" s="82">
        <v>3589.5191</v>
      </c>
      <c r="C26" s="25">
        <f t="shared" si="0"/>
        <v>4.2399999999815918E-2</v>
      </c>
      <c r="D26" s="24">
        <f t="shared" si="1"/>
        <v>1526.3999999933731</v>
      </c>
      <c r="E26" s="108"/>
      <c r="F26" s="82">
        <v>2437.9178000000002</v>
      </c>
      <c r="G26" s="51">
        <f t="shared" si="4"/>
        <v>2.8000000000247383E-2</v>
      </c>
      <c r="H26" s="50">
        <f t="shared" si="2"/>
        <v>1008.0000000089058</v>
      </c>
      <c r="I26" s="52">
        <f t="shared" si="3"/>
        <v>0.6603773584992676</v>
      </c>
      <c r="J26" s="53"/>
      <c r="K26" s="52">
        <v>6.3025209999999996</v>
      </c>
      <c r="L26" s="53"/>
      <c r="M26" s="9"/>
      <c r="N26" s="120"/>
      <c r="O26" s="120"/>
      <c r="P26" s="120"/>
      <c r="Q26" s="120"/>
      <c r="R26" s="120"/>
      <c r="S26" s="120"/>
      <c r="T26" s="120"/>
      <c r="U26" s="120"/>
      <c r="V26" s="120"/>
      <c r="W26" s="111"/>
      <c r="X26" s="112"/>
      <c r="Y26" s="112"/>
      <c r="Z26" s="112"/>
    </row>
    <row r="27" spans="1:26" ht="23.25" customHeight="1" x14ac:dyDescent="0.2">
      <c r="A27" s="49" t="s">
        <v>16</v>
      </c>
      <c r="B27" s="82">
        <v>3589.5671000000002</v>
      </c>
      <c r="C27" s="25">
        <f t="shared" si="0"/>
        <v>4.8000000000229193E-2</v>
      </c>
      <c r="D27" s="24">
        <f t="shared" si="1"/>
        <v>1728.0000000082509</v>
      </c>
      <c r="E27" s="108"/>
      <c r="F27" s="82">
        <v>2437.9497000000001</v>
      </c>
      <c r="G27" s="51">
        <f t="shared" si="4"/>
        <v>3.1899999999950523E-2</v>
      </c>
      <c r="H27" s="50">
        <f t="shared" si="2"/>
        <v>1148.3999999982188</v>
      </c>
      <c r="I27" s="52">
        <f t="shared" si="3"/>
        <v>0.66458333332912933</v>
      </c>
      <c r="J27" s="53"/>
      <c r="K27" s="52">
        <v>6.2350029999999999</v>
      </c>
      <c r="L27" s="53"/>
      <c r="M27" s="9"/>
      <c r="N27" s="120"/>
      <c r="O27" s="120"/>
      <c r="P27" s="120"/>
      <c r="Q27" s="120"/>
      <c r="R27" s="120"/>
      <c r="S27" s="120"/>
      <c r="T27" s="120"/>
      <c r="U27" s="120"/>
      <c r="V27" s="120"/>
      <c r="W27" s="111"/>
      <c r="X27" s="112"/>
      <c r="Y27" s="112"/>
      <c r="Z27" s="112"/>
    </row>
    <row r="28" spans="1:26" ht="23.25" customHeight="1" x14ac:dyDescent="0.2">
      <c r="A28" s="49" t="s">
        <v>17</v>
      </c>
      <c r="B28" s="82">
        <v>3589.6143000000002</v>
      </c>
      <c r="C28" s="25">
        <f t="shared" si="0"/>
        <v>4.7199999999975262E-2</v>
      </c>
      <c r="D28" s="24">
        <f t="shared" si="1"/>
        <v>1699.1999999991094</v>
      </c>
      <c r="E28" s="108"/>
      <c r="F28" s="82">
        <v>2437.9819000000002</v>
      </c>
      <c r="G28" s="51">
        <f t="shared" si="4"/>
        <v>3.2200000000102591E-2</v>
      </c>
      <c r="H28" s="50">
        <f t="shared" si="2"/>
        <v>1159.2000000036933</v>
      </c>
      <c r="I28" s="52">
        <f t="shared" si="3"/>
        <v>0.68220338983303952</v>
      </c>
      <c r="J28" s="53"/>
      <c r="K28" s="52">
        <v>6.2125050000000002</v>
      </c>
      <c r="L28" s="53"/>
      <c r="M28" s="9"/>
      <c r="N28" s="120"/>
      <c r="O28" s="120"/>
      <c r="P28" s="120"/>
      <c r="Q28" s="120"/>
      <c r="R28" s="120"/>
      <c r="S28" s="120"/>
      <c r="T28" s="120"/>
      <c r="U28" s="120"/>
      <c r="V28" s="120"/>
      <c r="W28" s="111"/>
      <c r="X28" s="112"/>
      <c r="Y28" s="112"/>
      <c r="Z28" s="112"/>
    </row>
    <row r="29" spans="1:26" ht="23.25" customHeight="1" x14ac:dyDescent="0.2">
      <c r="A29" s="49" t="s">
        <v>18</v>
      </c>
      <c r="B29" s="82">
        <v>3589.6543999999999</v>
      </c>
      <c r="C29" s="25">
        <f t="shared" si="0"/>
        <v>4.0099999999711144E-2</v>
      </c>
      <c r="D29" s="24">
        <f t="shared" si="1"/>
        <v>1443.5999999896012</v>
      </c>
      <c r="E29" s="108"/>
      <c r="F29" s="82">
        <v>2438.0088000000001</v>
      </c>
      <c r="G29" s="51">
        <f t="shared" si="4"/>
        <v>2.6899999999841384E-2</v>
      </c>
      <c r="H29" s="50">
        <f t="shared" si="2"/>
        <v>968.39999999428983</v>
      </c>
      <c r="I29" s="52">
        <f t="shared" si="3"/>
        <v>0.67082294264426823</v>
      </c>
      <c r="J29" s="53"/>
      <c r="K29" s="52">
        <v>6.2576660000000004</v>
      </c>
      <c r="L29" s="53"/>
      <c r="M29" s="145" t="s">
        <v>95</v>
      </c>
      <c r="N29" s="145"/>
      <c r="O29" s="145"/>
      <c r="P29" s="145"/>
      <c r="Q29" s="145"/>
      <c r="R29" s="145"/>
      <c r="S29" s="145"/>
      <c r="T29" s="145"/>
      <c r="U29" s="145"/>
      <c r="V29" s="145"/>
      <c r="W29" s="145"/>
      <c r="X29" s="145"/>
      <c r="Y29" s="145"/>
      <c r="Z29" s="145"/>
    </row>
    <row r="30" spans="1:26" ht="23.25" customHeight="1" x14ac:dyDescent="0.2">
      <c r="A30" s="49" t="s">
        <v>19</v>
      </c>
      <c r="B30" s="82">
        <v>3589.6927999999998</v>
      </c>
      <c r="C30" s="25">
        <f t="shared" si="0"/>
        <v>3.8399999999910506E-2</v>
      </c>
      <c r="D30" s="24">
        <f t="shared" si="1"/>
        <v>1382.3999999967782</v>
      </c>
      <c r="E30" s="108"/>
      <c r="F30" s="82">
        <v>2438.0351000000001</v>
      </c>
      <c r="G30" s="51">
        <f t="shared" si="4"/>
        <v>2.6299999999991996E-2</v>
      </c>
      <c r="H30" s="50">
        <f t="shared" si="2"/>
        <v>946.79999999971187</v>
      </c>
      <c r="I30" s="52">
        <f t="shared" si="3"/>
        <v>0.68489583333472115</v>
      </c>
      <c r="J30" s="53"/>
      <c r="K30" s="52">
        <v>6.2825660000000001</v>
      </c>
      <c r="L30" s="53"/>
      <c r="M30" s="122" t="s">
        <v>97</v>
      </c>
      <c r="N30" s="122"/>
      <c r="O30" s="122"/>
      <c r="P30" s="122"/>
      <c r="Q30" s="122"/>
      <c r="R30" s="122"/>
      <c r="S30" s="122"/>
      <c r="T30" s="122"/>
      <c r="U30" s="122"/>
      <c r="V30" s="122"/>
      <c r="W30" s="122"/>
      <c r="X30" s="122"/>
      <c r="Y30" s="122"/>
      <c r="Z30" s="122"/>
    </row>
    <row r="31" spans="1:26" ht="23.25" customHeight="1" x14ac:dyDescent="0.2">
      <c r="A31" s="49" t="s">
        <v>20</v>
      </c>
      <c r="B31" s="82">
        <v>3589.7321999999999</v>
      </c>
      <c r="C31" s="25">
        <f t="shared" si="0"/>
        <v>3.9400000000114233E-2</v>
      </c>
      <c r="D31" s="24">
        <f t="shared" si="1"/>
        <v>1418.4000000041124</v>
      </c>
      <c r="E31" s="108"/>
      <c r="F31" s="82">
        <v>2438.0626000000002</v>
      </c>
      <c r="G31" s="51">
        <f t="shared" si="4"/>
        <v>2.7500000000145519E-2</v>
      </c>
      <c r="H31" s="50">
        <f t="shared" si="2"/>
        <v>990.00000000523869</v>
      </c>
      <c r="I31" s="52">
        <f t="shared" si="3"/>
        <v>0.69796954314887782</v>
      </c>
      <c r="J31" s="53"/>
      <c r="K31" s="52">
        <v>6.3083159999999996</v>
      </c>
      <c r="L31" s="53"/>
      <c r="M31" s="123" t="s">
        <v>79</v>
      </c>
      <c r="N31" s="121" t="s">
        <v>98</v>
      </c>
      <c r="O31" s="121"/>
      <c r="P31" s="121" t="s">
        <v>100</v>
      </c>
      <c r="Q31" s="121"/>
      <c r="R31" s="121" t="s">
        <v>93</v>
      </c>
      <c r="S31" s="121"/>
      <c r="T31" s="121" t="s">
        <v>103</v>
      </c>
      <c r="U31" s="121"/>
      <c r="V31" s="121" t="s">
        <v>179</v>
      </c>
      <c r="W31" s="121"/>
      <c r="X31" s="121"/>
      <c r="Y31" s="121" t="s">
        <v>91</v>
      </c>
      <c r="Z31" s="124"/>
    </row>
    <row r="32" spans="1:26" ht="23.25" customHeight="1" x14ac:dyDescent="0.2">
      <c r="A32" s="49" t="s">
        <v>21</v>
      </c>
      <c r="B32" s="82">
        <v>3589.7750999999998</v>
      </c>
      <c r="C32" s="25">
        <f t="shared" si="0"/>
        <v>4.2899999999917782E-2</v>
      </c>
      <c r="D32" s="24">
        <f t="shared" si="1"/>
        <v>1544.3999999970401</v>
      </c>
      <c r="E32" s="108"/>
      <c r="F32" s="82">
        <v>2438.0929000000001</v>
      </c>
      <c r="G32" s="51">
        <f t="shared" si="4"/>
        <v>3.0299999999897409E-2</v>
      </c>
      <c r="H32" s="50">
        <f t="shared" si="2"/>
        <v>1090.7999999963067</v>
      </c>
      <c r="I32" s="52">
        <f t="shared" si="3"/>
        <v>0.70629370629266852</v>
      </c>
      <c r="J32" s="53"/>
      <c r="K32" s="52">
        <v>6.2461520000000004</v>
      </c>
      <c r="L32" s="53"/>
      <c r="M32" s="116"/>
      <c r="N32" s="118"/>
      <c r="O32" s="118"/>
      <c r="P32" s="118" t="s">
        <v>83</v>
      </c>
      <c r="Q32" s="118"/>
      <c r="R32" s="118" t="s">
        <v>102</v>
      </c>
      <c r="S32" s="118"/>
      <c r="T32" s="118" t="s">
        <v>104</v>
      </c>
      <c r="U32" s="118"/>
      <c r="V32" s="118" t="s">
        <v>105</v>
      </c>
      <c r="W32" s="118"/>
      <c r="X32" s="118"/>
      <c r="Y32" s="118"/>
      <c r="Z32" s="125"/>
    </row>
    <row r="33" spans="1:26" ht="23.25" customHeight="1" x14ac:dyDescent="0.2">
      <c r="A33" s="49" t="s">
        <v>22</v>
      </c>
      <c r="B33" s="82">
        <v>3589.8227999999999</v>
      </c>
      <c r="C33" s="25">
        <f t="shared" si="0"/>
        <v>4.7700000000077125E-2</v>
      </c>
      <c r="D33" s="24">
        <f t="shared" si="1"/>
        <v>1717.2000000027765</v>
      </c>
      <c r="E33" s="108"/>
      <c r="F33" s="82">
        <v>2438.1269000000002</v>
      </c>
      <c r="G33" s="51">
        <f t="shared" si="4"/>
        <v>3.4000000000105501E-2</v>
      </c>
      <c r="H33" s="50">
        <f t="shared" si="2"/>
        <v>1224.000000003798</v>
      </c>
      <c r="I33" s="52">
        <f t="shared" si="3"/>
        <v>0.71278825995913053</v>
      </c>
      <c r="J33" s="53"/>
      <c r="K33" s="52">
        <v>6.2674159999999999</v>
      </c>
      <c r="L33" s="53"/>
      <c r="M33" s="116" t="s">
        <v>80</v>
      </c>
      <c r="N33" s="118" t="s">
        <v>99</v>
      </c>
      <c r="O33" s="118"/>
      <c r="P33" s="118" t="s">
        <v>101</v>
      </c>
      <c r="Q33" s="118"/>
      <c r="R33" s="118" t="s">
        <v>69</v>
      </c>
      <c r="S33" s="118"/>
      <c r="T33" s="118" t="s">
        <v>69</v>
      </c>
      <c r="U33" s="118"/>
      <c r="V33" s="118" t="s">
        <v>106</v>
      </c>
      <c r="W33" s="118"/>
      <c r="X33" s="118"/>
      <c r="Y33" s="118"/>
      <c r="Z33" s="125"/>
    </row>
    <row r="34" spans="1:26" ht="23.25" customHeight="1" x14ac:dyDescent="0.2">
      <c r="A34" s="49" t="s">
        <v>23</v>
      </c>
      <c r="B34" s="82">
        <v>3589.8642</v>
      </c>
      <c r="C34" s="25">
        <f t="shared" si="0"/>
        <v>4.1400000000066939E-2</v>
      </c>
      <c r="D34" s="24">
        <f t="shared" si="1"/>
        <v>1490.4000000024098</v>
      </c>
      <c r="E34" s="108"/>
      <c r="F34" s="82">
        <v>2438.1552000000001</v>
      </c>
      <c r="G34" s="51">
        <f t="shared" si="4"/>
        <v>2.8299999999944703E-2</v>
      </c>
      <c r="H34" s="50">
        <f t="shared" si="2"/>
        <v>1018.7999999980093</v>
      </c>
      <c r="I34" s="52">
        <f t="shared" si="3"/>
        <v>0.68357487922461224</v>
      </c>
      <c r="J34" s="53"/>
      <c r="K34" s="52">
        <v>6.291417</v>
      </c>
      <c r="L34" s="53"/>
      <c r="M34" s="117"/>
      <c r="N34" s="119"/>
      <c r="O34" s="119"/>
      <c r="P34" s="119"/>
      <c r="Q34" s="119"/>
      <c r="R34" s="127"/>
      <c r="S34" s="117"/>
      <c r="T34" s="127"/>
      <c r="U34" s="117"/>
      <c r="V34" s="127"/>
      <c r="W34" s="130"/>
      <c r="X34" s="117"/>
      <c r="Y34" s="119"/>
      <c r="Z34" s="127"/>
    </row>
    <row r="35" spans="1:26" ht="23.25" customHeight="1" x14ac:dyDescent="0.2">
      <c r="A35" s="49" t="s">
        <v>24</v>
      </c>
      <c r="B35" s="82">
        <v>3589.9069</v>
      </c>
      <c r="C35" s="25">
        <f t="shared" si="0"/>
        <v>4.2699999999967986E-2</v>
      </c>
      <c r="D35" s="24">
        <f t="shared" si="1"/>
        <v>1537.1999999988475</v>
      </c>
      <c r="E35" s="108"/>
      <c r="F35" s="82">
        <v>2438.1835000000001</v>
      </c>
      <c r="G35" s="51">
        <f t="shared" si="4"/>
        <v>2.8299999999944703E-2</v>
      </c>
      <c r="H35" s="50">
        <f t="shared" si="2"/>
        <v>1018.7999999980093</v>
      </c>
      <c r="I35" s="52">
        <f t="shared" si="3"/>
        <v>0.6627634660413565</v>
      </c>
      <c r="J35" s="53"/>
      <c r="K35" s="52">
        <v>6.2794210000000001</v>
      </c>
      <c r="L35" s="53"/>
      <c r="M35" s="9"/>
      <c r="N35" s="120" t="s">
        <v>370</v>
      </c>
      <c r="O35" s="120"/>
      <c r="P35" s="120">
        <v>0.4</v>
      </c>
      <c r="Q35" s="120"/>
      <c r="R35" s="120">
        <v>80</v>
      </c>
      <c r="S35" s="120"/>
      <c r="T35" s="120"/>
      <c r="U35" s="120"/>
      <c r="V35" s="120"/>
      <c r="W35" s="120"/>
      <c r="X35" s="120"/>
      <c r="Y35" s="120"/>
      <c r="Z35" s="111"/>
    </row>
    <row r="36" spans="1:26" ht="23.25" customHeight="1" x14ac:dyDescent="0.2">
      <c r="A36" s="49" t="s">
        <v>25</v>
      </c>
      <c r="B36" s="82">
        <v>3589.9503</v>
      </c>
      <c r="C36" s="25">
        <f t="shared" si="0"/>
        <v>4.3400000000019645E-2</v>
      </c>
      <c r="D36" s="24">
        <f t="shared" si="1"/>
        <v>1562.4000000007072</v>
      </c>
      <c r="E36" s="108"/>
      <c r="F36" s="82">
        <v>2438.2123000000001</v>
      </c>
      <c r="G36" s="51">
        <f t="shared" si="4"/>
        <v>2.8800000000046566E-2</v>
      </c>
      <c r="H36" s="50">
        <f t="shared" si="2"/>
        <v>1036.8000000016764</v>
      </c>
      <c r="I36" s="52">
        <f t="shared" si="3"/>
        <v>0.66359447004685557</v>
      </c>
      <c r="J36" s="53"/>
      <c r="K36" s="52">
        <v>6.2663659999999997</v>
      </c>
      <c r="L36" s="53"/>
      <c r="M36" s="9"/>
      <c r="N36" s="120"/>
      <c r="O36" s="120"/>
      <c r="P36" s="126"/>
      <c r="Q36" s="126"/>
      <c r="R36" s="120"/>
      <c r="S36" s="120"/>
      <c r="T36" s="120"/>
      <c r="U36" s="120"/>
      <c r="V36" s="120"/>
      <c r="W36" s="120"/>
      <c r="X36" s="120"/>
      <c r="Y36" s="120"/>
      <c r="Z36" s="111"/>
    </row>
    <row r="37" spans="1:26" ht="23.25" customHeight="1" x14ac:dyDescent="0.2">
      <c r="A37" s="49" t="s">
        <v>26</v>
      </c>
      <c r="B37" s="82">
        <v>3589.9940999999999</v>
      </c>
      <c r="C37" s="25">
        <f t="shared" si="0"/>
        <v>4.3799999999919237E-2</v>
      </c>
      <c r="D37" s="24">
        <f t="shared" si="1"/>
        <v>1576.7999999970925</v>
      </c>
      <c r="E37" s="108"/>
      <c r="F37" s="82">
        <v>2438.2397000000001</v>
      </c>
      <c r="G37" s="51">
        <f t="shared" si="4"/>
        <v>2.7399999999943248E-2</v>
      </c>
      <c r="H37" s="50">
        <f t="shared" si="2"/>
        <v>986.39999999795691</v>
      </c>
      <c r="I37" s="52">
        <f t="shared" si="3"/>
        <v>0.62557077625556556</v>
      </c>
      <c r="J37" s="53"/>
      <c r="K37" s="52">
        <v>6.209613</v>
      </c>
      <c r="L37" s="53"/>
      <c r="M37" s="9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11"/>
    </row>
    <row r="38" spans="1:26" ht="23.25" customHeight="1" x14ac:dyDescent="0.2">
      <c r="A38" s="49" t="s">
        <v>27</v>
      </c>
      <c r="B38" s="82">
        <v>3590.0398</v>
      </c>
      <c r="C38" s="25">
        <f t="shared" si="0"/>
        <v>4.5700000000124419E-2</v>
      </c>
      <c r="D38" s="24">
        <f t="shared" si="1"/>
        <v>1645.2000000044791</v>
      </c>
      <c r="E38" s="108"/>
      <c r="F38" s="82">
        <v>2438.2671</v>
      </c>
      <c r="G38" s="51">
        <f t="shared" si="4"/>
        <v>2.7399999999943248E-2</v>
      </c>
      <c r="H38" s="50">
        <f t="shared" si="2"/>
        <v>986.39999999795691</v>
      </c>
      <c r="I38" s="52">
        <f t="shared" si="3"/>
        <v>0.59956236323563783</v>
      </c>
      <c r="J38" s="53"/>
      <c r="K38" s="52">
        <v>6.2374579999999993</v>
      </c>
      <c r="L38" s="53"/>
      <c r="M38" s="9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11"/>
    </row>
    <row r="39" spans="1:26" ht="23.25" customHeight="1" x14ac:dyDescent="0.2">
      <c r="A39" s="49" t="s">
        <v>28</v>
      </c>
      <c r="B39" s="82">
        <v>3590.0843</v>
      </c>
      <c r="C39" s="25">
        <f t="shared" si="0"/>
        <v>4.4499999999970896E-2</v>
      </c>
      <c r="D39" s="24">
        <f t="shared" si="1"/>
        <v>1601.9999999989523</v>
      </c>
      <c r="E39" s="108"/>
      <c r="F39" s="82">
        <v>2438.2946000000002</v>
      </c>
      <c r="G39" s="51">
        <f t="shared" si="4"/>
        <v>2.7500000000145519E-2</v>
      </c>
      <c r="H39" s="50">
        <f t="shared" si="2"/>
        <v>990.00000000523869</v>
      </c>
      <c r="I39" s="52">
        <f t="shared" si="3"/>
        <v>0.61797752809356188</v>
      </c>
      <c r="J39" s="53"/>
      <c r="K39" s="52">
        <v>6.2622799999999996</v>
      </c>
      <c r="L39" s="53"/>
      <c r="M39" s="9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11"/>
    </row>
    <row r="40" spans="1:26" ht="23.25" customHeight="1" x14ac:dyDescent="0.2">
      <c r="A40" s="49" t="s">
        <v>29</v>
      </c>
      <c r="B40" s="82">
        <v>3590.1307000000002</v>
      </c>
      <c r="C40" s="25">
        <f t="shared" si="0"/>
        <v>4.6400000000176078E-2</v>
      </c>
      <c r="D40" s="24">
        <f t="shared" si="1"/>
        <v>1670.4000000063388</v>
      </c>
      <c r="E40" s="108"/>
      <c r="F40" s="82">
        <v>2438.3238000000001</v>
      </c>
      <c r="G40" s="51">
        <f t="shared" si="4"/>
        <v>2.9199999999946158E-2</v>
      </c>
      <c r="H40" s="50">
        <f t="shared" si="2"/>
        <v>1051.1999999980617</v>
      </c>
      <c r="I40" s="52">
        <f t="shared" si="3"/>
        <v>0.62931034482403769</v>
      </c>
      <c r="J40" s="53"/>
      <c r="K40" s="52">
        <v>6.2793159999999997</v>
      </c>
      <c r="L40" s="53"/>
      <c r="M40" s="122" t="s">
        <v>109</v>
      </c>
      <c r="N40" s="122"/>
      <c r="O40" s="122"/>
      <c r="P40" s="122"/>
      <c r="Q40" s="122"/>
      <c r="R40" s="122"/>
      <c r="S40" s="122"/>
      <c r="T40" s="122"/>
      <c r="U40" s="122"/>
      <c r="V40" s="122"/>
      <c r="W40" s="122"/>
      <c r="X40" s="122"/>
      <c r="Y40" s="122"/>
      <c r="Z40" s="122"/>
    </row>
    <row r="41" spans="1:26" ht="23.25" customHeight="1" x14ac:dyDescent="0.2">
      <c r="A41" s="49" t="s">
        <v>30</v>
      </c>
      <c r="B41" s="82">
        <v>3590.1763999999998</v>
      </c>
      <c r="C41" s="25">
        <f t="shared" si="0"/>
        <v>4.5699999999669672E-2</v>
      </c>
      <c r="D41" s="24">
        <f t="shared" si="1"/>
        <v>1645.1999999881082</v>
      </c>
      <c r="E41" s="108"/>
      <c r="F41" s="82">
        <v>2438.3530999999998</v>
      </c>
      <c r="G41" s="51">
        <f t="shared" si="4"/>
        <v>2.9299999999693682E-2</v>
      </c>
      <c r="H41" s="50">
        <f t="shared" si="2"/>
        <v>1054.7999999889726</v>
      </c>
      <c r="I41" s="52">
        <f t="shared" si="3"/>
        <v>0.64113785557780023</v>
      </c>
      <c r="J41" s="53"/>
      <c r="K41" s="52">
        <v>6.3165420000000001</v>
      </c>
      <c r="L41" s="53"/>
      <c r="M41" s="123" t="s">
        <v>79</v>
      </c>
      <c r="N41" s="121" t="s">
        <v>98</v>
      </c>
      <c r="O41" s="121"/>
      <c r="P41" s="121" t="s">
        <v>93</v>
      </c>
      <c r="Q41" s="121"/>
      <c r="R41" s="121"/>
      <c r="S41" s="121" t="s">
        <v>111</v>
      </c>
      <c r="T41" s="121" t="s">
        <v>81</v>
      </c>
      <c r="U41" s="121"/>
      <c r="V41" s="121"/>
      <c r="W41" s="121"/>
      <c r="X41" s="121" t="s">
        <v>93</v>
      </c>
      <c r="Y41" s="121"/>
      <c r="Z41" s="124"/>
    </row>
    <row r="42" spans="1:26" ht="23.25" customHeight="1" x14ac:dyDescent="0.2">
      <c r="A42" s="49" t="s">
        <v>31</v>
      </c>
      <c r="B42" s="82">
        <v>3590.2201</v>
      </c>
      <c r="C42" s="25">
        <f t="shared" si="0"/>
        <v>4.3700000000171713E-2</v>
      </c>
      <c r="D42" s="24">
        <f t="shared" si="1"/>
        <v>1573.2000000061817</v>
      </c>
      <c r="E42" s="108"/>
      <c r="F42" s="82">
        <v>2438.3816000000002</v>
      </c>
      <c r="G42" s="51">
        <f t="shared" si="4"/>
        <v>2.8500000000349246E-2</v>
      </c>
      <c r="H42" s="50">
        <f t="shared" si="2"/>
        <v>1026.0000000125729</v>
      </c>
      <c r="I42" s="52">
        <f t="shared" si="3"/>
        <v>0.65217391304890759</v>
      </c>
      <c r="J42" s="53"/>
      <c r="K42" s="52">
        <v>6.1443149999999997</v>
      </c>
      <c r="L42" s="53"/>
      <c r="M42" s="116"/>
      <c r="N42" s="118"/>
      <c r="O42" s="118"/>
      <c r="P42" s="118"/>
      <c r="Q42" s="118"/>
      <c r="R42" s="118"/>
      <c r="S42" s="118"/>
      <c r="T42" s="118"/>
      <c r="U42" s="118"/>
      <c r="V42" s="118"/>
      <c r="W42" s="118"/>
      <c r="X42" s="118"/>
      <c r="Y42" s="118"/>
      <c r="Z42" s="125"/>
    </row>
    <row r="43" spans="1:26" ht="22.5" customHeight="1" x14ac:dyDescent="0.2">
      <c r="A43" s="184" t="s">
        <v>187</v>
      </c>
      <c r="B43" s="184"/>
      <c r="C43" s="184"/>
      <c r="D43" s="50">
        <f>SUM(D18:D42)</f>
        <v>36813.599999992221</v>
      </c>
      <c r="E43" s="39"/>
      <c r="F43" s="65"/>
      <c r="G43" s="39"/>
      <c r="H43" s="50">
        <f>SUM(H18:H42)</f>
        <v>24595.199999997931</v>
      </c>
      <c r="I43" s="52">
        <f>IF(AND(H43=0,D43=0),0,H43/D43)</f>
        <v>0.66810091922558856</v>
      </c>
      <c r="J43" s="39"/>
      <c r="K43" s="39"/>
      <c r="L43" s="53"/>
      <c r="M43" s="116" t="s">
        <v>80</v>
      </c>
      <c r="N43" s="118" t="s">
        <v>99</v>
      </c>
      <c r="O43" s="118"/>
      <c r="P43" s="118" t="s">
        <v>110</v>
      </c>
      <c r="Q43" s="118"/>
      <c r="R43" s="118"/>
      <c r="S43" s="118"/>
      <c r="T43" s="118"/>
      <c r="U43" s="118"/>
      <c r="V43" s="118"/>
      <c r="W43" s="118"/>
      <c r="X43" s="118" t="s">
        <v>110</v>
      </c>
      <c r="Y43" s="118"/>
      <c r="Z43" s="125"/>
    </row>
    <row r="44" spans="1:26" ht="22.5" customHeight="1" x14ac:dyDescent="0.2">
      <c r="A44" s="183" t="s">
        <v>71</v>
      </c>
      <c r="B44" s="183"/>
      <c r="C44" s="183"/>
      <c r="D44" s="39"/>
      <c r="E44" s="39"/>
      <c r="F44" s="65"/>
      <c r="G44" s="39"/>
      <c r="H44" s="39"/>
      <c r="I44" s="39"/>
      <c r="J44" s="39"/>
      <c r="K44" s="39"/>
      <c r="L44" s="53"/>
      <c r="M44" s="117"/>
      <c r="N44" s="119"/>
      <c r="O44" s="119"/>
      <c r="P44" s="119"/>
      <c r="Q44" s="119"/>
      <c r="R44" s="119"/>
      <c r="S44" s="119"/>
      <c r="T44" s="119"/>
      <c r="U44" s="119"/>
      <c r="V44" s="119"/>
      <c r="W44" s="119"/>
      <c r="X44" s="119"/>
      <c r="Y44" s="119"/>
      <c r="Z44" s="127"/>
    </row>
    <row r="45" spans="1:26" ht="22.5" customHeight="1" x14ac:dyDescent="0.2">
      <c r="A45" s="55"/>
      <c r="B45" s="56"/>
      <c r="C45" s="56"/>
      <c r="D45" s="56"/>
      <c r="E45" s="56"/>
      <c r="F45" s="56"/>
      <c r="G45" s="56"/>
      <c r="H45" s="56"/>
      <c r="I45" s="56"/>
      <c r="J45" s="57"/>
      <c r="K45" s="57"/>
      <c r="L45" s="57"/>
      <c r="M45" s="9"/>
      <c r="N45" s="111"/>
      <c r="O45" s="113"/>
      <c r="P45" s="111"/>
      <c r="Q45" s="112"/>
      <c r="R45" s="113"/>
      <c r="S45" s="7"/>
      <c r="T45" s="111"/>
      <c r="U45" s="112"/>
      <c r="V45" s="112"/>
      <c r="W45" s="113"/>
      <c r="X45" s="111"/>
      <c r="Y45" s="112"/>
      <c r="Z45" s="112"/>
    </row>
    <row r="46" spans="1:26" ht="22.5" customHeight="1" x14ac:dyDescent="0.2">
      <c r="A46" s="182" t="s">
        <v>72</v>
      </c>
      <c r="B46" s="182"/>
      <c r="C46" s="182"/>
      <c r="D46" s="182"/>
      <c r="E46" s="182"/>
      <c r="F46" s="182"/>
      <c r="G46" s="204" t="s">
        <v>73</v>
      </c>
      <c r="H46" s="204"/>
      <c r="I46" s="204"/>
      <c r="J46" s="204"/>
      <c r="K46" s="204"/>
      <c r="L46" s="204"/>
      <c r="M46" s="9"/>
      <c r="N46" s="111"/>
      <c r="O46" s="113"/>
      <c r="P46" s="111"/>
      <c r="Q46" s="112"/>
      <c r="R46" s="113"/>
      <c r="S46" s="7"/>
      <c r="T46" s="111"/>
      <c r="U46" s="112"/>
      <c r="V46" s="112"/>
      <c r="W46" s="113"/>
      <c r="X46" s="111"/>
      <c r="Y46" s="112"/>
      <c r="Z46" s="112"/>
    </row>
    <row r="47" spans="1:26" ht="22.5" customHeight="1" x14ac:dyDescent="0.2">
      <c r="A47" s="144" t="s">
        <v>365</v>
      </c>
      <c r="B47" s="144"/>
      <c r="C47" s="144"/>
      <c r="D47" s="135" t="s">
        <v>74</v>
      </c>
      <c r="E47" s="135"/>
      <c r="F47" s="135"/>
      <c r="G47" s="56"/>
      <c r="H47" s="56"/>
      <c r="I47" s="56"/>
      <c r="J47" s="56"/>
      <c r="K47" s="56"/>
      <c r="L47" s="56"/>
      <c r="M47" s="9"/>
      <c r="N47" s="111"/>
      <c r="O47" s="113"/>
      <c r="P47" s="111"/>
      <c r="Q47" s="112"/>
      <c r="R47" s="113"/>
      <c r="S47" s="7"/>
      <c r="T47" s="111"/>
      <c r="U47" s="112"/>
      <c r="V47" s="112"/>
      <c r="W47" s="113"/>
      <c r="X47" s="111"/>
      <c r="Y47" s="112"/>
      <c r="Z47" s="112"/>
    </row>
    <row r="48" spans="1:26" ht="22.5" customHeight="1" x14ac:dyDescent="0.2">
      <c r="A48" s="175" t="s">
        <v>75</v>
      </c>
      <c r="B48" s="175"/>
      <c r="C48" s="175"/>
      <c r="D48" s="174" t="s">
        <v>76</v>
      </c>
      <c r="E48" s="174"/>
      <c r="F48" s="174"/>
      <c r="G48" s="55"/>
      <c r="H48" s="55"/>
      <c r="I48" s="55"/>
      <c r="J48" s="55"/>
      <c r="K48" s="55"/>
      <c r="L48" s="55"/>
    </row>
    <row r="49" spans="1:23" ht="22.5" customHeight="1" x14ac:dyDescent="0.2">
      <c r="A49" s="144" t="s">
        <v>366</v>
      </c>
      <c r="B49" s="144"/>
      <c r="C49" s="144"/>
      <c r="D49" s="135" t="s">
        <v>74</v>
      </c>
      <c r="E49" s="135"/>
      <c r="F49" s="135"/>
      <c r="G49" s="55"/>
      <c r="H49" s="182" t="s">
        <v>183</v>
      </c>
      <c r="I49" s="182"/>
      <c r="J49" s="182"/>
      <c r="K49" s="182" t="s">
        <v>77</v>
      </c>
      <c r="L49" s="182"/>
      <c r="N49" s="177" t="s">
        <v>150</v>
      </c>
      <c r="O49" s="177"/>
      <c r="P49" s="177"/>
      <c r="Q49" s="176" t="s">
        <v>364</v>
      </c>
      <c r="R49" s="176"/>
      <c r="S49" s="176"/>
      <c r="T49" s="176"/>
      <c r="U49" s="176"/>
      <c r="V49" s="176"/>
      <c r="W49" s="1"/>
    </row>
    <row r="50" spans="1:23" ht="22.5" customHeight="1" x14ac:dyDescent="0.2">
      <c r="A50" s="175" t="s">
        <v>75</v>
      </c>
      <c r="B50" s="175"/>
      <c r="C50" s="175"/>
      <c r="D50" s="174" t="s">
        <v>76</v>
      </c>
      <c r="E50" s="174"/>
      <c r="F50" s="174"/>
      <c r="G50" s="58"/>
      <c r="H50" s="175" t="s">
        <v>75</v>
      </c>
      <c r="I50" s="175"/>
      <c r="J50" s="175"/>
      <c r="K50" s="175" t="s">
        <v>76</v>
      </c>
      <c r="L50" s="175"/>
      <c r="S50" s="173" t="s">
        <v>76</v>
      </c>
      <c r="T50" s="173"/>
    </row>
    <row r="51" spans="1:23" ht="20.100000000000001" customHeight="1" x14ac:dyDescent="0.2">
      <c r="A51" s="144" t="s">
        <v>367</v>
      </c>
      <c r="B51" s="144"/>
      <c r="C51" s="144"/>
      <c r="D51" s="135" t="s">
        <v>74</v>
      </c>
      <c r="E51" s="135"/>
      <c r="F51" s="135"/>
      <c r="G51" s="55"/>
      <c r="H51" s="55"/>
      <c r="I51" s="55"/>
      <c r="J51" s="55"/>
      <c r="K51" s="55"/>
      <c r="L51" s="55"/>
    </row>
    <row r="52" spans="1:23" ht="20.100000000000001" customHeight="1" x14ac:dyDescent="0.2">
      <c r="A52" s="174" t="s">
        <v>75</v>
      </c>
      <c r="B52" s="174"/>
      <c r="C52" s="174"/>
      <c r="D52" s="173" t="s">
        <v>76</v>
      </c>
      <c r="E52" s="173"/>
      <c r="F52" s="173"/>
      <c r="G52" s="59"/>
      <c r="H52" s="59"/>
      <c r="I52" s="55"/>
      <c r="J52" s="55"/>
      <c r="K52" s="55"/>
      <c r="L52" s="55"/>
    </row>
  </sheetData>
  <sheetProtection sheet="1" objects="1" scenarios="1"/>
  <mergeCells count="258">
    <mergeCell ref="A52:C52"/>
    <mergeCell ref="D52:F52"/>
    <mergeCell ref="I1:L2"/>
    <mergeCell ref="G5:H6"/>
    <mergeCell ref="I5:L6"/>
    <mergeCell ref="H10:L10"/>
    <mergeCell ref="F15:G15"/>
    <mergeCell ref="H50:J50"/>
    <mergeCell ref="K50:L50"/>
    <mergeCell ref="D49:F49"/>
    <mergeCell ref="A7:L7"/>
    <mergeCell ref="A9:L9"/>
    <mergeCell ref="G3:H4"/>
    <mergeCell ref="I11:L11"/>
    <mergeCell ref="A2:F2"/>
    <mergeCell ref="A3:F3"/>
    <mergeCell ref="A4:F4"/>
    <mergeCell ref="A5:F5"/>
    <mergeCell ref="A6:F6"/>
    <mergeCell ref="A8:L8"/>
    <mergeCell ref="I3:L4"/>
    <mergeCell ref="A11:D11"/>
    <mergeCell ref="E11:H11"/>
    <mergeCell ref="A10:D10"/>
    <mergeCell ref="N49:P49"/>
    <mergeCell ref="P45:R45"/>
    <mergeCell ref="A51:C51"/>
    <mergeCell ref="D51:F51"/>
    <mergeCell ref="N46:O46"/>
    <mergeCell ref="N47:O47"/>
    <mergeCell ref="T45:W45"/>
    <mergeCell ref="T46:W46"/>
    <mergeCell ref="A50:C50"/>
    <mergeCell ref="D50:F50"/>
    <mergeCell ref="D48:F48"/>
    <mergeCell ref="A49:C49"/>
    <mergeCell ref="H49:J49"/>
    <mergeCell ref="K49:L49"/>
    <mergeCell ref="D47:F47"/>
    <mergeCell ref="G46:L46"/>
    <mergeCell ref="A48:C48"/>
    <mergeCell ref="A47:C47"/>
    <mergeCell ref="X45:Z45"/>
    <mergeCell ref="X46:Z46"/>
    <mergeCell ref="X47:Z47"/>
    <mergeCell ref="S50:T50"/>
    <mergeCell ref="N39:O39"/>
    <mergeCell ref="P39:Q39"/>
    <mergeCell ref="N41:O42"/>
    <mergeCell ref="P41:R42"/>
    <mergeCell ref="M40:Z40"/>
    <mergeCell ref="M43:M44"/>
    <mergeCell ref="T47:W47"/>
    <mergeCell ref="N43:O44"/>
    <mergeCell ref="P43:R44"/>
    <mergeCell ref="P46:R46"/>
    <mergeCell ref="P47:R47"/>
    <mergeCell ref="N45:O45"/>
    <mergeCell ref="R39:S39"/>
    <mergeCell ref="T39:U39"/>
    <mergeCell ref="V39:X39"/>
    <mergeCell ref="Y39:Z39"/>
    <mergeCell ref="S41:S44"/>
    <mergeCell ref="T41:W44"/>
    <mergeCell ref="M41:M42"/>
    <mergeCell ref="Q49:V49"/>
    <mergeCell ref="V37:X37"/>
    <mergeCell ref="Y37:Z37"/>
    <mergeCell ref="V38:X38"/>
    <mergeCell ref="Y38:Z38"/>
    <mergeCell ref="X41:Z42"/>
    <mergeCell ref="X43:Z44"/>
    <mergeCell ref="N37:O37"/>
    <mergeCell ref="P37:Q37"/>
    <mergeCell ref="R37:S37"/>
    <mergeCell ref="T37:U37"/>
    <mergeCell ref="N38:O38"/>
    <mergeCell ref="P38:Q38"/>
    <mergeCell ref="R38:S38"/>
    <mergeCell ref="T38:U38"/>
    <mergeCell ref="V13:W13"/>
    <mergeCell ref="T11:U11"/>
    <mergeCell ref="T12:U12"/>
    <mergeCell ref="T13:U13"/>
    <mergeCell ref="T27:V27"/>
    <mergeCell ref="W27:Z27"/>
    <mergeCell ref="T25:V25"/>
    <mergeCell ref="Y35:Z35"/>
    <mergeCell ref="N36:O36"/>
    <mergeCell ref="P36:Q36"/>
    <mergeCell ref="R36:S36"/>
    <mergeCell ref="T36:U36"/>
    <mergeCell ref="V36:X36"/>
    <mergeCell ref="Y36:Z36"/>
    <mergeCell ref="R34:S34"/>
    <mergeCell ref="T34:U34"/>
    <mergeCell ref="V34:X34"/>
    <mergeCell ref="N35:O35"/>
    <mergeCell ref="P35:Q35"/>
    <mergeCell ref="R35:S35"/>
    <mergeCell ref="T35:U35"/>
    <mergeCell ref="V35:X35"/>
    <mergeCell ref="T23:V23"/>
    <mergeCell ref="Q26:S26"/>
    <mergeCell ref="T26:V26"/>
    <mergeCell ref="N24:P24"/>
    <mergeCell ref="Q24:S24"/>
    <mergeCell ref="T28:V28"/>
    <mergeCell ref="W28:Z28"/>
    <mergeCell ref="T24:V24"/>
    <mergeCell ref="X9:Z9"/>
    <mergeCell ref="X10:Z10"/>
    <mergeCell ref="X11:Z11"/>
    <mergeCell ref="X12:Z12"/>
    <mergeCell ref="X13:Z13"/>
    <mergeCell ref="X14:Z14"/>
    <mergeCell ref="X15:Z15"/>
    <mergeCell ref="X16:Z16"/>
    <mergeCell ref="W26:Z26"/>
    <mergeCell ref="W23:Z23"/>
    <mergeCell ref="W24:Z24"/>
    <mergeCell ref="W25:Z25"/>
    <mergeCell ref="T18:V19"/>
    <mergeCell ref="V14:W14"/>
    <mergeCell ref="V11:W11"/>
    <mergeCell ref="V12:W12"/>
    <mergeCell ref="N14:O14"/>
    <mergeCell ref="N15:O15"/>
    <mergeCell ref="N31:O32"/>
    <mergeCell ref="N33:O34"/>
    <mergeCell ref="P31:Q31"/>
    <mergeCell ref="P32:Q32"/>
    <mergeCell ref="P33:Q33"/>
    <mergeCell ref="P34:Q34"/>
    <mergeCell ref="N28:P28"/>
    <mergeCell ref="Q28:S28"/>
    <mergeCell ref="N23:P23"/>
    <mergeCell ref="N27:P27"/>
    <mergeCell ref="Q27:S27"/>
    <mergeCell ref="N26:P26"/>
    <mergeCell ref="N25:P25"/>
    <mergeCell ref="Q25:S25"/>
    <mergeCell ref="Q23:S23"/>
    <mergeCell ref="M31:M32"/>
    <mergeCell ref="T33:U33"/>
    <mergeCell ref="R31:S31"/>
    <mergeCell ref="R32:S32"/>
    <mergeCell ref="Q19:S19"/>
    <mergeCell ref="Q20:S20"/>
    <mergeCell ref="R16:S16"/>
    <mergeCell ref="V15:W15"/>
    <mergeCell ref="V16:W16"/>
    <mergeCell ref="T16:U16"/>
    <mergeCell ref="P16:Q16"/>
    <mergeCell ref="M17:Z17"/>
    <mergeCell ref="W18:Z21"/>
    <mergeCell ref="N18:P19"/>
    <mergeCell ref="W22:Z22"/>
    <mergeCell ref="T20:V21"/>
    <mergeCell ref="Q21:S21"/>
    <mergeCell ref="N22:P22"/>
    <mergeCell ref="M18:M19"/>
    <mergeCell ref="M20:M21"/>
    <mergeCell ref="Q22:S22"/>
    <mergeCell ref="T22:V22"/>
    <mergeCell ref="Q18:S18"/>
    <mergeCell ref="N20:P21"/>
    <mergeCell ref="V8:W8"/>
    <mergeCell ref="V9:W9"/>
    <mergeCell ref="V10:W10"/>
    <mergeCell ref="R7:S7"/>
    <mergeCell ref="R8:S8"/>
    <mergeCell ref="R9:S9"/>
    <mergeCell ref="R10:S10"/>
    <mergeCell ref="T8:U8"/>
    <mergeCell ref="T9:U9"/>
    <mergeCell ref="T10:U10"/>
    <mergeCell ref="N16:O16"/>
    <mergeCell ref="N12:O12"/>
    <mergeCell ref="N13:O13"/>
    <mergeCell ref="I13:I17"/>
    <mergeCell ref="J13:K13"/>
    <mergeCell ref="J14:K14"/>
    <mergeCell ref="J15:K15"/>
    <mergeCell ref="A12:L12"/>
    <mergeCell ref="F13:G13"/>
    <mergeCell ref="F14:G14"/>
    <mergeCell ref="B14:C14"/>
    <mergeCell ref="D14:E14"/>
    <mergeCell ref="P12:Q12"/>
    <mergeCell ref="T14:U14"/>
    <mergeCell ref="T15:U15"/>
    <mergeCell ref="P13:Q13"/>
    <mergeCell ref="P14:Q14"/>
    <mergeCell ref="P15:Q15"/>
    <mergeCell ref="R11:S11"/>
    <mergeCell ref="R12:S12"/>
    <mergeCell ref="R13:S13"/>
    <mergeCell ref="R14:S14"/>
    <mergeCell ref="R15:S15"/>
    <mergeCell ref="M1:Z1"/>
    <mergeCell ref="M2:Z2"/>
    <mergeCell ref="X3:Z6"/>
    <mergeCell ref="M5:M6"/>
    <mergeCell ref="M3:M4"/>
    <mergeCell ref="P3:Q4"/>
    <mergeCell ref="R3:S3"/>
    <mergeCell ref="R4:S4"/>
    <mergeCell ref="R5:S5"/>
    <mergeCell ref="R6:S6"/>
    <mergeCell ref="P5:Q6"/>
    <mergeCell ref="N3:O6"/>
    <mergeCell ref="T3:U3"/>
    <mergeCell ref="T4:U4"/>
    <mergeCell ref="T5:U5"/>
    <mergeCell ref="V3:W3"/>
    <mergeCell ref="V4:W4"/>
    <mergeCell ref="V5:W5"/>
    <mergeCell ref="V6:W6"/>
    <mergeCell ref="T6:U6"/>
    <mergeCell ref="N10:O10"/>
    <mergeCell ref="N11:O11"/>
    <mergeCell ref="P7:Q7"/>
    <mergeCell ref="P8:Q8"/>
    <mergeCell ref="P9:Q9"/>
    <mergeCell ref="P10:Q10"/>
    <mergeCell ref="N8:O8"/>
    <mergeCell ref="M33:M34"/>
    <mergeCell ref="M29:Z29"/>
    <mergeCell ref="M30:Z30"/>
    <mergeCell ref="V31:X31"/>
    <mergeCell ref="V32:X32"/>
    <mergeCell ref="Y31:Z34"/>
    <mergeCell ref="V33:X33"/>
    <mergeCell ref="R33:S33"/>
    <mergeCell ref="T31:U31"/>
    <mergeCell ref="T32:U32"/>
    <mergeCell ref="X7:Z7"/>
    <mergeCell ref="X8:Z8"/>
    <mergeCell ref="N9:O9"/>
    <mergeCell ref="T7:U7"/>
    <mergeCell ref="N7:O7"/>
    <mergeCell ref="V7:W7"/>
    <mergeCell ref="P11:Q11"/>
    <mergeCell ref="E10:G10"/>
    <mergeCell ref="A1:F1"/>
    <mergeCell ref="A46:F46"/>
    <mergeCell ref="A44:C44"/>
    <mergeCell ref="G1:H2"/>
    <mergeCell ref="A43:C43"/>
    <mergeCell ref="D13:E13"/>
    <mergeCell ref="J16:J17"/>
    <mergeCell ref="K16:K17"/>
    <mergeCell ref="A13:A17"/>
    <mergeCell ref="E16:E17"/>
    <mergeCell ref="B15:C15"/>
    <mergeCell ref="D15:E15"/>
    <mergeCell ref="B13:C13"/>
  </mergeCells>
  <phoneticPr fontId="0" type="noConversion"/>
  <printOptions horizontalCentered="1"/>
  <pageMargins left="0.39370078740157483" right="0.39370078740157483" top="0.19685039370078741" bottom="0.19685039370078741" header="0" footer="0"/>
  <pageSetup paperSize="9" scale="66" orientation="portrait" horizontalDpi="180" verticalDpi="180" r:id="rId1"/>
  <headerFooter alignWithMargins="0"/>
  <colBreaks count="1" manualBreakCount="1">
    <brk id="12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0"/>
  <dimension ref="A1:Z52"/>
  <sheetViews>
    <sheetView view="pageBreakPreview" topLeftCell="A13" zoomScale="75" zoomScaleNormal="75" zoomScaleSheetLayoutView="50" workbookViewId="0">
      <selection activeCell="G46" sqref="G46:L46"/>
    </sheetView>
  </sheetViews>
  <sheetFormatPr defaultRowHeight="18.75" x14ac:dyDescent="0.2"/>
  <cols>
    <col min="1" max="1" width="11.140625" style="2" customWidth="1"/>
    <col min="2" max="2" width="14.7109375" style="2" customWidth="1"/>
    <col min="3" max="3" width="12.140625" style="2" customWidth="1"/>
    <col min="4" max="4" width="13.140625" style="2" customWidth="1"/>
    <col min="5" max="5" width="5.42578125" style="2" customWidth="1"/>
    <col min="6" max="6" width="13.5703125" style="2" customWidth="1"/>
    <col min="7" max="7" width="12.28515625" style="2" customWidth="1"/>
    <col min="8" max="8" width="16.28515625" style="2" customWidth="1"/>
    <col min="9" max="9" width="8.28515625" style="2" customWidth="1"/>
    <col min="10" max="11" width="8.85546875" style="2" customWidth="1"/>
    <col min="12" max="12" width="16.85546875" style="2" customWidth="1"/>
    <col min="13" max="26" width="10.28515625" style="2" customWidth="1"/>
    <col min="27" max="16384" width="9.140625" style="2"/>
  </cols>
  <sheetData>
    <row r="1" spans="1:26" ht="21.75" customHeight="1" x14ac:dyDescent="0.2">
      <c r="A1" s="115" t="s">
        <v>157</v>
      </c>
      <c r="B1" s="115"/>
      <c r="C1" s="115"/>
      <c r="D1" s="115"/>
      <c r="E1" s="115"/>
      <c r="F1" s="115"/>
      <c r="G1" s="150" t="s">
        <v>154</v>
      </c>
      <c r="H1" s="150"/>
      <c r="I1" s="115" t="s">
        <v>160</v>
      </c>
      <c r="J1" s="115"/>
      <c r="K1" s="115"/>
      <c r="L1" s="115"/>
      <c r="M1" s="122" t="s">
        <v>96</v>
      </c>
      <c r="N1" s="122"/>
      <c r="O1" s="122"/>
      <c r="P1" s="122"/>
      <c r="Q1" s="122"/>
      <c r="R1" s="122"/>
      <c r="S1" s="122"/>
      <c r="T1" s="122"/>
      <c r="U1" s="122"/>
      <c r="V1" s="122"/>
      <c r="W1" s="122"/>
      <c r="X1" s="122"/>
      <c r="Y1" s="122"/>
      <c r="Z1" s="122"/>
    </row>
    <row r="2" spans="1:26" ht="21.75" customHeight="1" x14ac:dyDescent="0.2">
      <c r="A2" s="146" t="s">
        <v>45</v>
      </c>
      <c r="B2" s="146"/>
      <c r="C2" s="146"/>
      <c r="D2" s="146"/>
      <c r="E2" s="146"/>
      <c r="F2" s="146"/>
      <c r="G2" s="150"/>
      <c r="H2" s="150"/>
      <c r="I2" s="115"/>
      <c r="J2" s="115"/>
      <c r="K2" s="115"/>
      <c r="L2" s="115"/>
      <c r="M2" s="122" t="s">
        <v>78</v>
      </c>
      <c r="N2" s="122"/>
      <c r="O2" s="122"/>
      <c r="P2" s="122"/>
      <c r="Q2" s="122"/>
      <c r="R2" s="122"/>
      <c r="S2" s="122"/>
      <c r="T2" s="122"/>
      <c r="U2" s="122"/>
      <c r="V2" s="122"/>
      <c r="W2" s="122"/>
      <c r="X2" s="122"/>
      <c r="Y2" s="122"/>
      <c r="Z2" s="122"/>
    </row>
    <row r="3" spans="1:26" ht="21.75" customHeight="1" x14ac:dyDescent="0.2">
      <c r="A3" s="115" t="s">
        <v>158</v>
      </c>
      <c r="B3" s="147"/>
      <c r="C3" s="147"/>
      <c r="D3" s="147"/>
      <c r="E3" s="147"/>
      <c r="F3" s="147"/>
      <c r="G3" s="150" t="s">
        <v>155</v>
      </c>
      <c r="H3" s="150"/>
      <c r="I3" s="115" t="s">
        <v>202</v>
      </c>
      <c r="J3" s="115"/>
      <c r="K3" s="115"/>
      <c r="L3" s="115"/>
      <c r="M3" s="123" t="s">
        <v>79</v>
      </c>
      <c r="N3" s="124" t="s">
        <v>81</v>
      </c>
      <c r="O3" s="123"/>
      <c r="P3" s="124" t="s">
        <v>65</v>
      </c>
      <c r="Q3" s="123"/>
      <c r="R3" s="124" t="s">
        <v>82</v>
      </c>
      <c r="S3" s="123"/>
      <c r="T3" s="124" t="s">
        <v>85</v>
      </c>
      <c r="U3" s="123"/>
      <c r="V3" s="124" t="s">
        <v>87</v>
      </c>
      <c r="W3" s="123"/>
      <c r="X3" s="128" t="s">
        <v>91</v>
      </c>
      <c r="Y3" s="132"/>
      <c r="Z3" s="132"/>
    </row>
    <row r="4" spans="1:26" ht="29.25" customHeight="1" x14ac:dyDescent="0.2">
      <c r="A4" s="146" t="s">
        <v>46</v>
      </c>
      <c r="B4" s="146"/>
      <c r="C4" s="146"/>
      <c r="D4" s="146"/>
      <c r="E4" s="146"/>
      <c r="F4" s="146"/>
      <c r="G4" s="150"/>
      <c r="H4" s="150"/>
      <c r="I4" s="115"/>
      <c r="J4" s="115"/>
      <c r="K4" s="115"/>
      <c r="L4" s="115"/>
      <c r="M4" s="116"/>
      <c r="N4" s="125"/>
      <c r="O4" s="116"/>
      <c r="P4" s="125"/>
      <c r="Q4" s="116"/>
      <c r="R4" s="125" t="s">
        <v>83</v>
      </c>
      <c r="S4" s="116"/>
      <c r="T4" s="125" t="s">
        <v>86</v>
      </c>
      <c r="U4" s="116"/>
      <c r="V4" s="125" t="s">
        <v>88</v>
      </c>
      <c r="W4" s="116"/>
      <c r="X4" s="128"/>
      <c r="Y4" s="132"/>
      <c r="Z4" s="132"/>
    </row>
    <row r="5" spans="1:26" ht="21.75" customHeight="1" x14ac:dyDescent="0.2">
      <c r="A5" s="115" t="s">
        <v>177</v>
      </c>
      <c r="B5" s="147"/>
      <c r="C5" s="147"/>
      <c r="D5" s="147"/>
      <c r="E5" s="147"/>
      <c r="F5" s="147"/>
      <c r="G5" s="150" t="s">
        <v>156</v>
      </c>
      <c r="H5" s="150"/>
      <c r="I5" s="115" t="s">
        <v>203</v>
      </c>
      <c r="J5" s="115"/>
      <c r="K5" s="115"/>
      <c r="L5" s="115"/>
      <c r="M5" s="116" t="s">
        <v>80</v>
      </c>
      <c r="N5" s="125"/>
      <c r="O5" s="116"/>
      <c r="P5" s="125" t="s">
        <v>182</v>
      </c>
      <c r="Q5" s="116"/>
      <c r="R5" s="133" t="s">
        <v>84</v>
      </c>
      <c r="S5" s="134"/>
      <c r="T5" s="133" t="s">
        <v>84</v>
      </c>
      <c r="U5" s="134"/>
      <c r="V5" s="125" t="s">
        <v>89</v>
      </c>
      <c r="W5" s="116"/>
      <c r="X5" s="128"/>
      <c r="Y5" s="132"/>
      <c r="Z5" s="132"/>
    </row>
    <row r="6" spans="1:26" ht="21.75" customHeight="1" x14ac:dyDescent="0.2">
      <c r="A6" s="146" t="s">
        <v>47</v>
      </c>
      <c r="B6" s="146"/>
      <c r="C6" s="146"/>
      <c r="D6" s="146"/>
      <c r="E6" s="146"/>
      <c r="F6" s="146"/>
      <c r="G6" s="150"/>
      <c r="H6" s="150"/>
      <c r="I6" s="115"/>
      <c r="J6" s="115"/>
      <c r="K6" s="115"/>
      <c r="L6" s="115"/>
      <c r="M6" s="117"/>
      <c r="N6" s="127"/>
      <c r="O6" s="117"/>
      <c r="P6" s="127"/>
      <c r="Q6" s="117"/>
      <c r="R6" s="127"/>
      <c r="S6" s="117"/>
      <c r="T6" s="127"/>
      <c r="U6" s="117"/>
      <c r="V6" s="127" t="s">
        <v>90</v>
      </c>
      <c r="W6" s="117"/>
      <c r="X6" s="128"/>
      <c r="Y6" s="132"/>
      <c r="Z6" s="132"/>
    </row>
    <row r="7" spans="1:26" ht="21.75" customHeight="1" x14ac:dyDescent="0.2">
      <c r="A7" s="122"/>
      <c r="B7" s="122"/>
      <c r="C7" s="122"/>
      <c r="D7" s="122"/>
      <c r="E7" s="122"/>
      <c r="F7" s="122"/>
      <c r="G7" s="122"/>
      <c r="H7" s="122"/>
      <c r="I7" s="122"/>
      <c r="J7" s="122"/>
      <c r="K7" s="122"/>
      <c r="L7" s="122"/>
      <c r="M7" s="9"/>
      <c r="N7" s="111"/>
      <c r="O7" s="113"/>
      <c r="P7" s="111"/>
      <c r="Q7" s="113"/>
      <c r="R7" s="111"/>
      <c r="S7" s="113"/>
      <c r="T7" s="111"/>
      <c r="U7" s="113"/>
      <c r="V7" s="111"/>
      <c r="W7" s="113"/>
      <c r="X7" s="111"/>
      <c r="Y7" s="112"/>
      <c r="Z7" s="112"/>
    </row>
    <row r="8" spans="1:26" ht="22.5" customHeight="1" x14ac:dyDescent="0.2">
      <c r="A8" s="143" t="s">
        <v>48</v>
      </c>
      <c r="B8" s="143"/>
      <c r="C8" s="143"/>
      <c r="D8" s="143"/>
      <c r="E8" s="143"/>
      <c r="F8" s="143"/>
      <c r="G8" s="143"/>
      <c r="H8" s="143"/>
      <c r="I8" s="143"/>
      <c r="J8" s="143"/>
      <c r="K8" s="143"/>
      <c r="L8" s="143"/>
      <c r="M8" s="9"/>
      <c r="N8" s="111"/>
      <c r="O8" s="113"/>
      <c r="P8" s="111"/>
      <c r="Q8" s="113"/>
      <c r="R8" s="111"/>
      <c r="S8" s="113"/>
      <c r="T8" s="111"/>
      <c r="U8" s="113"/>
      <c r="V8" s="111"/>
      <c r="W8" s="113"/>
      <c r="X8" s="111"/>
      <c r="Y8" s="112"/>
      <c r="Z8" s="112"/>
    </row>
    <row r="9" spans="1:26" ht="22.5" customHeight="1" x14ac:dyDescent="0.2">
      <c r="A9" s="156" t="s">
        <v>49</v>
      </c>
      <c r="B9" s="156"/>
      <c r="C9" s="156"/>
      <c r="D9" s="156"/>
      <c r="E9" s="156"/>
      <c r="F9" s="156"/>
      <c r="G9" s="156"/>
      <c r="H9" s="156"/>
      <c r="I9" s="156"/>
      <c r="J9" s="156"/>
      <c r="K9" s="156"/>
      <c r="L9" s="156"/>
      <c r="M9" s="9"/>
      <c r="N9" s="111"/>
      <c r="O9" s="113"/>
      <c r="P9" s="111"/>
      <c r="Q9" s="113"/>
      <c r="R9" s="111"/>
      <c r="S9" s="113"/>
      <c r="T9" s="111"/>
      <c r="U9" s="113"/>
      <c r="V9" s="111"/>
      <c r="W9" s="113"/>
      <c r="X9" s="111"/>
      <c r="Y9" s="112"/>
      <c r="Z9" s="112"/>
    </row>
    <row r="10" spans="1:26" ht="22.5" customHeight="1" x14ac:dyDescent="0.2">
      <c r="A10" s="151" t="s">
        <v>112</v>
      </c>
      <c r="B10" s="151"/>
      <c r="C10" s="151"/>
      <c r="D10" s="151"/>
      <c r="E10" s="162" t="s">
        <v>407</v>
      </c>
      <c r="F10" s="163"/>
      <c r="G10" s="163"/>
      <c r="H10" s="138" t="s">
        <v>369</v>
      </c>
      <c r="I10" s="138"/>
      <c r="J10" s="138"/>
      <c r="K10" s="138"/>
      <c r="L10" s="138"/>
      <c r="M10" s="9"/>
      <c r="N10" s="111"/>
      <c r="O10" s="113"/>
      <c r="P10" s="111"/>
      <c r="Q10" s="113"/>
      <c r="R10" s="111"/>
      <c r="S10" s="113"/>
      <c r="T10" s="111"/>
      <c r="U10" s="113"/>
      <c r="V10" s="111"/>
      <c r="W10" s="113"/>
      <c r="X10" s="111"/>
      <c r="Y10" s="112"/>
      <c r="Z10" s="112"/>
    </row>
    <row r="11" spans="1:26" ht="22.5" customHeight="1" x14ac:dyDescent="0.2">
      <c r="A11" s="151" t="s">
        <v>113</v>
      </c>
      <c r="B11" s="151"/>
      <c r="C11" s="151"/>
      <c r="D11" s="151"/>
      <c r="E11" s="161" t="s">
        <v>216</v>
      </c>
      <c r="F11" s="161"/>
      <c r="G11" s="161"/>
      <c r="H11" s="161"/>
      <c r="I11" s="138" t="s">
        <v>114</v>
      </c>
      <c r="J11" s="138"/>
      <c r="K11" s="138"/>
      <c r="L11" s="138"/>
      <c r="M11" s="9"/>
      <c r="N11" s="111"/>
      <c r="O11" s="113"/>
      <c r="P11" s="111"/>
      <c r="Q11" s="113"/>
      <c r="R11" s="111"/>
      <c r="S11" s="113"/>
      <c r="T11" s="111"/>
      <c r="U11" s="113"/>
      <c r="V11" s="111"/>
      <c r="W11" s="113"/>
      <c r="X11" s="111"/>
      <c r="Y11" s="112"/>
      <c r="Z11" s="112"/>
    </row>
    <row r="12" spans="1:26" ht="21.75" customHeight="1" x14ac:dyDescent="0.2">
      <c r="A12" s="149"/>
      <c r="B12" s="149"/>
      <c r="C12" s="149"/>
      <c r="D12" s="149"/>
      <c r="E12" s="149"/>
      <c r="F12" s="149"/>
      <c r="G12" s="149"/>
      <c r="H12" s="149"/>
      <c r="I12" s="149"/>
      <c r="J12" s="149"/>
      <c r="K12" s="149"/>
      <c r="L12" s="149"/>
      <c r="M12" s="9"/>
      <c r="N12" s="111"/>
      <c r="O12" s="113"/>
      <c r="P12" s="111"/>
      <c r="Q12" s="113"/>
      <c r="R12" s="111"/>
      <c r="S12" s="113"/>
      <c r="T12" s="111"/>
      <c r="U12" s="113"/>
      <c r="V12" s="111"/>
      <c r="W12" s="113"/>
      <c r="X12" s="111"/>
      <c r="Y12" s="112"/>
      <c r="Z12" s="112"/>
    </row>
    <row r="13" spans="1:26" ht="21.75" customHeight="1" x14ac:dyDescent="0.2">
      <c r="A13" s="187" t="s">
        <v>50</v>
      </c>
      <c r="B13" s="195" t="s">
        <v>56</v>
      </c>
      <c r="C13" s="196"/>
      <c r="D13" s="185" t="s">
        <v>190</v>
      </c>
      <c r="E13" s="186"/>
      <c r="F13" s="195" t="s">
        <v>59</v>
      </c>
      <c r="G13" s="196"/>
      <c r="H13" s="40" t="s">
        <v>190</v>
      </c>
      <c r="I13" s="197" t="s">
        <v>5</v>
      </c>
      <c r="J13" s="195" t="s">
        <v>60</v>
      </c>
      <c r="K13" s="187"/>
      <c r="L13" s="41" t="s">
        <v>65</v>
      </c>
      <c r="M13" s="9"/>
      <c r="N13" s="111"/>
      <c r="O13" s="113"/>
      <c r="P13" s="111"/>
      <c r="Q13" s="113"/>
      <c r="R13" s="111"/>
      <c r="S13" s="113"/>
      <c r="T13" s="111"/>
      <c r="U13" s="113"/>
      <c r="V13" s="111"/>
      <c r="W13" s="113"/>
      <c r="X13" s="111"/>
      <c r="Y13" s="112"/>
      <c r="Z13" s="112"/>
    </row>
    <row r="14" spans="1:26" ht="21.75" customHeight="1" x14ac:dyDescent="0.2">
      <c r="A14" s="188"/>
      <c r="B14" s="200" t="s">
        <v>57</v>
      </c>
      <c r="C14" s="201"/>
      <c r="D14" s="202" t="s">
        <v>192</v>
      </c>
      <c r="E14" s="203"/>
      <c r="F14" s="200" t="s">
        <v>57</v>
      </c>
      <c r="G14" s="201"/>
      <c r="H14" s="42" t="s">
        <v>192</v>
      </c>
      <c r="I14" s="198"/>
      <c r="J14" s="200" t="s">
        <v>61</v>
      </c>
      <c r="K14" s="188"/>
      <c r="L14" s="41" t="s">
        <v>66</v>
      </c>
      <c r="M14" s="9"/>
      <c r="N14" s="111"/>
      <c r="O14" s="113"/>
      <c r="P14" s="111"/>
      <c r="Q14" s="113"/>
      <c r="R14" s="111"/>
      <c r="S14" s="113"/>
      <c r="T14" s="111"/>
      <c r="U14" s="113"/>
      <c r="V14" s="111"/>
      <c r="W14" s="113"/>
      <c r="X14" s="111"/>
      <c r="Y14" s="112"/>
      <c r="Z14" s="112"/>
    </row>
    <row r="15" spans="1:26" ht="21.75" customHeight="1" x14ac:dyDescent="0.2">
      <c r="A15" s="188"/>
      <c r="B15" s="191" t="s">
        <v>58</v>
      </c>
      <c r="C15" s="192"/>
      <c r="D15" s="193">
        <v>36000</v>
      </c>
      <c r="E15" s="194"/>
      <c r="F15" s="191" t="s">
        <v>58</v>
      </c>
      <c r="G15" s="192"/>
      <c r="H15" s="43">
        <v>36000</v>
      </c>
      <c r="I15" s="198"/>
      <c r="J15" s="191" t="s">
        <v>62</v>
      </c>
      <c r="K15" s="189"/>
      <c r="L15" s="41" t="s">
        <v>67</v>
      </c>
      <c r="M15" s="9"/>
      <c r="N15" s="111"/>
      <c r="O15" s="113"/>
      <c r="P15" s="111"/>
      <c r="Q15" s="113"/>
      <c r="R15" s="111"/>
      <c r="S15" s="113"/>
      <c r="T15" s="111"/>
      <c r="U15" s="113"/>
      <c r="V15" s="111"/>
      <c r="W15" s="113"/>
      <c r="X15" s="111"/>
      <c r="Y15" s="112"/>
      <c r="Z15" s="112"/>
    </row>
    <row r="16" spans="1:26" ht="21.75" customHeight="1" x14ac:dyDescent="0.2">
      <c r="A16" s="188"/>
      <c r="B16" s="44" t="s">
        <v>51</v>
      </c>
      <c r="C16" s="44" t="s">
        <v>53</v>
      </c>
      <c r="D16" s="44" t="s">
        <v>54</v>
      </c>
      <c r="E16" s="154"/>
      <c r="F16" s="44" t="s">
        <v>51</v>
      </c>
      <c r="G16" s="44" t="s">
        <v>53</v>
      </c>
      <c r="H16" s="45" t="s">
        <v>54</v>
      </c>
      <c r="I16" s="198"/>
      <c r="J16" s="154" t="s">
        <v>63</v>
      </c>
      <c r="K16" s="154" t="s">
        <v>64</v>
      </c>
      <c r="L16" s="41" t="s">
        <v>68</v>
      </c>
      <c r="M16" s="9"/>
      <c r="N16" s="111"/>
      <c r="O16" s="113"/>
      <c r="P16" s="111"/>
      <c r="Q16" s="113"/>
      <c r="R16" s="111"/>
      <c r="S16" s="113"/>
      <c r="T16" s="111"/>
      <c r="U16" s="113"/>
      <c r="V16" s="111"/>
      <c r="W16" s="113"/>
      <c r="X16" s="111"/>
      <c r="Y16" s="112"/>
      <c r="Z16" s="112"/>
    </row>
    <row r="17" spans="1:26" ht="21.75" customHeight="1" x14ac:dyDescent="0.2">
      <c r="A17" s="189"/>
      <c r="B17" s="44" t="s">
        <v>52</v>
      </c>
      <c r="C17" s="46" t="s">
        <v>51</v>
      </c>
      <c r="D17" s="46" t="s">
        <v>55</v>
      </c>
      <c r="E17" s="190"/>
      <c r="F17" s="46" t="s">
        <v>52</v>
      </c>
      <c r="G17" s="47" t="s">
        <v>51</v>
      </c>
      <c r="H17" s="48" t="s">
        <v>55</v>
      </c>
      <c r="I17" s="199"/>
      <c r="J17" s="155"/>
      <c r="K17" s="155"/>
      <c r="L17" s="41" t="s">
        <v>69</v>
      </c>
      <c r="M17" s="130" t="s">
        <v>92</v>
      </c>
      <c r="N17" s="130"/>
      <c r="O17" s="130"/>
      <c r="P17" s="130"/>
      <c r="Q17" s="130"/>
      <c r="R17" s="130"/>
      <c r="S17" s="130"/>
      <c r="T17" s="130"/>
      <c r="U17" s="130"/>
      <c r="V17" s="130"/>
      <c r="W17" s="130"/>
      <c r="X17" s="130"/>
      <c r="Y17" s="130"/>
      <c r="Z17" s="130"/>
    </row>
    <row r="18" spans="1:26" ht="23.25" customHeight="1" x14ac:dyDescent="0.2">
      <c r="A18" s="49" t="s">
        <v>7</v>
      </c>
      <c r="B18" s="82">
        <v>5944.558</v>
      </c>
      <c r="C18" s="25"/>
      <c r="D18" s="24"/>
      <c r="E18" s="108"/>
      <c r="F18" s="82">
        <v>3843.8861999999999</v>
      </c>
      <c r="G18" s="51"/>
      <c r="H18" s="50"/>
      <c r="I18" s="52"/>
      <c r="J18" s="39"/>
      <c r="K18" s="79"/>
      <c r="L18" s="53"/>
      <c r="M18" s="123" t="s">
        <v>79</v>
      </c>
      <c r="N18" s="121" t="s">
        <v>98</v>
      </c>
      <c r="O18" s="121"/>
      <c r="P18" s="121"/>
      <c r="Q18" s="121" t="s">
        <v>107</v>
      </c>
      <c r="R18" s="121"/>
      <c r="S18" s="121"/>
      <c r="T18" s="121" t="s">
        <v>93</v>
      </c>
      <c r="U18" s="121"/>
      <c r="V18" s="121"/>
      <c r="W18" s="124" t="s">
        <v>91</v>
      </c>
      <c r="X18" s="131"/>
      <c r="Y18" s="131"/>
      <c r="Z18" s="131"/>
    </row>
    <row r="19" spans="1:26" ht="23.25" customHeight="1" x14ac:dyDescent="0.2">
      <c r="A19" s="49" t="s">
        <v>8</v>
      </c>
      <c r="B19" s="82">
        <v>5944.6165000000001</v>
      </c>
      <c r="C19" s="25">
        <f t="shared" ref="C19:C42" si="0">IF(B19="","",IF(LEN(TRUNC(B18,0))-LEN(TRUNC(B19,0))=0,B19-B18,IF(LEN(TRUNC(B18,0))-LEN(TRUNC(B19,0))&gt;0,VALUE(LEFT(B18,LEN(TRUNC(B18,0))-LEN(TRUNC(B19,0))))*POWER(10,LEN(TRUNC(B19,0)))+B19-B18,B19-B18-VALUE(LEFT(B19,LEN(TRUNC(B19,0))-LEN(TRUNC(B18,0))))*POWER(10,LEN(TRUNC(B18,0))))))</f>
        <v>5.8500000000094587E-2</v>
      </c>
      <c r="D19" s="24">
        <f t="shared" ref="D19:D42" si="1">IF(C19="","",C19*$D$15)</f>
        <v>2106.0000000034051</v>
      </c>
      <c r="E19" s="108"/>
      <c r="F19" s="82">
        <v>3843.9250000000002</v>
      </c>
      <c r="G19" s="51">
        <f>F19-ReportObject10_3</f>
        <v>3.8800000000264845E-2</v>
      </c>
      <c r="H19" s="50">
        <f t="shared" ref="H19:H42" si="2">IF(G19="","",G19*$H$15)</f>
        <v>1396.8000000095344</v>
      </c>
      <c r="I19" s="52">
        <f t="shared" ref="I19:I42" si="3">IF(H19="","",IF(D19="","",IF(AND(H19=0,D19=0),0,H19/D19)))</f>
        <v>0.66324786325131813</v>
      </c>
      <c r="J19" s="39"/>
      <c r="K19" s="52">
        <v>6.3249680000000001</v>
      </c>
      <c r="L19" s="53"/>
      <c r="M19" s="116"/>
      <c r="N19" s="118"/>
      <c r="O19" s="118"/>
      <c r="P19" s="118"/>
      <c r="Q19" s="118" t="s">
        <v>108</v>
      </c>
      <c r="R19" s="118"/>
      <c r="S19" s="118"/>
      <c r="T19" s="118"/>
      <c r="U19" s="118"/>
      <c r="V19" s="118"/>
      <c r="W19" s="125"/>
      <c r="X19" s="122"/>
      <c r="Y19" s="122"/>
      <c r="Z19" s="122"/>
    </row>
    <row r="20" spans="1:26" ht="23.25" customHeight="1" x14ac:dyDescent="0.2">
      <c r="A20" s="49" t="s">
        <v>9</v>
      </c>
      <c r="B20" s="82">
        <v>5944.6725999999999</v>
      </c>
      <c r="C20" s="25">
        <f t="shared" si="0"/>
        <v>5.6099999999787542E-2</v>
      </c>
      <c r="D20" s="24">
        <f t="shared" si="1"/>
        <v>2019.5999999923515</v>
      </c>
      <c r="E20" s="108"/>
      <c r="F20" s="82">
        <v>3843.9629</v>
      </c>
      <c r="G20" s="51">
        <f>F20-F19</f>
        <v>3.7899999999808642E-2</v>
      </c>
      <c r="H20" s="50">
        <f t="shared" si="2"/>
        <v>1364.3999999931111</v>
      </c>
      <c r="I20" s="52">
        <f t="shared" si="3"/>
        <v>0.6755793226372937</v>
      </c>
      <c r="J20" s="39"/>
      <c r="K20" s="52">
        <v>6.3225600000000002</v>
      </c>
      <c r="L20" s="53"/>
      <c r="M20" s="116" t="s">
        <v>80</v>
      </c>
      <c r="N20" s="118" t="s">
        <v>99</v>
      </c>
      <c r="O20" s="118"/>
      <c r="P20" s="118"/>
      <c r="Q20" s="118" t="s">
        <v>181</v>
      </c>
      <c r="R20" s="118"/>
      <c r="S20" s="118"/>
      <c r="T20" s="118" t="s">
        <v>94</v>
      </c>
      <c r="U20" s="118"/>
      <c r="V20" s="118"/>
      <c r="W20" s="125"/>
      <c r="X20" s="122"/>
      <c r="Y20" s="122"/>
      <c r="Z20" s="122"/>
    </row>
    <row r="21" spans="1:26" ht="23.25" customHeight="1" x14ac:dyDescent="0.2">
      <c r="A21" s="49" t="s">
        <v>10</v>
      </c>
      <c r="B21" s="82">
        <v>5944.7277000000004</v>
      </c>
      <c r="C21" s="25">
        <f t="shared" si="0"/>
        <v>5.510000000049331E-2</v>
      </c>
      <c r="D21" s="24">
        <f t="shared" si="1"/>
        <v>1983.6000000177592</v>
      </c>
      <c r="E21" s="108"/>
      <c r="F21" s="82">
        <v>3844.0005000000001</v>
      </c>
      <c r="G21" s="51">
        <f t="shared" ref="G21:G42" si="4">F21-F20</f>
        <v>3.7600000000111322E-2</v>
      </c>
      <c r="H21" s="50">
        <f t="shared" si="2"/>
        <v>1353.6000000040076</v>
      </c>
      <c r="I21" s="52">
        <f t="shared" si="3"/>
        <v>0.68239564427903243</v>
      </c>
      <c r="J21" s="39"/>
      <c r="K21" s="52">
        <v>6.2995780000000003</v>
      </c>
      <c r="L21" s="53"/>
      <c r="M21" s="117"/>
      <c r="N21" s="119"/>
      <c r="O21" s="119"/>
      <c r="P21" s="119"/>
      <c r="Q21" s="119"/>
      <c r="R21" s="119"/>
      <c r="S21" s="119"/>
      <c r="T21" s="119"/>
      <c r="U21" s="119"/>
      <c r="V21" s="119"/>
      <c r="W21" s="127"/>
      <c r="X21" s="130"/>
      <c r="Y21" s="130"/>
      <c r="Z21" s="130"/>
    </row>
    <row r="22" spans="1:26" ht="23.25" customHeight="1" x14ac:dyDescent="0.2">
      <c r="A22" s="49" t="s">
        <v>11</v>
      </c>
      <c r="B22" s="82">
        <v>5944.7867999999999</v>
      </c>
      <c r="C22" s="25">
        <f t="shared" si="0"/>
        <v>5.9099999999489228E-2</v>
      </c>
      <c r="D22" s="24">
        <f t="shared" si="1"/>
        <v>2127.5999999816122</v>
      </c>
      <c r="E22" s="108"/>
      <c r="F22" s="82">
        <v>3844.0403999999999</v>
      </c>
      <c r="G22" s="51">
        <f t="shared" si="4"/>
        <v>3.9899999999761349E-2</v>
      </c>
      <c r="H22" s="50">
        <f t="shared" si="2"/>
        <v>1436.3999999914085</v>
      </c>
      <c r="I22" s="52">
        <f t="shared" si="3"/>
        <v>0.67512690355509619</v>
      </c>
      <c r="J22" s="39"/>
      <c r="K22" s="52">
        <v>6.3393129999999998</v>
      </c>
      <c r="L22" s="53"/>
      <c r="M22" s="9"/>
      <c r="N22" s="120"/>
      <c r="O22" s="120"/>
      <c r="P22" s="120"/>
      <c r="Q22" s="120"/>
      <c r="R22" s="120"/>
      <c r="S22" s="120"/>
      <c r="T22" s="120"/>
      <c r="U22" s="120"/>
      <c r="V22" s="120"/>
      <c r="W22" s="111"/>
      <c r="X22" s="112"/>
      <c r="Y22" s="112"/>
      <c r="Z22" s="112"/>
    </row>
    <row r="23" spans="1:26" ht="23.25" customHeight="1" x14ac:dyDescent="0.2">
      <c r="A23" s="49" t="s">
        <v>12</v>
      </c>
      <c r="B23" s="82">
        <v>5944.8455000000004</v>
      </c>
      <c r="C23" s="25">
        <f t="shared" si="0"/>
        <v>5.8700000000499131E-2</v>
      </c>
      <c r="D23" s="24">
        <f t="shared" si="1"/>
        <v>2113.2000000179687</v>
      </c>
      <c r="E23" s="108"/>
      <c r="F23" s="82">
        <v>3844.0801999999999</v>
      </c>
      <c r="G23" s="51">
        <f t="shared" si="4"/>
        <v>3.9800000000013824E-2</v>
      </c>
      <c r="H23" s="50">
        <f t="shared" si="2"/>
        <v>1432.8000000004977</v>
      </c>
      <c r="I23" s="52">
        <f t="shared" si="3"/>
        <v>0.67802385007964905</v>
      </c>
      <c r="J23" s="39"/>
      <c r="K23" s="52">
        <v>6.1381409999999992</v>
      </c>
      <c r="L23" s="53"/>
      <c r="M23" s="9"/>
      <c r="N23" s="120"/>
      <c r="O23" s="120"/>
      <c r="P23" s="120"/>
      <c r="Q23" s="120"/>
      <c r="R23" s="120"/>
      <c r="S23" s="120"/>
      <c r="T23" s="120"/>
      <c r="U23" s="120"/>
      <c r="V23" s="120"/>
      <c r="W23" s="111"/>
      <c r="X23" s="112"/>
      <c r="Y23" s="112"/>
      <c r="Z23" s="112"/>
    </row>
    <row r="24" spans="1:26" ht="23.25" customHeight="1" x14ac:dyDescent="0.2">
      <c r="A24" s="49" t="s">
        <v>13</v>
      </c>
      <c r="B24" s="82">
        <v>5944.9045999999998</v>
      </c>
      <c r="C24" s="25">
        <f t="shared" si="0"/>
        <v>5.9099999999489228E-2</v>
      </c>
      <c r="D24" s="24">
        <f t="shared" si="1"/>
        <v>2127.5999999816122</v>
      </c>
      <c r="E24" s="108"/>
      <c r="F24" s="82">
        <v>3844.1194</v>
      </c>
      <c r="G24" s="51">
        <f t="shared" si="4"/>
        <v>3.9200000000164437E-2</v>
      </c>
      <c r="H24" s="50">
        <f t="shared" si="2"/>
        <v>1411.2000000059197</v>
      </c>
      <c r="I24" s="52">
        <f t="shared" si="3"/>
        <v>0.66328257192052831</v>
      </c>
      <c r="J24" s="39"/>
      <c r="K24" s="52">
        <v>6.339747</v>
      </c>
      <c r="L24" s="53"/>
      <c r="M24" s="9"/>
      <c r="N24" s="120"/>
      <c r="O24" s="120"/>
      <c r="P24" s="120"/>
      <c r="Q24" s="120"/>
      <c r="R24" s="120"/>
      <c r="S24" s="120"/>
      <c r="T24" s="120"/>
      <c r="U24" s="120"/>
      <c r="V24" s="120"/>
      <c r="W24" s="111"/>
      <c r="X24" s="112"/>
      <c r="Y24" s="112"/>
      <c r="Z24" s="112"/>
    </row>
    <row r="25" spans="1:26" ht="23.25" customHeight="1" x14ac:dyDescent="0.2">
      <c r="A25" s="49" t="s">
        <v>14</v>
      </c>
      <c r="B25" s="82">
        <v>5944.9641000000001</v>
      </c>
      <c r="C25" s="25">
        <f t="shared" si="0"/>
        <v>5.9500000000298314E-2</v>
      </c>
      <c r="D25" s="24">
        <f t="shared" si="1"/>
        <v>2142.0000000107393</v>
      </c>
      <c r="E25" s="108"/>
      <c r="F25" s="82">
        <v>3844.1583999999998</v>
      </c>
      <c r="G25" s="51">
        <f t="shared" si="4"/>
        <v>3.8999999999759893E-2</v>
      </c>
      <c r="H25" s="50">
        <f t="shared" si="2"/>
        <v>1403.9999999913562</v>
      </c>
      <c r="I25" s="52">
        <f t="shared" si="3"/>
        <v>0.65546218486662788</v>
      </c>
      <c r="J25" s="39"/>
      <c r="K25" s="52">
        <v>6.3073920000000001</v>
      </c>
      <c r="L25" s="53"/>
      <c r="M25" s="9"/>
      <c r="N25" s="120"/>
      <c r="O25" s="120"/>
      <c r="P25" s="120"/>
      <c r="Q25" s="120"/>
      <c r="R25" s="120"/>
      <c r="S25" s="120"/>
      <c r="T25" s="120"/>
      <c r="U25" s="120"/>
      <c r="V25" s="120"/>
      <c r="W25" s="111"/>
      <c r="X25" s="112"/>
      <c r="Y25" s="112"/>
      <c r="Z25" s="112"/>
    </row>
    <row r="26" spans="1:26" ht="23.25" customHeight="1" x14ac:dyDescent="0.2">
      <c r="A26" s="49" t="s">
        <v>15</v>
      </c>
      <c r="B26" s="82">
        <v>5945.0271000000002</v>
      </c>
      <c r="C26" s="25">
        <f t="shared" si="0"/>
        <v>6.3000000000101863E-2</v>
      </c>
      <c r="D26" s="24">
        <f t="shared" si="1"/>
        <v>2268.0000000036671</v>
      </c>
      <c r="E26" s="108"/>
      <c r="F26" s="82">
        <v>3844.1983</v>
      </c>
      <c r="G26" s="51">
        <f t="shared" si="4"/>
        <v>3.9900000000216096E-2</v>
      </c>
      <c r="H26" s="50">
        <f t="shared" si="2"/>
        <v>1436.4000000077795</v>
      </c>
      <c r="I26" s="52">
        <f t="shared" si="3"/>
        <v>0.63333333333573938</v>
      </c>
      <c r="J26" s="39"/>
      <c r="K26" s="52">
        <v>6.2838239999999992</v>
      </c>
      <c r="L26" s="53"/>
      <c r="M26" s="9"/>
      <c r="N26" s="120"/>
      <c r="O26" s="120"/>
      <c r="P26" s="120"/>
      <c r="Q26" s="120"/>
      <c r="R26" s="120"/>
      <c r="S26" s="120"/>
      <c r="T26" s="120"/>
      <c r="U26" s="120"/>
      <c r="V26" s="120"/>
      <c r="W26" s="111"/>
      <c r="X26" s="112"/>
      <c r="Y26" s="112"/>
      <c r="Z26" s="112"/>
    </row>
    <row r="27" spans="1:26" ht="23.25" customHeight="1" x14ac:dyDescent="0.2">
      <c r="A27" s="49" t="s">
        <v>16</v>
      </c>
      <c r="B27" s="82">
        <v>5945.0950999999995</v>
      </c>
      <c r="C27" s="25">
        <f t="shared" si="0"/>
        <v>6.7999999999301508E-2</v>
      </c>
      <c r="D27" s="24">
        <f t="shared" si="1"/>
        <v>2447.9999999748543</v>
      </c>
      <c r="E27" s="108"/>
      <c r="F27" s="82">
        <v>3844.2399</v>
      </c>
      <c r="G27" s="51">
        <f t="shared" si="4"/>
        <v>4.1600000000016735E-2</v>
      </c>
      <c r="H27" s="50">
        <f t="shared" si="2"/>
        <v>1497.6000000006024</v>
      </c>
      <c r="I27" s="52">
        <f t="shared" si="3"/>
        <v>0.6117647058888831</v>
      </c>
      <c r="J27" s="39"/>
      <c r="K27" s="52">
        <v>6.0031049999999997</v>
      </c>
      <c r="L27" s="53"/>
      <c r="M27" s="9"/>
      <c r="N27" s="120"/>
      <c r="O27" s="120"/>
      <c r="P27" s="120"/>
      <c r="Q27" s="120"/>
      <c r="R27" s="120"/>
      <c r="S27" s="120"/>
      <c r="T27" s="120"/>
      <c r="U27" s="120"/>
      <c r="V27" s="120"/>
      <c r="W27" s="111"/>
      <c r="X27" s="112"/>
      <c r="Y27" s="112"/>
      <c r="Z27" s="112"/>
    </row>
    <row r="28" spans="1:26" ht="23.25" customHeight="1" x14ac:dyDescent="0.2">
      <c r="A28" s="49" t="s">
        <v>17</v>
      </c>
      <c r="B28" s="82">
        <v>5945.1655000000001</v>
      </c>
      <c r="C28" s="25">
        <f t="shared" si="0"/>
        <v>7.0400000000518048E-2</v>
      </c>
      <c r="D28" s="24">
        <f t="shared" si="1"/>
        <v>2534.4000000186497</v>
      </c>
      <c r="E28" s="108"/>
      <c r="F28" s="82">
        <v>3844.2818000000002</v>
      </c>
      <c r="G28" s="51">
        <f t="shared" si="4"/>
        <v>4.1900000000168802E-2</v>
      </c>
      <c r="H28" s="50">
        <f t="shared" si="2"/>
        <v>1508.4000000060769</v>
      </c>
      <c r="I28" s="52">
        <f t="shared" si="3"/>
        <v>0.59517045454347262</v>
      </c>
      <c r="J28" s="39"/>
      <c r="K28" s="52">
        <v>6.1960139999999999</v>
      </c>
      <c r="L28" s="53"/>
      <c r="M28" s="9"/>
      <c r="N28" s="120"/>
      <c r="O28" s="120"/>
      <c r="P28" s="120"/>
      <c r="Q28" s="120"/>
      <c r="R28" s="120"/>
      <c r="S28" s="120"/>
      <c r="T28" s="120"/>
      <c r="U28" s="120"/>
      <c r="V28" s="120"/>
      <c r="W28" s="111"/>
      <c r="X28" s="112"/>
      <c r="Y28" s="112"/>
      <c r="Z28" s="112"/>
    </row>
    <row r="29" spans="1:26" ht="23.25" customHeight="1" x14ac:dyDescent="0.2">
      <c r="A29" s="49" t="s">
        <v>18</v>
      </c>
      <c r="B29" s="82">
        <v>5945.2335999999996</v>
      </c>
      <c r="C29" s="25">
        <f t="shared" si="0"/>
        <v>6.809999999950378E-2</v>
      </c>
      <c r="D29" s="24">
        <f t="shared" si="1"/>
        <v>2451.5999999821361</v>
      </c>
      <c r="E29" s="108"/>
      <c r="F29" s="82">
        <v>3844.3234000000002</v>
      </c>
      <c r="G29" s="51">
        <f t="shared" si="4"/>
        <v>4.1600000000016735E-2</v>
      </c>
      <c r="H29" s="50">
        <f t="shared" si="2"/>
        <v>1497.6000000006024</v>
      </c>
      <c r="I29" s="52">
        <f t="shared" si="3"/>
        <v>0.61086637298560731</v>
      </c>
      <c r="J29" s="39"/>
      <c r="K29" s="52">
        <v>6.2346719999999998</v>
      </c>
      <c r="L29" s="53"/>
      <c r="M29" s="145" t="s">
        <v>95</v>
      </c>
      <c r="N29" s="145"/>
      <c r="O29" s="145"/>
      <c r="P29" s="145"/>
      <c r="Q29" s="145"/>
      <c r="R29" s="145"/>
      <c r="S29" s="145"/>
      <c r="T29" s="145"/>
      <c r="U29" s="145"/>
      <c r="V29" s="145"/>
      <c r="W29" s="145"/>
      <c r="X29" s="145"/>
      <c r="Y29" s="145"/>
      <c r="Z29" s="145"/>
    </row>
    <row r="30" spans="1:26" ht="23.25" customHeight="1" x14ac:dyDescent="0.2">
      <c r="A30" s="49" t="s">
        <v>19</v>
      </c>
      <c r="B30" s="82">
        <v>5945.3020999999999</v>
      </c>
      <c r="C30" s="25">
        <f t="shared" si="0"/>
        <v>6.8500000000312866E-2</v>
      </c>
      <c r="D30" s="24">
        <f t="shared" si="1"/>
        <v>2466.0000000112632</v>
      </c>
      <c r="E30" s="108"/>
      <c r="F30" s="82">
        <v>3844.3656999999998</v>
      </c>
      <c r="G30" s="51">
        <f t="shared" si="4"/>
        <v>4.2299999999613647E-2</v>
      </c>
      <c r="H30" s="50">
        <f t="shared" si="2"/>
        <v>1522.7999999860913</v>
      </c>
      <c r="I30" s="52">
        <f t="shared" si="3"/>
        <v>0.61751824816672185</v>
      </c>
      <c r="J30" s="39"/>
      <c r="K30" s="52">
        <v>6.2587250000000001</v>
      </c>
      <c r="L30" s="53"/>
      <c r="M30" s="122" t="s">
        <v>97</v>
      </c>
      <c r="N30" s="122"/>
      <c r="O30" s="122"/>
      <c r="P30" s="122"/>
      <c r="Q30" s="122"/>
      <c r="R30" s="122"/>
      <c r="S30" s="122"/>
      <c r="T30" s="122"/>
      <c r="U30" s="122"/>
      <c r="V30" s="122"/>
      <c r="W30" s="122"/>
      <c r="X30" s="122"/>
      <c r="Y30" s="122"/>
      <c r="Z30" s="122"/>
    </row>
    <row r="31" spans="1:26" ht="23.25" customHeight="1" x14ac:dyDescent="0.2">
      <c r="A31" s="49" t="s">
        <v>20</v>
      </c>
      <c r="B31" s="82">
        <v>5945.3629000000001</v>
      </c>
      <c r="C31" s="25">
        <f t="shared" si="0"/>
        <v>6.0800000000199361E-2</v>
      </c>
      <c r="D31" s="24">
        <f t="shared" si="1"/>
        <v>2188.800000007177</v>
      </c>
      <c r="E31" s="108"/>
      <c r="F31" s="82">
        <v>3844.4047</v>
      </c>
      <c r="G31" s="51">
        <f t="shared" si="4"/>
        <v>3.9000000000214641E-2</v>
      </c>
      <c r="H31" s="50">
        <f t="shared" si="2"/>
        <v>1404.0000000077271</v>
      </c>
      <c r="I31" s="52">
        <f t="shared" si="3"/>
        <v>0.64144736842247962</v>
      </c>
      <c r="J31" s="39"/>
      <c r="K31" s="52">
        <v>6.2900119999999999</v>
      </c>
      <c r="L31" s="53"/>
      <c r="M31" s="123" t="s">
        <v>79</v>
      </c>
      <c r="N31" s="121" t="s">
        <v>98</v>
      </c>
      <c r="O31" s="121"/>
      <c r="P31" s="121" t="s">
        <v>100</v>
      </c>
      <c r="Q31" s="121"/>
      <c r="R31" s="121" t="s">
        <v>93</v>
      </c>
      <c r="S31" s="121"/>
      <c r="T31" s="121" t="s">
        <v>103</v>
      </c>
      <c r="U31" s="121"/>
      <c r="V31" s="121" t="s">
        <v>179</v>
      </c>
      <c r="W31" s="121"/>
      <c r="X31" s="121"/>
      <c r="Y31" s="121" t="s">
        <v>91</v>
      </c>
      <c r="Z31" s="124"/>
    </row>
    <row r="32" spans="1:26" ht="23.25" customHeight="1" x14ac:dyDescent="0.2">
      <c r="A32" s="49" t="s">
        <v>21</v>
      </c>
      <c r="B32" s="82">
        <v>5945.4233999999997</v>
      </c>
      <c r="C32" s="25">
        <f t="shared" si="0"/>
        <v>6.0499999999592546E-2</v>
      </c>
      <c r="D32" s="24">
        <f t="shared" si="1"/>
        <v>2177.9999999853317</v>
      </c>
      <c r="E32" s="108"/>
      <c r="F32" s="82">
        <v>3844.444</v>
      </c>
      <c r="G32" s="51">
        <f t="shared" si="4"/>
        <v>3.9299999999911961E-2</v>
      </c>
      <c r="H32" s="50">
        <f t="shared" si="2"/>
        <v>1414.7999999968306</v>
      </c>
      <c r="I32" s="52">
        <f t="shared" si="3"/>
        <v>0.64958677686242372</v>
      </c>
      <c r="J32" s="39"/>
      <c r="K32" s="52">
        <v>6.2640099999999999</v>
      </c>
      <c r="L32" s="53"/>
      <c r="M32" s="116"/>
      <c r="N32" s="118"/>
      <c r="O32" s="118"/>
      <c r="P32" s="118" t="s">
        <v>83</v>
      </c>
      <c r="Q32" s="118"/>
      <c r="R32" s="118" t="s">
        <v>102</v>
      </c>
      <c r="S32" s="118"/>
      <c r="T32" s="118" t="s">
        <v>104</v>
      </c>
      <c r="U32" s="118"/>
      <c r="V32" s="118" t="s">
        <v>105</v>
      </c>
      <c r="W32" s="118"/>
      <c r="X32" s="118"/>
      <c r="Y32" s="118"/>
      <c r="Z32" s="125"/>
    </row>
    <row r="33" spans="1:26" ht="23.25" customHeight="1" x14ac:dyDescent="0.2">
      <c r="A33" s="49" t="s">
        <v>22</v>
      </c>
      <c r="B33" s="82">
        <v>5945.4823999999999</v>
      </c>
      <c r="C33" s="25">
        <f t="shared" si="0"/>
        <v>5.9000000000196451E-2</v>
      </c>
      <c r="D33" s="24">
        <f t="shared" si="1"/>
        <v>2124.0000000070722</v>
      </c>
      <c r="E33" s="108"/>
      <c r="F33" s="82">
        <v>3844.4829</v>
      </c>
      <c r="G33" s="51">
        <f t="shared" si="4"/>
        <v>3.8900000000012369E-2</v>
      </c>
      <c r="H33" s="50">
        <f t="shared" si="2"/>
        <v>1400.4000000004453</v>
      </c>
      <c r="I33" s="52">
        <f t="shared" si="3"/>
        <v>0.65932203389631938</v>
      </c>
      <c r="J33" s="39"/>
      <c r="K33" s="52">
        <v>6.2564229999999998</v>
      </c>
      <c r="L33" s="53"/>
      <c r="M33" s="116" t="s">
        <v>80</v>
      </c>
      <c r="N33" s="118" t="s">
        <v>99</v>
      </c>
      <c r="O33" s="118"/>
      <c r="P33" s="118" t="s">
        <v>101</v>
      </c>
      <c r="Q33" s="118"/>
      <c r="R33" s="118" t="s">
        <v>69</v>
      </c>
      <c r="S33" s="118"/>
      <c r="T33" s="118" t="s">
        <v>69</v>
      </c>
      <c r="U33" s="118"/>
      <c r="V33" s="118" t="s">
        <v>106</v>
      </c>
      <c r="W33" s="118"/>
      <c r="X33" s="118"/>
      <c r="Y33" s="118"/>
      <c r="Z33" s="125"/>
    </row>
    <row r="34" spans="1:26" ht="23.25" customHeight="1" x14ac:dyDescent="0.2">
      <c r="A34" s="49" t="s">
        <v>23</v>
      </c>
      <c r="B34" s="82">
        <v>5945.5415000000003</v>
      </c>
      <c r="C34" s="25">
        <f t="shared" si="0"/>
        <v>5.9100000000398722E-2</v>
      </c>
      <c r="D34" s="24">
        <f t="shared" si="1"/>
        <v>2127.600000014354</v>
      </c>
      <c r="E34" s="108"/>
      <c r="F34" s="82">
        <v>3844.5227</v>
      </c>
      <c r="G34" s="51">
        <f t="shared" si="4"/>
        <v>3.9800000000013824E-2</v>
      </c>
      <c r="H34" s="50">
        <f t="shared" si="2"/>
        <v>1432.8000000004977</v>
      </c>
      <c r="I34" s="52">
        <f t="shared" si="3"/>
        <v>0.67343485617166343</v>
      </c>
      <c r="J34" s="39"/>
      <c r="K34" s="52">
        <v>6.1381409999999992</v>
      </c>
      <c r="L34" s="53"/>
      <c r="M34" s="117"/>
      <c r="N34" s="119"/>
      <c r="O34" s="119"/>
      <c r="P34" s="119"/>
      <c r="Q34" s="119"/>
      <c r="R34" s="127"/>
      <c r="S34" s="117"/>
      <c r="T34" s="127"/>
      <c r="U34" s="117"/>
      <c r="V34" s="127"/>
      <c r="W34" s="130"/>
      <c r="X34" s="117"/>
      <c r="Y34" s="119"/>
      <c r="Z34" s="127"/>
    </row>
    <row r="35" spans="1:26" ht="23.25" customHeight="1" x14ac:dyDescent="0.2">
      <c r="A35" s="49" t="s">
        <v>24</v>
      </c>
      <c r="B35" s="82">
        <v>5945.5989</v>
      </c>
      <c r="C35" s="25">
        <f t="shared" si="0"/>
        <v>5.7399999999688589E-2</v>
      </c>
      <c r="D35" s="24">
        <f t="shared" si="1"/>
        <v>2066.3999999887892</v>
      </c>
      <c r="E35" s="108"/>
      <c r="F35" s="82">
        <v>3844.5607</v>
      </c>
      <c r="G35" s="51">
        <f t="shared" si="4"/>
        <v>3.8000000000010914E-2</v>
      </c>
      <c r="H35" s="50">
        <f t="shared" si="2"/>
        <v>1368.0000000003929</v>
      </c>
      <c r="I35" s="52">
        <f t="shared" si="3"/>
        <v>0.6620209059271267</v>
      </c>
      <c r="J35" s="39"/>
      <c r="K35" s="52">
        <v>5.7954160000000003</v>
      </c>
      <c r="L35" s="53"/>
      <c r="M35" s="9"/>
      <c r="N35" s="120" t="s">
        <v>169</v>
      </c>
      <c r="O35" s="120"/>
      <c r="P35" s="205">
        <v>0.4</v>
      </c>
      <c r="Q35" s="206"/>
      <c r="R35" s="205">
        <v>590</v>
      </c>
      <c r="S35" s="206"/>
      <c r="T35" s="120"/>
      <c r="U35" s="120"/>
      <c r="V35" s="120"/>
      <c r="W35" s="120"/>
      <c r="X35" s="120"/>
      <c r="Y35" s="120"/>
      <c r="Z35" s="111"/>
    </row>
    <row r="36" spans="1:26" ht="23.25" customHeight="1" x14ac:dyDescent="0.2">
      <c r="A36" s="49" t="s">
        <v>25</v>
      </c>
      <c r="B36" s="82">
        <v>5945.6566000000003</v>
      </c>
      <c r="C36" s="25">
        <f t="shared" si="0"/>
        <v>5.7700000000295404E-2</v>
      </c>
      <c r="D36" s="24">
        <f t="shared" si="1"/>
        <v>2077.2000000106345</v>
      </c>
      <c r="E36" s="108"/>
      <c r="F36" s="82">
        <v>3844.5983999999999</v>
      </c>
      <c r="G36" s="51">
        <f t="shared" si="4"/>
        <v>3.7699999999858846E-2</v>
      </c>
      <c r="H36" s="50">
        <f t="shared" si="2"/>
        <v>1357.1999999949185</v>
      </c>
      <c r="I36" s="52">
        <f t="shared" si="3"/>
        <v>0.65337954938762277</v>
      </c>
      <c r="J36" s="39"/>
      <c r="K36" s="52">
        <v>6.2516040000000004</v>
      </c>
      <c r="L36" s="53"/>
      <c r="M36" s="9"/>
      <c r="N36" s="120" t="s">
        <v>371</v>
      </c>
      <c r="O36" s="120"/>
      <c r="P36" s="207"/>
      <c r="Q36" s="208"/>
      <c r="R36" s="207"/>
      <c r="S36" s="208"/>
      <c r="T36" s="120"/>
      <c r="U36" s="120"/>
      <c r="V36" s="120"/>
      <c r="W36" s="120"/>
      <c r="X36" s="120"/>
      <c r="Y36" s="120"/>
      <c r="Z36" s="111"/>
    </row>
    <row r="37" spans="1:26" ht="23.25" customHeight="1" x14ac:dyDescent="0.2">
      <c r="A37" s="49" t="s">
        <v>26</v>
      </c>
      <c r="B37" s="82">
        <v>5945.7159000000001</v>
      </c>
      <c r="C37" s="25">
        <f t="shared" si="0"/>
        <v>5.9299999999893771E-2</v>
      </c>
      <c r="D37" s="24">
        <f t="shared" si="1"/>
        <v>2134.7999999961758</v>
      </c>
      <c r="E37" s="108"/>
      <c r="F37" s="82">
        <v>3844.6354999999999</v>
      </c>
      <c r="G37" s="51">
        <f t="shared" si="4"/>
        <v>3.7100000000009459E-2</v>
      </c>
      <c r="H37" s="50">
        <f t="shared" si="2"/>
        <v>1335.6000000003405</v>
      </c>
      <c r="I37" s="52">
        <f t="shared" si="3"/>
        <v>0.62563237774158376</v>
      </c>
      <c r="J37" s="39"/>
      <c r="K37" s="52">
        <v>6.1936650000000002</v>
      </c>
      <c r="L37" s="53"/>
      <c r="M37" s="9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11"/>
    </row>
    <row r="38" spans="1:26" ht="23.25" customHeight="1" x14ac:dyDescent="0.2">
      <c r="A38" s="49" t="s">
        <v>27</v>
      </c>
      <c r="B38" s="82">
        <v>5945.7722000000003</v>
      </c>
      <c r="C38" s="25">
        <f t="shared" si="0"/>
        <v>5.6300000000192085E-2</v>
      </c>
      <c r="D38" s="24">
        <f t="shared" si="1"/>
        <v>2026.8000000069151</v>
      </c>
      <c r="E38" s="108"/>
      <c r="F38" s="82">
        <v>3844.6711</v>
      </c>
      <c r="G38" s="51">
        <f t="shared" si="4"/>
        <v>3.5600000000158616E-2</v>
      </c>
      <c r="H38" s="50">
        <f t="shared" si="2"/>
        <v>1281.6000000057102</v>
      </c>
      <c r="I38" s="52">
        <f t="shared" si="3"/>
        <v>0.63232682060456757</v>
      </c>
      <c r="J38" s="39"/>
      <c r="K38" s="52">
        <v>6.0505659999999999</v>
      </c>
      <c r="L38" s="53"/>
      <c r="M38" s="9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11"/>
    </row>
    <row r="39" spans="1:26" ht="23.25" customHeight="1" x14ac:dyDescent="0.2">
      <c r="A39" s="49" t="s">
        <v>28</v>
      </c>
      <c r="B39" s="82">
        <v>5945.8262000000004</v>
      </c>
      <c r="C39" s="25">
        <f t="shared" si="0"/>
        <v>5.4000000000087311E-2</v>
      </c>
      <c r="D39" s="24">
        <f t="shared" si="1"/>
        <v>1944.0000000031432</v>
      </c>
      <c r="E39" s="108"/>
      <c r="F39" s="82">
        <v>3844.7060999999999</v>
      </c>
      <c r="G39" s="51">
        <f t="shared" si="4"/>
        <v>3.4999999999854481E-2</v>
      </c>
      <c r="H39" s="50">
        <f t="shared" si="2"/>
        <v>1259.9999999947613</v>
      </c>
      <c r="I39" s="52">
        <f t="shared" si="3"/>
        <v>0.64814814814440536</v>
      </c>
      <c r="J39" s="39"/>
      <c r="K39" s="52">
        <v>6.2487389999999996</v>
      </c>
      <c r="L39" s="53"/>
      <c r="M39" s="9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11"/>
    </row>
    <row r="40" spans="1:26" ht="23.25" customHeight="1" x14ac:dyDescent="0.2">
      <c r="A40" s="49" t="s">
        <v>29</v>
      </c>
      <c r="B40" s="82">
        <v>5945.8797000000004</v>
      </c>
      <c r="C40" s="25">
        <f t="shared" si="0"/>
        <v>5.3499999999985448E-2</v>
      </c>
      <c r="D40" s="24">
        <f t="shared" si="1"/>
        <v>1925.9999999994761</v>
      </c>
      <c r="E40" s="108"/>
      <c r="F40" s="82">
        <v>3844.7413000000001</v>
      </c>
      <c r="G40" s="51">
        <f t="shared" si="4"/>
        <v>3.5200000000259024E-2</v>
      </c>
      <c r="H40" s="50">
        <f t="shared" si="2"/>
        <v>1267.2000000093249</v>
      </c>
      <c r="I40" s="52">
        <f t="shared" si="3"/>
        <v>0.65794392523866541</v>
      </c>
      <c r="J40" s="39"/>
      <c r="K40" s="52">
        <v>6.0575590000000004</v>
      </c>
      <c r="L40" s="53"/>
      <c r="M40" s="122" t="s">
        <v>109</v>
      </c>
      <c r="N40" s="122"/>
      <c r="O40" s="122"/>
      <c r="P40" s="122"/>
      <c r="Q40" s="122"/>
      <c r="R40" s="122"/>
      <c r="S40" s="122"/>
      <c r="T40" s="122"/>
      <c r="U40" s="122"/>
      <c r="V40" s="122"/>
      <c r="W40" s="122"/>
      <c r="X40" s="122"/>
      <c r="Y40" s="122"/>
      <c r="Z40" s="122"/>
    </row>
    <row r="41" spans="1:26" ht="23.25" customHeight="1" x14ac:dyDescent="0.2">
      <c r="A41" s="49" t="s">
        <v>30</v>
      </c>
      <c r="B41" s="82">
        <v>5945.9362000000001</v>
      </c>
      <c r="C41" s="25">
        <f t="shared" si="0"/>
        <v>5.6499999999687134E-2</v>
      </c>
      <c r="D41" s="24">
        <f t="shared" si="1"/>
        <v>2033.9999999887368</v>
      </c>
      <c r="E41" s="108"/>
      <c r="F41" s="82">
        <v>3844.7788999999998</v>
      </c>
      <c r="G41" s="51">
        <f t="shared" si="4"/>
        <v>3.7599999999656575E-2</v>
      </c>
      <c r="H41" s="50">
        <f t="shared" si="2"/>
        <v>1353.5999999876367</v>
      </c>
      <c r="I41" s="52">
        <f t="shared" si="3"/>
        <v>0.66548672566132361</v>
      </c>
      <c r="J41" s="39"/>
      <c r="K41" s="52">
        <v>6.3020680000000002</v>
      </c>
      <c r="L41" s="53"/>
      <c r="M41" s="123" t="s">
        <v>79</v>
      </c>
      <c r="N41" s="121" t="s">
        <v>98</v>
      </c>
      <c r="O41" s="121"/>
      <c r="P41" s="121" t="s">
        <v>93</v>
      </c>
      <c r="Q41" s="121"/>
      <c r="R41" s="121"/>
      <c r="S41" s="121" t="s">
        <v>111</v>
      </c>
      <c r="T41" s="121" t="s">
        <v>81</v>
      </c>
      <c r="U41" s="121"/>
      <c r="V41" s="121"/>
      <c r="W41" s="121"/>
      <c r="X41" s="121" t="s">
        <v>93</v>
      </c>
      <c r="Y41" s="121"/>
      <c r="Z41" s="124"/>
    </row>
    <row r="42" spans="1:26" ht="23.25" customHeight="1" x14ac:dyDescent="0.2">
      <c r="A42" s="49" t="s">
        <v>31</v>
      </c>
      <c r="B42" s="82">
        <v>5945.9894999999997</v>
      </c>
      <c r="C42" s="25">
        <f t="shared" si="0"/>
        <v>5.3299999999580905E-2</v>
      </c>
      <c r="D42" s="24">
        <f t="shared" si="1"/>
        <v>1918.7999999849126</v>
      </c>
      <c r="E42" s="108"/>
      <c r="F42" s="82">
        <v>3844.8155999999999</v>
      </c>
      <c r="G42" s="51">
        <f t="shared" si="4"/>
        <v>3.6700000000109867E-2</v>
      </c>
      <c r="H42" s="50">
        <f t="shared" si="2"/>
        <v>1321.2000000039552</v>
      </c>
      <c r="I42" s="52">
        <f t="shared" si="3"/>
        <v>0.6885553470994078</v>
      </c>
      <c r="J42" s="39"/>
      <c r="K42" s="52">
        <v>6.3156210000000002</v>
      </c>
      <c r="L42" s="53"/>
      <c r="M42" s="116"/>
      <c r="N42" s="118"/>
      <c r="O42" s="118"/>
      <c r="P42" s="118"/>
      <c r="Q42" s="118"/>
      <c r="R42" s="118"/>
      <c r="S42" s="118"/>
      <c r="T42" s="118"/>
      <c r="U42" s="118"/>
      <c r="V42" s="118"/>
      <c r="W42" s="118"/>
      <c r="X42" s="118"/>
      <c r="Y42" s="118"/>
      <c r="Z42" s="125"/>
    </row>
    <row r="43" spans="1:26" ht="22.5" customHeight="1" x14ac:dyDescent="0.2">
      <c r="A43" s="184" t="s">
        <v>70</v>
      </c>
      <c r="B43" s="184"/>
      <c r="C43" s="184"/>
      <c r="D43" s="50">
        <f>SUM(D18:D42)</f>
        <v>51533.999999988737</v>
      </c>
      <c r="E43" s="39"/>
      <c r="F43" s="54" t="s">
        <v>188</v>
      </c>
      <c r="G43" s="39" t="s">
        <v>189</v>
      </c>
      <c r="H43" s="50">
        <f>SUM(H18:H42)</f>
        <v>33458.399999999529</v>
      </c>
      <c r="I43" s="52">
        <f>IF(AND(H43=0,D43=0),0,H43/D43)</f>
        <v>0.64924903946922108</v>
      </c>
      <c r="J43" s="39"/>
      <c r="K43" s="39"/>
      <c r="L43" s="53"/>
      <c r="M43" s="116" t="s">
        <v>80</v>
      </c>
      <c r="N43" s="118" t="s">
        <v>99</v>
      </c>
      <c r="O43" s="118"/>
      <c r="P43" s="118" t="s">
        <v>110</v>
      </c>
      <c r="Q43" s="118"/>
      <c r="R43" s="118"/>
      <c r="S43" s="118"/>
      <c r="T43" s="118"/>
      <c r="U43" s="118"/>
      <c r="V43" s="118"/>
      <c r="W43" s="118"/>
      <c r="X43" s="118" t="s">
        <v>110</v>
      </c>
      <c r="Y43" s="118"/>
      <c r="Z43" s="125"/>
    </row>
    <row r="44" spans="1:26" ht="22.5" customHeight="1" x14ac:dyDescent="0.2">
      <c r="A44" s="183" t="s">
        <v>71</v>
      </c>
      <c r="B44" s="183"/>
      <c r="C44" s="183"/>
      <c r="D44" s="39"/>
      <c r="E44" s="39"/>
      <c r="F44" s="54"/>
      <c r="G44" s="39"/>
      <c r="H44" s="39"/>
      <c r="I44" s="39"/>
      <c r="J44" s="39"/>
      <c r="K44" s="39"/>
      <c r="L44" s="53"/>
      <c r="M44" s="117"/>
      <c r="N44" s="119"/>
      <c r="O44" s="119"/>
      <c r="P44" s="119"/>
      <c r="Q44" s="119"/>
      <c r="R44" s="119"/>
      <c r="S44" s="119"/>
      <c r="T44" s="119"/>
      <c r="U44" s="119"/>
      <c r="V44" s="119"/>
      <c r="W44" s="119"/>
      <c r="X44" s="119"/>
      <c r="Y44" s="119"/>
      <c r="Z44" s="127"/>
    </row>
    <row r="45" spans="1:26" ht="22.5" customHeight="1" x14ac:dyDescent="0.2">
      <c r="A45" s="55"/>
      <c r="B45" s="56"/>
      <c r="C45" s="56"/>
      <c r="D45" s="56"/>
      <c r="E45" s="56"/>
      <c r="F45" s="56"/>
      <c r="G45" s="56"/>
      <c r="H45" s="56"/>
      <c r="I45" s="56"/>
      <c r="J45" s="57"/>
      <c r="K45" s="57"/>
      <c r="L45" s="57"/>
      <c r="M45" s="9"/>
      <c r="N45" s="111"/>
      <c r="O45" s="113"/>
      <c r="P45" s="111"/>
      <c r="Q45" s="112"/>
      <c r="R45" s="113"/>
      <c r="S45" s="7"/>
      <c r="T45" s="111"/>
      <c r="U45" s="112"/>
      <c r="V45" s="112"/>
      <c r="W45" s="113"/>
      <c r="X45" s="111"/>
      <c r="Y45" s="112"/>
      <c r="Z45" s="112"/>
    </row>
    <row r="46" spans="1:26" ht="22.5" customHeight="1" x14ac:dyDescent="0.2">
      <c r="A46" s="182" t="s">
        <v>72</v>
      </c>
      <c r="B46" s="182"/>
      <c r="C46" s="182"/>
      <c r="D46" s="182"/>
      <c r="E46" s="182"/>
      <c r="F46" s="182"/>
      <c r="G46" s="204" t="s">
        <v>73</v>
      </c>
      <c r="H46" s="204"/>
      <c r="I46" s="204"/>
      <c r="J46" s="204"/>
      <c r="K46" s="204"/>
      <c r="L46" s="204"/>
      <c r="M46" s="9"/>
      <c r="N46" s="111"/>
      <c r="O46" s="113"/>
      <c r="P46" s="111"/>
      <c r="Q46" s="112"/>
      <c r="R46" s="113"/>
      <c r="S46" s="7"/>
      <c r="T46" s="111"/>
      <c r="U46" s="112"/>
      <c r="V46" s="112"/>
      <c r="W46" s="113"/>
      <c r="X46" s="111"/>
      <c r="Y46" s="112"/>
      <c r="Z46" s="112"/>
    </row>
    <row r="47" spans="1:26" ht="22.5" customHeight="1" x14ac:dyDescent="0.2">
      <c r="A47" s="144" t="s">
        <v>365</v>
      </c>
      <c r="B47" s="144"/>
      <c r="C47" s="144"/>
      <c r="D47" s="135" t="s">
        <v>74</v>
      </c>
      <c r="E47" s="135"/>
      <c r="F47" s="135"/>
      <c r="G47" s="56"/>
      <c r="H47" s="56"/>
      <c r="I47" s="56"/>
      <c r="J47" s="56"/>
      <c r="K47" s="56"/>
      <c r="L47" s="56"/>
      <c r="M47" s="9"/>
      <c r="N47" s="111"/>
      <c r="O47" s="113"/>
      <c r="P47" s="111"/>
      <c r="Q47" s="112"/>
      <c r="R47" s="113"/>
      <c r="S47" s="7"/>
      <c r="T47" s="111"/>
      <c r="U47" s="112"/>
      <c r="V47" s="112"/>
      <c r="W47" s="113"/>
      <c r="X47" s="111"/>
      <c r="Y47" s="112"/>
      <c r="Z47" s="112"/>
    </row>
    <row r="48" spans="1:26" ht="22.5" customHeight="1" x14ac:dyDescent="0.2">
      <c r="A48" s="175" t="s">
        <v>75</v>
      </c>
      <c r="B48" s="175"/>
      <c r="C48" s="175"/>
      <c r="D48" s="174" t="s">
        <v>76</v>
      </c>
      <c r="E48" s="174"/>
      <c r="F48" s="174"/>
      <c r="G48" s="55"/>
      <c r="H48" s="55"/>
      <c r="I48" s="55"/>
      <c r="J48" s="55"/>
      <c r="K48" s="55"/>
      <c r="L48" s="55"/>
    </row>
    <row r="49" spans="1:23" ht="22.5" customHeight="1" x14ac:dyDescent="0.2">
      <c r="A49" s="144" t="s">
        <v>366</v>
      </c>
      <c r="B49" s="144"/>
      <c r="C49" s="144"/>
      <c r="D49" s="135" t="s">
        <v>74</v>
      </c>
      <c r="E49" s="135"/>
      <c r="F49" s="135"/>
      <c r="G49" s="55"/>
      <c r="H49" s="182" t="s">
        <v>183</v>
      </c>
      <c r="I49" s="182"/>
      <c r="J49" s="182"/>
      <c r="K49" s="182" t="s">
        <v>77</v>
      </c>
      <c r="L49" s="182"/>
      <c r="N49" s="177" t="s">
        <v>150</v>
      </c>
      <c r="O49" s="177"/>
      <c r="P49" s="177"/>
      <c r="Q49" s="176" t="s">
        <v>364</v>
      </c>
      <c r="R49" s="176"/>
      <c r="S49" s="176"/>
      <c r="T49" s="176"/>
      <c r="U49" s="176"/>
      <c r="V49" s="176"/>
      <c r="W49" s="1"/>
    </row>
    <row r="50" spans="1:23" ht="22.5" customHeight="1" x14ac:dyDescent="0.2">
      <c r="A50" s="175" t="s">
        <v>75</v>
      </c>
      <c r="B50" s="175"/>
      <c r="C50" s="175"/>
      <c r="D50" s="174" t="s">
        <v>76</v>
      </c>
      <c r="E50" s="174"/>
      <c r="F50" s="174"/>
      <c r="G50" s="58"/>
      <c r="H50" s="175" t="s">
        <v>75</v>
      </c>
      <c r="I50" s="175"/>
      <c r="J50" s="175"/>
      <c r="K50" s="175" t="s">
        <v>76</v>
      </c>
      <c r="L50" s="175"/>
      <c r="S50" s="173" t="s">
        <v>76</v>
      </c>
      <c r="T50" s="173"/>
    </row>
    <row r="51" spans="1:23" ht="20.100000000000001" customHeight="1" x14ac:dyDescent="0.2">
      <c r="A51" s="144" t="s">
        <v>367</v>
      </c>
      <c r="B51" s="144"/>
      <c r="C51" s="144"/>
      <c r="D51" s="135" t="s">
        <v>74</v>
      </c>
      <c r="E51" s="135"/>
      <c r="F51" s="135"/>
      <c r="G51" s="55"/>
      <c r="H51" s="55"/>
      <c r="I51" s="55"/>
      <c r="J51" s="55"/>
      <c r="K51" s="55"/>
      <c r="L51" s="55"/>
    </row>
    <row r="52" spans="1:23" ht="20.100000000000001" customHeight="1" x14ac:dyDescent="0.2">
      <c r="A52" s="174" t="s">
        <v>75</v>
      </c>
      <c r="B52" s="174"/>
      <c r="C52" s="174"/>
      <c r="D52" s="173" t="s">
        <v>76</v>
      </c>
      <c r="E52" s="173"/>
      <c r="F52" s="173"/>
      <c r="G52" s="63"/>
      <c r="H52" s="63"/>
      <c r="I52" s="64"/>
      <c r="J52" s="64"/>
      <c r="K52" s="64"/>
      <c r="L52" s="64"/>
    </row>
  </sheetData>
  <sheetProtection sheet="1" objects="1" scenarios="1"/>
  <mergeCells count="256">
    <mergeCell ref="A52:C52"/>
    <mergeCell ref="D52:F52"/>
    <mergeCell ref="K16:K17"/>
    <mergeCell ref="A13:A17"/>
    <mergeCell ref="E16:E17"/>
    <mergeCell ref="B15:C15"/>
    <mergeCell ref="D15:E15"/>
    <mergeCell ref="B13:C13"/>
    <mergeCell ref="J16:J17"/>
    <mergeCell ref="G46:L46"/>
    <mergeCell ref="D49:F49"/>
    <mergeCell ref="A47:C47"/>
    <mergeCell ref="G1:H2"/>
    <mergeCell ref="G3:H4"/>
    <mergeCell ref="A1:F1"/>
    <mergeCell ref="A2:F2"/>
    <mergeCell ref="A4:F4"/>
    <mergeCell ref="A51:C51"/>
    <mergeCell ref="D51:F51"/>
    <mergeCell ref="A6:F6"/>
    <mergeCell ref="D47:F47"/>
    <mergeCell ref="F14:G14"/>
    <mergeCell ref="H10:L10"/>
    <mergeCell ref="D13:E13"/>
    <mergeCell ref="E10:G10"/>
    <mergeCell ref="A43:C43"/>
    <mergeCell ref="I13:I17"/>
    <mergeCell ref="J13:K13"/>
    <mergeCell ref="J14:K14"/>
    <mergeCell ref="J15:K15"/>
    <mergeCell ref="I3:L4"/>
    <mergeCell ref="A11:D11"/>
    <mergeCell ref="E11:H11"/>
    <mergeCell ref="A10:D10"/>
    <mergeCell ref="H50:J50"/>
    <mergeCell ref="K50:L50"/>
    <mergeCell ref="A3:F3"/>
    <mergeCell ref="A5:F5"/>
    <mergeCell ref="A48:C48"/>
    <mergeCell ref="A49:C49"/>
    <mergeCell ref="A50:C50"/>
    <mergeCell ref="D50:F50"/>
    <mergeCell ref="D48:F48"/>
    <mergeCell ref="F15:G15"/>
    <mergeCell ref="A46:F46"/>
    <mergeCell ref="A44:C44"/>
    <mergeCell ref="A9:L9"/>
    <mergeCell ref="G5:H6"/>
    <mergeCell ref="H49:J49"/>
    <mergeCell ref="K49:L49"/>
    <mergeCell ref="A7:L7"/>
    <mergeCell ref="F13:G13"/>
    <mergeCell ref="I11:L11"/>
    <mergeCell ref="B14:C14"/>
    <mergeCell ref="D14:E14"/>
    <mergeCell ref="A8:L8"/>
    <mergeCell ref="M33:M34"/>
    <mergeCell ref="M29:Z29"/>
    <mergeCell ref="M30:Z30"/>
    <mergeCell ref="V31:X31"/>
    <mergeCell ref="V32:X32"/>
    <mergeCell ref="Y31:Z34"/>
    <mergeCell ref="V33:X33"/>
    <mergeCell ref="R33:S33"/>
    <mergeCell ref="T31:U31"/>
    <mergeCell ref="T32:U32"/>
    <mergeCell ref="X8:Z8"/>
    <mergeCell ref="N23:P23"/>
    <mergeCell ref="V14:W14"/>
    <mergeCell ref="N10:O10"/>
    <mergeCell ref="N11:O11"/>
    <mergeCell ref="P7:Q7"/>
    <mergeCell ref="P8:Q8"/>
    <mergeCell ref="A12:L12"/>
    <mergeCell ref="M31:M32"/>
    <mergeCell ref="N16:O16"/>
    <mergeCell ref="N12:O12"/>
    <mergeCell ref="N13:O13"/>
    <mergeCell ref="M18:M19"/>
    <mergeCell ref="N20:P21"/>
    <mergeCell ref="P13:Q13"/>
    <mergeCell ref="P14:Q14"/>
    <mergeCell ref="Q22:S22"/>
    <mergeCell ref="M20:M21"/>
    <mergeCell ref="N28:P28"/>
    <mergeCell ref="Q28:S28"/>
    <mergeCell ref="P16:Q16"/>
    <mergeCell ref="M17:Z17"/>
    <mergeCell ref="W18:Z21"/>
    <mergeCell ref="N14:O14"/>
    <mergeCell ref="M1:Z1"/>
    <mergeCell ref="M2:Z2"/>
    <mergeCell ref="X3:Z6"/>
    <mergeCell ref="M5:M6"/>
    <mergeCell ref="M3:M4"/>
    <mergeCell ref="T6:U6"/>
    <mergeCell ref="N7:O7"/>
    <mergeCell ref="P3:Q4"/>
    <mergeCell ref="R3:S3"/>
    <mergeCell ref="R4:S4"/>
    <mergeCell ref="R5:S5"/>
    <mergeCell ref="R6:S6"/>
    <mergeCell ref="R7:S7"/>
    <mergeCell ref="X7:Z7"/>
    <mergeCell ref="N8:O8"/>
    <mergeCell ref="N9:O9"/>
    <mergeCell ref="P5:Q6"/>
    <mergeCell ref="N3:O6"/>
    <mergeCell ref="T3:U3"/>
    <mergeCell ref="T4:U4"/>
    <mergeCell ref="T5:U5"/>
    <mergeCell ref="T7:U7"/>
    <mergeCell ref="V12:W12"/>
    <mergeCell ref="T8:U8"/>
    <mergeCell ref="V8:W8"/>
    <mergeCell ref="V3:W3"/>
    <mergeCell ref="V4:W4"/>
    <mergeCell ref="V5:W5"/>
    <mergeCell ref="V6:W6"/>
    <mergeCell ref="V7:W7"/>
    <mergeCell ref="P12:Q12"/>
    <mergeCell ref="R8:S8"/>
    <mergeCell ref="R9:S9"/>
    <mergeCell ref="R10:S10"/>
    <mergeCell ref="P9:Q9"/>
    <mergeCell ref="P10:Q10"/>
    <mergeCell ref="P11:Q11"/>
    <mergeCell ref="T9:U9"/>
    <mergeCell ref="X9:Z9"/>
    <mergeCell ref="X10:Z10"/>
    <mergeCell ref="X11:Z11"/>
    <mergeCell ref="X12:Z12"/>
    <mergeCell ref="X13:Z13"/>
    <mergeCell ref="X14:Z14"/>
    <mergeCell ref="Q20:S20"/>
    <mergeCell ref="T16:U16"/>
    <mergeCell ref="T20:V21"/>
    <mergeCell ref="Q21:S21"/>
    <mergeCell ref="T18:V19"/>
    <mergeCell ref="Q18:S18"/>
    <mergeCell ref="V9:W9"/>
    <mergeCell ref="Q19:S19"/>
    <mergeCell ref="V16:W16"/>
    <mergeCell ref="T10:U10"/>
    <mergeCell ref="V13:W13"/>
    <mergeCell ref="T13:U13"/>
    <mergeCell ref="R16:S16"/>
    <mergeCell ref="V15:W15"/>
    <mergeCell ref="T15:U15"/>
    <mergeCell ref="X15:Z15"/>
    <mergeCell ref="X16:Z16"/>
    <mergeCell ref="R11:S11"/>
    <mergeCell ref="R12:S12"/>
    <mergeCell ref="R13:S13"/>
    <mergeCell ref="T11:U11"/>
    <mergeCell ref="V11:W11"/>
    <mergeCell ref="T12:U12"/>
    <mergeCell ref="V10:W10"/>
    <mergeCell ref="W27:Z27"/>
    <mergeCell ref="N26:P26"/>
    <mergeCell ref="W24:Z24"/>
    <mergeCell ref="W22:Z22"/>
    <mergeCell ref="T14:U14"/>
    <mergeCell ref="R14:S14"/>
    <mergeCell ref="R15:S15"/>
    <mergeCell ref="P15:Q15"/>
    <mergeCell ref="N22:P22"/>
    <mergeCell ref="T22:V22"/>
    <mergeCell ref="T27:V27"/>
    <mergeCell ref="N18:P19"/>
    <mergeCell ref="N15:O15"/>
    <mergeCell ref="Q25:S25"/>
    <mergeCell ref="T36:U36"/>
    <mergeCell ref="V36:X36"/>
    <mergeCell ref="Y36:Z36"/>
    <mergeCell ref="P35:Q36"/>
    <mergeCell ref="W23:Z23"/>
    <mergeCell ref="Q23:S23"/>
    <mergeCell ref="W28:Z28"/>
    <mergeCell ref="V34:X34"/>
    <mergeCell ref="N25:P25"/>
    <mergeCell ref="W25:Z25"/>
    <mergeCell ref="T25:V25"/>
    <mergeCell ref="N24:P24"/>
    <mergeCell ref="T33:U33"/>
    <mergeCell ref="R31:S31"/>
    <mergeCell ref="R32:S32"/>
    <mergeCell ref="N31:O32"/>
    <mergeCell ref="N33:O34"/>
    <mergeCell ref="P31:Q31"/>
    <mergeCell ref="T24:V24"/>
    <mergeCell ref="Q24:S24"/>
    <mergeCell ref="Q27:S27"/>
    <mergeCell ref="Y38:Z38"/>
    <mergeCell ref="N38:O38"/>
    <mergeCell ref="P38:Q38"/>
    <mergeCell ref="R38:S38"/>
    <mergeCell ref="T38:U38"/>
    <mergeCell ref="W26:Z26"/>
    <mergeCell ref="N27:P27"/>
    <mergeCell ref="T37:U37"/>
    <mergeCell ref="Y35:Z35"/>
    <mergeCell ref="N36:O36"/>
    <mergeCell ref="P37:Q37"/>
    <mergeCell ref="R37:S37"/>
    <mergeCell ref="P32:Q32"/>
    <mergeCell ref="P33:Q33"/>
    <mergeCell ref="N35:O35"/>
    <mergeCell ref="T35:U35"/>
    <mergeCell ref="V35:X35"/>
    <mergeCell ref="R35:S36"/>
    <mergeCell ref="P34:Q34"/>
    <mergeCell ref="T28:V28"/>
    <mergeCell ref="Q26:S26"/>
    <mergeCell ref="T26:V26"/>
    <mergeCell ref="R34:S34"/>
    <mergeCell ref="T34:U34"/>
    <mergeCell ref="I1:L2"/>
    <mergeCell ref="I5:L6"/>
    <mergeCell ref="X45:Z45"/>
    <mergeCell ref="X46:Z46"/>
    <mergeCell ref="X47:Z47"/>
    <mergeCell ref="M43:M44"/>
    <mergeCell ref="N47:O47"/>
    <mergeCell ref="T45:W45"/>
    <mergeCell ref="T46:W46"/>
    <mergeCell ref="T47:W47"/>
    <mergeCell ref="N37:O37"/>
    <mergeCell ref="N43:O44"/>
    <mergeCell ref="P43:R44"/>
    <mergeCell ref="X41:Z42"/>
    <mergeCell ref="X43:Z44"/>
    <mergeCell ref="R39:S39"/>
    <mergeCell ref="T39:U39"/>
    <mergeCell ref="V39:X39"/>
    <mergeCell ref="Y39:Z39"/>
    <mergeCell ref="S41:S44"/>
    <mergeCell ref="V38:X38"/>
    <mergeCell ref="V37:X37"/>
    <mergeCell ref="Y37:Z37"/>
    <mergeCell ref="T23:V23"/>
    <mergeCell ref="S50:T50"/>
    <mergeCell ref="N39:O39"/>
    <mergeCell ref="P39:Q39"/>
    <mergeCell ref="N41:O42"/>
    <mergeCell ref="P41:R42"/>
    <mergeCell ref="M40:Z40"/>
    <mergeCell ref="M41:M42"/>
    <mergeCell ref="Q49:V49"/>
    <mergeCell ref="N49:P49"/>
    <mergeCell ref="P45:R45"/>
    <mergeCell ref="P46:R46"/>
    <mergeCell ref="P47:R47"/>
    <mergeCell ref="N45:O45"/>
    <mergeCell ref="N46:O46"/>
    <mergeCell ref="T41:W44"/>
  </mergeCells>
  <phoneticPr fontId="0" type="noConversion"/>
  <printOptions horizontalCentered="1"/>
  <pageMargins left="0.39370078740157483" right="0.39370078740157483" top="0.19685039370078741" bottom="0.19685039370078741" header="0" footer="0"/>
  <pageSetup paperSize="9" scale="66" orientation="portrait" horizontalDpi="180" verticalDpi="180" r:id="rId1"/>
  <headerFooter alignWithMargins="0"/>
  <colBreaks count="1" manualBreakCount="1">
    <brk id="12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1"/>
  <dimension ref="A1:Z52"/>
  <sheetViews>
    <sheetView view="pageBreakPreview" topLeftCell="A13" zoomScale="75" zoomScaleNormal="75" zoomScaleSheetLayoutView="50" workbookViewId="0">
      <selection activeCell="J47" sqref="J47"/>
    </sheetView>
  </sheetViews>
  <sheetFormatPr defaultRowHeight="18.75" x14ac:dyDescent="0.2"/>
  <cols>
    <col min="1" max="1" width="11.140625" style="2" customWidth="1"/>
    <col min="2" max="2" width="14.140625" style="2" customWidth="1"/>
    <col min="3" max="3" width="12.140625" style="2" customWidth="1"/>
    <col min="4" max="4" width="14.28515625" style="2" customWidth="1"/>
    <col min="5" max="5" width="5.42578125" style="2" customWidth="1"/>
    <col min="6" max="6" width="13.42578125" style="2" customWidth="1"/>
    <col min="7" max="7" width="14.140625" style="2" customWidth="1"/>
    <col min="8" max="8" width="16.28515625" style="2" customWidth="1"/>
    <col min="9" max="9" width="8.28515625" style="2" customWidth="1"/>
    <col min="10" max="11" width="8.85546875" style="2" customWidth="1"/>
    <col min="12" max="12" width="17.7109375" style="2" customWidth="1"/>
    <col min="13" max="20" width="10.28515625" style="2" customWidth="1"/>
    <col min="21" max="21" width="12.7109375" style="2" customWidth="1"/>
    <col min="22" max="26" width="10.28515625" style="2" customWidth="1"/>
    <col min="27" max="16384" width="9.140625" style="2"/>
  </cols>
  <sheetData>
    <row r="1" spans="1:26" ht="21.75" customHeight="1" x14ac:dyDescent="0.2">
      <c r="A1" s="115" t="s">
        <v>157</v>
      </c>
      <c r="B1" s="115"/>
      <c r="C1" s="115"/>
      <c r="D1" s="115"/>
      <c r="E1" s="115"/>
      <c r="F1" s="115"/>
      <c r="G1" s="150" t="s">
        <v>154</v>
      </c>
      <c r="H1" s="150"/>
      <c r="I1" s="115" t="s">
        <v>160</v>
      </c>
      <c r="J1" s="115"/>
      <c r="K1" s="115"/>
      <c r="L1" s="115"/>
      <c r="M1" s="122" t="s">
        <v>96</v>
      </c>
      <c r="N1" s="122"/>
      <c r="O1" s="122"/>
      <c r="P1" s="122"/>
      <c r="Q1" s="122"/>
      <c r="R1" s="122"/>
      <c r="S1" s="122"/>
      <c r="T1" s="122"/>
      <c r="U1" s="122"/>
      <c r="V1" s="122"/>
      <c r="W1" s="122"/>
      <c r="X1" s="122"/>
      <c r="Y1" s="122"/>
      <c r="Z1" s="122"/>
    </row>
    <row r="2" spans="1:26" ht="21.75" customHeight="1" x14ac:dyDescent="0.2">
      <c r="A2" s="146" t="s">
        <v>45</v>
      </c>
      <c r="B2" s="146"/>
      <c r="C2" s="146"/>
      <c r="D2" s="146"/>
      <c r="E2" s="146"/>
      <c r="F2" s="146"/>
      <c r="G2" s="150"/>
      <c r="H2" s="150"/>
      <c r="I2" s="115"/>
      <c r="J2" s="115"/>
      <c r="K2" s="115"/>
      <c r="L2" s="115"/>
      <c r="M2" s="122" t="s">
        <v>78</v>
      </c>
      <c r="N2" s="122"/>
      <c r="O2" s="122"/>
      <c r="P2" s="122"/>
      <c r="Q2" s="122"/>
      <c r="R2" s="122"/>
      <c r="S2" s="122"/>
      <c r="T2" s="122"/>
      <c r="U2" s="122"/>
      <c r="V2" s="122"/>
      <c r="W2" s="122"/>
      <c r="X2" s="122"/>
      <c r="Y2" s="122"/>
      <c r="Z2" s="122"/>
    </row>
    <row r="3" spans="1:26" ht="21.75" customHeight="1" x14ac:dyDescent="0.2">
      <c r="A3" s="115" t="s">
        <v>158</v>
      </c>
      <c r="B3" s="147"/>
      <c r="C3" s="147"/>
      <c r="D3" s="147"/>
      <c r="E3" s="147"/>
      <c r="F3" s="147"/>
      <c r="G3" s="150" t="s">
        <v>155</v>
      </c>
      <c r="H3" s="150"/>
      <c r="I3" s="115" t="s">
        <v>202</v>
      </c>
      <c r="J3" s="115"/>
      <c r="K3" s="115"/>
      <c r="L3" s="115"/>
      <c r="M3" s="123" t="s">
        <v>79</v>
      </c>
      <c r="N3" s="124" t="s">
        <v>81</v>
      </c>
      <c r="O3" s="123"/>
      <c r="P3" s="124" t="s">
        <v>65</v>
      </c>
      <c r="Q3" s="123"/>
      <c r="R3" s="124" t="s">
        <v>82</v>
      </c>
      <c r="S3" s="123"/>
      <c r="T3" s="124" t="s">
        <v>85</v>
      </c>
      <c r="U3" s="123"/>
      <c r="V3" s="124" t="s">
        <v>87</v>
      </c>
      <c r="W3" s="123"/>
      <c r="X3" s="128" t="s">
        <v>91</v>
      </c>
      <c r="Y3" s="132"/>
      <c r="Z3" s="132"/>
    </row>
    <row r="4" spans="1:26" ht="29.25" customHeight="1" x14ac:dyDescent="0.2">
      <c r="A4" s="146" t="s">
        <v>46</v>
      </c>
      <c r="B4" s="146"/>
      <c r="C4" s="146"/>
      <c r="D4" s="146"/>
      <c r="E4" s="146"/>
      <c r="F4" s="146"/>
      <c r="G4" s="150"/>
      <c r="H4" s="150"/>
      <c r="I4" s="115"/>
      <c r="J4" s="115"/>
      <c r="K4" s="115"/>
      <c r="L4" s="115"/>
      <c r="M4" s="116"/>
      <c r="N4" s="125"/>
      <c r="O4" s="116"/>
      <c r="P4" s="125"/>
      <c r="Q4" s="116"/>
      <c r="R4" s="125" t="s">
        <v>83</v>
      </c>
      <c r="S4" s="116"/>
      <c r="T4" s="125" t="s">
        <v>86</v>
      </c>
      <c r="U4" s="116"/>
      <c r="V4" s="125" t="s">
        <v>88</v>
      </c>
      <c r="W4" s="116"/>
      <c r="X4" s="128"/>
      <c r="Y4" s="132"/>
      <c r="Z4" s="132"/>
    </row>
    <row r="5" spans="1:26" ht="21.75" customHeight="1" x14ac:dyDescent="0.2">
      <c r="A5" s="115" t="s">
        <v>177</v>
      </c>
      <c r="B5" s="147"/>
      <c r="C5" s="147"/>
      <c r="D5" s="147"/>
      <c r="E5" s="147"/>
      <c r="F5" s="147"/>
      <c r="G5" s="150" t="s">
        <v>156</v>
      </c>
      <c r="H5" s="150"/>
      <c r="I5" s="115" t="s">
        <v>204</v>
      </c>
      <c r="J5" s="115"/>
      <c r="K5" s="115"/>
      <c r="L5" s="115"/>
      <c r="M5" s="116" t="s">
        <v>80</v>
      </c>
      <c r="N5" s="125"/>
      <c r="O5" s="116"/>
      <c r="P5" s="125" t="s">
        <v>182</v>
      </c>
      <c r="Q5" s="116"/>
      <c r="R5" s="133" t="s">
        <v>84</v>
      </c>
      <c r="S5" s="134"/>
      <c r="T5" s="133" t="s">
        <v>84</v>
      </c>
      <c r="U5" s="134"/>
      <c r="V5" s="125" t="s">
        <v>89</v>
      </c>
      <c r="W5" s="116"/>
      <c r="X5" s="128"/>
      <c r="Y5" s="132"/>
      <c r="Z5" s="132"/>
    </row>
    <row r="6" spans="1:26" ht="21.75" customHeight="1" x14ac:dyDescent="0.2">
      <c r="A6" s="146" t="s">
        <v>47</v>
      </c>
      <c r="B6" s="146"/>
      <c r="C6" s="146"/>
      <c r="D6" s="146"/>
      <c r="E6" s="146"/>
      <c r="F6" s="146"/>
      <c r="G6" s="150"/>
      <c r="H6" s="150"/>
      <c r="I6" s="115"/>
      <c r="J6" s="115"/>
      <c r="K6" s="115"/>
      <c r="L6" s="115"/>
      <c r="M6" s="117"/>
      <c r="N6" s="127"/>
      <c r="O6" s="117"/>
      <c r="P6" s="127"/>
      <c r="Q6" s="117"/>
      <c r="R6" s="127"/>
      <c r="S6" s="117"/>
      <c r="T6" s="127"/>
      <c r="U6" s="117"/>
      <c r="V6" s="127" t="s">
        <v>90</v>
      </c>
      <c r="W6" s="117"/>
      <c r="X6" s="128"/>
      <c r="Y6" s="132"/>
      <c r="Z6" s="132"/>
    </row>
    <row r="7" spans="1:26" ht="21.75" customHeight="1" x14ac:dyDescent="0.2">
      <c r="A7" s="122"/>
      <c r="B7" s="122"/>
      <c r="C7" s="122"/>
      <c r="D7" s="122"/>
      <c r="E7" s="122"/>
      <c r="F7" s="122"/>
      <c r="G7" s="122"/>
      <c r="H7" s="122"/>
      <c r="I7" s="122"/>
      <c r="J7" s="122"/>
      <c r="K7" s="122"/>
      <c r="L7" s="122"/>
      <c r="M7" s="9"/>
      <c r="N7" s="111"/>
      <c r="O7" s="113"/>
      <c r="P7" s="111"/>
      <c r="Q7" s="113"/>
      <c r="R7" s="111"/>
      <c r="S7" s="113"/>
      <c r="T7" s="111"/>
      <c r="U7" s="113"/>
      <c r="V7" s="111"/>
      <c r="W7" s="113"/>
      <c r="X7" s="111"/>
      <c r="Y7" s="112"/>
      <c r="Z7" s="112"/>
    </row>
    <row r="8" spans="1:26" ht="22.5" customHeight="1" x14ac:dyDescent="0.2">
      <c r="A8" s="143" t="s">
        <v>48</v>
      </c>
      <c r="B8" s="143"/>
      <c r="C8" s="143"/>
      <c r="D8" s="143"/>
      <c r="E8" s="143"/>
      <c r="F8" s="143"/>
      <c r="G8" s="143"/>
      <c r="H8" s="143"/>
      <c r="I8" s="143"/>
      <c r="J8" s="143"/>
      <c r="K8" s="143"/>
      <c r="L8" s="143"/>
      <c r="M8" s="9"/>
      <c r="N8" s="111"/>
      <c r="O8" s="113"/>
      <c r="P8" s="111"/>
      <c r="Q8" s="113"/>
      <c r="R8" s="111"/>
      <c r="S8" s="113"/>
      <c r="T8" s="111"/>
      <c r="U8" s="113"/>
      <c r="V8" s="111"/>
      <c r="W8" s="113"/>
      <c r="X8" s="111"/>
      <c r="Y8" s="112"/>
      <c r="Z8" s="112"/>
    </row>
    <row r="9" spans="1:26" ht="22.5" customHeight="1" x14ac:dyDescent="0.2">
      <c r="A9" s="156" t="s">
        <v>49</v>
      </c>
      <c r="B9" s="156"/>
      <c r="C9" s="156"/>
      <c r="D9" s="156"/>
      <c r="E9" s="156"/>
      <c r="F9" s="156"/>
      <c r="G9" s="156"/>
      <c r="H9" s="156"/>
      <c r="I9" s="156"/>
      <c r="J9" s="156"/>
      <c r="K9" s="156"/>
      <c r="L9" s="156"/>
      <c r="M9" s="9"/>
      <c r="N9" s="111"/>
      <c r="O9" s="113"/>
      <c r="P9" s="111"/>
      <c r="Q9" s="113"/>
      <c r="R9" s="111"/>
      <c r="S9" s="113"/>
      <c r="T9" s="111"/>
      <c r="U9" s="113"/>
      <c r="V9" s="111"/>
      <c r="W9" s="113"/>
      <c r="X9" s="111"/>
      <c r="Y9" s="112"/>
      <c r="Z9" s="112"/>
    </row>
    <row r="10" spans="1:26" ht="22.5" customHeight="1" x14ac:dyDescent="0.2">
      <c r="A10" s="151" t="s">
        <v>112</v>
      </c>
      <c r="B10" s="151"/>
      <c r="C10" s="151"/>
      <c r="D10" s="151"/>
      <c r="E10" s="162" t="s">
        <v>407</v>
      </c>
      <c r="F10" s="163"/>
      <c r="G10" s="163"/>
      <c r="H10" s="138" t="s">
        <v>369</v>
      </c>
      <c r="I10" s="138"/>
      <c r="J10" s="138"/>
      <c r="K10" s="138"/>
      <c r="L10" s="138"/>
      <c r="M10" s="9"/>
      <c r="N10" s="111"/>
      <c r="O10" s="113"/>
      <c r="P10" s="111"/>
      <c r="Q10" s="113"/>
      <c r="R10" s="111"/>
      <c r="S10" s="113"/>
      <c r="T10" s="111"/>
      <c r="U10" s="113"/>
      <c r="V10" s="111"/>
      <c r="W10" s="113"/>
      <c r="X10" s="111"/>
      <c r="Y10" s="112"/>
      <c r="Z10" s="112"/>
    </row>
    <row r="11" spans="1:26" ht="22.5" customHeight="1" x14ac:dyDescent="0.2">
      <c r="A11" s="151" t="s">
        <v>113</v>
      </c>
      <c r="B11" s="151"/>
      <c r="C11" s="151"/>
      <c r="D11" s="151"/>
      <c r="E11" s="161" t="s">
        <v>217</v>
      </c>
      <c r="F11" s="161"/>
      <c r="G11" s="161"/>
      <c r="H11" s="161"/>
      <c r="I11" s="138" t="s">
        <v>114</v>
      </c>
      <c r="J11" s="138"/>
      <c r="K11" s="138"/>
      <c r="L11" s="138"/>
      <c r="M11" s="9"/>
      <c r="N11" s="111"/>
      <c r="O11" s="113"/>
      <c r="P11" s="111"/>
      <c r="Q11" s="113"/>
      <c r="R11" s="111"/>
      <c r="S11" s="113"/>
      <c r="T11" s="111"/>
      <c r="U11" s="113"/>
      <c r="V11" s="111"/>
      <c r="W11" s="113"/>
      <c r="X11" s="111"/>
      <c r="Y11" s="112"/>
      <c r="Z11" s="112"/>
    </row>
    <row r="12" spans="1:26" ht="21.75" customHeight="1" x14ac:dyDescent="0.2">
      <c r="A12" s="149"/>
      <c r="B12" s="149"/>
      <c r="C12" s="149"/>
      <c r="D12" s="149"/>
      <c r="E12" s="149"/>
      <c r="F12" s="149"/>
      <c r="G12" s="149"/>
      <c r="H12" s="149"/>
      <c r="I12" s="149"/>
      <c r="J12" s="149"/>
      <c r="K12" s="149"/>
      <c r="L12" s="149"/>
      <c r="M12" s="9"/>
      <c r="N12" s="111"/>
      <c r="O12" s="113"/>
      <c r="P12" s="111"/>
      <c r="Q12" s="113"/>
      <c r="R12" s="111"/>
      <c r="S12" s="113"/>
      <c r="T12" s="111"/>
      <c r="U12" s="113"/>
      <c r="V12" s="111"/>
      <c r="W12" s="113"/>
      <c r="X12" s="111"/>
      <c r="Y12" s="112"/>
      <c r="Z12" s="112"/>
    </row>
    <row r="13" spans="1:26" ht="21.75" customHeight="1" x14ac:dyDescent="0.2">
      <c r="A13" s="187" t="s">
        <v>50</v>
      </c>
      <c r="B13" s="195" t="s">
        <v>56</v>
      </c>
      <c r="C13" s="196"/>
      <c r="D13" s="185" t="s">
        <v>190</v>
      </c>
      <c r="E13" s="186"/>
      <c r="F13" s="195" t="s">
        <v>59</v>
      </c>
      <c r="G13" s="196"/>
      <c r="H13" s="40" t="s">
        <v>190</v>
      </c>
      <c r="I13" s="197" t="s">
        <v>5</v>
      </c>
      <c r="J13" s="195" t="s">
        <v>60</v>
      </c>
      <c r="K13" s="187"/>
      <c r="L13" s="41" t="s">
        <v>65</v>
      </c>
      <c r="M13" s="9"/>
      <c r="N13" s="111"/>
      <c r="O13" s="113"/>
      <c r="P13" s="111"/>
      <c r="Q13" s="113"/>
      <c r="R13" s="111"/>
      <c r="S13" s="113"/>
      <c r="T13" s="111"/>
      <c r="U13" s="113"/>
      <c r="V13" s="111"/>
      <c r="W13" s="113"/>
      <c r="X13" s="111"/>
      <c r="Y13" s="112"/>
      <c r="Z13" s="112"/>
    </row>
    <row r="14" spans="1:26" ht="21.75" customHeight="1" x14ac:dyDescent="0.2">
      <c r="A14" s="188"/>
      <c r="B14" s="200" t="s">
        <v>57</v>
      </c>
      <c r="C14" s="201"/>
      <c r="D14" s="202" t="s">
        <v>193</v>
      </c>
      <c r="E14" s="203"/>
      <c r="F14" s="200" t="s">
        <v>57</v>
      </c>
      <c r="G14" s="201"/>
      <c r="H14" s="42" t="s">
        <v>193</v>
      </c>
      <c r="I14" s="198"/>
      <c r="J14" s="200" t="s">
        <v>61</v>
      </c>
      <c r="K14" s="188"/>
      <c r="L14" s="41" t="s">
        <v>66</v>
      </c>
      <c r="M14" s="9"/>
      <c r="N14" s="111"/>
      <c r="O14" s="113"/>
      <c r="P14" s="111"/>
      <c r="Q14" s="113"/>
      <c r="R14" s="111"/>
      <c r="S14" s="113"/>
      <c r="T14" s="111"/>
      <c r="U14" s="113"/>
      <c r="V14" s="111"/>
      <c r="W14" s="113"/>
      <c r="X14" s="111"/>
      <c r="Y14" s="112"/>
      <c r="Z14" s="112"/>
    </row>
    <row r="15" spans="1:26" ht="21.75" customHeight="1" x14ac:dyDescent="0.2">
      <c r="A15" s="188"/>
      <c r="B15" s="191" t="s">
        <v>58</v>
      </c>
      <c r="C15" s="192"/>
      <c r="D15" s="193">
        <v>36000</v>
      </c>
      <c r="E15" s="194"/>
      <c r="F15" s="191" t="s">
        <v>58</v>
      </c>
      <c r="G15" s="192"/>
      <c r="H15" s="43">
        <v>36000</v>
      </c>
      <c r="I15" s="198"/>
      <c r="J15" s="191" t="s">
        <v>62</v>
      </c>
      <c r="K15" s="189"/>
      <c r="L15" s="41" t="s">
        <v>67</v>
      </c>
      <c r="M15" s="9"/>
      <c r="N15" s="111"/>
      <c r="O15" s="113"/>
      <c r="P15" s="111"/>
      <c r="Q15" s="113"/>
      <c r="R15" s="111"/>
      <c r="S15" s="113"/>
      <c r="T15" s="111"/>
      <c r="U15" s="113"/>
      <c r="V15" s="111"/>
      <c r="W15" s="113"/>
      <c r="X15" s="111"/>
      <c r="Y15" s="112"/>
      <c r="Z15" s="112"/>
    </row>
    <row r="16" spans="1:26" ht="21.75" customHeight="1" x14ac:dyDescent="0.2">
      <c r="A16" s="188"/>
      <c r="B16" s="44" t="s">
        <v>51</v>
      </c>
      <c r="C16" s="44" t="s">
        <v>53</v>
      </c>
      <c r="D16" s="44" t="s">
        <v>54</v>
      </c>
      <c r="E16" s="154"/>
      <c r="F16" s="44" t="s">
        <v>51</v>
      </c>
      <c r="G16" s="44" t="s">
        <v>53</v>
      </c>
      <c r="H16" s="45" t="s">
        <v>54</v>
      </c>
      <c r="I16" s="198"/>
      <c r="J16" s="154" t="s">
        <v>63</v>
      </c>
      <c r="K16" s="154" t="s">
        <v>64</v>
      </c>
      <c r="L16" s="41" t="s">
        <v>68</v>
      </c>
      <c r="M16" s="9"/>
      <c r="N16" s="111"/>
      <c r="O16" s="113"/>
      <c r="P16" s="111"/>
      <c r="Q16" s="113"/>
      <c r="R16" s="111"/>
      <c r="S16" s="113"/>
      <c r="T16" s="111"/>
      <c r="U16" s="113"/>
      <c r="V16" s="111"/>
      <c r="W16" s="113"/>
      <c r="X16" s="111"/>
      <c r="Y16" s="112"/>
      <c r="Z16" s="112"/>
    </row>
    <row r="17" spans="1:26" ht="21.75" customHeight="1" x14ac:dyDescent="0.2">
      <c r="A17" s="189"/>
      <c r="B17" s="44" t="s">
        <v>52</v>
      </c>
      <c r="C17" s="46" t="s">
        <v>51</v>
      </c>
      <c r="D17" s="46" t="s">
        <v>55</v>
      </c>
      <c r="E17" s="190"/>
      <c r="F17" s="46" t="s">
        <v>52</v>
      </c>
      <c r="G17" s="46" t="s">
        <v>51</v>
      </c>
      <c r="H17" s="48" t="s">
        <v>55</v>
      </c>
      <c r="I17" s="199"/>
      <c r="J17" s="155"/>
      <c r="K17" s="155"/>
      <c r="L17" s="41" t="s">
        <v>69</v>
      </c>
      <c r="M17" s="130" t="s">
        <v>92</v>
      </c>
      <c r="N17" s="130"/>
      <c r="O17" s="130"/>
      <c r="P17" s="130"/>
      <c r="Q17" s="130"/>
      <c r="R17" s="130"/>
      <c r="S17" s="130"/>
      <c r="T17" s="130"/>
      <c r="U17" s="130"/>
      <c r="V17" s="130"/>
      <c r="W17" s="130"/>
      <c r="X17" s="130"/>
      <c r="Y17" s="130"/>
      <c r="Z17" s="130"/>
    </row>
    <row r="18" spans="1:26" ht="23.25" customHeight="1" x14ac:dyDescent="0.2">
      <c r="A18" s="49" t="s">
        <v>7</v>
      </c>
      <c r="B18" s="82">
        <v>3444.1869999999999</v>
      </c>
      <c r="C18" s="25"/>
      <c r="D18" s="24"/>
      <c r="E18" s="108"/>
      <c r="F18" s="82">
        <v>1941.2009</v>
      </c>
      <c r="G18" s="51"/>
      <c r="H18" s="50"/>
      <c r="I18" s="52"/>
      <c r="J18" s="39"/>
      <c r="K18" s="79"/>
      <c r="L18" s="66"/>
      <c r="M18" s="123" t="s">
        <v>79</v>
      </c>
      <c r="N18" s="121" t="s">
        <v>98</v>
      </c>
      <c r="O18" s="121"/>
      <c r="P18" s="121"/>
      <c r="Q18" s="121" t="s">
        <v>107</v>
      </c>
      <c r="R18" s="121"/>
      <c r="S18" s="121"/>
      <c r="T18" s="121" t="s">
        <v>93</v>
      </c>
      <c r="U18" s="121"/>
      <c r="V18" s="121"/>
      <c r="W18" s="124" t="s">
        <v>91</v>
      </c>
      <c r="X18" s="131"/>
      <c r="Y18" s="131"/>
      <c r="Z18" s="131"/>
    </row>
    <row r="19" spans="1:26" ht="23.25" customHeight="1" x14ac:dyDescent="0.2">
      <c r="A19" s="49" t="s">
        <v>8</v>
      </c>
      <c r="B19" s="82">
        <v>3444.2060999999999</v>
      </c>
      <c r="C19" s="25">
        <f t="shared" ref="C19:C42" si="0">IF(B19="","",IF(LEN(TRUNC(B18,0))-LEN(TRUNC(B19,0))=0,B19-B18,IF(LEN(TRUNC(B18,0))-LEN(TRUNC(B19,0))&gt;0,VALUE(LEFT(B18,LEN(TRUNC(B18,0))-LEN(TRUNC(B19,0))))*POWER(10,LEN(TRUNC(B19,0)))+B19-B18,B19-B18-VALUE(LEFT(B19,LEN(TRUNC(B19,0))-LEN(TRUNC(B18,0))))*POWER(10,LEN(TRUNC(B18,0))))))</f>
        <v>1.9099999999980355E-2</v>
      </c>
      <c r="D19" s="24">
        <f t="shared" ref="D19:D42" si="1">IF(C19="","",C19*$D$15)</f>
        <v>687.59999999929278</v>
      </c>
      <c r="E19" s="108"/>
      <c r="F19" s="82">
        <v>1941.2145</v>
      </c>
      <c r="G19" s="51">
        <f>F19-ReportObject11_3</f>
        <v>1.3599999999996726E-2</v>
      </c>
      <c r="H19" s="50">
        <f t="shared" ref="H19:H42" si="2">IF(G19="","",G19*$H$15)</f>
        <v>489.59999999988213</v>
      </c>
      <c r="I19" s="52">
        <f t="shared" ref="I19:I42" si="3">IF(H19="","",IF(D19="","",IF(AND(H19=0,D19=0),0,H19/D19)))</f>
        <v>0.7120418848173149</v>
      </c>
      <c r="J19" s="39"/>
      <c r="K19" s="52">
        <v>6.3117969999999994</v>
      </c>
      <c r="L19" s="66"/>
      <c r="M19" s="116"/>
      <c r="N19" s="118"/>
      <c r="O19" s="118"/>
      <c r="P19" s="118"/>
      <c r="Q19" s="118" t="s">
        <v>108</v>
      </c>
      <c r="R19" s="118"/>
      <c r="S19" s="118"/>
      <c r="T19" s="118"/>
      <c r="U19" s="118"/>
      <c r="V19" s="118"/>
      <c r="W19" s="125"/>
      <c r="X19" s="122"/>
      <c r="Y19" s="122"/>
      <c r="Z19" s="122"/>
    </row>
    <row r="20" spans="1:26" ht="23.25" customHeight="1" x14ac:dyDescent="0.2">
      <c r="A20" s="49" t="s">
        <v>9</v>
      </c>
      <c r="B20" s="82">
        <v>3444.2253000000001</v>
      </c>
      <c r="C20" s="25">
        <f t="shared" si="0"/>
        <v>1.9200000000182627E-2</v>
      </c>
      <c r="D20" s="24">
        <f t="shared" si="1"/>
        <v>691.20000000657456</v>
      </c>
      <c r="E20" s="108"/>
      <c r="F20" s="82">
        <v>1941.2283</v>
      </c>
      <c r="G20" s="51">
        <f>F20-F19</f>
        <v>1.3799999999946522E-2</v>
      </c>
      <c r="H20" s="50">
        <f t="shared" si="2"/>
        <v>496.79999999807478</v>
      </c>
      <c r="I20" s="52">
        <f t="shared" si="3"/>
        <v>0.71874999999037803</v>
      </c>
      <c r="J20" s="39"/>
      <c r="K20" s="52">
        <v>6.3112810000000001</v>
      </c>
      <c r="L20" s="66"/>
      <c r="M20" s="116" t="s">
        <v>80</v>
      </c>
      <c r="N20" s="118" t="s">
        <v>99</v>
      </c>
      <c r="O20" s="118"/>
      <c r="P20" s="118"/>
      <c r="Q20" s="118" t="s">
        <v>181</v>
      </c>
      <c r="R20" s="118"/>
      <c r="S20" s="118"/>
      <c r="T20" s="118" t="s">
        <v>94</v>
      </c>
      <c r="U20" s="118"/>
      <c r="V20" s="118"/>
      <c r="W20" s="125"/>
      <c r="X20" s="122"/>
      <c r="Y20" s="122"/>
      <c r="Z20" s="122"/>
    </row>
    <row r="21" spans="1:26" ht="23.25" customHeight="1" x14ac:dyDescent="0.2">
      <c r="A21" s="49" t="s">
        <v>10</v>
      </c>
      <c r="B21" s="82">
        <v>3444.2444999999998</v>
      </c>
      <c r="C21" s="25">
        <f t="shared" si="0"/>
        <v>1.9199999999727879E-2</v>
      </c>
      <c r="D21" s="24">
        <f t="shared" si="1"/>
        <v>691.19999999020365</v>
      </c>
      <c r="E21" s="108"/>
      <c r="F21" s="82">
        <v>1941.2420999999999</v>
      </c>
      <c r="G21" s="51">
        <f t="shared" ref="G21:G42" si="4">F21-F20</f>
        <v>1.3799999999946522E-2</v>
      </c>
      <c r="H21" s="50">
        <f t="shared" si="2"/>
        <v>496.79999999807478</v>
      </c>
      <c r="I21" s="52">
        <f t="shared" si="3"/>
        <v>0.71875000000740152</v>
      </c>
      <c r="J21" s="39"/>
      <c r="K21" s="52">
        <v>6.3157909999999999</v>
      </c>
      <c r="L21" s="66"/>
      <c r="M21" s="117"/>
      <c r="N21" s="119"/>
      <c r="O21" s="119"/>
      <c r="P21" s="119"/>
      <c r="Q21" s="119"/>
      <c r="R21" s="119"/>
      <c r="S21" s="119"/>
      <c r="T21" s="119"/>
      <c r="U21" s="119"/>
      <c r="V21" s="119"/>
      <c r="W21" s="127"/>
      <c r="X21" s="130"/>
      <c r="Y21" s="130"/>
      <c r="Z21" s="130"/>
    </row>
    <row r="22" spans="1:26" ht="23.25" customHeight="1" x14ac:dyDescent="0.2">
      <c r="A22" s="49" t="s">
        <v>11</v>
      </c>
      <c r="B22" s="82">
        <v>3444.2637</v>
      </c>
      <c r="C22" s="25">
        <f t="shared" si="0"/>
        <v>1.9200000000182627E-2</v>
      </c>
      <c r="D22" s="24">
        <f t="shared" si="1"/>
        <v>691.20000000657456</v>
      </c>
      <c r="E22" s="108"/>
      <c r="F22" s="82">
        <v>1941.2560000000001</v>
      </c>
      <c r="G22" s="51">
        <f t="shared" si="4"/>
        <v>1.3900000000148793E-2</v>
      </c>
      <c r="H22" s="50">
        <f t="shared" si="2"/>
        <v>500.40000000535656</v>
      </c>
      <c r="I22" s="52">
        <f t="shared" si="3"/>
        <v>0.72395833333419679</v>
      </c>
      <c r="J22" s="39"/>
      <c r="K22" s="52">
        <v>6.3320400000000001</v>
      </c>
      <c r="L22" s="66"/>
      <c r="M22" s="9"/>
      <c r="N22" s="120" t="s">
        <v>170</v>
      </c>
      <c r="O22" s="120"/>
      <c r="P22" s="120"/>
      <c r="Q22" s="120" t="s">
        <v>171</v>
      </c>
      <c r="R22" s="120"/>
      <c r="S22" s="120"/>
      <c r="T22" s="120" t="s">
        <v>172</v>
      </c>
      <c r="U22" s="120"/>
      <c r="V22" s="120"/>
      <c r="W22" s="111"/>
      <c r="X22" s="112"/>
      <c r="Y22" s="112"/>
      <c r="Z22" s="112"/>
    </row>
    <row r="23" spans="1:26" ht="23.25" customHeight="1" x14ac:dyDescent="0.2">
      <c r="A23" s="49" t="s">
        <v>12</v>
      </c>
      <c r="B23" s="82">
        <v>3444.2831000000001</v>
      </c>
      <c r="C23" s="25">
        <f t="shared" si="0"/>
        <v>1.9400000000132422E-2</v>
      </c>
      <c r="D23" s="24">
        <f t="shared" si="1"/>
        <v>698.40000000476721</v>
      </c>
      <c r="E23" s="108"/>
      <c r="F23" s="82">
        <v>1941.2698</v>
      </c>
      <c r="G23" s="51">
        <f t="shared" si="4"/>
        <v>1.3799999999946522E-2</v>
      </c>
      <c r="H23" s="50">
        <f t="shared" si="2"/>
        <v>496.79999999807478</v>
      </c>
      <c r="I23" s="52">
        <f t="shared" si="3"/>
        <v>0.7113402061779549</v>
      </c>
      <c r="J23" s="39"/>
      <c r="K23" s="52">
        <v>6.2726220000000001</v>
      </c>
      <c r="L23" s="66"/>
      <c r="M23" s="9"/>
      <c r="N23" s="120"/>
      <c r="O23" s="120"/>
      <c r="P23" s="120"/>
      <c r="Q23" s="126"/>
      <c r="R23" s="126"/>
      <c r="S23" s="126"/>
      <c r="T23" s="120"/>
      <c r="U23" s="120"/>
      <c r="V23" s="120"/>
      <c r="W23" s="111"/>
      <c r="X23" s="112"/>
      <c r="Y23" s="112"/>
      <c r="Z23" s="112"/>
    </row>
    <row r="24" spans="1:26" ht="23.25" customHeight="1" x14ac:dyDescent="0.2">
      <c r="A24" s="49" t="s">
        <v>13</v>
      </c>
      <c r="B24" s="82">
        <v>3444.3024999999998</v>
      </c>
      <c r="C24" s="25">
        <f t="shared" si="0"/>
        <v>1.9399999999677675E-2</v>
      </c>
      <c r="D24" s="24">
        <f t="shared" si="1"/>
        <v>698.3999999883963</v>
      </c>
      <c r="E24" s="108"/>
      <c r="F24" s="82">
        <v>1941.2836</v>
      </c>
      <c r="G24" s="51">
        <f t="shared" si="4"/>
        <v>1.3799999999946522E-2</v>
      </c>
      <c r="H24" s="50">
        <f t="shared" si="2"/>
        <v>496.79999999807478</v>
      </c>
      <c r="I24" s="52">
        <f t="shared" si="3"/>
        <v>0.71134020619462912</v>
      </c>
      <c r="J24" s="39"/>
      <c r="K24" s="52">
        <v>6.3285530000000003</v>
      </c>
      <c r="L24" s="66"/>
      <c r="M24" s="9"/>
      <c r="N24" s="120"/>
      <c r="O24" s="120"/>
      <c r="P24" s="120"/>
      <c r="Q24" s="120"/>
      <c r="R24" s="120"/>
      <c r="S24" s="120"/>
      <c r="T24" s="120"/>
      <c r="U24" s="120"/>
      <c r="V24" s="120"/>
      <c r="W24" s="111"/>
      <c r="X24" s="112"/>
      <c r="Y24" s="112"/>
      <c r="Z24" s="112"/>
    </row>
    <row r="25" spans="1:26" ht="23.25" customHeight="1" x14ac:dyDescent="0.2">
      <c r="A25" s="49" t="s">
        <v>14</v>
      </c>
      <c r="B25" s="82">
        <v>3444.3218000000002</v>
      </c>
      <c r="C25" s="25">
        <f t="shared" si="0"/>
        <v>1.9300000000384898E-2</v>
      </c>
      <c r="D25" s="24">
        <f t="shared" si="1"/>
        <v>694.80000001385633</v>
      </c>
      <c r="E25" s="108"/>
      <c r="F25" s="82">
        <v>1941.2971</v>
      </c>
      <c r="G25" s="51">
        <f t="shared" si="4"/>
        <v>1.3500000000021828E-2</v>
      </c>
      <c r="H25" s="50">
        <f t="shared" si="2"/>
        <v>486.0000000007858</v>
      </c>
      <c r="I25" s="52">
        <f t="shared" si="3"/>
        <v>0.69948186527215539</v>
      </c>
      <c r="J25" s="39"/>
      <c r="K25" s="52">
        <v>6.2951859999999993</v>
      </c>
      <c r="L25" s="66"/>
      <c r="M25" s="9"/>
      <c r="N25" s="120"/>
      <c r="O25" s="120"/>
      <c r="P25" s="120"/>
      <c r="Q25" s="120"/>
      <c r="R25" s="120"/>
      <c r="S25" s="120"/>
      <c r="T25" s="120"/>
      <c r="U25" s="120"/>
      <c r="V25" s="120"/>
      <c r="W25" s="111"/>
      <c r="X25" s="112"/>
      <c r="Y25" s="112"/>
      <c r="Z25" s="112"/>
    </row>
    <row r="26" spans="1:26" ht="23.25" customHeight="1" x14ac:dyDescent="0.2">
      <c r="A26" s="49" t="s">
        <v>15</v>
      </c>
      <c r="B26" s="82">
        <v>3444.3411999999998</v>
      </c>
      <c r="C26" s="25">
        <f t="shared" si="0"/>
        <v>1.9399999999677675E-2</v>
      </c>
      <c r="D26" s="24">
        <f t="shared" si="1"/>
        <v>698.3999999883963</v>
      </c>
      <c r="E26" s="108"/>
      <c r="F26" s="82">
        <v>1941.3106</v>
      </c>
      <c r="G26" s="51">
        <f t="shared" si="4"/>
        <v>1.3500000000021828E-2</v>
      </c>
      <c r="H26" s="50">
        <f t="shared" si="2"/>
        <v>486.0000000007858</v>
      </c>
      <c r="I26" s="52">
        <f t="shared" si="3"/>
        <v>0.69587628867248075</v>
      </c>
      <c r="J26" s="39"/>
      <c r="K26" s="52">
        <v>6.2709289999999998</v>
      </c>
      <c r="L26" s="66"/>
      <c r="M26" s="9"/>
      <c r="N26" s="120"/>
      <c r="O26" s="120"/>
      <c r="P26" s="120"/>
      <c r="Q26" s="120"/>
      <c r="R26" s="120"/>
      <c r="S26" s="120"/>
      <c r="T26" s="120"/>
      <c r="U26" s="120"/>
      <c r="V26" s="120"/>
      <c r="W26" s="111"/>
      <c r="X26" s="112"/>
      <c r="Y26" s="112"/>
      <c r="Z26" s="112"/>
    </row>
    <row r="27" spans="1:26" ht="23.25" customHeight="1" x14ac:dyDescent="0.2">
      <c r="A27" s="49" t="s">
        <v>16</v>
      </c>
      <c r="B27" s="82">
        <v>3444.3604</v>
      </c>
      <c r="C27" s="25">
        <f t="shared" si="0"/>
        <v>1.9200000000182627E-2</v>
      </c>
      <c r="D27" s="24">
        <f t="shared" si="1"/>
        <v>691.20000000657456</v>
      </c>
      <c r="E27" s="108"/>
      <c r="F27" s="82">
        <v>1941.3236999999999</v>
      </c>
      <c r="G27" s="51">
        <f t="shared" si="4"/>
        <v>1.3099999999894862E-2</v>
      </c>
      <c r="H27" s="50">
        <f t="shared" si="2"/>
        <v>471.59999999621505</v>
      </c>
      <c r="I27" s="52">
        <f t="shared" si="3"/>
        <v>0.68229166665470098</v>
      </c>
      <c r="J27" s="39"/>
      <c r="K27" s="52">
        <v>6.207516</v>
      </c>
      <c r="L27" s="66"/>
      <c r="M27" s="9"/>
      <c r="N27" s="120"/>
      <c r="O27" s="120"/>
      <c r="P27" s="120"/>
      <c r="Q27" s="120"/>
      <c r="R27" s="120"/>
      <c r="S27" s="120"/>
      <c r="T27" s="120"/>
      <c r="U27" s="120"/>
      <c r="V27" s="120"/>
      <c r="W27" s="111"/>
      <c r="X27" s="112"/>
      <c r="Y27" s="112"/>
      <c r="Z27" s="112"/>
    </row>
    <row r="28" spans="1:26" ht="23.25" customHeight="1" x14ac:dyDescent="0.2">
      <c r="A28" s="49" t="s">
        <v>17</v>
      </c>
      <c r="B28" s="82">
        <v>3444.3796000000002</v>
      </c>
      <c r="C28" s="25">
        <f t="shared" si="0"/>
        <v>1.9200000000182627E-2</v>
      </c>
      <c r="D28" s="24">
        <f t="shared" si="1"/>
        <v>691.20000000657456</v>
      </c>
      <c r="E28" s="108"/>
      <c r="F28" s="82">
        <v>1941.3368</v>
      </c>
      <c r="G28" s="51">
        <f t="shared" si="4"/>
        <v>1.3100000000122236E-2</v>
      </c>
      <c r="H28" s="50">
        <f t="shared" si="2"/>
        <v>471.6000000044005</v>
      </c>
      <c r="I28" s="52">
        <f t="shared" si="3"/>
        <v>0.68229166666654328</v>
      </c>
      <c r="J28" s="39"/>
      <c r="K28" s="52">
        <v>6.1837439999999999</v>
      </c>
      <c r="L28" s="66"/>
      <c r="M28" s="9"/>
      <c r="N28" s="120"/>
      <c r="O28" s="120"/>
      <c r="P28" s="120"/>
      <c r="Q28" s="120"/>
      <c r="R28" s="120"/>
      <c r="S28" s="120"/>
      <c r="T28" s="120"/>
      <c r="U28" s="120"/>
      <c r="V28" s="120"/>
      <c r="W28" s="111"/>
      <c r="X28" s="112"/>
      <c r="Y28" s="112"/>
      <c r="Z28" s="112"/>
    </row>
    <row r="29" spans="1:26" ht="23.25" customHeight="1" x14ac:dyDescent="0.2">
      <c r="A29" s="49" t="s">
        <v>18</v>
      </c>
      <c r="B29" s="82">
        <v>3444.3991999999998</v>
      </c>
      <c r="C29" s="25">
        <f t="shared" si="0"/>
        <v>1.9599999999627471E-2</v>
      </c>
      <c r="D29" s="24">
        <f t="shared" si="1"/>
        <v>705.59999998658895</v>
      </c>
      <c r="E29" s="108"/>
      <c r="F29" s="82">
        <v>1941.3502000000001</v>
      </c>
      <c r="G29" s="51">
        <f t="shared" si="4"/>
        <v>1.340000000004693E-2</v>
      </c>
      <c r="H29" s="50">
        <f t="shared" si="2"/>
        <v>482.40000000168948</v>
      </c>
      <c r="I29" s="52">
        <f t="shared" si="3"/>
        <v>0.68367346940314377</v>
      </c>
      <c r="J29" s="39"/>
      <c r="K29" s="52">
        <v>6.2108509999999999</v>
      </c>
      <c r="L29" s="66"/>
      <c r="M29" s="145" t="s">
        <v>95</v>
      </c>
      <c r="N29" s="145"/>
      <c r="O29" s="145"/>
      <c r="P29" s="145"/>
      <c r="Q29" s="145"/>
      <c r="R29" s="145"/>
      <c r="S29" s="145"/>
      <c r="T29" s="145"/>
      <c r="U29" s="145"/>
      <c r="V29" s="145"/>
      <c r="W29" s="145"/>
      <c r="X29" s="145"/>
      <c r="Y29" s="145"/>
      <c r="Z29" s="145"/>
    </row>
    <row r="30" spans="1:26" ht="23.25" customHeight="1" x14ac:dyDescent="0.2">
      <c r="A30" s="49" t="s">
        <v>19</v>
      </c>
      <c r="B30" s="82">
        <v>3444.4186</v>
      </c>
      <c r="C30" s="25">
        <f t="shared" si="0"/>
        <v>1.9400000000132422E-2</v>
      </c>
      <c r="D30" s="24">
        <f t="shared" si="1"/>
        <v>698.40000000476721</v>
      </c>
      <c r="E30" s="108"/>
      <c r="F30" s="82">
        <v>1941.3637000000001</v>
      </c>
      <c r="G30" s="51">
        <f t="shared" si="4"/>
        <v>1.3500000000021828E-2</v>
      </c>
      <c r="H30" s="50">
        <f t="shared" si="2"/>
        <v>486.0000000007858</v>
      </c>
      <c r="I30" s="52">
        <f t="shared" si="3"/>
        <v>0.69587628865616902</v>
      </c>
      <c r="J30" s="39"/>
      <c r="K30" s="52">
        <v>6.2406139999999999</v>
      </c>
      <c r="L30" s="66"/>
      <c r="M30" s="122" t="s">
        <v>97</v>
      </c>
      <c r="N30" s="122"/>
      <c r="O30" s="122"/>
      <c r="P30" s="122"/>
      <c r="Q30" s="122"/>
      <c r="R30" s="122"/>
      <c r="S30" s="122"/>
      <c r="T30" s="122"/>
      <c r="U30" s="122"/>
      <c r="V30" s="122"/>
      <c r="W30" s="122"/>
      <c r="X30" s="122"/>
      <c r="Y30" s="122"/>
      <c r="Z30" s="122"/>
    </row>
    <row r="31" spans="1:26" ht="23.25" customHeight="1" x14ac:dyDescent="0.2">
      <c r="A31" s="49" t="s">
        <v>20</v>
      </c>
      <c r="B31" s="82">
        <v>3444.4378999999999</v>
      </c>
      <c r="C31" s="25">
        <f t="shared" si="0"/>
        <v>1.9299999999930151E-2</v>
      </c>
      <c r="D31" s="24">
        <f t="shared" si="1"/>
        <v>694.79999999748543</v>
      </c>
      <c r="E31" s="108"/>
      <c r="F31" s="82">
        <v>1941.3771999999999</v>
      </c>
      <c r="G31" s="51">
        <f t="shared" si="4"/>
        <v>1.3499999999794454E-2</v>
      </c>
      <c r="H31" s="50">
        <f t="shared" si="2"/>
        <v>485.99999999260035</v>
      </c>
      <c r="I31" s="52">
        <f t="shared" si="3"/>
        <v>0.69948186527685552</v>
      </c>
      <c r="J31" s="39"/>
      <c r="K31" s="52">
        <v>6.2685050000000002</v>
      </c>
      <c r="L31" s="66"/>
      <c r="M31" s="123" t="s">
        <v>79</v>
      </c>
      <c r="N31" s="121" t="s">
        <v>98</v>
      </c>
      <c r="O31" s="121"/>
      <c r="P31" s="121" t="s">
        <v>100</v>
      </c>
      <c r="Q31" s="121"/>
      <c r="R31" s="121" t="s">
        <v>93</v>
      </c>
      <c r="S31" s="121"/>
      <c r="T31" s="121" t="s">
        <v>103</v>
      </c>
      <c r="U31" s="121"/>
      <c r="V31" s="121" t="s">
        <v>179</v>
      </c>
      <c r="W31" s="121"/>
      <c r="X31" s="121"/>
      <c r="Y31" s="121" t="s">
        <v>91</v>
      </c>
      <c r="Z31" s="124"/>
    </row>
    <row r="32" spans="1:26" ht="23.25" customHeight="1" x14ac:dyDescent="0.2">
      <c r="A32" s="49" t="s">
        <v>21</v>
      </c>
      <c r="B32" s="82">
        <v>3444.4573999999998</v>
      </c>
      <c r="C32" s="25">
        <f t="shared" si="0"/>
        <v>1.9499999999879947E-2</v>
      </c>
      <c r="D32" s="24">
        <f t="shared" si="1"/>
        <v>701.99999999567808</v>
      </c>
      <c r="E32" s="108"/>
      <c r="F32" s="82">
        <v>1941.3906999999999</v>
      </c>
      <c r="G32" s="51">
        <f t="shared" si="4"/>
        <v>1.3500000000021828E-2</v>
      </c>
      <c r="H32" s="50">
        <f t="shared" si="2"/>
        <v>486.0000000007858</v>
      </c>
      <c r="I32" s="52">
        <f t="shared" si="3"/>
        <v>0.69230769231307399</v>
      </c>
      <c r="J32" s="39"/>
      <c r="K32" s="52">
        <v>6.2457969999999996</v>
      </c>
      <c r="L32" s="66"/>
      <c r="M32" s="116"/>
      <c r="N32" s="118"/>
      <c r="O32" s="118"/>
      <c r="P32" s="118" t="s">
        <v>83</v>
      </c>
      <c r="Q32" s="118"/>
      <c r="R32" s="118" t="s">
        <v>102</v>
      </c>
      <c r="S32" s="118"/>
      <c r="T32" s="118" t="s">
        <v>104</v>
      </c>
      <c r="U32" s="118"/>
      <c r="V32" s="118" t="s">
        <v>105</v>
      </c>
      <c r="W32" s="118"/>
      <c r="X32" s="118"/>
      <c r="Y32" s="118"/>
      <c r="Z32" s="125"/>
    </row>
    <row r="33" spans="1:26" ht="23.25" customHeight="1" x14ac:dyDescent="0.2">
      <c r="A33" s="49" t="s">
        <v>22</v>
      </c>
      <c r="B33" s="82">
        <v>3444.4767000000002</v>
      </c>
      <c r="C33" s="25">
        <f t="shared" si="0"/>
        <v>1.9300000000384898E-2</v>
      </c>
      <c r="D33" s="24">
        <f t="shared" si="1"/>
        <v>694.80000001385633</v>
      </c>
      <c r="E33" s="108"/>
      <c r="F33" s="82">
        <v>1941.4041</v>
      </c>
      <c r="G33" s="51">
        <f t="shared" si="4"/>
        <v>1.340000000004693E-2</v>
      </c>
      <c r="H33" s="50">
        <f t="shared" si="2"/>
        <v>482.40000000168948</v>
      </c>
      <c r="I33" s="52">
        <f t="shared" si="3"/>
        <v>0.69430051812330029</v>
      </c>
      <c r="J33" s="39"/>
      <c r="K33" s="52">
        <v>6.2404359999999999</v>
      </c>
      <c r="L33" s="66"/>
      <c r="M33" s="116" t="s">
        <v>80</v>
      </c>
      <c r="N33" s="118" t="s">
        <v>99</v>
      </c>
      <c r="O33" s="118"/>
      <c r="P33" s="118" t="s">
        <v>101</v>
      </c>
      <c r="Q33" s="118"/>
      <c r="R33" s="118" t="s">
        <v>69</v>
      </c>
      <c r="S33" s="118"/>
      <c r="T33" s="118" t="s">
        <v>69</v>
      </c>
      <c r="U33" s="118"/>
      <c r="V33" s="118" t="s">
        <v>106</v>
      </c>
      <c r="W33" s="118"/>
      <c r="X33" s="118"/>
      <c r="Y33" s="118"/>
      <c r="Z33" s="125"/>
    </row>
    <row r="34" spans="1:26" ht="23.25" customHeight="1" x14ac:dyDescent="0.2">
      <c r="A34" s="49" t="s">
        <v>23</v>
      </c>
      <c r="B34" s="82">
        <v>3444.4958999999999</v>
      </c>
      <c r="C34" s="25">
        <f t="shared" si="0"/>
        <v>1.9199999999727879E-2</v>
      </c>
      <c r="D34" s="24">
        <f t="shared" si="1"/>
        <v>691.19999999020365</v>
      </c>
      <c r="E34" s="108"/>
      <c r="F34" s="82">
        <v>1941.4174</v>
      </c>
      <c r="G34" s="51">
        <f t="shared" si="4"/>
        <v>1.3300000000072032E-2</v>
      </c>
      <c r="H34" s="50">
        <f t="shared" si="2"/>
        <v>478.80000000259315</v>
      </c>
      <c r="I34" s="52">
        <f t="shared" si="3"/>
        <v>0.69270833334690274</v>
      </c>
      <c r="J34" s="39"/>
      <c r="K34" s="52">
        <v>6.2530000000000001</v>
      </c>
      <c r="L34" s="66"/>
      <c r="M34" s="117"/>
      <c r="N34" s="119"/>
      <c r="O34" s="119"/>
      <c r="P34" s="119"/>
      <c r="Q34" s="119"/>
      <c r="R34" s="127"/>
      <c r="S34" s="117"/>
      <c r="T34" s="127"/>
      <c r="U34" s="117"/>
      <c r="V34" s="127"/>
      <c r="W34" s="130"/>
      <c r="X34" s="117"/>
      <c r="Y34" s="119"/>
      <c r="Z34" s="127"/>
    </row>
    <row r="35" spans="1:26" ht="23.25" customHeight="1" x14ac:dyDescent="0.2">
      <c r="A35" s="49" t="s">
        <v>24</v>
      </c>
      <c r="B35" s="82">
        <v>3444.5153</v>
      </c>
      <c r="C35" s="25">
        <f t="shared" si="0"/>
        <v>1.9400000000132422E-2</v>
      </c>
      <c r="D35" s="24">
        <f t="shared" si="1"/>
        <v>698.40000000476721</v>
      </c>
      <c r="E35" s="108"/>
      <c r="F35" s="82">
        <v>1941.4306999999999</v>
      </c>
      <c r="G35" s="51">
        <f t="shared" si="4"/>
        <v>1.3299999999844658E-2</v>
      </c>
      <c r="H35" s="50">
        <f t="shared" si="2"/>
        <v>478.7999999944077</v>
      </c>
      <c r="I35" s="52">
        <f t="shared" si="3"/>
        <v>0.68556701029659139</v>
      </c>
      <c r="J35" s="39"/>
      <c r="K35" s="52">
        <v>6.2354799999999999</v>
      </c>
      <c r="L35" s="66"/>
      <c r="M35" s="9"/>
      <c r="N35" s="120" t="s">
        <v>370</v>
      </c>
      <c r="O35" s="120"/>
      <c r="P35" s="120">
        <v>0.4</v>
      </c>
      <c r="Q35" s="120"/>
      <c r="R35" s="120">
        <v>80</v>
      </c>
      <c r="S35" s="120"/>
      <c r="T35" s="120"/>
      <c r="U35" s="120"/>
      <c r="V35" s="120"/>
      <c r="W35" s="120"/>
      <c r="X35" s="120"/>
      <c r="Y35" s="120"/>
      <c r="Z35" s="111"/>
    </row>
    <row r="36" spans="1:26" ht="23.25" customHeight="1" x14ac:dyDescent="0.2">
      <c r="A36" s="49" t="s">
        <v>25</v>
      </c>
      <c r="B36" s="82">
        <v>3444.5349999999999</v>
      </c>
      <c r="C36" s="25">
        <f t="shared" si="0"/>
        <v>1.9699999999829743E-2</v>
      </c>
      <c r="D36" s="24">
        <f t="shared" si="1"/>
        <v>709.19999999387073</v>
      </c>
      <c r="E36" s="108"/>
      <c r="F36" s="82">
        <v>1941.444</v>
      </c>
      <c r="G36" s="51">
        <f t="shared" si="4"/>
        <v>1.3300000000072032E-2</v>
      </c>
      <c r="H36" s="50">
        <f t="shared" si="2"/>
        <v>478.80000000259315</v>
      </c>
      <c r="I36" s="52">
        <f t="shared" si="3"/>
        <v>0.6751269035627907</v>
      </c>
      <c r="J36" s="39"/>
      <c r="K36" s="52">
        <v>6.2213539999999998</v>
      </c>
      <c r="L36" s="66"/>
      <c r="M36" s="9"/>
      <c r="N36" s="120"/>
      <c r="O36" s="120"/>
      <c r="P36" s="126"/>
      <c r="Q36" s="126"/>
      <c r="R36" s="120"/>
      <c r="S36" s="120"/>
      <c r="T36" s="120"/>
      <c r="U36" s="120"/>
      <c r="V36" s="120"/>
      <c r="W36" s="120"/>
      <c r="X36" s="120"/>
      <c r="Y36" s="120"/>
      <c r="Z36" s="111"/>
    </row>
    <row r="37" spans="1:26" ht="23.25" customHeight="1" x14ac:dyDescent="0.2">
      <c r="A37" s="49" t="s">
        <v>26</v>
      </c>
      <c r="B37" s="82">
        <v>3444.5545000000002</v>
      </c>
      <c r="C37" s="25">
        <f t="shared" si="0"/>
        <v>1.9500000000334694E-2</v>
      </c>
      <c r="D37" s="24">
        <f t="shared" si="1"/>
        <v>702.00000001204899</v>
      </c>
      <c r="E37" s="108"/>
      <c r="F37" s="82">
        <v>1941.4570000000001</v>
      </c>
      <c r="G37" s="51">
        <f t="shared" si="4"/>
        <v>1.3000000000147338E-2</v>
      </c>
      <c r="H37" s="50">
        <f t="shared" si="2"/>
        <v>468.00000000530417</v>
      </c>
      <c r="I37" s="52">
        <f t="shared" si="3"/>
        <v>0.66666666666277996</v>
      </c>
      <c r="J37" s="39"/>
      <c r="K37" s="52">
        <v>6.1610240000000003</v>
      </c>
      <c r="L37" s="66"/>
      <c r="M37" s="9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11"/>
    </row>
    <row r="38" spans="1:26" ht="23.25" customHeight="1" x14ac:dyDescent="0.2">
      <c r="A38" s="49" t="s">
        <v>27</v>
      </c>
      <c r="B38" s="82">
        <v>3444.5744</v>
      </c>
      <c r="C38" s="25">
        <f t="shared" si="0"/>
        <v>1.9899999999779538E-2</v>
      </c>
      <c r="D38" s="24">
        <f t="shared" si="1"/>
        <v>716.39999999206339</v>
      </c>
      <c r="E38" s="108"/>
      <c r="F38" s="82">
        <v>1941.4703999999999</v>
      </c>
      <c r="G38" s="51">
        <f t="shared" si="4"/>
        <v>1.3399999999819556E-2</v>
      </c>
      <c r="H38" s="50">
        <f t="shared" si="2"/>
        <v>482.39999999350403</v>
      </c>
      <c r="I38" s="52">
        <f t="shared" si="3"/>
        <v>0.67336683416924659</v>
      </c>
      <c r="J38" s="39"/>
      <c r="K38" s="52">
        <v>6.1886629999999991</v>
      </c>
      <c r="L38" s="66"/>
      <c r="M38" s="9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11"/>
    </row>
    <row r="39" spans="1:26" ht="23.25" customHeight="1" x14ac:dyDescent="0.2">
      <c r="A39" s="49" t="s">
        <v>28</v>
      </c>
      <c r="B39" s="82">
        <v>3444.5938999999998</v>
      </c>
      <c r="C39" s="25">
        <f t="shared" si="0"/>
        <v>1.9499999999879947E-2</v>
      </c>
      <c r="D39" s="24">
        <f t="shared" si="1"/>
        <v>701.99999999567808</v>
      </c>
      <c r="E39" s="108"/>
      <c r="F39" s="82">
        <v>1941.4838999999999</v>
      </c>
      <c r="G39" s="51">
        <f t="shared" si="4"/>
        <v>1.3500000000021828E-2</v>
      </c>
      <c r="H39" s="50">
        <f t="shared" si="2"/>
        <v>486.0000000007858</v>
      </c>
      <c r="I39" s="52">
        <f t="shared" si="3"/>
        <v>0.69230769231307399</v>
      </c>
      <c r="J39" s="39"/>
      <c r="K39" s="52">
        <v>6.2143999999999995</v>
      </c>
      <c r="L39" s="66"/>
      <c r="M39" s="9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11"/>
    </row>
    <row r="40" spans="1:26" ht="23.25" customHeight="1" x14ac:dyDescent="0.2">
      <c r="A40" s="49" t="s">
        <v>29</v>
      </c>
      <c r="B40" s="82">
        <v>3444.6142</v>
      </c>
      <c r="C40" s="25">
        <f t="shared" si="0"/>
        <v>2.0300000000133878E-2</v>
      </c>
      <c r="D40" s="24">
        <f t="shared" si="1"/>
        <v>730.80000000481959</v>
      </c>
      <c r="E40" s="108"/>
      <c r="F40" s="82">
        <v>1941.4983999999999</v>
      </c>
      <c r="G40" s="51">
        <f t="shared" si="4"/>
        <v>1.4499999999998181E-2</v>
      </c>
      <c r="H40" s="50">
        <f t="shared" si="2"/>
        <v>521.99999999993452</v>
      </c>
      <c r="I40" s="52">
        <f t="shared" si="3"/>
        <v>0.71428571428091403</v>
      </c>
      <c r="J40" s="39"/>
      <c r="K40" s="52">
        <v>6.2127110000000005</v>
      </c>
      <c r="L40" s="66"/>
      <c r="M40" s="122" t="s">
        <v>109</v>
      </c>
      <c r="N40" s="122"/>
      <c r="O40" s="122"/>
      <c r="P40" s="122"/>
      <c r="Q40" s="122"/>
      <c r="R40" s="122"/>
      <c r="S40" s="122"/>
      <c r="T40" s="122"/>
      <c r="U40" s="122"/>
      <c r="V40" s="122"/>
      <c r="W40" s="122"/>
      <c r="X40" s="122"/>
      <c r="Y40" s="122"/>
      <c r="Z40" s="122"/>
    </row>
    <row r="41" spans="1:26" ht="23.25" customHeight="1" x14ac:dyDescent="0.2">
      <c r="A41" s="49" t="s">
        <v>30</v>
      </c>
      <c r="B41" s="82">
        <v>3444.6345999999999</v>
      </c>
      <c r="C41" s="25">
        <f t="shared" si="0"/>
        <v>2.0399999999881402E-2</v>
      </c>
      <c r="D41" s="24">
        <f t="shared" si="1"/>
        <v>734.39999999573047</v>
      </c>
      <c r="E41" s="108"/>
      <c r="F41" s="82">
        <v>1941.5133000000001</v>
      </c>
      <c r="G41" s="51">
        <f t="shared" si="4"/>
        <v>1.4900000000125146E-2</v>
      </c>
      <c r="H41" s="50">
        <f t="shared" si="2"/>
        <v>536.40000000450527</v>
      </c>
      <c r="I41" s="52">
        <f t="shared" si="3"/>
        <v>0.73039215687312598</v>
      </c>
      <c r="J41" s="39"/>
      <c r="K41" s="52">
        <v>6.2751679999999999</v>
      </c>
      <c r="L41" s="66"/>
      <c r="M41" s="123" t="s">
        <v>79</v>
      </c>
      <c r="N41" s="121" t="s">
        <v>98</v>
      </c>
      <c r="O41" s="121"/>
      <c r="P41" s="121" t="s">
        <v>93</v>
      </c>
      <c r="Q41" s="121"/>
      <c r="R41" s="121"/>
      <c r="S41" s="121" t="s">
        <v>111</v>
      </c>
      <c r="T41" s="121" t="s">
        <v>81</v>
      </c>
      <c r="U41" s="121"/>
      <c r="V41" s="121"/>
      <c r="W41" s="121"/>
      <c r="X41" s="121" t="s">
        <v>93</v>
      </c>
      <c r="Y41" s="121"/>
      <c r="Z41" s="124"/>
    </row>
    <row r="42" spans="1:26" ht="23.25" customHeight="1" x14ac:dyDescent="0.2">
      <c r="A42" s="49" t="s">
        <v>31</v>
      </c>
      <c r="B42" s="82">
        <v>3444.6549</v>
      </c>
      <c r="C42" s="25">
        <f t="shared" si="0"/>
        <v>2.0300000000133878E-2</v>
      </c>
      <c r="D42" s="24">
        <f t="shared" si="1"/>
        <v>730.80000000481959</v>
      </c>
      <c r="E42" s="108"/>
      <c r="F42" s="82">
        <v>1941.5281</v>
      </c>
      <c r="G42" s="51">
        <f t="shared" si="4"/>
        <v>1.4799999999922875E-2</v>
      </c>
      <c r="H42" s="50">
        <f t="shared" si="2"/>
        <v>532.79999999722349</v>
      </c>
      <c r="I42" s="52">
        <f t="shared" si="3"/>
        <v>0.72906403940025954</v>
      </c>
      <c r="J42" s="39"/>
      <c r="K42" s="52">
        <v>6.2045729999999999</v>
      </c>
      <c r="L42" s="66"/>
      <c r="M42" s="116"/>
      <c r="N42" s="118"/>
      <c r="O42" s="118"/>
      <c r="P42" s="118"/>
      <c r="Q42" s="118"/>
      <c r="R42" s="118"/>
      <c r="S42" s="118"/>
      <c r="T42" s="118"/>
      <c r="U42" s="118"/>
      <c r="V42" s="118"/>
      <c r="W42" s="118"/>
      <c r="X42" s="118"/>
      <c r="Y42" s="118"/>
      <c r="Z42" s="125"/>
    </row>
    <row r="43" spans="1:26" ht="22.5" customHeight="1" x14ac:dyDescent="0.2">
      <c r="A43" s="184" t="s">
        <v>70</v>
      </c>
      <c r="B43" s="184"/>
      <c r="C43" s="184"/>
      <c r="D43" s="50">
        <f>SUM(D18:D42)</f>
        <v>16844.400000003589</v>
      </c>
      <c r="E43" s="39"/>
      <c r="F43" s="54"/>
      <c r="G43" s="60"/>
      <c r="H43" s="50">
        <f>SUM(H18:H42)</f>
        <v>11779.199999998127</v>
      </c>
      <c r="I43" s="52">
        <f>IF(AND(H43=0,D43=0),0,H43/D43)</f>
        <v>0.69929472109399071</v>
      </c>
      <c r="J43" s="39"/>
      <c r="K43" s="39"/>
      <c r="L43" s="66"/>
      <c r="M43" s="116" t="s">
        <v>80</v>
      </c>
      <c r="N43" s="118" t="s">
        <v>99</v>
      </c>
      <c r="O43" s="118"/>
      <c r="P43" s="118" t="s">
        <v>110</v>
      </c>
      <c r="Q43" s="118"/>
      <c r="R43" s="118"/>
      <c r="S43" s="118"/>
      <c r="T43" s="118"/>
      <c r="U43" s="118"/>
      <c r="V43" s="118"/>
      <c r="W43" s="118"/>
      <c r="X43" s="118" t="s">
        <v>110</v>
      </c>
      <c r="Y43" s="118"/>
      <c r="Z43" s="125"/>
    </row>
    <row r="44" spans="1:26" ht="22.5" customHeight="1" x14ac:dyDescent="0.2">
      <c r="A44" s="183" t="s">
        <v>71</v>
      </c>
      <c r="B44" s="183"/>
      <c r="C44" s="183"/>
      <c r="D44" s="39"/>
      <c r="E44" s="39"/>
      <c r="F44" s="54"/>
      <c r="G44" s="39"/>
      <c r="H44" s="39"/>
      <c r="I44" s="39"/>
      <c r="J44" s="39"/>
      <c r="K44" s="39"/>
      <c r="L44" s="66"/>
      <c r="M44" s="117"/>
      <c r="N44" s="119"/>
      <c r="O44" s="119"/>
      <c r="P44" s="119"/>
      <c r="Q44" s="119"/>
      <c r="R44" s="119"/>
      <c r="S44" s="119"/>
      <c r="T44" s="119"/>
      <c r="U44" s="119"/>
      <c r="V44" s="119"/>
      <c r="W44" s="119"/>
      <c r="X44" s="119"/>
      <c r="Y44" s="119"/>
      <c r="Z44" s="127"/>
    </row>
    <row r="45" spans="1:26" ht="22.5" customHeight="1" x14ac:dyDescent="0.2">
      <c r="A45" s="64"/>
      <c r="B45" s="67"/>
      <c r="C45" s="67"/>
      <c r="D45" s="67"/>
      <c r="E45" s="67"/>
      <c r="F45" s="67"/>
      <c r="G45" s="67"/>
      <c r="H45" s="67"/>
      <c r="I45" s="67"/>
      <c r="J45" s="68"/>
      <c r="K45" s="68"/>
      <c r="L45" s="68"/>
      <c r="M45" s="9"/>
      <c r="N45" s="111"/>
      <c r="O45" s="113"/>
      <c r="P45" s="111"/>
      <c r="Q45" s="112"/>
      <c r="R45" s="113"/>
      <c r="S45" s="7"/>
      <c r="T45" s="111"/>
      <c r="U45" s="112"/>
      <c r="V45" s="112"/>
      <c r="W45" s="113"/>
      <c r="X45" s="111"/>
      <c r="Y45" s="112"/>
      <c r="Z45" s="112"/>
    </row>
    <row r="46" spans="1:26" ht="22.5" customHeight="1" x14ac:dyDescent="0.2">
      <c r="A46" s="209" t="s">
        <v>72</v>
      </c>
      <c r="B46" s="209"/>
      <c r="C46" s="209"/>
      <c r="D46" s="209"/>
      <c r="E46" s="209"/>
      <c r="F46" s="209"/>
      <c r="G46" s="210" t="s">
        <v>73</v>
      </c>
      <c r="H46" s="210"/>
      <c r="I46" s="210"/>
      <c r="J46" s="210"/>
      <c r="K46" s="210"/>
      <c r="L46" s="210"/>
      <c r="M46" s="9"/>
      <c r="N46" s="111"/>
      <c r="O46" s="113"/>
      <c r="P46" s="111"/>
      <c r="Q46" s="112"/>
      <c r="R46" s="113"/>
      <c r="S46" s="7"/>
      <c r="T46" s="111"/>
      <c r="U46" s="112"/>
      <c r="V46" s="112"/>
      <c r="W46" s="113"/>
      <c r="X46" s="111"/>
      <c r="Y46" s="112"/>
      <c r="Z46" s="112"/>
    </row>
    <row r="47" spans="1:26" ht="22.5" customHeight="1" x14ac:dyDescent="0.2">
      <c r="A47" s="144" t="s">
        <v>365</v>
      </c>
      <c r="B47" s="144"/>
      <c r="C47" s="144"/>
      <c r="D47" s="135" t="s">
        <v>74</v>
      </c>
      <c r="E47" s="135"/>
      <c r="F47" s="135"/>
      <c r="G47" s="67"/>
      <c r="H47" s="67"/>
      <c r="I47" s="67"/>
      <c r="J47" s="67"/>
      <c r="K47" s="67"/>
      <c r="L47" s="67"/>
      <c r="M47" s="9"/>
      <c r="N47" s="111"/>
      <c r="O47" s="113"/>
      <c r="P47" s="111"/>
      <c r="Q47" s="112"/>
      <c r="R47" s="113"/>
      <c r="S47" s="7"/>
      <c r="T47" s="111"/>
      <c r="U47" s="112"/>
      <c r="V47" s="112"/>
      <c r="W47" s="113"/>
      <c r="X47" s="111"/>
      <c r="Y47" s="112"/>
      <c r="Z47" s="112"/>
    </row>
    <row r="48" spans="1:26" ht="22.5" customHeight="1" x14ac:dyDescent="0.2">
      <c r="A48" s="175" t="s">
        <v>75</v>
      </c>
      <c r="B48" s="175"/>
      <c r="C48" s="175"/>
      <c r="D48" s="174" t="s">
        <v>76</v>
      </c>
      <c r="E48" s="174"/>
      <c r="F48" s="174"/>
      <c r="G48" s="64"/>
      <c r="H48" s="64"/>
      <c r="I48" s="64"/>
      <c r="J48" s="64"/>
      <c r="K48" s="64"/>
      <c r="L48" s="64"/>
    </row>
    <row r="49" spans="1:23" ht="22.5" customHeight="1" x14ac:dyDescent="0.2">
      <c r="A49" s="144" t="s">
        <v>366</v>
      </c>
      <c r="B49" s="144"/>
      <c r="C49" s="144"/>
      <c r="D49" s="135" t="s">
        <v>74</v>
      </c>
      <c r="E49" s="135"/>
      <c r="F49" s="135"/>
      <c r="G49" s="64"/>
      <c r="H49" s="182" t="s">
        <v>183</v>
      </c>
      <c r="I49" s="182"/>
      <c r="J49" s="182"/>
      <c r="K49" s="209" t="s">
        <v>77</v>
      </c>
      <c r="L49" s="209"/>
      <c r="N49" s="177" t="s">
        <v>150</v>
      </c>
      <c r="O49" s="177"/>
      <c r="P49" s="177"/>
      <c r="Q49" s="176" t="s">
        <v>364</v>
      </c>
      <c r="R49" s="176"/>
      <c r="S49" s="176"/>
      <c r="T49" s="176"/>
      <c r="U49" s="176"/>
      <c r="V49" s="176"/>
      <c r="W49" s="1"/>
    </row>
    <row r="50" spans="1:23" ht="22.5" customHeight="1" x14ac:dyDescent="0.2">
      <c r="A50" s="175" t="s">
        <v>75</v>
      </c>
      <c r="B50" s="175"/>
      <c r="C50" s="175"/>
      <c r="D50" s="174" t="s">
        <v>76</v>
      </c>
      <c r="E50" s="174"/>
      <c r="F50" s="174"/>
      <c r="G50" s="64"/>
      <c r="H50" s="211" t="s">
        <v>75</v>
      </c>
      <c r="I50" s="211"/>
      <c r="J50" s="211"/>
      <c r="K50" s="211" t="s">
        <v>76</v>
      </c>
      <c r="L50" s="211"/>
      <c r="S50" s="173" t="s">
        <v>76</v>
      </c>
      <c r="T50" s="173"/>
    </row>
    <row r="51" spans="1:23" ht="20.100000000000001" customHeight="1" x14ac:dyDescent="0.2">
      <c r="A51" s="144" t="s">
        <v>367</v>
      </c>
      <c r="B51" s="144"/>
      <c r="C51" s="144"/>
      <c r="D51" s="135" t="s">
        <v>74</v>
      </c>
      <c r="E51" s="135"/>
      <c r="F51" s="135"/>
      <c r="G51" s="64"/>
      <c r="H51" s="64"/>
      <c r="I51" s="64"/>
      <c r="J51" s="64"/>
      <c r="K51" s="64"/>
      <c r="L51" s="64"/>
    </row>
    <row r="52" spans="1:23" ht="20.100000000000001" customHeight="1" x14ac:dyDescent="0.2">
      <c r="A52" s="174" t="s">
        <v>75</v>
      </c>
      <c r="B52" s="174"/>
      <c r="C52" s="174"/>
      <c r="D52" s="173" t="s">
        <v>76</v>
      </c>
      <c r="E52" s="173"/>
      <c r="F52" s="173"/>
      <c r="G52" s="63"/>
      <c r="H52" s="63"/>
      <c r="I52" s="64"/>
      <c r="J52" s="64"/>
      <c r="K52" s="64"/>
      <c r="L52" s="64"/>
    </row>
  </sheetData>
  <sheetProtection sheet="1" objects="1" scenarios="1"/>
  <mergeCells count="258">
    <mergeCell ref="A52:C52"/>
    <mergeCell ref="D52:F52"/>
    <mergeCell ref="I1:L2"/>
    <mergeCell ref="G5:H6"/>
    <mergeCell ref="I5:L6"/>
    <mergeCell ref="H10:L10"/>
    <mergeCell ref="F15:G15"/>
    <mergeCell ref="H50:J50"/>
    <mergeCell ref="K50:L50"/>
    <mergeCell ref="D49:F49"/>
    <mergeCell ref="A7:L7"/>
    <mergeCell ref="I11:L11"/>
    <mergeCell ref="A8:L8"/>
    <mergeCell ref="A1:F1"/>
    <mergeCell ref="A2:F2"/>
    <mergeCell ref="A3:F3"/>
    <mergeCell ref="A4:F4"/>
    <mergeCell ref="A5:F5"/>
    <mergeCell ref="A6:F6"/>
    <mergeCell ref="A9:L9"/>
    <mergeCell ref="G3:H4"/>
    <mergeCell ref="I3:L4"/>
    <mergeCell ref="A11:D11"/>
    <mergeCell ref="E11:H11"/>
    <mergeCell ref="N49:P49"/>
    <mergeCell ref="P45:R45"/>
    <mergeCell ref="A51:C51"/>
    <mergeCell ref="D51:F51"/>
    <mergeCell ref="N46:O46"/>
    <mergeCell ref="N47:O47"/>
    <mergeCell ref="T45:W45"/>
    <mergeCell ref="T46:W46"/>
    <mergeCell ref="H49:J49"/>
    <mergeCell ref="K49:L49"/>
    <mergeCell ref="A48:C48"/>
    <mergeCell ref="A49:C49"/>
    <mergeCell ref="A50:C50"/>
    <mergeCell ref="D50:F50"/>
    <mergeCell ref="D48:F48"/>
    <mergeCell ref="A47:C47"/>
    <mergeCell ref="D47:F47"/>
    <mergeCell ref="G46:L46"/>
    <mergeCell ref="X45:Z45"/>
    <mergeCell ref="X46:Z46"/>
    <mergeCell ref="X47:Z47"/>
    <mergeCell ref="S50:T50"/>
    <mergeCell ref="N39:O39"/>
    <mergeCell ref="P39:Q39"/>
    <mergeCell ref="N41:O42"/>
    <mergeCell ref="P41:R42"/>
    <mergeCell ref="M40:Z40"/>
    <mergeCell ref="M43:M44"/>
    <mergeCell ref="T47:W47"/>
    <mergeCell ref="N43:O44"/>
    <mergeCell ref="P43:R44"/>
    <mergeCell ref="P46:R46"/>
    <mergeCell ref="P47:R47"/>
    <mergeCell ref="N45:O45"/>
    <mergeCell ref="R39:S39"/>
    <mergeCell ref="T39:U39"/>
    <mergeCell ref="V39:X39"/>
    <mergeCell ref="Y39:Z39"/>
    <mergeCell ref="S41:S44"/>
    <mergeCell ref="T41:W44"/>
    <mergeCell ref="M41:M42"/>
    <mergeCell ref="Q49:V49"/>
    <mergeCell ref="V37:X37"/>
    <mergeCell ref="Y37:Z37"/>
    <mergeCell ref="V38:X38"/>
    <mergeCell ref="Y38:Z38"/>
    <mergeCell ref="X41:Z42"/>
    <mergeCell ref="X43:Z44"/>
    <mergeCell ref="N37:O37"/>
    <mergeCell ref="P37:Q37"/>
    <mergeCell ref="R37:S37"/>
    <mergeCell ref="T37:U37"/>
    <mergeCell ref="N38:O38"/>
    <mergeCell ref="P38:Q38"/>
    <mergeCell ref="R38:S38"/>
    <mergeCell ref="T38:U38"/>
    <mergeCell ref="V13:W13"/>
    <mergeCell ref="T11:U11"/>
    <mergeCell ref="T12:U12"/>
    <mergeCell ref="T13:U13"/>
    <mergeCell ref="T27:V27"/>
    <mergeCell ref="W27:Z27"/>
    <mergeCell ref="T25:V25"/>
    <mergeCell ref="Y35:Z35"/>
    <mergeCell ref="N36:O36"/>
    <mergeCell ref="P36:Q36"/>
    <mergeCell ref="R36:S36"/>
    <mergeCell ref="T36:U36"/>
    <mergeCell ref="V36:X36"/>
    <mergeCell ref="Y36:Z36"/>
    <mergeCell ref="R34:S34"/>
    <mergeCell ref="T34:U34"/>
    <mergeCell ref="V34:X34"/>
    <mergeCell ref="N35:O35"/>
    <mergeCell ref="P35:Q35"/>
    <mergeCell ref="R35:S35"/>
    <mergeCell ref="T35:U35"/>
    <mergeCell ref="V35:X35"/>
    <mergeCell ref="T23:V23"/>
    <mergeCell ref="Q26:S26"/>
    <mergeCell ref="T26:V26"/>
    <mergeCell ref="N24:P24"/>
    <mergeCell ref="Q24:S24"/>
    <mergeCell ref="T28:V28"/>
    <mergeCell ref="W28:Z28"/>
    <mergeCell ref="T24:V24"/>
    <mergeCell ref="X9:Z9"/>
    <mergeCell ref="X10:Z10"/>
    <mergeCell ref="X11:Z11"/>
    <mergeCell ref="X12:Z12"/>
    <mergeCell ref="X13:Z13"/>
    <mergeCell ref="X14:Z14"/>
    <mergeCell ref="X15:Z15"/>
    <mergeCell ref="X16:Z16"/>
    <mergeCell ref="W26:Z26"/>
    <mergeCell ref="W23:Z23"/>
    <mergeCell ref="W24:Z24"/>
    <mergeCell ref="W25:Z25"/>
    <mergeCell ref="T18:V19"/>
    <mergeCell ref="V14:W14"/>
    <mergeCell ref="V11:W11"/>
    <mergeCell ref="V12:W12"/>
    <mergeCell ref="N14:O14"/>
    <mergeCell ref="N15:O15"/>
    <mergeCell ref="N31:O32"/>
    <mergeCell ref="N33:O34"/>
    <mergeCell ref="P31:Q31"/>
    <mergeCell ref="P32:Q32"/>
    <mergeCell ref="P33:Q33"/>
    <mergeCell ref="P34:Q34"/>
    <mergeCell ref="N28:P28"/>
    <mergeCell ref="Q28:S28"/>
    <mergeCell ref="N23:P23"/>
    <mergeCell ref="N27:P27"/>
    <mergeCell ref="Q27:S27"/>
    <mergeCell ref="N26:P26"/>
    <mergeCell ref="N25:P25"/>
    <mergeCell ref="Q25:S25"/>
    <mergeCell ref="Q23:S23"/>
    <mergeCell ref="M31:M32"/>
    <mergeCell ref="T33:U33"/>
    <mergeCell ref="R31:S31"/>
    <mergeCell ref="R32:S32"/>
    <mergeCell ref="Q19:S19"/>
    <mergeCell ref="Q20:S20"/>
    <mergeCell ref="R16:S16"/>
    <mergeCell ref="V15:W15"/>
    <mergeCell ref="V16:W16"/>
    <mergeCell ref="T16:U16"/>
    <mergeCell ref="P16:Q16"/>
    <mergeCell ref="M17:Z17"/>
    <mergeCell ref="W18:Z21"/>
    <mergeCell ref="N18:P19"/>
    <mergeCell ref="W22:Z22"/>
    <mergeCell ref="T20:V21"/>
    <mergeCell ref="Q21:S21"/>
    <mergeCell ref="N22:P22"/>
    <mergeCell ref="M18:M19"/>
    <mergeCell ref="M20:M21"/>
    <mergeCell ref="Q22:S22"/>
    <mergeCell ref="T22:V22"/>
    <mergeCell ref="Q18:S18"/>
    <mergeCell ref="N20:P21"/>
    <mergeCell ref="V8:W8"/>
    <mergeCell ref="V9:W9"/>
    <mergeCell ref="V10:W10"/>
    <mergeCell ref="R7:S7"/>
    <mergeCell ref="R8:S8"/>
    <mergeCell ref="R9:S9"/>
    <mergeCell ref="R10:S10"/>
    <mergeCell ref="T8:U8"/>
    <mergeCell ref="T9:U9"/>
    <mergeCell ref="T10:U10"/>
    <mergeCell ref="N16:O16"/>
    <mergeCell ref="N12:O12"/>
    <mergeCell ref="N13:O13"/>
    <mergeCell ref="I13:I17"/>
    <mergeCell ref="J13:K13"/>
    <mergeCell ref="J14:K14"/>
    <mergeCell ref="J15:K15"/>
    <mergeCell ref="A12:L12"/>
    <mergeCell ref="F13:G13"/>
    <mergeCell ref="B14:C14"/>
    <mergeCell ref="D14:E14"/>
    <mergeCell ref="B13:C13"/>
    <mergeCell ref="F14:G14"/>
    <mergeCell ref="P12:Q12"/>
    <mergeCell ref="T14:U14"/>
    <mergeCell ref="T15:U15"/>
    <mergeCell ref="P13:Q13"/>
    <mergeCell ref="P14:Q14"/>
    <mergeCell ref="P15:Q15"/>
    <mergeCell ref="R11:S11"/>
    <mergeCell ref="R12:S12"/>
    <mergeCell ref="R13:S13"/>
    <mergeCell ref="R14:S14"/>
    <mergeCell ref="R15:S15"/>
    <mergeCell ref="M1:Z1"/>
    <mergeCell ref="M2:Z2"/>
    <mergeCell ref="X3:Z6"/>
    <mergeCell ref="M5:M6"/>
    <mergeCell ref="M3:M4"/>
    <mergeCell ref="P3:Q4"/>
    <mergeCell ref="R3:S3"/>
    <mergeCell ref="R4:S4"/>
    <mergeCell ref="R5:S5"/>
    <mergeCell ref="R6:S6"/>
    <mergeCell ref="P5:Q6"/>
    <mergeCell ref="N3:O6"/>
    <mergeCell ref="T3:U3"/>
    <mergeCell ref="T4:U4"/>
    <mergeCell ref="T5:U5"/>
    <mergeCell ref="V3:W3"/>
    <mergeCell ref="V4:W4"/>
    <mergeCell ref="V5:W5"/>
    <mergeCell ref="V6:W6"/>
    <mergeCell ref="T6:U6"/>
    <mergeCell ref="N10:O10"/>
    <mergeCell ref="N11:O11"/>
    <mergeCell ref="P7:Q7"/>
    <mergeCell ref="P8:Q8"/>
    <mergeCell ref="P9:Q9"/>
    <mergeCell ref="P10:Q10"/>
    <mergeCell ref="N8:O8"/>
    <mergeCell ref="M33:M34"/>
    <mergeCell ref="M29:Z29"/>
    <mergeCell ref="M30:Z30"/>
    <mergeCell ref="V31:X31"/>
    <mergeCell ref="V32:X32"/>
    <mergeCell ref="Y31:Z34"/>
    <mergeCell ref="V33:X33"/>
    <mergeCell ref="R33:S33"/>
    <mergeCell ref="T31:U31"/>
    <mergeCell ref="T32:U32"/>
    <mergeCell ref="X7:Z7"/>
    <mergeCell ref="X8:Z8"/>
    <mergeCell ref="N9:O9"/>
    <mergeCell ref="T7:U7"/>
    <mergeCell ref="N7:O7"/>
    <mergeCell ref="V7:W7"/>
    <mergeCell ref="P11:Q11"/>
    <mergeCell ref="A10:D10"/>
    <mergeCell ref="E10:G10"/>
    <mergeCell ref="D13:E13"/>
    <mergeCell ref="A46:F46"/>
    <mergeCell ref="A44:C44"/>
    <mergeCell ref="G1:H2"/>
    <mergeCell ref="J16:J17"/>
    <mergeCell ref="K16:K17"/>
    <mergeCell ref="A13:A17"/>
    <mergeCell ref="E16:E17"/>
    <mergeCell ref="B15:C15"/>
    <mergeCell ref="D15:E15"/>
    <mergeCell ref="A43:C43"/>
  </mergeCells>
  <phoneticPr fontId="0" type="noConversion"/>
  <printOptions horizontalCentered="1"/>
  <pageMargins left="0.39370078740157483" right="0.39370078740157483" top="0.19685039370078741" bottom="0.19685039370078741" header="0" footer="0"/>
  <pageSetup paperSize="9" scale="65" orientation="portrait" horizontalDpi="180" verticalDpi="180" r:id="rId1"/>
  <headerFooter alignWithMargins="0"/>
  <colBreaks count="1" manualBreakCount="1">
    <brk id="12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2"/>
  <dimension ref="A1:Z52"/>
  <sheetViews>
    <sheetView view="pageBreakPreview" topLeftCell="A11" zoomScale="75" zoomScaleNormal="50" zoomScaleSheetLayoutView="75" workbookViewId="0">
      <selection activeCell="J45" sqref="J45"/>
    </sheetView>
  </sheetViews>
  <sheetFormatPr defaultRowHeight="18.75" x14ac:dyDescent="0.2"/>
  <cols>
    <col min="1" max="1" width="11.140625" style="2" customWidth="1"/>
    <col min="2" max="2" width="13.7109375" style="2" customWidth="1"/>
    <col min="3" max="3" width="12.140625" style="2" customWidth="1"/>
    <col min="4" max="4" width="13.85546875" style="2" customWidth="1"/>
    <col min="5" max="5" width="5.42578125" style="2" customWidth="1"/>
    <col min="6" max="6" width="12.5703125" style="2" customWidth="1"/>
    <col min="7" max="7" width="13.42578125" style="2" customWidth="1"/>
    <col min="8" max="8" width="16.28515625" style="2" customWidth="1"/>
    <col min="9" max="9" width="8.28515625" style="2" customWidth="1"/>
    <col min="10" max="11" width="8.85546875" style="2" customWidth="1"/>
    <col min="12" max="12" width="16.42578125" style="2" customWidth="1"/>
    <col min="13" max="26" width="10.28515625" style="2" customWidth="1"/>
    <col min="27" max="16384" width="9.140625" style="2"/>
  </cols>
  <sheetData>
    <row r="1" spans="1:26" ht="21.75" customHeight="1" x14ac:dyDescent="0.2">
      <c r="A1" s="115" t="s">
        <v>157</v>
      </c>
      <c r="B1" s="115"/>
      <c r="C1" s="115"/>
      <c r="D1" s="115"/>
      <c r="E1" s="115"/>
      <c r="F1" s="115"/>
      <c r="G1" s="150" t="s">
        <v>154</v>
      </c>
      <c r="H1" s="150"/>
      <c r="I1" s="115" t="s">
        <v>160</v>
      </c>
      <c r="J1" s="115"/>
      <c r="K1" s="115"/>
      <c r="L1" s="115"/>
      <c r="M1" s="122" t="s">
        <v>96</v>
      </c>
      <c r="N1" s="122"/>
      <c r="O1" s="122"/>
      <c r="P1" s="122"/>
      <c r="Q1" s="122"/>
      <c r="R1" s="122"/>
      <c r="S1" s="122"/>
      <c r="T1" s="122"/>
      <c r="U1" s="122"/>
      <c r="V1" s="122"/>
      <c r="W1" s="122"/>
      <c r="X1" s="122"/>
      <c r="Y1" s="122"/>
      <c r="Z1" s="122"/>
    </row>
    <row r="2" spans="1:26" ht="21.75" customHeight="1" x14ac:dyDescent="0.2">
      <c r="A2" s="146" t="s">
        <v>45</v>
      </c>
      <c r="B2" s="146"/>
      <c r="C2" s="146"/>
      <c r="D2" s="146"/>
      <c r="E2" s="146"/>
      <c r="F2" s="146"/>
      <c r="G2" s="150"/>
      <c r="H2" s="150"/>
      <c r="I2" s="115"/>
      <c r="J2" s="115"/>
      <c r="K2" s="115"/>
      <c r="L2" s="115"/>
      <c r="M2" s="122" t="s">
        <v>78</v>
      </c>
      <c r="N2" s="122"/>
      <c r="O2" s="122"/>
      <c r="P2" s="122"/>
      <c r="Q2" s="122"/>
      <c r="R2" s="122"/>
      <c r="S2" s="122"/>
      <c r="T2" s="122"/>
      <c r="U2" s="122"/>
      <c r="V2" s="122"/>
      <c r="W2" s="122"/>
      <c r="X2" s="122"/>
      <c r="Y2" s="122"/>
      <c r="Z2" s="122"/>
    </row>
    <row r="3" spans="1:26" ht="21.75" customHeight="1" x14ac:dyDescent="0.2">
      <c r="A3" s="115" t="s">
        <v>158</v>
      </c>
      <c r="B3" s="147"/>
      <c r="C3" s="147"/>
      <c r="D3" s="147"/>
      <c r="E3" s="147"/>
      <c r="F3" s="147"/>
      <c r="G3" s="150" t="s">
        <v>155</v>
      </c>
      <c r="H3" s="150"/>
      <c r="I3" s="115" t="s">
        <v>205</v>
      </c>
      <c r="J3" s="115"/>
      <c r="K3" s="115"/>
      <c r="L3" s="115"/>
      <c r="M3" s="123" t="s">
        <v>79</v>
      </c>
      <c r="N3" s="124" t="s">
        <v>81</v>
      </c>
      <c r="O3" s="123"/>
      <c r="P3" s="124" t="s">
        <v>65</v>
      </c>
      <c r="Q3" s="123"/>
      <c r="R3" s="124" t="s">
        <v>82</v>
      </c>
      <c r="S3" s="123"/>
      <c r="T3" s="124" t="s">
        <v>85</v>
      </c>
      <c r="U3" s="123"/>
      <c r="V3" s="124" t="s">
        <v>87</v>
      </c>
      <c r="W3" s="123"/>
      <c r="X3" s="128" t="s">
        <v>91</v>
      </c>
      <c r="Y3" s="132"/>
      <c r="Z3" s="132"/>
    </row>
    <row r="4" spans="1:26" ht="29.25" customHeight="1" x14ac:dyDescent="0.2">
      <c r="A4" s="146" t="s">
        <v>46</v>
      </c>
      <c r="B4" s="146"/>
      <c r="C4" s="146"/>
      <c r="D4" s="146"/>
      <c r="E4" s="146"/>
      <c r="F4" s="146"/>
      <c r="G4" s="150"/>
      <c r="H4" s="150"/>
      <c r="I4" s="115"/>
      <c r="J4" s="115"/>
      <c r="K4" s="115"/>
      <c r="L4" s="115"/>
      <c r="M4" s="116"/>
      <c r="N4" s="125"/>
      <c r="O4" s="116"/>
      <c r="P4" s="125"/>
      <c r="Q4" s="116"/>
      <c r="R4" s="125" t="s">
        <v>83</v>
      </c>
      <c r="S4" s="116"/>
      <c r="T4" s="125" t="s">
        <v>86</v>
      </c>
      <c r="U4" s="116"/>
      <c r="V4" s="125" t="s">
        <v>88</v>
      </c>
      <c r="W4" s="116"/>
      <c r="X4" s="128"/>
      <c r="Y4" s="132"/>
      <c r="Z4" s="132"/>
    </row>
    <row r="5" spans="1:26" ht="21.75" customHeight="1" x14ac:dyDescent="0.2">
      <c r="A5" s="115" t="s">
        <v>178</v>
      </c>
      <c r="B5" s="147"/>
      <c r="C5" s="147"/>
      <c r="D5" s="147"/>
      <c r="E5" s="147"/>
      <c r="F5" s="147"/>
      <c r="G5" s="150" t="s">
        <v>156</v>
      </c>
      <c r="H5" s="150"/>
      <c r="I5" s="115" t="s">
        <v>206</v>
      </c>
      <c r="J5" s="115"/>
      <c r="K5" s="115"/>
      <c r="L5" s="115"/>
      <c r="M5" s="116" t="s">
        <v>80</v>
      </c>
      <c r="N5" s="125"/>
      <c r="O5" s="116"/>
      <c r="P5" s="125" t="s">
        <v>182</v>
      </c>
      <c r="Q5" s="116"/>
      <c r="R5" s="133" t="s">
        <v>84</v>
      </c>
      <c r="S5" s="134"/>
      <c r="T5" s="133" t="s">
        <v>84</v>
      </c>
      <c r="U5" s="134"/>
      <c r="V5" s="125" t="s">
        <v>89</v>
      </c>
      <c r="W5" s="116"/>
      <c r="X5" s="128"/>
      <c r="Y5" s="132"/>
      <c r="Z5" s="132"/>
    </row>
    <row r="6" spans="1:26" ht="21.75" customHeight="1" x14ac:dyDescent="0.2">
      <c r="A6" s="146" t="s">
        <v>47</v>
      </c>
      <c r="B6" s="146"/>
      <c r="C6" s="146"/>
      <c r="D6" s="146"/>
      <c r="E6" s="146"/>
      <c r="F6" s="146"/>
      <c r="G6" s="150"/>
      <c r="H6" s="150"/>
      <c r="I6" s="115"/>
      <c r="J6" s="115"/>
      <c r="K6" s="115"/>
      <c r="L6" s="115"/>
      <c r="M6" s="117"/>
      <c r="N6" s="127"/>
      <c r="O6" s="117"/>
      <c r="P6" s="127"/>
      <c r="Q6" s="117"/>
      <c r="R6" s="127"/>
      <c r="S6" s="117"/>
      <c r="T6" s="127"/>
      <c r="U6" s="117"/>
      <c r="V6" s="127" t="s">
        <v>90</v>
      </c>
      <c r="W6" s="117"/>
      <c r="X6" s="128"/>
      <c r="Y6" s="132"/>
      <c r="Z6" s="132"/>
    </row>
    <row r="7" spans="1:26" ht="21.75" customHeight="1" x14ac:dyDescent="0.2">
      <c r="A7" s="122"/>
      <c r="B7" s="122"/>
      <c r="C7" s="122"/>
      <c r="D7" s="122"/>
      <c r="E7" s="122"/>
      <c r="F7" s="122"/>
      <c r="G7" s="122"/>
      <c r="H7" s="122"/>
      <c r="I7" s="122"/>
      <c r="J7" s="122"/>
      <c r="K7" s="122"/>
      <c r="L7" s="122"/>
      <c r="M7" s="9"/>
      <c r="N7" s="111"/>
      <c r="O7" s="113"/>
      <c r="P7" s="111"/>
      <c r="Q7" s="113"/>
      <c r="R7" s="111"/>
      <c r="S7" s="113"/>
      <c r="T7" s="111"/>
      <c r="U7" s="113"/>
      <c r="V7" s="111"/>
      <c r="W7" s="113"/>
      <c r="X7" s="111"/>
      <c r="Y7" s="112"/>
      <c r="Z7" s="112"/>
    </row>
    <row r="8" spans="1:26" ht="22.5" customHeight="1" x14ac:dyDescent="0.2">
      <c r="A8" s="143" t="s">
        <v>48</v>
      </c>
      <c r="B8" s="143"/>
      <c r="C8" s="143"/>
      <c r="D8" s="143"/>
      <c r="E8" s="143"/>
      <c r="F8" s="143"/>
      <c r="G8" s="143"/>
      <c r="H8" s="143"/>
      <c r="I8" s="143"/>
      <c r="J8" s="143"/>
      <c r="K8" s="143"/>
      <c r="L8" s="143"/>
      <c r="M8" s="9"/>
      <c r="N8" s="111"/>
      <c r="O8" s="113"/>
      <c r="P8" s="111"/>
      <c r="Q8" s="113"/>
      <c r="R8" s="111"/>
      <c r="S8" s="113"/>
      <c r="T8" s="111"/>
      <c r="U8" s="113"/>
      <c r="V8" s="111"/>
      <c r="W8" s="113"/>
      <c r="X8" s="111"/>
      <c r="Y8" s="112"/>
      <c r="Z8" s="112"/>
    </row>
    <row r="9" spans="1:26" ht="22.5" customHeight="1" x14ac:dyDescent="0.2">
      <c r="A9" s="156" t="s">
        <v>49</v>
      </c>
      <c r="B9" s="156"/>
      <c r="C9" s="156"/>
      <c r="D9" s="156"/>
      <c r="E9" s="156"/>
      <c r="F9" s="156"/>
      <c r="G9" s="156"/>
      <c r="H9" s="156"/>
      <c r="I9" s="156"/>
      <c r="J9" s="156"/>
      <c r="K9" s="156"/>
      <c r="L9" s="156"/>
      <c r="M9" s="9"/>
      <c r="N9" s="111"/>
      <c r="O9" s="113"/>
      <c r="P9" s="111"/>
      <c r="Q9" s="113"/>
      <c r="R9" s="111"/>
      <c r="S9" s="113"/>
      <c r="T9" s="111"/>
      <c r="U9" s="113"/>
      <c r="V9" s="111"/>
      <c r="W9" s="113"/>
      <c r="X9" s="111"/>
      <c r="Y9" s="112"/>
      <c r="Z9" s="112"/>
    </row>
    <row r="10" spans="1:26" ht="22.5" customHeight="1" x14ac:dyDescent="0.2">
      <c r="A10" s="151" t="s">
        <v>112</v>
      </c>
      <c r="B10" s="151"/>
      <c r="C10" s="151"/>
      <c r="D10" s="151"/>
      <c r="E10" s="162" t="s">
        <v>407</v>
      </c>
      <c r="F10" s="163"/>
      <c r="G10" s="163"/>
      <c r="H10" s="138" t="s">
        <v>369</v>
      </c>
      <c r="I10" s="138"/>
      <c r="J10" s="138"/>
      <c r="K10" s="138"/>
      <c r="L10" s="138"/>
      <c r="M10" s="9"/>
      <c r="N10" s="111"/>
      <c r="O10" s="113"/>
      <c r="P10" s="111"/>
      <c r="Q10" s="113"/>
      <c r="R10" s="111"/>
      <c r="S10" s="113"/>
      <c r="T10" s="111"/>
      <c r="U10" s="113"/>
      <c r="V10" s="111"/>
      <c r="W10" s="113"/>
      <c r="X10" s="111"/>
      <c r="Y10" s="112"/>
      <c r="Z10" s="112"/>
    </row>
    <row r="11" spans="1:26" ht="22.5" customHeight="1" x14ac:dyDescent="0.2">
      <c r="A11" s="151" t="s">
        <v>113</v>
      </c>
      <c r="B11" s="151"/>
      <c r="C11" s="151"/>
      <c r="D11" s="151"/>
      <c r="E11" s="161" t="s">
        <v>218</v>
      </c>
      <c r="F11" s="161"/>
      <c r="G11" s="161"/>
      <c r="H11" s="161"/>
      <c r="I11" s="138" t="s">
        <v>114</v>
      </c>
      <c r="J11" s="138"/>
      <c r="K11" s="138"/>
      <c r="L11" s="138"/>
      <c r="M11" s="9"/>
      <c r="N11" s="111"/>
      <c r="O11" s="113"/>
      <c r="P11" s="111"/>
      <c r="Q11" s="113"/>
      <c r="R11" s="111"/>
      <c r="S11" s="113"/>
      <c r="T11" s="111"/>
      <c r="U11" s="113"/>
      <c r="V11" s="111"/>
      <c r="W11" s="113"/>
      <c r="X11" s="111"/>
      <c r="Y11" s="112"/>
      <c r="Z11" s="112"/>
    </row>
    <row r="12" spans="1:26" ht="21.75" customHeight="1" x14ac:dyDescent="0.2">
      <c r="A12" s="149"/>
      <c r="B12" s="149"/>
      <c r="C12" s="149"/>
      <c r="D12" s="149"/>
      <c r="E12" s="149"/>
      <c r="F12" s="149"/>
      <c r="G12" s="149"/>
      <c r="H12" s="149"/>
      <c r="I12" s="149"/>
      <c r="J12" s="149"/>
      <c r="K12" s="149"/>
      <c r="L12" s="149"/>
      <c r="M12" s="9"/>
      <c r="N12" s="111"/>
      <c r="O12" s="113"/>
      <c r="P12" s="111"/>
      <c r="Q12" s="113"/>
      <c r="R12" s="111"/>
      <c r="S12" s="113"/>
      <c r="T12" s="111"/>
      <c r="U12" s="113"/>
      <c r="V12" s="111"/>
      <c r="W12" s="113"/>
      <c r="X12" s="111"/>
      <c r="Y12" s="112"/>
      <c r="Z12" s="112"/>
    </row>
    <row r="13" spans="1:26" ht="21.75" customHeight="1" x14ac:dyDescent="0.2">
      <c r="A13" s="187" t="s">
        <v>50</v>
      </c>
      <c r="B13" s="195" t="s">
        <v>56</v>
      </c>
      <c r="C13" s="196"/>
      <c r="D13" s="185" t="s">
        <v>190</v>
      </c>
      <c r="E13" s="186"/>
      <c r="F13" s="195" t="s">
        <v>59</v>
      </c>
      <c r="G13" s="196"/>
      <c r="H13" s="40" t="s">
        <v>190</v>
      </c>
      <c r="I13" s="197" t="s">
        <v>5</v>
      </c>
      <c r="J13" s="195" t="s">
        <v>60</v>
      </c>
      <c r="K13" s="187"/>
      <c r="L13" s="41" t="s">
        <v>65</v>
      </c>
      <c r="M13" s="9"/>
      <c r="N13" s="111"/>
      <c r="O13" s="113"/>
      <c r="P13" s="111"/>
      <c r="Q13" s="113"/>
      <c r="R13" s="111"/>
      <c r="S13" s="113"/>
      <c r="T13" s="111"/>
      <c r="U13" s="113"/>
      <c r="V13" s="111"/>
      <c r="W13" s="113"/>
      <c r="X13" s="111"/>
      <c r="Y13" s="112"/>
      <c r="Z13" s="112"/>
    </row>
    <row r="14" spans="1:26" ht="21.75" customHeight="1" x14ac:dyDescent="0.2">
      <c r="A14" s="188"/>
      <c r="B14" s="200" t="s">
        <v>57</v>
      </c>
      <c r="C14" s="201"/>
      <c r="D14" s="202" t="s">
        <v>194</v>
      </c>
      <c r="E14" s="203"/>
      <c r="F14" s="200" t="s">
        <v>57</v>
      </c>
      <c r="G14" s="201"/>
      <c r="H14" s="42" t="s">
        <v>194</v>
      </c>
      <c r="I14" s="198"/>
      <c r="J14" s="200" t="s">
        <v>61</v>
      </c>
      <c r="K14" s="188"/>
      <c r="L14" s="41" t="s">
        <v>66</v>
      </c>
      <c r="M14" s="9"/>
      <c r="N14" s="111"/>
      <c r="O14" s="113"/>
      <c r="P14" s="111"/>
      <c r="Q14" s="113"/>
      <c r="R14" s="111"/>
      <c r="S14" s="113"/>
      <c r="T14" s="111"/>
      <c r="U14" s="113"/>
      <c r="V14" s="111"/>
      <c r="W14" s="113"/>
      <c r="X14" s="111"/>
      <c r="Y14" s="112"/>
      <c r="Z14" s="112"/>
    </row>
    <row r="15" spans="1:26" ht="21.75" customHeight="1" x14ac:dyDescent="0.2">
      <c r="A15" s="188"/>
      <c r="B15" s="191" t="s">
        <v>58</v>
      </c>
      <c r="C15" s="192"/>
      <c r="D15" s="193">
        <v>36000</v>
      </c>
      <c r="E15" s="194"/>
      <c r="F15" s="191" t="s">
        <v>58</v>
      </c>
      <c r="G15" s="192"/>
      <c r="H15" s="43">
        <v>36000</v>
      </c>
      <c r="I15" s="198"/>
      <c r="J15" s="191" t="s">
        <v>62</v>
      </c>
      <c r="K15" s="189"/>
      <c r="L15" s="41" t="s">
        <v>67</v>
      </c>
      <c r="M15" s="9"/>
      <c r="N15" s="111"/>
      <c r="O15" s="113"/>
      <c r="P15" s="111"/>
      <c r="Q15" s="113"/>
      <c r="R15" s="111"/>
      <c r="S15" s="113"/>
      <c r="T15" s="111"/>
      <c r="U15" s="113"/>
      <c r="V15" s="111"/>
      <c r="W15" s="113"/>
      <c r="X15" s="111"/>
      <c r="Y15" s="112"/>
      <c r="Z15" s="112"/>
    </row>
    <row r="16" spans="1:26" ht="21.75" customHeight="1" x14ac:dyDescent="0.2">
      <c r="A16" s="188"/>
      <c r="B16" s="69" t="s">
        <v>51</v>
      </c>
      <c r="C16" s="69" t="s">
        <v>53</v>
      </c>
      <c r="D16" s="69" t="s">
        <v>54</v>
      </c>
      <c r="E16" s="212"/>
      <c r="F16" s="69" t="s">
        <v>51</v>
      </c>
      <c r="G16" s="69" t="s">
        <v>53</v>
      </c>
      <c r="H16" s="45" t="s">
        <v>54</v>
      </c>
      <c r="I16" s="198"/>
      <c r="J16" s="154" t="s">
        <v>63</v>
      </c>
      <c r="K16" s="154" t="s">
        <v>64</v>
      </c>
      <c r="L16" s="41" t="s">
        <v>68</v>
      </c>
      <c r="M16" s="9"/>
      <c r="N16" s="111"/>
      <c r="O16" s="113"/>
      <c r="P16" s="111"/>
      <c r="Q16" s="113"/>
      <c r="R16" s="111"/>
      <c r="S16" s="113"/>
      <c r="T16" s="111"/>
      <c r="U16" s="113"/>
      <c r="V16" s="111"/>
      <c r="W16" s="113"/>
      <c r="X16" s="111"/>
      <c r="Y16" s="112"/>
      <c r="Z16" s="112"/>
    </row>
    <row r="17" spans="1:26" ht="21.75" customHeight="1" x14ac:dyDescent="0.2">
      <c r="A17" s="189"/>
      <c r="B17" s="70" t="s">
        <v>52</v>
      </c>
      <c r="C17" s="70" t="s">
        <v>51</v>
      </c>
      <c r="D17" s="70" t="s">
        <v>55</v>
      </c>
      <c r="E17" s="213"/>
      <c r="F17" s="70" t="s">
        <v>52</v>
      </c>
      <c r="G17" s="69" t="s">
        <v>51</v>
      </c>
      <c r="H17" s="48" t="s">
        <v>55</v>
      </c>
      <c r="I17" s="199"/>
      <c r="J17" s="155"/>
      <c r="K17" s="155"/>
      <c r="L17" s="41" t="s">
        <v>69</v>
      </c>
      <c r="M17" s="130" t="s">
        <v>92</v>
      </c>
      <c r="N17" s="130"/>
      <c r="O17" s="130"/>
      <c r="P17" s="130"/>
      <c r="Q17" s="130"/>
      <c r="R17" s="130"/>
      <c r="S17" s="130"/>
      <c r="T17" s="130"/>
      <c r="U17" s="130"/>
      <c r="V17" s="130"/>
      <c r="W17" s="130"/>
      <c r="X17" s="130"/>
      <c r="Y17" s="130"/>
      <c r="Z17" s="130"/>
    </row>
    <row r="18" spans="1:26" ht="23.25" customHeight="1" x14ac:dyDescent="0.2">
      <c r="A18" s="49" t="s">
        <v>7</v>
      </c>
      <c r="B18" s="82">
        <v>4025.0578</v>
      </c>
      <c r="C18" s="25"/>
      <c r="D18" s="24"/>
      <c r="E18" s="108"/>
      <c r="F18" s="82">
        <v>2657.5203000000001</v>
      </c>
      <c r="G18" s="51"/>
      <c r="H18" s="50"/>
      <c r="I18" s="52"/>
      <c r="J18" s="39"/>
      <c r="K18" s="79"/>
      <c r="L18" s="53"/>
      <c r="M18" s="123" t="s">
        <v>79</v>
      </c>
      <c r="N18" s="121" t="s">
        <v>98</v>
      </c>
      <c r="O18" s="121"/>
      <c r="P18" s="121"/>
      <c r="Q18" s="121" t="s">
        <v>107</v>
      </c>
      <c r="R18" s="121"/>
      <c r="S18" s="121"/>
      <c r="T18" s="121" t="s">
        <v>93</v>
      </c>
      <c r="U18" s="121"/>
      <c r="V18" s="121"/>
      <c r="W18" s="124" t="s">
        <v>91</v>
      </c>
      <c r="X18" s="131"/>
      <c r="Y18" s="131"/>
      <c r="Z18" s="131"/>
    </row>
    <row r="19" spans="1:26" ht="23.25" customHeight="1" x14ac:dyDescent="0.2">
      <c r="A19" s="49" t="s">
        <v>8</v>
      </c>
      <c r="B19" s="82">
        <v>4025.1176999999998</v>
      </c>
      <c r="C19" s="25">
        <f t="shared" ref="C19:C42" si="0">IF(B19="","",IF(LEN(TRUNC(B18,0))-LEN(TRUNC(B19,0))=0,B19-B18,IF(LEN(TRUNC(B18,0))-LEN(TRUNC(B19,0))&gt;0,VALUE(LEFT(B18,LEN(TRUNC(B18,0))-LEN(TRUNC(B19,0))))*POWER(10,LEN(TRUNC(B19,0)))+B19-B18,B19-B18-VALUE(LEFT(B19,LEN(TRUNC(B19,0))-LEN(TRUNC(B18,0))))*POWER(10,LEN(TRUNC(B18,0))))))</f>
        <v>5.9899999999743159E-2</v>
      </c>
      <c r="D19" s="24">
        <f t="shared" ref="D19:D42" si="1">IF(C19="","",C19*$D$15)</f>
        <v>2156.3999999907537</v>
      </c>
      <c r="E19" s="108"/>
      <c r="F19" s="82">
        <v>2657.5657000000001</v>
      </c>
      <c r="G19" s="51">
        <f>F19-ReportObject12_3</f>
        <v>4.5399999999972351E-2</v>
      </c>
      <c r="H19" s="50">
        <f t="shared" ref="H19:H42" si="2">IF(G19="","",G19*$H$15)</f>
        <v>1634.3999999990046</v>
      </c>
      <c r="I19" s="52">
        <f t="shared" ref="I19:I42" si="3">IF(H19="","",IF(D19="","",IF(AND(H19=0,D19=0),0,H19/D19)))</f>
        <v>0.75792988314135257</v>
      </c>
      <c r="J19" s="39"/>
      <c r="K19" s="52">
        <v>6.2610200000000003</v>
      </c>
      <c r="L19" s="53"/>
      <c r="M19" s="116"/>
      <c r="N19" s="118"/>
      <c r="O19" s="118"/>
      <c r="P19" s="118"/>
      <c r="Q19" s="118" t="s">
        <v>108</v>
      </c>
      <c r="R19" s="118"/>
      <c r="S19" s="118"/>
      <c r="T19" s="118"/>
      <c r="U19" s="118"/>
      <c r="V19" s="118"/>
      <c r="W19" s="125"/>
      <c r="X19" s="122"/>
      <c r="Y19" s="122"/>
      <c r="Z19" s="122"/>
    </row>
    <row r="20" spans="1:26" ht="23.25" customHeight="1" x14ac:dyDescent="0.2">
      <c r="A20" s="49" t="s">
        <v>9</v>
      </c>
      <c r="B20" s="82">
        <v>4025.1777000000002</v>
      </c>
      <c r="C20" s="25">
        <f t="shared" si="0"/>
        <v>6.0000000000400178E-2</v>
      </c>
      <c r="D20" s="24">
        <f t="shared" si="1"/>
        <v>2160.0000000144064</v>
      </c>
      <c r="E20" s="108"/>
      <c r="F20" s="82">
        <v>2657.6111000000001</v>
      </c>
      <c r="G20" s="51">
        <f>F20-F19</f>
        <v>4.5399999999972351E-2</v>
      </c>
      <c r="H20" s="50">
        <f t="shared" si="2"/>
        <v>1634.3999999990046</v>
      </c>
      <c r="I20" s="52">
        <f t="shared" si="3"/>
        <v>0.75666666666115923</v>
      </c>
      <c r="J20" s="39"/>
      <c r="K20" s="52">
        <v>6.1878869999999999</v>
      </c>
      <c r="L20" s="53"/>
      <c r="M20" s="116" t="s">
        <v>80</v>
      </c>
      <c r="N20" s="118" t="s">
        <v>99</v>
      </c>
      <c r="O20" s="118"/>
      <c r="P20" s="118"/>
      <c r="Q20" s="118" t="s">
        <v>181</v>
      </c>
      <c r="R20" s="118"/>
      <c r="S20" s="118"/>
      <c r="T20" s="118" t="s">
        <v>94</v>
      </c>
      <c r="U20" s="118"/>
      <c r="V20" s="118"/>
      <c r="W20" s="125"/>
      <c r="X20" s="122"/>
      <c r="Y20" s="122"/>
      <c r="Z20" s="122"/>
    </row>
    <row r="21" spans="1:26" ht="23.25" customHeight="1" x14ac:dyDescent="0.2">
      <c r="A21" s="49" t="s">
        <v>10</v>
      </c>
      <c r="B21" s="82">
        <v>4025.2368999999999</v>
      </c>
      <c r="C21" s="25">
        <f t="shared" si="0"/>
        <v>5.9199999999691499E-2</v>
      </c>
      <c r="D21" s="24">
        <f t="shared" si="1"/>
        <v>2131.199999988894</v>
      </c>
      <c r="E21" s="108"/>
      <c r="F21" s="82">
        <v>2657.6561999999999</v>
      </c>
      <c r="G21" s="51">
        <f t="shared" ref="G21:G42" si="4">F21-F20</f>
        <v>4.5099999999820284E-2</v>
      </c>
      <c r="H21" s="50">
        <f t="shared" si="2"/>
        <v>1623.5999999935302</v>
      </c>
      <c r="I21" s="52">
        <f t="shared" si="3"/>
        <v>0.7618243243252586</v>
      </c>
      <c r="J21" s="39"/>
      <c r="K21" s="52">
        <v>6.265873</v>
      </c>
      <c r="L21" s="53"/>
      <c r="M21" s="117"/>
      <c r="N21" s="119"/>
      <c r="O21" s="119"/>
      <c r="P21" s="119"/>
      <c r="Q21" s="119"/>
      <c r="R21" s="119"/>
      <c r="S21" s="119"/>
      <c r="T21" s="119"/>
      <c r="U21" s="119"/>
      <c r="V21" s="119"/>
      <c r="W21" s="127"/>
      <c r="X21" s="130"/>
      <c r="Y21" s="130"/>
      <c r="Z21" s="130"/>
    </row>
    <row r="22" spans="1:26" ht="23.25" customHeight="1" x14ac:dyDescent="0.2">
      <c r="A22" s="49" t="s">
        <v>11</v>
      </c>
      <c r="B22" s="82">
        <v>4025.2962000000002</v>
      </c>
      <c r="C22" s="25">
        <f t="shared" si="0"/>
        <v>5.9300000000348518E-2</v>
      </c>
      <c r="D22" s="24">
        <f t="shared" si="1"/>
        <v>2134.8000000125467</v>
      </c>
      <c r="E22" s="108"/>
      <c r="F22" s="82">
        <v>2657.7017000000001</v>
      </c>
      <c r="G22" s="51">
        <f t="shared" si="4"/>
        <v>4.5500000000174623E-2</v>
      </c>
      <c r="H22" s="50">
        <f t="shared" si="2"/>
        <v>1638.0000000062864</v>
      </c>
      <c r="I22" s="52">
        <f t="shared" si="3"/>
        <v>0.76728499156673202</v>
      </c>
      <c r="J22" s="39"/>
      <c r="K22" s="52">
        <v>6.2816960000000002</v>
      </c>
      <c r="L22" s="53"/>
      <c r="M22" s="9"/>
      <c r="N22" s="120"/>
      <c r="O22" s="120"/>
      <c r="P22" s="120"/>
      <c r="Q22" s="120"/>
      <c r="R22" s="120"/>
      <c r="S22" s="120"/>
      <c r="T22" s="120"/>
      <c r="U22" s="120"/>
      <c r="V22" s="120"/>
      <c r="W22" s="111"/>
      <c r="X22" s="112"/>
      <c r="Y22" s="112"/>
      <c r="Z22" s="112"/>
    </row>
    <row r="23" spans="1:26" ht="23.25" customHeight="1" x14ac:dyDescent="0.2">
      <c r="A23" s="49" t="s">
        <v>12</v>
      </c>
      <c r="B23" s="82">
        <v>4025.3564000000001</v>
      </c>
      <c r="C23" s="25">
        <f t="shared" si="0"/>
        <v>6.0199999999895226E-2</v>
      </c>
      <c r="D23" s="24">
        <f t="shared" si="1"/>
        <v>2167.1999999962281</v>
      </c>
      <c r="E23" s="108"/>
      <c r="F23" s="82">
        <v>2657.7474999999999</v>
      </c>
      <c r="G23" s="51">
        <f t="shared" si="4"/>
        <v>4.5799999999871943E-2</v>
      </c>
      <c r="H23" s="50">
        <f t="shared" si="2"/>
        <v>1648.79999999539</v>
      </c>
      <c r="I23" s="52">
        <f t="shared" si="3"/>
        <v>0.76079734219188799</v>
      </c>
      <c r="J23" s="39"/>
      <c r="K23" s="52">
        <v>6.2873359999999998</v>
      </c>
      <c r="L23" s="53"/>
      <c r="M23" s="9"/>
      <c r="N23" s="120"/>
      <c r="O23" s="120"/>
      <c r="P23" s="120"/>
      <c r="Q23" s="120"/>
      <c r="R23" s="120"/>
      <c r="S23" s="120"/>
      <c r="T23" s="120"/>
      <c r="U23" s="120"/>
      <c r="V23" s="120"/>
      <c r="W23" s="111"/>
      <c r="X23" s="112"/>
      <c r="Y23" s="112"/>
      <c r="Z23" s="112"/>
    </row>
    <row r="24" spans="1:26" ht="23.25" customHeight="1" x14ac:dyDescent="0.2">
      <c r="A24" s="49" t="s">
        <v>13</v>
      </c>
      <c r="B24" s="82">
        <v>4025.4162999999999</v>
      </c>
      <c r="C24" s="25">
        <f t="shared" si="0"/>
        <v>5.9899999999743159E-2</v>
      </c>
      <c r="D24" s="24">
        <f t="shared" si="1"/>
        <v>2156.3999999907537</v>
      </c>
      <c r="E24" s="108"/>
      <c r="F24" s="82">
        <v>2657.7932000000001</v>
      </c>
      <c r="G24" s="51">
        <f t="shared" si="4"/>
        <v>4.5700000000124419E-2</v>
      </c>
      <c r="H24" s="50">
        <f t="shared" si="2"/>
        <v>1645.2000000044791</v>
      </c>
      <c r="I24" s="52">
        <f t="shared" si="3"/>
        <v>0.76293823038932174</v>
      </c>
      <c r="J24" s="39"/>
      <c r="K24" s="52">
        <v>6.2776959999999997</v>
      </c>
      <c r="L24" s="53"/>
      <c r="M24" s="9"/>
      <c r="N24" s="120"/>
      <c r="O24" s="120"/>
      <c r="P24" s="120"/>
      <c r="Q24" s="120"/>
      <c r="R24" s="120"/>
      <c r="S24" s="120"/>
      <c r="T24" s="120"/>
      <c r="U24" s="120"/>
      <c r="V24" s="120"/>
      <c r="W24" s="111"/>
      <c r="X24" s="112"/>
      <c r="Y24" s="112"/>
      <c r="Z24" s="112"/>
    </row>
    <row r="25" spans="1:26" ht="23.25" customHeight="1" x14ac:dyDescent="0.2">
      <c r="A25" s="49" t="s">
        <v>14</v>
      </c>
      <c r="B25" s="82">
        <v>4025.4780000000001</v>
      </c>
      <c r="C25" s="25">
        <f t="shared" si="0"/>
        <v>6.1700000000200816E-2</v>
      </c>
      <c r="D25" s="24">
        <f t="shared" si="1"/>
        <v>2221.2000000072294</v>
      </c>
      <c r="E25" s="108"/>
      <c r="F25" s="82">
        <v>2657.8384000000001</v>
      </c>
      <c r="G25" s="51">
        <f t="shared" si="4"/>
        <v>4.5200000000022555E-2</v>
      </c>
      <c r="H25" s="50">
        <f t="shared" si="2"/>
        <v>1627.200000000812</v>
      </c>
      <c r="I25" s="52">
        <f t="shared" si="3"/>
        <v>0.73257698541127136</v>
      </c>
      <c r="J25" s="39"/>
      <c r="K25" s="52">
        <v>6.2441059999999995</v>
      </c>
      <c r="L25" s="53"/>
      <c r="M25" s="9"/>
      <c r="N25" s="120"/>
      <c r="O25" s="120"/>
      <c r="P25" s="120"/>
      <c r="Q25" s="120"/>
      <c r="R25" s="120"/>
      <c r="S25" s="120"/>
      <c r="T25" s="120"/>
      <c r="U25" s="120"/>
      <c r="V25" s="120"/>
      <c r="W25" s="111"/>
      <c r="X25" s="112"/>
      <c r="Y25" s="112"/>
      <c r="Z25" s="112"/>
    </row>
    <row r="26" spans="1:26" ht="23.25" customHeight="1" x14ac:dyDescent="0.2">
      <c r="A26" s="49" t="s">
        <v>15</v>
      </c>
      <c r="B26" s="82">
        <v>4025.5403999999999</v>
      </c>
      <c r="C26" s="25">
        <f t="shared" si="0"/>
        <v>6.2399999999797728E-2</v>
      </c>
      <c r="D26" s="24">
        <f t="shared" si="1"/>
        <v>2246.3999999927182</v>
      </c>
      <c r="E26" s="108"/>
      <c r="F26" s="82">
        <v>2657.8831</v>
      </c>
      <c r="G26" s="51">
        <f t="shared" si="4"/>
        <v>4.4699999999920692E-2</v>
      </c>
      <c r="H26" s="50">
        <f t="shared" si="2"/>
        <v>1609.1999999971449</v>
      </c>
      <c r="I26" s="52">
        <f t="shared" si="3"/>
        <v>0.7163461538472049</v>
      </c>
      <c r="J26" s="39"/>
      <c r="K26" s="52">
        <v>6.1818080000000002</v>
      </c>
      <c r="L26" s="53"/>
      <c r="M26" s="9"/>
      <c r="N26" s="120"/>
      <c r="O26" s="120"/>
      <c r="P26" s="120"/>
      <c r="Q26" s="120"/>
      <c r="R26" s="120"/>
      <c r="S26" s="120"/>
      <c r="T26" s="120"/>
      <c r="U26" s="120"/>
      <c r="V26" s="120"/>
      <c r="W26" s="111"/>
      <c r="X26" s="112"/>
      <c r="Y26" s="112"/>
      <c r="Z26" s="112"/>
    </row>
    <row r="27" spans="1:26" ht="23.25" customHeight="1" x14ac:dyDescent="0.2">
      <c r="A27" s="49" t="s">
        <v>16</v>
      </c>
      <c r="B27" s="82">
        <v>4025.6001999999999</v>
      </c>
      <c r="C27" s="25">
        <f t="shared" si="0"/>
        <v>5.9799999999995634E-2</v>
      </c>
      <c r="D27" s="24">
        <f t="shared" si="1"/>
        <v>2152.7999999998428</v>
      </c>
      <c r="E27" s="108"/>
      <c r="F27" s="82">
        <v>2657.9265</v>
      </c>
      <c r="G27" s="51">
        <f t="shared" si="4"/>
        <v>4.3400000000019645E-2</v>
      </c>
      <c r="H27" s="50">
        <f t="shared" si="2"/>
        <v>1562.4000000007072</v>
      </c>
      <c r="I27" s="52">
        <f t="shared" si="3"/>
        <v>0.72575250836158556</v>
      </c>
      <c r="J27" s="39"/>
      <c r="K27" s="52">
        <v>6.035825</v>
      </c>
      <c r="L27" s="53"/>
      <c r="M27" s="9"/>
      <c r="N27" s="120"/>
      <c r="O27" s="120"/>
      <c r="P27" s="120"/>
      <c r="Q27" s="120"/>
      <c r="R27" s="120"/>
      <c r="S27" s="120"/>
      <c r="T27" s="120"/>
      <c r="U27" s="120"/>
      <c r="V27" s="120"/>
      <c r="W27" s="111"/>
      <c r="X27" s="112"/>
      <c r="Y27" s="112"/>
      <c r="Z27" s="112"/>
    </row>
    <row r="28" spans="1:26" ht="23.25" customHeight="1" x14ac:dyDescent="0.2">
      <c r="A28" s="49" t="s">
        <v>17</v>
      </c>
      <c r="B28" s="82">
        <v>4025.6610000000001</v>
      </c>
      <c r="C28" s="25">
        <f t="shared" si="0"/>
        <v>6.0800000000199361E-2</v>
      </c>
      <c r="D28" s="24">
        <f t="shared" si="1"/>
        <v>2188.800000007177</v>
      </c>
      <c r="E28" s="108"/>
      <c r="F28" s="82">
        <v>2657.9708000000001</v>
      </c>
      <c r="G28" s="51">
        <f t="shared" si="4"/>
        <v>4.43000000000211E-2</v>
      </c>
      <c r="H28" s="50">
        <f t="shared" si="2"/>
        <v>1594.8000000007596</v>
      </c>
      <c r="I28" s="52">
        <f t="shared" si="3"/>
        <v>0.72861842105058949</v>
      </c>
      <c r="J28" s="39"/>
      <c r="K28" s="52">
        <v>6.1332380000000004</v>
      </c>
      <c r="L28" s="53"/>
      <c r="M28" s="9"/>
      <c r="N28" s="120"/>
      <c r="O28" s="120"/>
      <c r="P28" s="120"/>
      <c r="Q28" s="120"/>
      <c r="R28" s="120"/>
      <c r="S28" s="120"/>
      <c r="T28" s="120"/>
      <c r="U28" s="120"/>
      <c r="V28" s="120"/>
      <c r="W28" s="111"/>
      <c r="X28" s="112"/>
      <c r="Y28" s="112"/>
      <c r="Z28" s="112"/>
    </row>
    <row r="29" spans="1:26" ht="23.25" customHeight="1" x14ac:dyDescent="0.2">
      <c r="A29" s="49" t="s">
        <v>18</v>
      </c>
      <c r="B29" s="82">
        <v>4025.7237</v>
      </c>
      <c r="C29" s="25">
        <f t="shared" si="0"/>
        <v>6.2699999999949796E-2</v>
      </c>
      <c r="D29" s="24">
        <f t="shared" si="1"/>
        <v>2257.1999999981927</v>
      </c>
      <c r="E29" s="108"/>
      <c r="F29" s="82">
        <v>2658.0162</v>
      </c>
      <c r="G29" s="51">
        <f t="shared" si="4"/>
        <v>4.5399999999972351E-2</v>
      </c>
      <c r="H29" s="50">
        <f t="shared" si="2"/>
        <v>1634.3999999990046</v>
      </c>
      <c r="I29" s="52">
        <f t="shared" si="3"/>
        <v>0.72408293460938922</v>
      </c>
      <c r="J29" s="39"/>
      <c r="K29" s="52">
        <v>6.158995</v>
      </c>
      <c r="L29" s="53"/>
      <c r="M29" s="145" t="s">
        <v>95</v>
      </c>
      <c r="N29" s="145"/>
      <c r="O29" s="145"/>
      <c r="P29" s="145"/>
      <c r="Q29" s="145"/>
      <c r="R29" s="145"/>
      <c r="S29" s="145"/>
      <c r="T29" s="145"/>
      <c r="U29" s="145"/>
      <c r="V29" s="145"/>
      <c r="W29" s="145"/>
      <c r="X29" s="145"/>
      <c r="Y29" s="145"/>
      <c r="Z29" s="145"/>
    </row>
    <row r="30" spans="1:26" ht="23.25" customHeight="1" x14ac:dyDescent="0.2">
      <c r="A30" s="49" t="s">
        <v>19</v>
      </c>
      <c r="B30" s="82">
        <v>4025.7865000000002</v>
      </c>
      <c r="C30" s="25">
        <f t="shared" si="0"/>
        <v>6.2800000000152068E-2</v>
      </c>
      <c r="D30" s="24">
        <f t="shared" si="1"/>
        <v>2260.8000000054744</v>
      </c>
      <c r="E30" s="108"/>
      <c r="F30" s="82">
        <v>2658.0617999999999</v>
      </c>
      <c r="G30" s="51">
        <f t="shared" si="4"/>
        <v>4.5599999999922147E-2</v>
      </c>
      <c r="H30" s="50">
        <f t="shared" si="2"/>
        <v>1641.5999999971973</v>
      </c>
      <c r="I30" s="52">
        <f t="shared" si="3"/>
        <v>0.72611464967853068</v>
      </c>
      <c r="J30" s="39"/>
      <c r="K30" s="52">
        <v>6.1885709999999996</v>
      </c>
      <c r="L30" s="53"/>
      <c r="M30" s="122" t="s">
        <v>97</v>
      </c>
      <c r="N30" s="122"/>
      <c r="O30" s="122"/>
      <c r="P30" s="122"/>
      <c r="Q30" s="122"/>
      <c r="R30" s="122"/>
      <c r="S30" s="122"/>
      <c r="T30" s="122"/>
      <c r="U30" s="122"/>
      <c r="V30" s="122"/>
      <c r="W30" s="122"/>
      <c r="X30" s="122"/>
      <c r="Y30" s="122"/>
      <c r="Z30" s="122"/>
    </row>
    <row r="31" spans="1:26" ht="23.25" customHeight="1" x14ac:dyDescent="0.2">
      <c r="A31" s="49" t="s">
        <v>20</v>
      </c>
      <c r="B31" s="82">
        <v>4025.8474000000001</v>
      </c>
      <c r="C31" s="25">
        <f t="shared" si="0"/>
        <v>6.0899999999946886E-2</v>
      </c>
      <c r="D31" s="24">
        <f t="shared" si="1"/>
        <v>2192.3999999980879</v>
      </c>
      <c r="E31" s="108"/>
      <c r="F31" s="82">
        <v>2658.1071000000002</v>
      </c>
      <c r="G31" s="51">
        <f t="shared" si="4"/>
        <v>4.5300000000224827E-2</v>
      </c>
      <c r="H31" s="50">
        <f t="shared" si="2"/>
        <v>1630.8000000080938</v>
      </c>
      <c r="I31" s="52">
        <f t="shared" si="3"/>
        <v>0.74384236453636021</v>
      </c>
      <c r="J31" s="39"/>
      <c r="K31" s="52">
        <v>6.0619339999999999</v>
      </c>
      <c r="L31" s="53"/>
      <c r="M31" s="123" t="s">
        <v>79</v>
      </c>
      <c r="N31" s="121" t="s">
        <v>98</v>
      </c>
      <c r="O31" s="121"/>
      <c r="P31" s="121" t="s">
        <v>100</v>
      </c>
      <c r="Q31" s="121"/>
      <c r="R31" s="121" t="s">
        <v>93</v>
      </c>
      <c r="S31" s="121"/>
      <c r="T31" s="121" t="s">
        <v>103</v>
      </c>
      <c r="U31" s="121"/>
      <c r="V31" s="121" t="s">
        <v>179</v>
      </c>
      <c r="W31" s="121"/>
      <c r="X31" s="121"/>
      <c r="Y31" s="121" t="s">
        <v>91</v>
      </c>
      <c r="Z31" s="124"/>
    </row>
    <row r="32" spans="1:26" ht="23.25" customHeight="1" x14ac:dyDescent="0.2">
      <c r="A32" s="49" t="s">
        <v>21</v>
      </c>
      <c r="B32" s="82">
        <v>4025.9081999999999</v>
      </c>
      <c r="C32" s="25">
        <f t="shared" si="0"/>
        <v>6.0799999999744614E-2</v>
      </c>
      <c r="D32" s="24">
        <f t="shared" si="1"/>
        <v>2188.7999999908061</v>
      </c>
      <c r="E32" s="108"/>
      <c r="F32" s="82">
        <v>2658.1518000000001</v>
      </c>
      <c r="G32" s="51">
        <f t="shared" si="4"/>
        <v>4.4699999999920692E-2</v>
      </c>
      <c r="H32" s="50">
        <f t="shared" si="2"/>
        <v>1609.1999999971449</v>
      </c>
      <c r="I32" s="52">
        <f t="shared" si="3"/>
        <v>0.73519736842283634</v>
      </c>
      <c r="J32" s="39"/>
      <c r="K32" s="52">
        <v>6.1952359999999995</v>
      </c>
      <c r="L32" s="53"/>
      <c r="M32" s="116"/>
      <c r="N32" s="118"/>
      <c r="O32" s="118"/>
      <c r="P32" s="118" t="s">
        <v>83</v>
      </c>
      <c r="Q32" s="118"/>
      <c r="R32" s="118" t="s">
        <v>102</v>
      </c>
      <c r="S32" s="118"/>
      <c r="T32" s="118" t="s">
        <v>104</v>
      </c>
      <c r="U32" s="118"/>
      <c r="V32" s="118" t="s">
        <v>105</v>
      </c>
      <c r="W32" s="118"/>
      <c r="X32" s="118"/>
      <c r="Y32" s="118"/>
      <c r="Z32" s="125"/>
    </row>
    <row r="33" spans="1:26" ht="23.25" customHeight="1" x14ac:dyDescent="0.2">
      <c r="A33" s="49" t="s">
        <v>22</v>
      </c>
      <c r="B33" s="82">
        <v>4025.97</v>
      </c>
      <c r="C33" s="25">
        <f t="shared" si="0"/>
        <v>6.1799999999948341E-2</v>
      </c>
      <c r="D33" s="24">
        <f t="shared" si="1"/>
        <v>2224.7999999981403</v>
      </c>
      <c r="E33" s="108"/>
      <c r="F33" s="82">
        <v>2658.1968000000002</v>
      </c>
      <c r="G33" s="51">
        <f t="shared" si="4"/>
        <v>4.500000000007276E-2</v>
      </c>
      <c r="H33" s="50">
        <f t="shared" si="2"/>
        <v>1620.0000000026193</v>
      </c>
      <c r="I33" s="52">
        <f t="shared" si="3"/>
        <v>0.72815533980761127</v>
      </c>
      <c r="J33" s="39"/>
      <c r="K33" s="52">
        <v>6.1893149999999997</v>
      </c>
      <c r="L33" s="53"/>
      <c r="M33" s="116" t="s">
        <v>80</v>
      </c>
      <c r="N33" s="118" t="s">
        <v>99</v>
      </c>
      <c r="O33" s="118"/>
      <c r="P33" s="118" t="s">
        <v>101</v>
      </c>
      <c r="Q33" s="118"/>
      <c r="R33" s="118" t="s">
        <v>69</v>
      </c>
      <c r="S33" s="118"/>
      <c r="T33" s="118" t="s">
        <v>69</v>
      </c>
      <c r="U33" s="118"/>
      <c r="V33" s="118" t="s">
        <v>106</v>
      </c>
      <c r="W33" s="118"/>
      <c r="X33" s="118"/>
      <c r="Y33" s="118"/>
      <c r="Z33" s="125"/>
    </row>
    <row r="34" spans="1:26" ht="23.25" customHeight="1" x14ac:dyDescent="0.2">
      <c r="A34" s="49" t="s">
        <v>23</v>
      </c>
      <c r="B34" s="82">
        <v>4026.0328</v>
      </c>
      <c r="C34" s="25">
        <f t="shared" si="0"/>
        <v>6.2800000000152068E-2</v>
      </c>
      <c r="D34" s="24">
        <f t="shared" si="1"/>
        <v>2260.8000000054744</v>
      </c>
      <c r="E34" s="108"/>
      <c r="F34" s="82">
        <v>2658.2422000000001</v>
      </c>
      <c r="G34" s="51">
        <f t="shared" si="4"/>
        <v>4.5399999999972351E-2</v>
      </c>
      <c r="H34" s="50">
        <f t="shared" si="2"/>
        <v>1634.3999999990046</v>
      </c>
      <c r="I34" s="52">
        <f t="shared" si="3"/>
        <v>0.72292993630354163</v>
      </c>
      <c r="J34" s="39"/>
      <c r="K34" s="52">
        <v>6.2009219999999994</v>
      </c>
      <c r="L34" s="53"/>
      <c r="M34" s="117"/>
      <c r="N34" s="119"/>
      <c r="O34" s="119"/>
      <c r="P34" s="119"/>
      <c r="Q34" s="119"/>
      <c r="R34" s="127"/>
      <c r="S34" s="117"/>
      <c r="T34" s="127"/>
      <c r="U34" s="117"/>
      <c r="V34" s="127"/>
      <c r="W34" s="130"/>
      <c r="X34" s="117"/>
      <c r="Y34" s="119"/>
      <c r="Z34" s="127"/>
    </row>
    <row r="35" spans="1:26" ht="23.25" customHeight="1" x14ac:dyDescent="0.2">
      <c r="A35" s="49" t="s">
        <v>24</v>
      </c>
      <c r="B35" s="82">
        <v>4026.0976000000001</v>
      </c>
      <c r="C35" s="25">
        <f t="shared" si="0"/>
        <v>6.4800000000104774E-2</v>
      </c>
      <c r="D35" s="24">
        <f t="shared" si="1"/>
        <v>2332.8000000037719</v>
      </c>
      <c r="E35" s="108"/>
      <c r="F35" s="82">
        <v>2658.2876000000001</v>
      </c>
      <c r="G35" s="51">
        <f t="shared" si="4"/>
        <v>4.5399999999972351E-2</v>
      </c>
      <c r="H35" s="50">
        <f t="shared" si="2"/>
        <v>1634.3999999990046</v>
      </c>
      <c r="I35" s="52">
        <f t="shared" si="3"/>
        <v>0.70061728394905776</v>
      </c>
      <c r="J35" s="39"/>
      <c r="K35" s="52">
        <v>6.1838999999999995</v>
      </c>
      <c r="L35" s="53"/>
      <c r="M35" s="9"/>
      <c r="N35" s="120" t="s">
        <v>169</v>
      </c>
      <c r="O35" s="120"/>
      <c r="P35" s="205">
        <v>0.4</v>
      </c>
      <c r="Q35" s="206"/>
      <c r="R35" s="205">
        <v>590</v>
      </c>
      <c r="S35" s="206"/>
      <c r="T35" s="120"/>
      <c r="U35" s="120"/>
      <c r="V35" s="120"/>
      <c r="W35" s="120"/>
      <c r="X35" s="120"/>
      <c r="Y35" s="120"/>
      <c r="Z35" s="111"/>
    </row>
    <row r="36" spans="1:26" ht="23.25" customHeight="1" x14ac:dyDescent="0.2">
      <c r="A36" s="49" t="s">
        <v>25</v>
      </c>
      <c r="B36" s="82">
        <v>4026.1596</v>
      </c>
      <c r="C36" s="25">
        <f t="shared" si="0"/>
        <v>6.1999999999898137E-2</v>
      </c>
      <c r="D36" s="24">
        <f t="shared" si="1"/>
        <v>2231.9999999963329</v>
      </c>
      <c r="E36" s="108"/>
      <c r="F36" s="82">
        <v>2658.3330000000001</v>
      </c>
      <c r="G36" s="51">
        <f t="shared" si="4"/>
        <v>4.5399999999972351E-2</v>
      </c>
      <c r="H36" s="50">
        <f t="shared" si="2"/>
        <v>1634.3999999990046</v>
      </c>
      <c r="I36" s="52">
        <f t="shared" si="3"/>
        <v>0.73225806451688613</v>
      </c>
      <c r="J36" s="39"/>
      <c r="K36" s="52">
        <v>6.1691319999999994</v>
      </c>
      <c r="L36" s="53"/>
      <c r="M36" s="9"/>
      <c r="N36" s="120" t="s">
        <v>371</v>
      </c>
      <c r="O36" s="120"/>
      <c r="P36" s="207"/>
      <c r="Q36" s="208"/>
      <c r="R36" s="207"/>
      <c r="S36" s="208"/>
      <c r="T36" s="120"/>
      <c r="U36" s="120"/>
      <c r="V36" s="120"/>
      <c r="W36" s="120"/>
      <c r="X36" s="120"/>
      <c r="Y36" s="120"/>
      <c r="Z36" s="111"/>
    </row>
    <row r="37" spans="1:26" ht="23.25" customHeight="1" x14ac:dyDescent="0.2">
      <c r="A37" s="49" t="s">
        <v>26</v>
      </c>
      <c r="B37" s="82">
        <v>4026.2219</v>
      </c>
      <c r="C37" s="25">
        <f t="shared" si="0"/>
        <v>6.2300000000050204E-2</v>
      </c>
      <c r="D37" s="24">
        <f t="shared" si="1"/>
        <v>2242.8000000018073</v>
      </c>
      <c r="E37" s="108"/>
      <c r="F37" s="82">
        <v>2658.3771000000002</v>
      </c>
      <c r="G37" s="51">
        <f t="shared" si="4"/>
        <v>4.4100000000071304E-2</v>
      </c>
      <c r="H37" s="50">
        <f t="shared" si="2"/>
        <v>1587.600000002567</v>
      </c>
      <c r="I37" s="52">
        <f t="shared" si="3"/>
        <v>0.70786516853989989</v>
      </c>
      <c r="J37" s="39"/>
      <c r="K37" s="52">
        <v>6.1104669999999999</v>
      </c>
      <c r="L37" s="53"/>
      <c r="M37" s="9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11"/>
    </row>
    <row r="38" spans="1:26" ht="23.25" customHeight="1" x14ac:dyDescent="0.2">
      <c r="A38" s="49" t="s">
        <v>27</v>
      </c>
      <c r="B38" s="82">
        <v>4026.2864</v>
      </c>
      <c r="C38" s="25">
        <f t="shared" si="0"/>
        <v>6.4499999999952706E-2</v>
      </c>
      <c r="D38" s="24">
        <f t="shared" si="1"/>
        <v>2321.9999999982974</v>
      </c>
      <c r="E38" s="108"/>
      <c r="F38" s="82">
        <v>2658.4218000000001</v>
      </c>
      <c r="G38" s="51">
        <f t="shared" si="4"/>
        <v>4.4699999999920692E-2</v>
      </c>
      <c r="H38" s="50">
        <f t="shared" si="2"/>
        <v>1609.1999999971449</v>
      </c>
      <c r="I38" s="52">
        <f t="shared" si="3"/>
        <v>0.6930232558132321</v>
      </c>
      <c r="J38" s="39"/>
      <c r="K38" s="52">
        <v>6.1377709999999999</v>
      </c>
      <c r="L38" s="53"/>
      <c r="M38" s="9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11"/>
    </row>
    <row r="39" spans="1:26" ht="23.25" customHeight="1" x14ac:dyDescent="0.2">
      <c r="A39" s="49" t="s">
        <v>28</v>
      </c>
      <c r="B39" s="82">
        <v>4026.3474999999999</v>
      </c>
      <c r="C39" s="25">
        <f t="shared" si="0"/>
        <v>6.1099999999896681E-2</v>
      </c>
      <c r="D39" s="24">
        <f t="shared" si="1"/>
        <v>2199.5999999962805</v>
      </c>
      <c r="E39" s="108"/>
      <c r="F39" s="82">
        <v>2658.4668000000001</v>
      </c>
      <c r="G39" s="51">
        <f t="shared" si="4"/>
        <v>4.500000000007276E-2</v>
      </c>
      <c r="H39" s="50">
        <f t="shared" si="2"/>
        <v>1620.0000000026193</v>
      </c>
      <c r="I39" s="52">
        <f t="shared" si="3"/>
        <v>0.73649754501061948</v>
      </c>
      <c r="J39" s="39"/>
      <c r="K39" s="52">
        <v>6.1636360000000003</v>
      </c>
      <c r="L39" s="53"/>
      <c r="M39" s="9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11"/>
    </row>
    <row r="40" spans="1:26" ht="23.25" customHeight="1" x14ac:dyDescent="0.2">
      <c r="A40" s="49" t="s">
        <v>29</v>
      </c>
      <c r="B40" s="82">
        <v>4026.4088999999999</v>
      </c>
      <c r="C40" s="25">
        <f t="shared" si="0"/>
        <v>6.1400000000048749E-2</v>
      </c>
      <c r="D40" s="24">
        <f t="shared" si="1"/>
        <v>2210.400000001755</v>
      </c>
      <c r="E40" s="108"/>
      <c r="F40" s="82">
        <v>2658.5122999999999</v>
      </c>
      <c r="G40" s="51">
        <f t="shared" si="4"/>
        <v>4.5499999999719876E-2</v>
      </c>
      <c r="H40" s="50">
        <f t="shared" si="2"/>
        <v>1637.9999999899155</v>
      </c>
      <c r="I40" s="52">
        <f t="shared" si="3"/>
        <v>0.7410423452717223</v>
      </c>
      <c r="J40" s="39"/>
      <c r="K40" s="52">
        <v>6.1840780000000004</v>
      </c>
      <c r="L40" s="53"/>
      <c r="M40" s="122" t="s">
        <v>109</v>
      </c>
      <c r="N40" s="122"/>
      <c r="O40" s="122"/>
      <c r="P40" s="122"/>
      <c r="Q40" s="122"/>
      <c r="R40" s="122"/>
      <c r="S40" s="122"/>
      <c r="T40" s="122"/>
      <c r="U40" s="122"/>
      <c r="V40" s="122"/>
      <c r="W40" s="122"/>
      <c r="X40" s="122"/>
      <c r="Y40" s="122"/>
      <c r="Z40" s="122"/>
    </row>
    <row r="41" spans="1:26" ht="23.25" customHeight="1" x14ac:dyDescent="0.2">
      <c r="A41" s="49" t="s">
        <v>30</v>
      </c>
      <c r="B41" s="82">
        <v>4026.4708999999998</v>
      </c>
      <c r="C41" s="25">
        <f t="shared" si="0"/>
        <v>6.1999999999898137E-2</v>
      </c>
      <c r="D41" s="24">
        <f t="shared" si="1"/>
        <v>2231.9999999963329</v>
      </c>
      <c r="E41" s="108"/>
      <c r="F41" s="82">
        <v>2658.5587</v>
      </c>
      <c r="G41" s="51">
        <f t="shared" si="4"/>
        <v>4.6400000000176078E-2</v>
      </c>
      <c r="H41" s="50">
        <f t="shared" si="2"/>
        <v>1670.4000000063388</v>
      </c>
      <c r="I41" s="52">
        <f t="shared" si="3"/>
        <v>0.74838709677826309</v>
      </c>
      <c r="J41" s="39"/>
      <c r="K41" s="52">
        <v>5.9977140000000002</v>
      </c>
      <c r="L41" s="53"/>
      <c r="M41" s="123" t="s">
        <v>79</v>
      </c>
      <c r="N41" s="121" t="s">
        <v>98</v>
      </c>
      <c r="O41" s="121"/>
      <c r="P41" s="121" t="s">
        <v>93</v>
      </c>
      <c r="Q41" s="121"/>
      <c r="R41" s="121"/>
      <c r="S41" s="121" t="s">
        <v>111</v>
      </c>
      <c r="T41" s="121" t="s">
        <v>81</v>
      </c>
      <c r="U41" s="121"/>
      <c r="V41" s="121"/>
      <c r="W41" s="121"/>
      <c r="X41" s="121" t="s">
        <v>93</v>
      </c>
      <c r="Y41" s="121"/>
      <c r="Z41" s="124"/>
    </row>
    <row r="42" spans="1:26" ht="23.25" customHeight="1" x14ac:dyDescent="0.2">
      <c r="A42" s="49" t="s">
        <v>31</v>
      </c>
      <c r="B42" s="82">
        <v>4026.5326</v>
      </c>
      <c r="C42" s="25">
        <f t="shared" si="0"/>
        <v>6.1700000000200816E-2</v>
      </c>
      <c r="D42" s="24">
        <f t="shared" si="1"/>
        <v>2221.2000000072294</v>
      </c>
      <c r="E42" s="108"/>
      <c r="F42" s="82">
        <v>2658.6052</v>
      </c>
      <c r="G42" s="51">
        <f t="shared" si="4"/>
        <v>4.6499999999923602E-2</v>
      </c>
      <c r="H42" s="50">
        <f t="shared" si="2"/>
        <v>1673.9999999972497</v>
      </c>
      <c r="I42" s="52">
        <f t="shared" si="3"/>
        <v>0.75364667746794578</v>
      </c>
      <c r="J42" s="39"/>
      <c r="K42" s="52">
        <v>6.2398449999999999</v>
      </c>
      <c r="L42" s="53"/>
      <c r="M42" s="116"/>
      <c r="N42" s="118"/>
      <c r="O42" s="118"/>
      <c r="P42" s="118"/>
      <c r="Q42" s="118"/>
      <c r="R42" s="118"/>
      <c r="S42" s="118"/>
      <c r="T42" s="118"/>
      <c r="U42" s="118"/>
      <c r="V42" s="118"/>
      <c r="W42" s="118"/>
      <c r="X42" s="118"/>
      <c r="Y42" s="118"/>
      <c r="Z42" s="125"/>
    </row>
    <row r="43" spans="1:26" ht="22.5" customHeight="1" x14ac:dyDescent="0.2">
      <c r="A43" s="184" t="s">
        <v>70</v>
      </c>
      <c r="B43" s="184"/>
      <c r="C43" s="184"/>
      <c r="D43" s="50">
        <f>SUM(D18:D42)</f>
        <v>53092.799999998533</v>
      </c>
      <c r="E43" s="39"/>
      <c r="F43" s="54"/>
      <c r="G43" s="39"/>
      <c r="H43" s="50">
        <f>SUM(H18:H42)</f>
        <v>39056.399999994028</v>
      </c>
      <c r="I43" s="52">
        <f>IF(AND(H43=0,D43=0),0,H43/D43)</f>
        <v>0.73562516951441825</v>
      </c>
      <c r="J43" s="39"/>
      <c r="K43" s="39"/>
      <c r="L43" s="53"/>
      <c r="M43" s="116" t="s">
        <v>80</v>
      </c>
      <c r="N43" s="118" t="s">
        <v>99</v>
      </c>
      <c r="O43" s="118"/>
      <c r="P43" s="118" t="s">
        <v>110</v>
      </c>
      <c r="Q43" s="118"/>
      <c r="R43" s="118"/>
      <c r="S43" s="118"/>
      <c r="T43" s="118"/>
      <c r="U43" s="118"/>
      <c r="V43" s="118"/>
      <c r="W43" s="118"/>
      <c r="X43" s="118" t="s">
        <v>110</v>
      </c>
      <c r="Y43" s="118"/>
      <c r="Z43" s="125"/>
    </row>
    <row r="44" spans="1:26" ht="22.5" customHeight="1" x14ac:dyDescent="0.2">
      <c r="A44" s="183" t="s">
        <v>71</v>
      </c>
      <c r="B44" s="183"/>
      <c r="C44" s="183"/>
      <c r="D44" s="39"/>
      <c r="E44" s="39"/>
      <c r="F44" s="54"/>
      <c r="G44" s="39"/>
      <c r="H44" s="39"/>
      <c r="I44" s="39"/>
      <c r="J44" s="39"/>
      <c r="K44" s="39"/>
      <c r="L44" s="53"/>
      <c r="M44" s="117"/>
      <c r="N44" s="119"/>
      <c r="O44" s="119"/>
      <c r="P44" s="119"/>
      <c r="Q44" s="119"/>
      <c r="R44" s="119"/>
      <c r="S44" s="119"/>
      <c r="T44" s="119"/>
      <c r="U44" s="119"/>
      <c r="V44" s="119"/>
      <c r="W44" s="119"/>
      <c r="X44" s="119"/>
      <c r="Y44" s="119"/>
      <c r="Z44" s="127"/>
    </row>
    <row r="45" spans="1:26" ht="22.5" customHeight="1" x14ac:dyDescent="0.2">
      <c r="A45" s="55"/>
      <c r="B45" s="56"/>
      <c r="C45" s="56"/>
      <c r="D45" s="56"/>
      <c r="E45" s="56"/>
      <c r="F45" s="56"/>
      <c r="G45" s="56"/>
      <c r="H45" s="56"/>
      <c r="I45" s="56"/>
      <c r="J45" s="57"/>
      <c r="K45" s="57"/>
      <c r="L45" s="57"/>
      <c r="M45" s="9"/>
      <c r="N45" s="111"/>
      <c r="O45" s="113"/>
      <c r="P45" s="111"/>
      <c r="Q45" s="112"/>
      <c r="R45" s="113"/>
      <c r="S45" s="7"/>
      <c r="T45" s="111"/>
      <c r="U45" s="112"/>
      <c r="V45" s="112"/>
      <c r="W45" s="113"/>
      <c r="X45" s="111"/>
      <c r="Y45" s="112"/>
      <c r="Z45" s="112"/>
    </row>
    <row r="46" spans="1:26" ht="22.5" customHeight="1" x14ac:dyDescent="0.2">
      <c r="A46" s="182" t="s">
        <v>72</v>
      </c>
      <c r="B46" s="182"/>
      <c r="C46" s="182"/>
      <c r="D46" s="182"/>
      <c r="E46" s="182"/>
      <c r="F46" s="182"/>
      <c r="G46" s="204" t="s">
        <v>73</v>
      </c>
      <c r="H46" s="204"/>
      <c r="I46" s="204"/>
      <c r="J46" s="204"/>
      <c r="K46" s="204"/>
      <c r="L46" s="204"/>
      <c r="M46" s="9"/>
      <c r="N46" s="111"/>
      <c r="O46" s="113"/>
      <c r="P46" s="111"/>
      <c r="Q46" s="112"/>
      <c r="R46" s="113"/>
      <c r="S46" s="7"/>
      <c r="T46" s="111"/>
      <c r="U46" s="112"/>
      <c r="V46" s="112"/>
      <c r="W46" s="113"/>
      <c r="X46" s="111"/>
      <c r="Y46" s="112"/>
      <c r="Z46" s="112"/>
    </row>
    <row r="47" spans="1:26" ht="22.5" customHeight="1" x14ac:dyDescent="0.2">
      <c r="A47" s="144" t="s">
        <v>365</v>
      </c>
      <c r="B47" s="144"/>
      <c r="C47" s="144"/>
      <c r="D47" s="135" t="s">
        <v>74</v>
      </c>
      <c r="E47" s="135"/>
      <c r="F47" s="135"/>
      <c r="G47" s="56"/>
      <c r="H47" s="56"/>
      <c r="I47" s="56"/>
      <c r="J47" s="56"/>
      <c r="K47" s="56"/>
      <c r="L47" s="56"/>
      <c r="M47" s="9"/>
      <c r="N47" s="111"/>
      <c r="O47" s="113"/>
      <c r="P47" s="111"/>
      <c r="Q47" s="112"/>
      <c r="R47" s="113"/>
      <c r="S47" s="7"/>
      <c r="T47" s="111"/>
      <c r="U47" s="112"/>
      <c r="V47" s="112"/>
      <c r="W47" s="113"/>
      <c r="X47" s="111"/>
      <c r="Y47" s="112"/>
      <c r="Z47" s="112"/>
    </row>
    <row r="48" spans="1:26" ht="22.5" customHeight="1" x14ac:dyDescent="0.2">
      <c r="A48" s="175" t="s">
        <v>75</v>
      </c>
      <c r="B48" s="175"/>
      <c r="C48" s="175"/>
      <c r="D48" s="174" t="s">
        <v>76</v>
      </c>
      <c r="E48" s="174"/>
      <c r="F48" s="174"/>
      <c r="G48" s="55"/>
      <c r="H48" s="55"/>
      <c r="I48" s="55"/>
      <c r="J48" s="55"/>
      <c r="K48" s="55"/>
      <c r="L48" s="55"/>
    </row>
    <row r="49" spans="1:23" ht="22.5" customHeight="1" x14ac:dyDescent="0.2">
      <c r="A49" s="144" t="s">
        <v>366</v>
      </c>
      <c r="B49" s="144"/>
      <c r="C49" s="144"/>
      <c r="D49" s="135" t="s">
        <v>74</v>
      </c>
      <c r="E49" s="135"/>
      <c r="F49" s="135"/>
      <c r="G49" s="55"/>
      <c r="H49" s="182" t="s">
        <v>183</v>
      </c>
      <c r="I49" s="182"/>
      <c r="J49" s="182"/>
      <c r="K49" s="182" t="s">
        <v>77</v>
      </c>
      <c r="L49" s="182"/>
      <c r="N49" s="177" t="s">
        <v>150</v>
      </c>
      <c r="O49" s="177"/>
      <c r="P49" s="177"/>
      <c r="Q49" s="176" t="s">
        <v>364</v>
      </c>
      <c r="R49" s="176"/>
      <c r="S49" s="176"/>
      <c r="T49" s="176"/>
      <c r="U49" s="176"/>
      <c r="V49" s="176"/>
      <c r="W49" s="1"/>
    </row>
    <row r="50" spans="1:23" ht="22.5" customHeight="1" x14ac:dyDescent="0.2">
      <c r="A50" s="175" t="s">
        <v>75</v>
      </c>
      <c r="B50" s="175"/>
      <c r="C50" s="175"/>
      <c r="D50" s="174" t="s">
        <v>76</v>
      </c>
      <c r="E50" s="174"/>
      <c r="F50" s="174"/>
      <c r="G50" s="58"/>
      <c r="H50" s="175" t="s">
        <v>75</v>
      </c>
      <c r="I50" s="175"/>
      <c r="J50" s="175"/>
      <c r="K50" s="175" t="s">
        <v>76</v>
      </c>
      <c r="L50" s="175"/>
      <c r="S50" s="173" t="s">
        <v>76</v>
      </c>
      <c r="T50" s="173"/>
    </row>
    <row r="51" spans="1:23" ht="20.100000000000001" customHeight="1" x14ac:dyDescent="0.2">
      <c r="A51" s="144" t="s">
        <v>367</v>
      </c>
      <c r="B51" s="144"/>
      <c r="C51" s="144"/>
      <c r="D51" s="135" t="s">
        <v>74</v>
      </c>
      <c r="E51" s="135"/>
      <c r="F51" s="135"/>
      <c r="G51" s="55"/>
      <c r="H51" s="55"/>
      <c r="I51" s="55"/>
      <c r="J51" s="55"/>
      <c r="K51" s="55"/>
      <c r="L51" s="55"/>
    </row>
    <row r="52" spans="1:23" ht="20.100000000000001" customHeight="1" x14ac:dyDescent="0.2">
      <c r="A52" s="174" t="s">
        <v>75</v>
      </c>
      <c r="B52" s="174"/>
      <c r="C52" s="174"/>
      <c r="D52" s="173" t="s">
        <v>76</v>
      </c>
      <c r="E52" s="173"/>
      <c r="F52" s="173"/>
      <c r="G52" s="63"/>
      <c r="H52" s="63"/>
      <c r="I52" s="64"/>
      <c r="J52" s="64"/>
      <c r="K52" s="64"/>
      <c r="L52" s="64"/>
    </row>
  </sheetData>
  <sheetProtection sheet="1" objects="1" scenarios="1"/>
  <mergeCells count="256">
    <mergeCell ref="A52:C52"/>
    <mergeCell ref="D52:F52"/>
    <mergeCell ref="K16:K17"/>
    <mergeCell ref="A13:A17"/>
    <mergeCell ref="E16:E17"/>
    <mergeCell ref="B15:C15"/>
    <mergeCell ref="D15:E15"/>
    <mergeCell ref="B13:C13"/>
    <mergeCell ref="J16:J17"/>
    <mergeCell ref="G46:L46"/>
    <mergeCell ref="D49:F49"/>
    <mergeCell ref="A47:C47"/>
    <mergeCell ref="G1:H2"/>
    <mergeCell ref="G3:H4"/>
    <mergeCell ref="A1:F1"/>
    <mergeCell ref="A2:F2"/>
    <mergeCell ref="A4:F4"/>
    <mergeCell ref="A51:C51"/>
    <mergeCell ref="D51:F51"/>
    <mergeCell ref="A6:F6"/>
    <mergeCell ref="D47:F47"/>
    <mergeCell ref="F14:G14"/>
    <mergeCell ref="H10:L10"/>
    <mergeCell ref="D13:E13"/>
    <mergeCell ref="E10:G10"/>
    <mergeCell ref="A43:C43"/>
    <mergeCell ref="I13:I17"/>
    <mergeCell ref="J13:K13"/>
    <mergeCell ref="J14:K14"/>
    <mergeCell ref="J15:K15"/>
    <mergeCell ref="I3:L4"/>
    <mergeCell ref="A11:D11"/>
    <mergeCell ref="E11:H11"/>
    <mergeCell ref="A10:D10"/>
    <mergeCell ref="H50:J50"/>
    <mergeCell ref="K50:L50"/>
    <mergeCell ref="A3:F3"/>
    <mergeCell ref="A5:F5"/>
    <mergeCell ref="A48:C48"/>
    <mergeCell ref="A49:C49"/>
    <mergeCell ref="A50:C50"/>
    <mergeCell ref="D50:F50"/>
    <mergeCell ref="D48:F48"/>
    <mergeCell ref="F15:G15"/>
    <mergeCell ref="A46:F46"/>
    <mergeCell ref="A44:C44"/>
    <mergeCell ref="A9:L9"/>
    <mergeCell ref="G5:H6"/>
    <mergeCell ref="H49:J49"/>
    <mergeCell ref="K49:L49"/>
    <mergeCell ref="A7:L7"/>
    <mergeCell ref="F13:G13"/>
    <mergeCell ref="I11:L11"/>
    <mergeCell ref="B14:C14"/>
    <mergeCell ref="D14:E14"/>
    <mergeCell ref="A8:L8"/>
    <mergeCell ref="M33:M34"/>
    <mergeCell ref="M29:Z29"/>
    <mergeCell ref="M30:Z30"/>
    <mergeCell ref="V31:X31"/>
    <mergeCell ref="V32:X32"/>
    <mergeCell ref="Y31:Z34"/>
    <mergeCell ref="V33:X33"/>
    <mergeCell ref="R33:S33"/>
    <mergeCell ref="T31:U31"/>
    <mergeCell ref="T32:U32"/>
    <mergeCell ref="X8:Z8"/>
    <mergeCell ref="N23:P23"/>
    <mergeCell ref="V14:W14"/>
    <mergeCell ref="N10:O10"/>
    <mergeCell ref="N11:O11"/>
    <mergeCell ref="P7:Q7"/>
    <mergeCell ref="P8:Q8"/>
    <mergeCell ref="A12:L12"/>
    <mergeCell ref="M31:M32"/>
    <mergeCell ref="N16:O16"/>
    <mergeCell ref="N12:O12"/>
    <mergeCell ref="N13:O13"/>
    <mergeCell ref="M18:M19"/>
    <mergeCell ref="N20:P21"/>
    <mergeCell ref="P13:Q13"/>
    <mergeCell ref="P14:Q14"/>
    <mergeCell ref="Q22:S22"/>
    <mergeCell ref="M20:M21"/>
    <mergeCell ref="N28:P28"/>
    <mergeCell ref="Q28:S28"/>
    <mergeCell ref="P16:Q16"/>
    <mergeCell ref="M17:Z17"/>
    <mergeCell ref="W18:Z21"/>
    <mergeCell ref="N14:O14"/>
    <mergeCell ref="M1:Z1"/>
    <mergeCell ref="M2:Z2"/>
    <mergeCell ref="X3:Z6"/>
    <mergeCell ref="M5:M6"/>
    <mergeCell ref="M3:M4"/>
    <mergeCell ref="T6:U6"/>
    <mergeCell ref="N7:O7"/>
    <mergeCell ref="P3:Q4"/>
    <mergeCell ref="R3:S3"/>
    <mergeCell ref="R4:S4"/>
    <mergeCell ref="R5:S5"/>
    <mergeCell ref="R6:S6"/>
    <mergeCell ref="R7:S7"/>
    <mergeCell ref="X7:Z7"/>
    <mergeCell ref="N8:O8"/>
    <mergeCell ref="N9:O9"/>
    <mergeCell ref="P5:Q6"/>
    <mergeCell ref="N3:O6"/>
    <mergeCell ref="T3:U3"/>
    <mergeCell ref="T4:U4"/>
    <mergeCell ref="T5:U5"/>
    <mergeCell ref="T7:U7"/>
    <mergeCell ref="V12:W12"/>
    <mergeCell ref="T8:U8"/>
    <mergeCell ref="V8:W8"/>
    <mergeCell ref="V3:W3"/>
    <mergeCell ref="V4:W4"/>
    <mergeCell ref="V5:W5"/>
    <mergeCell ref="V6:W6"/>
    <mergeCell ref="V7:W7"/>
    <mergeCell ref="P12:Q12"/>
    <mergeCell ref="R8:S8"/>
    <mergeCell ref="R9:S9"/>
    <mergeCell ref="R10:S10"/>
    <mergeCell ref="P9:Q9"/>
    <mergeCell ref="P10:Q10"/>
    <mergeCell ref="P11:Q11"/>
    <mergeCell ref="T9:U9"/>
    <mergeCell ref="X9:Z9"/>
    <mergeCell ref="X10:Z10"/>
    <mergeCell ref="X11:Z11"/>
    <mergeCell ref="X12:Z12"/>
    <mergeCell ref="X13:Z13"/>
    <mergeCell ref="X14:Z14"/>
    <mergeCell ref="Q20:S20"/>
    <mergeCell ref="T16:U16"/>
    <mergeCell ref="T20:V21"/>
    <mergeCell ref="Q21:S21"/>
    <mergeCell ref="T18:V19"/>
    <mergeCell ref="Q18:S18"/>
    <mergeCell ref="V9:W9"/>
    <mergeCell ref="Q19:S19"/>
    <mergeCell ref="V16:W16"/>
    <mergeCell ref="T10:U10"/>
    <mergeCell ref="V13:W13"/>
    <mergeCell ref="T13:U13"/>
    <mergeCell ref="R16:S16"/>
    <mergeCell ref="V15:W15"/>
    <mergeCell ref="T15:U15"/>
    <mergeCell ref="X15:Z15"/>
    <mergeCell ref="X16:Z16"/>
    <mergeCell ref="R11:S11"/>
    <mergeCell ref="R12:S12"/>
    <mergeCell ref="R13:S13"/>
    <mergeCell ref="T11:U11"/>
    <mergeCell ref="V11:W11"/>
    <mergeCell ref="T12:U12"/>
    <mergeCell ref="V10:W10"/>
    <mergeCell ref="W27:Z27"/>
    <mergeCell ref="N26:P26"/>
    <mergeCell ref="W24:Z24"/>
    <mergeCell ref="W22:Z22"/>
    <mergeCell ref="T14:U14"/>
    <mergeCell ref="R14:S14"/>
    <mergeCell ref="R15:S15"/>
    <mergeCell ref="P15:Q15"/>
    <mergeCell ref="N22:P22"/>
    <mergeCell ref="T22:V22"/>
    <mergeCell ref="T27:V27"/>
    <mergeCell ref="N18:P19"/>
    <mergeCell ref="N15:O15"/>
    <mergeCell ref="Q25:S25"/>
    <mergeCell ref="T36:U36"/>
    <mergeCell ref="V36:X36"/>
    <mergeCell ref="Y36:Z36"/>
    <mergeCell ref="P35:Q36"/>
    <mergeCell ref="W23:Z23"/>
    <mergeCell ref="Q23:S23"/>
    <mergeCell ref="W28:Z28"/>
    <mergeCell ref="V34:X34"/>
    <mergeCell ref="N25:P25"/>
    <mergeCell ref="W25:Z25"/>
    <mergeCell ref="T25:V25"/>
    <mergeCell ref="N24:P24"/>
    <mergeCell ref="T33:U33"/>
    <mergeCell ref="R31:S31"/>
    <mergeCell ref="R32:S32"/>
    <mergeCell ref="N31:O32"/>
    <mergeCell ref="N33:O34"/>
    <mergeCell ref="P31:Q31"/>
    <mergeCell ref="T24:V24"/>
    <mergeCell ref="Q24:S24"/>
    <mergeCell ref="Q27:S27"/>
    <mergeCell ref="Y38:Z38"/>
    <mergeCell ref="N38:O38"/>
    <mergeCell ref="P38:Q38"/>
    <mergeCell ref="R38:S38"/>
    <mergeCell ref="T38:U38"/>
    <mergeCell ref="W26:Z26"/>
    <mergeCell ref="N27:P27"/>
    <mergeCell ref="T37:U37"/>
    <mergeCell ref="Y35:Z35"/>
    <mergeCell ref="N36:O36"/>
    <mergeCell ref="P37:Q37"/>
    <mergeCell ref="R37:S37"/>
    <mergeCell ref="P32:Q32"/>
    <mergeCell ref="P33:Q33"/>
    <mergeCell ref="N35:O35"/>
    <mergeCell ref="T35:U35"/>
    <mergeCell ref="V35:X35"/>
    <mergeCell ref="R35:S36"/>
    <mergeCell ref="P34:Q34"/>
    <mergeCell ref="T28:V28"/>
    <mergeCell ref="Q26:S26"/>
    <mergeCell ref="T26:V26"/>
    <mergeCell ref="R34:S34"/>
    <mergeCell ref="T34:U34"/>
    <mergeCell ref="I1:L2"/>
    <mergeCell ref="I5:L6"/>
    <mergeCell ref="X45:Z45"/>
    <mergeCell ref="X46:Z46"/>
    <mergeCell ref="X47:Z47"/>
    <mergeCell ref="M43:M44"/>
    <mergeCell ref="N47:O47"/>
    <mergeCell ref="T45:W45"/>
    <mergeCell ref="T46:W46"/>
    <mergeCell ref="T47:W47"/>
    <mergeCell ref="N37:O37"/>
    <mergeCell ref="N43:O44"/>
    <mergeCell ref="P43:R44"/>
    <mergeCell ref="X41:Z42"/>
    <mergeCell ref="X43:Z44"/>
    <mergeCell ref="R39:S39"/>
    <mergeCell ref="T39:U39"/>
    <mergeCell ref="V39:X39"/>
    <mergeCell ref="Y39:Z39"/>
    <mergeCell ref="S41:S44"/>
    <mergeCell ref="V38:X38"/>
    <mergeCell ref="V37:X37"/>
    <mergeCell ref="Y37:Z37"/>
    <mergeCell ref="T23:V23"/>
    <mergeCell ref="S50:T50"/>
    <mergeCell ref="N39:O39"/>
    <mergeCell ref="P39:Q39"/>
    <mergeCell ref="N41:O42"/>
    <mergeCell ref="P41:R42"/>
    <mergeCell ref="M40:Z40"/>
    <mergeCell ref="M41:M42"/>
    <mergeCell ref="Q49:V49"/>
    <mergeCell ref="N49:P49"/>
    <mergeCell ref="P45:R45"/>
    <mergeCell ref="P46:R46"/>
    <mergeCell ref="P47:R47"/>
    <mergeCell ref="N45:O45"/>
    <mergeCell ref="N46:O46"/>
    <mergeCell ref="T41:W44"/>
  </mergeCells>
  <phoneticPr fontId="0" type="noConversion"/>
  <printOptions horizontalCentered="1"/>
  <pageMargins left="0.39370078740157483" right="0.39370078740157483" top="0.19685039370078741" bottom="0.19685039370078741" header="0" footer="0"/>
  <pageSetup paperSize="9" scale="66" orientation="portrait" horizontalDpi="180" verticalDpi="180" r:id="rId1"/>
  <headerFooter alignWithMargins="0"/>
  <colBreaks count="1" manualBreakCount="1">
    <brk id="12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"/>
  <dimension ref="A1:Z53"/>
  <sheetViews>
    <sheetView view="pageBreakPreview" topLeftCell="A10" zoomScale="75" zoomScaleNormal="100" zoomScaleSheetLayoutView="75" workbookViewId="0">
      <selection activeCell="L40" sqref="L40"/>
    </sheetView>
  </sheetViews>
  <sheetFormatPr defaultRowHeight="18.75" x14ac:dyDescent="0.2"/>
  <cols>
    <col min="1" max="1" width="11.140625" style="2" customWidth="1"/>
    <col min="2" max="2" width="15.140625" style="2" customWidth="1"/>
    <col min="3" max="3" width="14.85546875" style="2" customWidth="1"/>
    <col min="4" max="4" width="12.7109375" style="2" customWidth="1"/>
    <col min="5" max="5" width="5.42578125" style="2" customWidth="1"/>
    <col min="6" max="6" width="14.140625" style="2" customWidth="1"/>
    <col min="7" max="7" width="13.7109375" style="2" customWidth="1"/>
    <col min="8" max="8" width="19.85546875" style="2" customWidth="1"/>
    <col min="9" max="9" width="8.28515625" style="2" customWidth="1"/>
    <col min="10" max="10" width="8.85546875" style="2" customWidth="1"/>
    <col min="11" max="11" width="10" style="2" customWidth="1"/>
    <col min="12" max="12" width="18.85546875" style="2" customWidth="1"/>
    <col min="13" max="26" width="10.28515625" style="2" customWidth="1"/>
    <col min="27" max="16384" width="9.140625" style="2"/>
  </cols>
  <sheetData>
    <row r="1" spans="1:26" ht="21.75" customHeight="1" x14ac:dyDescent="0.2">
      <c r="A1" s="115" t="s">
        <v>157</v>
      </c>
      <c r="B1" s="115"/>
      <c r="C1" s="115"/>
      <c r="D1" s="115"/>
      <c r="E1" s="115"/>
      <c r="F1" s="115"/>
      <c r="G1" s="150" t="s">
        <v>154</v>
      </c>
      <c r="H1" s="150"/>
      <c r="I1" s="115" t="s">
        <v>160</v>
      </c>
      <c r="J1" s="115"/>
      <c r="K1" s="115"/>
      <c r="L1" s="115"/>
      <c r="M1" s="122" t="s">
        <v>96</v>
      </c>
      <c r="N1" s="122"/>
      <c r="O1" s="122"/>
      <c r="P1" s="122"/>
      <c r="Q1" s="122"/>
      <c r="R1" s="122"/>
      <c r="S1" s="122"/>
      <c r="T1" s="122"/>
      <c r="U1" s="122"/>
      <c r="V1" s="122"/>
      <c r="W1" s="122"/>
      <c r="X1" s="122"/>
      <c r="Y1" s="122"/>
      <c r="Z1" s="122"/>
    </row>
    <row r="2" spans="1:26" ht="21.75" customHeight="1" x14ac:dyDescent="0.2">
      <c r="A2" s="146" t="s">
        <v>45</v>
      </c>
      <c r="B2" s="146"/>
      <c r="C2" s="146"/>
      <c r="D2" s="146"/>
      <c r="E2" s="146"/>
      <c r="F2" s="146"/>
      <c r="G2" s="150"/>
      <c r="H2" s="150"/>
      <c r="I2" s="115"/>
      <c r="J2" s="115"/>
      <c r="K2" s="115"/>
      <c r="L2" s="115"/>
      <c r="M2" s="122" t="s">
        <v>78</v>
      </c>
      <c r="N2" s="122"/>
      <c r="O2" s="122"/>
      <c r="P2" s="122"/>
      <c r="Q2" s="122"/>
      <c r="R2" s="122"/>
      <c r="S2" s="122"/>
      <c r="T2" s="122"/>
      <c r="U2" s="122"/>
      <c r="V2" s="122"/>
      <c r="W2" s="122"/>
      <c r="X2" s="122"/>
      <c r="Y2" s="122"/>
      <c r="Z2" s="122"/>
    </row>
    <row r="3" spans="1:26" ht="21.75" customHeight="1" x14ac:dyDescent="0.2">
      <c r="A3" s="115" t="s">
        <v>158</v>
      </c>
      <c r="B3" s="147"/>
      <c r="C3" s="147"/>
      <c r="D3" s="147"/>
      <c r="E3" s="147"/>
      <c r="F3" s="147"/>
      <c r="G3" s="150" t="s">
        <v>155</v>
      </c>
      <c r="H3" s="150"/>
      <c r="I3" s="115" t="s">
        <v>201</v>
      </c>
      <c r="J3" s="115"/>
      <c r="K3" s="115"/>
      <c r="L3" s="115"/>
      <c r="M3" s="123" t="s">
        <v>79</v>
      </c>
      <c r="N3" s="124" t="s">
        <v>81</v>
      </c>
      <c r="O3" s="123"/>
      <c r="P3" s="124" t="s">
        <v>65</v>
      </c>
      <c r="Q3" s="123"/>
      <c r="R3" s="124" t="s">
        <v>82</v>
      </c>
      <c r="S3" s="123"/>
      <c r="T3" s="124" t="s">
        <v>85</v>
      </c>
      <c r="U3" s="123"/>
      <c r="V3" s="124" t="s">
        <v>87</v>
      </c>
      <c r="W3" s="123"/>
      <c r="X3" s="128" t="s">
        <v>91</v>
      </c>
      <c r="Y3" s="132"/>
      <c r="Z3" s="132"/>
    </row>
    <row r="4" spans="1:26" ht="29.25" customHeight="1" x14ac:dyDescent="0.2">
      <c r="A4" s="146" t="s">
        <v>46</v>
      </c>
      <c r="B4" s="146"/>
      <c r="C4" s="146"/>
      <c r="D4" s="146"/>
      <c r="E4" s="146"/>
      <c r="F4" s="146"/>
      <c r="G4" s="150"/>
      <c r="H4" s="150"/>
      <c r="I4" s="115"/>
      <c r="J4" s="115"/>
      <c r="K4" s="115"/>
      <c r="L4" s="115"/>
      <c r="M4" s="116"/>
      <c r="N4" s="125"/>
      <c r="O4" s="116"/>
      <c r="P4" s="125"/>
      <c r="Q4" s="116"/>
      <c r="R4" s="125" t="s">
        <v>83</v>
      </c>
      <c r="S4" s="116"/>
      <c r="T4" s="125" t="s">
        <v>86</v>
      </c>
      <c r="U4" s="116"/>
      <c r="V4" s="125" t="s">
        <v>88</v>
      </c>
      <c r="W4" s="116"/>
      <c r="X4" s="128"/>
      <c r="Y4" s="132"/>
      <c r="Z4" s="132"/>
    </row>
    <row r="5" spans="1:26" ht="21.75" customHeight="1" x14ac:dyDescent="0.2">
      <c r="A5" s="115" t="s">
        <v>177</v>
      </c>
      <c r="B5" s="147"/>
      <c r="C5" s="147"/>
      <c r="D5" s="147"/>
      <c r="E5" s="147"/>
      <c r="F5" s="147"/>
      <c r="G5" s="150" t="s">
        <v>156</v>
      </c>
      <c r="H5" s="150"/>
      <c r="I5" s="115" t="s">
        <v>411</v>
      </c>
      <c r="J5" s="115"/>
      <c r="K5" s="115"/>
      <c r="L5" s="115"/>
      <c r="M5" s="116" t="s">
        <v>80</v>
      </c>
      <c r="N5" s="125"/>
      <c r="O5" s="116"/>
      <c r="P5" s="125" t="s">
        <v>182</v>
      </c>
      <c r="Q5" s="116"/>
      <c r="R5" s="133" t="s">
        <v>84</v>
      </c>
      <c r="S5" s="134"/>
      <c r="T5" s="133" t="s">
        <v>84</v>
      </c>
      <c r="U5" s="134"/>
      <c r="V5" s="125" t="s">
        <v>89</v>
      </c>
      <c r="W5" s="116"/>
      <c r="X5" s="128"/>
      <c r="Y5" s="132"/>
      <c r="Z5" s="132"/>
    </row>
    <row r="6" spans="1:26" ht="21.75" customHeight="1" x14ac:dyDescent="0.2">
      <c r="A6" s="146" t="s">
        <v>47</v>
      </c>
      <c r="B6" s="146"/>
      <c r="C6" s="146"/>
      <c r="D6" s="146"/>
      <c r="E6" s="146"/>
      <c r="F6" s="146"/>
      <c r="G6" s="150"/>
      <c r="H6" s="150"/>
      <c r="I6" s="115"/>
      <c r="J6" s="115"/>
      <c r="K6" s="115"/>
      <c r="L6" s="115"/>
      <c r="M6" s="117"/>
      <c r="N6" s="127"/>
      <c r="O6" s="117"/>
      <c r="P6" s="127"/>
      <c r="Q6" s="117"/>
      <c r="R6" s="127"/>
      <c r="S6" s="117"/>
      <c r="T6" s="127"/>
      <c r="U6" s="117"/>
      <c r="V6" s="127" t="s">
        <v>90</v>
      </c>
      <c r="W6" s="117"/>
      <c r="X6" s="128"/>
      <c r="Y6" s="132"/>
      <c r="Z6" s="132"/>
    </row>
    <row r="7" spans="1:26" ht="21.75" customHeight="1" x14ac:dyDescent="0.2">
      <c r="A7" s="122"/>
      <c r="B7" s="122"/>
      <c r="C7" s="122"/>
      <c r="D7" s="122"/>
      <c r="E7" s="122"/>
      <c r="F7" s="122"/>
      <c r="G7" s="122"/>
      <c r="H7" s="122"/>
      <c r="I7" s="122"/>
      <c r="J7" s="122"/>
      <c r="K7" s="122"/>
      <c r="L7" s="122"/>
      <c r="M7" s="9"/>
      <c r="N7" s="111"/>
      <c r="O7" s="113"/>
      <c r="P7" s="111"/>
      <c r="Q7" s="113"/>
      <c r="R7" s="111"/>
      <c r="S7" s="113"/>
      <c r="T7" s="111"/>
      <c r="U7" s="113"/>
      <c r="V7" s="111"/>
      <c r="W7" s="113"/>
      <c r="X7" s="111"/>
      <c r="Y7" s="112"/>
      <c r="Z7" s="112"/>
    </row>
    <row r="8" spans="1:26" ht="22.5" customHeight="1" x14ac:dyDescent="0.2">
      <c r="A8" s="143" t="s">
        <v>48</v>
      </c>
      <c r="B8" s="143"/>
      <c r="C8" s="143"/>
      <c r="D8" s="143"/>
      <c r="E8" s="143"/>
      <c r="F8" s="143"/>
      <c r="G8" s="143"/>
      <c r="H8" s="143"/>
      <c r="I8" s="143"/>
      <c r="J8" s="143"/>
      <c r="K8" s="143"/>
      <c r="L8" s="143"/>
      <c r="M8" s="9"/>
      <c r="N8" s="111"/>
      <c r="O8" s="113"/>
      <c r="P8" s="111"/>
      <c r="Q8" s="113"/>
      <c r="R8" s="111"/>
      <c r="S8" s="113"/>
      <c r="T8" s="111"/>
      <c r="U8" s="113"/>
      <c r="V8" s="111"/>
      <c r="W8" s="113"/>
      <c r="X8" s="111"/>
      <c r="Y8" s="112"/>
      <c r="Z8" s="112"/>
    </row>
    <row r="9" spans="1:26" ht="22.5" customHeight="1" x14ac:dyDescent="0.2">
      <c r="A9" s="156" t="s">
        <v>49</v>
      </c>
      <c r="B9" s="156"/>
      <c r="C9" s="156"/>
      <c r="D9" s="156"/>
      <c r="E9" s="156"/>
      <c r="F9" s="156"/>
      <c r="G9" s="156"/>
      <c r="H9" s="156"/>
      <c r="I9" s="156"/>
      <c r="J9" s="156"/>
      <c r="K9" s="156"/>
      <c r="L9" s="156"/>
      <c r="M9" s="9"/>
      <c r="N9" s="111"/>
      <c r="O9" s="113"/>
      <c r="P9" s="111"/>
      <c r="Q9" s="113"/>
      <c r="R9" s="111"/>
      <c r="S9" s="113"/>
      <c r="T9" s="111"/>
      <c r="U9" s="113"/>
      <c r="V9" s="111"/>
      <c r="W9" s="113"/>
      <c r="X9" s="111"/>
      <c r="Y9" s="112"/>
      <c r="Z9" s="112"/>
    </row>
    <row r="10" spans="1:26" ht="22.5" customHeight="1" x14ac:dyDescent="0.2">
      <c r="A10" s="151" t="s">
        <v>112</v>
      </c>
      <c r="B10" s="151"/>
      <c r="C10" s="151"/>
      <c r="D10" s="151"/>
      <c r="E10" s="162" t="s">
        <v>407</v>
      </c>
      <c r="F10" s="163"/>
      <c r="G10" s="163"/>
      <c r="H10" s="138" t="s">
        <v>369</v>
      </c>
      <c r="I10" s="138"/>
      <c r="J10" s="138"/>
      <c r="K10" s="138"/>
      <c r="L10" s="138"/>
      <c r="M10" s="9"/>
      <c r="N10" s="111"/>
      <c r="O10" s="113"/>
      <c r="P10" s="111"/>
      <c r="Q10" s="113"/>
      <c r="R10" s="111"/>
      <c r="S10" s="113"/>
      <c r="T10" s="111"/>
      <c r="U10" s="113"/>
      <c r="V10" s="111"/>
      <c r="W10" s="113"/>
      <c r="X10" s="111"/>
      <c r="Y10" s="112"/>
      <c r="Z10" s="112"/>
    </row>
    <row r="11" spans="1:26" ht="22.5" customHeight="1" x14ac:dyDescent="0.2">
      <c r="A11" s="151" t="s">
        <v>113</v>
      </c>
      <c r="B11" s="151"/>
      <c r="C11" s="151"/>
      <c r="D11" s="151"/>
      <c r="E11" s="161" t="s">
        <v>229</v>
      </c>
      <c r="F11" s="161"/>
      <c r="G11" s="161"/>
      <c r="H11" s="161"/>
      <c r="I11" s="138" t="s">
        <v>114</v>
      </c>
      <c r="J11" s="138"/>
      <c r="K11" s="138"/>
      <c r="L11" s="138"/>
      <c r="M11" s="9"/>
      <c r="N11" s="111"/>
      <c r="O11" s="113"/>
      <c r="P11" s="111"/>
      <c r="Q11" s="113"/>
      <c r="R11" s="111"/>
      <c r="S11" s="113"/>
      <c r="T11" s="111"/>
      <c r="U11" s="113"/>
      <c r="V11" s="111"/>
      <c r="W11" s="113"/>
      <c r="X11" s="111"/>
      <c r="Y11" s="112"/>
      <c r="Z11" s="112"/>
    </row>
    <row r="12" spans="1:26" ht="21.75" customHeight="1" x14ac:dyDescent="0.2">
      <c r="A12" s="149"/>
      <c r="B12" s="149"/>
      <c r="C12" s="149"/>
      <c r="D12" s="149"/>
      <c r="E12" s="149"/>
      <c r="F12" s="149"/>
      <c r="G12" s="149"/>
      <c r="H12" s="149"/>
      <c r="I12" s="149"/>
      <c r="J12" s="149"/>
      <c r="K12" s="149"/>
      <c r="L12" s="149"/>
      <c r="M12" s="9"/>
      <c r="N12" s="111"/>
      <c r="O12" s="113"/>
      <c r="P12" s="111"/>
      <c r="Q12" s="113"/>
      <c r="R12" s="111"/>
      <c r="S12" s="113"/>
      <c r="T12" s="111"/>
      <c r="U12" s="113"/>
      <c r="V12" s="111"/>
      <c r="W12" s="113"/>
      <c r="X12" s="111"/>
      <c r="Y12" s="112"/>
      <c r="Z12" s="112"/>
    </row>
    <row r="13" spans="1:26" ht="21.75" customHeight="1" x14ac:dyDescent="0.2">
      <c r="A13" s="187" t="s">
        <v>50</v>
      </c>
      <c r="B13" s="195" t="s">
        <v>56</v>
      </c>
      <c r="C13" s="196"/>
      <c r="D13" s="185" t="s">
        <v>377</v>
      </c>
      <c r="E13" s="186"/>
      <c r="F13" s="195" t="s">
        <v>59</v>
      </c>
      <c r="G13" s="196"/>
      <c r="H13" s="40" t="s">
        <v>377</v>
      </c>
      <c r="I13" s="197" t="s">
        <v>5</v>
      </c>
      <c r="J13" s="195" t="s">
        <v>60</v>
      </c>
      <c r="K13" s="187"/>
      <c r="L13" s="41" t="s">
        <v>65</v>
      </c>
      <c r="M13" s="9"/>
      <c r="N13" s="111"/>
      <c r="O13" s="113"/>
      <c r="P13" s="111"/>
      <c r="Q13" s="113"/>
      <c r="R13" s="111"/>
      <c r="S13" s="113"/>
      <c r="T13" s="111"/>
      <c r="U13" s="113"/>
      <c r="V13" s="111"/>
      <c r="W13" s="113"/>
      <c r="X13" s="111"/>
      <c r="Y13" s="112"/>
      <c r="Z13" s="112"/>
    </row>
    <row r="14" spans="1:26" ht="21.75" customHeight="1" x14ac:dyDescent="0.2">
      <c r="A14" s="188"/>
      <c r="B14" s="200" t="s">
        <v>57</v>
      </c>
      <c r="C14" s="201"/>
      <c r="D14" s="202" t="s">
        <v>233</v>
      </c>
      <c r="E14" s="203"/>
      <c r="F14" s="200" t="s">
        <v>57</v>
      </c>
      <c r="G14" s="201"/>
      <c r="H14" s="42" t="s">
        <v>234</v>
      </c>
      <c r="I14" s="198"/>
      <c r="J14" s="200" t="s">
        <v>61</v>
      </c>
      <c r="K14" s="188"/>
      <c r="L14" s="41" t="s">
        <v>66</v>
      </c>
      <c r="M14" s="9"/>
      <c r="N14" s="111"/>
      <c r="O14" s="113"/>
      <c r="P14" s="111"/>
      <c r="Q14" s="113"/>
      <c r="R14" s="111"/>
      <c r="S14" s="113"/>
      <c r="T14" s="111"/>
      <c r="U14" s="113"/>
      <c r="V14" s="111"/>
      <c r="W14" s="113"/>
      <c r="X14" s="111"/>
      <c r="Y14" s="112"/>
      <c r="Z14" s="112"/>
    </row>
    <row r="15" spans="1:26" ht="21.75" customHeight="1" x14ac:dyDescent="0.2">
      <c r="A15" s="188"/>
      <c r="B15" s="191" t="s">
        <v>58</v>
      </c>
      <c r="C15" s="192"/>
      <c r="D15" s="193">
        <v>12000</v>
      </c>
      <c r="E15" s="194"/>
      <c r="F15" s="191" t="s">
        <v>58</v>
      </c>
      <c r="G15" s="192"/>
      <c r="H15" s="43">
        <v>12000</v>
      </c>
      <c r="I15" s="198"/>
      <c r="J15" s="191" t="s">
        <v>62</v>
      </c>
      <c r="K15" s="189"/>
      <c r="L15" s="41" t="s">
        <v>67</v>
      </c>
      <c r="M15" s="9"/>
      <c r="N15" s="111"/>
      <c r="O15" s="113"/>
      <c r="P15" s="111"/>
      <c r="Q15" s="113"/>
      <c r="R15" s="111"/>
      <c r="S15" s="113"/>
      <c r="T15" s="111"/>
      <c r="U15" s="113"/>
      <c r="V15" s="111"/>
      <c r="W15" s="113"/>
      <c r="X15" s="111"/>
      <c r="Y15" s="112"/>
      <c r="Z15" s="112"/>
    </row>
    <row r="16" spans="1:26" ht="21.75" customHeight="1" x14ac:dyDescent="0.2">
      <c r="A16" s="188"/>
      <c r="B16" s="44" t="s">
        <v>51</v>
      </c>
      <c r="C16" s="44" t="s">
        <v>53</v>
      </c>
      <c r="D16" s="44" t="s">
        <v>54</v>
      </c>
      <c r="E16" s="154"/>
      <c r="F16" s="44" t="s">
        <v>51</v>
      </c>
      <c r="G16" s="44" t="s">
        <v>53</v>
      </c>
      <c r="H16" s="45" t="s">
        <v>54</v>
      </c>
      <c r="I16" s="198"/>
      <c r="J16" s="154" t="s">
        <v>63</v>
      </c>
      <c r="K16" s="154" t="s">
        <v>64</v>
      </c>
      <c r="L16" s="41" t="s">
        <v>68</v>
      </c>
      <c r="M16" s="9"/>
      <c r="N16" s="111"/>
      <c r="O16" s="113"/>
      <c r="P16" s="111"/>
      <c r="Q16" s="113"/>
      <c r="R16" s="111"/>
      <c r="S16" s="113"/>
      <c r="T16" s="111"/>
      <c r="U16" s="113"/>
      <c r="V16" s="111"/>
      <c r="W16" s="113"/>
      <c r="X16" s="111"/>
      <c r="Y16" s="112"/>
      <c r="Z16" s="112"/>
    </row>
    <row r="17" spans="1:26" ht="21.75" customHeight="1" x14ac:dyDescent="0.2">
      <c r="A17" s="189"/>
      <c r="B17" s="46" t="s">
        <v>52</v>
      </c>
      <c r="C17" s="46" t="s">
        <v>51</v>
      </c>
      <c r="D17" s="46" t="s">
        <v>55</v>
      </c>
      <c r="E17" s="190"/>
      <c r="F17" s="46" t="s">
        <v>52</v>
      </c>
      <c r="G17" s="47" t="s">
        <v>51</v>
      </c>
      <c r="H17" s="48" t="s">
        <v>55</v>
      </c>
      <c r="I17" s="199"/>
      <c r="J17" s="155"/>
      <c r="K17" s="155"/>
      <c r="L17" s="41" t="s">
        <v>69</v>
      </c>
      <c r="M17" s="130" t="s">
        <v>92</v>
      </c>
      <c r="N17" s="130"/>
      <c r="O17" s="130"/>
      <c r="P17" s="130"/>
      <c r="Q17" s="130"/>
      <c r="R17" s="130"/>
      <c r="S17" s="130"/>
      <c r="T17" s="130"/>
      <c r="U17" s="130"/>
      <c r="V17" s="130"/>
      <c r="W17" s="130"/>
      <c r="X17" s="130"/>
      <c r="Y17" s="130"/>
      <c r="Z17" s="130"/>
    </row>
    <row r="18" spans="1:26" ht="23.25" customHeight="1" x14ac:dyDescent="0.2">
      <c r="A18" s="49" t="s">
        <v>7</v>
      </c>
      <c r="B18" s="82">
        <v>79.706800000000001</v>
      </c>
      <c r="C18" s="25"/>
      <c r="D18" s="24"/>
      <c r="E18" s="108"/>
      <c r="F18" s="82">
        <v>49.812199999999997</v>
      </c>
      <c r="G18" s="51"/>
      <c r="H18" s="50"/>
      <c r="I18" s="52"/>
      <c r="J18" s="39"/>
      <c r="K18" s="79"/>
      <c r="L18" s="53"/>
      <c r="M18" s="123" t="s">
        <v>79</v>
      </c>
      <c r="N18" s="121" t="s">
        <v>98</v>
      </c>
      <c r="O18" s="121"/>
      <c r="P18" s="121"/>
      <c r="Q18" s="121" t="s">
        <v>107</v>
      </c>
      <c r="R18" s="121"/>
      <c r="S18" s="121"/>
      <c r="T18" s="121" t="s">
        <v>93</v>
      </c>
      <c r="U18" s="121"/>
      <c r="V18" s="121"/>
      <c r="W18" s="124" t="s">
        <v>91</v>
      </c>
      <c r="X18" s="131"/>
      <c r="Y18" s="131"/>
      <c r="Z18" s="131"/>
    </row>
    <row r="19" spans="1:26" ht="23.25" customHeight="1" x14ac:dyDescent="0.2">
      <c r="A19" s="49" t="s">
        <v>8</v>
      </c>
      <c r="B19" s="82">
        <v>79.706800000000001</v>
      </c>
      <c r="C19" s="25">
        <f t="shared" ref="C19:C42" si="0">IF(B19="","",IF(LEN(TRUNC(B18,0))-LEN(TRUNC(B19,0))=0,B19-B18,IF(LEN(TRUNC(B18,0))-LEN(TRUNC(B19,0))&gt;0,VALUE(LEFT(B18,LEN(TRUNC(B18,0))-LEN(TRUNC(B19,0))))*POWER(10,LEN(TRUNC(B19,0)))+B19-B18,B19-B18-VALUE(LEFT(B19,LEN(TRUNC(B19,0))-LEN(TRUNC(B18,0))))*POWER(10,LEN(TRUNC(B18,0))))))</f>
        <v>0</v>
      </c>
      <c r="D19" s="24">
        <f t="shared" ref="D19:D42" si="1">IF(C19="","",C19*$D$15)</f>
        <v>0</v>
      </c>
      <c r="E19" s="108"/>
      <c r="F19" s="82">
        <v>49.812199999999997</v>
      </c>
      <c r="G19" s="51">
        <f>F19-ReportObject4_3</f>
        <v>0</v>
      </c>
      <c r="H19" s="50">
        <f t="shared" ref="H19:H42" si="2">IF(G19="","",G19*$H$15)</f>
        <v>0</v>
      </c>
      <c r="I19" s="52">
        <f t="shared" ref="I19:I42" si="3">IF(H19="","",IF(D19="","",IF(AND(H19=0,D19=0),0,H19/D19)))</f>
        <v>0</v>
      </c>
      <c r="J19" s="83">
        <v>6.2752619999999997</v>
      </c>
      <c r="K19" s="83"/>
      <c r="L19" s="53"/>
      <c r="M19" s="116"/>
      <c r="N19" s="118"/>
      <c r="O19" s="118"/>
      <c r="P19" s="118"/>
      <c r="Q19" s="118" t="s">
        <v>108</v>
      </c>
      <c r="R19" s="118"/>
      <c r="S19" s="118"/>
      <c r="T19" s="118"/>
      <c r="U19" s="118"/>
      <c r="V19" s="118"/>
      <c r="W19" s="125"/>
      <c r="X19" s="122"/>
      <c r="Y19" s="122"/>
      <c r="Z19" s="122"/>
    </row>
    <row r="20" spans="1:26" ht="23.25" customHeight="1" x14ac:dyDescent="0.2">
      <c r="A20" s="49" t="s">
        <v>9</v>
      </c>
      <c r="B20" s="82">
        <v>79.706800000000001</v>
      </c>
      <c r="C20" s="25">
        <f t="shared" si="0"/>
        <v>0</v>
      </c>
      <c r="D20" s="24">
        <f t="shared" si="1"/>
        <v>0</v>
      </c>
      <c r="E20" s="108"/>
      <c r="F20" s="82">
        <v>49.812199999999997</v>
      </c>
      <c r="G20" s="51">
        <f>F20-F19</f>
        <v>0</v>
      </c>
      <c r="H20" s="50">
        <f t="shared" si="2"/>
        <v>0</v>
      </c>
      <c r="I20" s="52">
        <f t="shared" si="3"/>
        <v>0</v>
      </c>
      <c r="J20" s="83">
        <v>6.4158530000000003</v>
      </c>
      <c r="K20" s="83"/>
      <c r="L20" s="53"/>
      <c r="M20" s="116" t="s">
        <v>80</v>
      </c>
      <c r="N20" s="118" t="s">
        <v>99</v>
      </c>
      <c r="O20" s="118"/>
      <c r="P20" s="118"/>
      <c r="Q20" s="118" t="s">
        <v>181</v>
      </c>
      <c r="R20" s="118"/>
      <c r="S20" s="118"/>
      <c r="T20" s="118" t="s">
        <v>94</v>
      </c>
      <c r="U20" s="118"/>
      <c r="V20" s="118"/>
      <c r="W20" s="125"/>
      <c r="X20" s="122"/>
      <c r="Y20" s="122"/>
      <c r="Z20" s="122"/>
    </row>
    <row r="21" spans="1:26" ht="23.25" customHeight="1" x14ac:dyDescent="0.2">
      <c r="A21" s="49" t="s">
        <v>10</v>
      </c>
      <c r="B21" s="82">
        <v>79.706800000000001</v>
      </c>
      <c r="C21" s="25">
        <f t="shared" si="0"/>
        <v>0</v>
      </c>
      <c r="D21" s="24">
        <f t="shared" si="1"/>
        <v>0</v>
      </c>
      <c r="E21" s="108"/>
      <c r="F21" s="82">
        <v>49.812199999999997</v>
      </c>
      <c r="G21" s="51">
        <f t="shared" ref="G21:G42" si="4">F21-F20</f>
        <v>0</v>
      </c>
      <c r="H21" s="50">
        <f t="shared" si="2"/>
        <v>0</v>
      </c>
      <c r="I21" s="52">
        <f t="shared" si="3"/>
        <v>0</v>
      </c>
      <c r="J21" s="83">
        <v>6.3329520000000006</v>
      </c>
      <c r="K21" s="83"/>
      <c r="L21" s="53"/>
      <c r="M21" s="117"/>
      <c r="N21" s="119"/>
      <c r="O21" s="119"/>
      <c r="P21" s="119"/>
      <c r="Q21" s="119"/>
      <c r="R21" s="119"/>
      <c r="S21" s="119"/>
      <c r="T21" s="119"/>
      <c r="U21" s="119"/>
      <c r="V21" s="119"/>
      <c r="W21" s="127"/>
      <c r="X21" s="130"/>
      <c r="Y21" s="130"/>
      <c r="Z21" s="130"/>
    </row>
    <row r="22" spans="1:26" ht="23.25" customHeight="1" x14ac:dyDescent="0.2">
      <c r="A22" s="49" t="s">
        <v>11</v>
      </c>
      <c r="B22" s="82">
        <v>79.706800000000001</v>
      </c>
      <c r="C22" s="25">
        <f t="shared" si="0"/>
        <v>0</v>
      </c>
      <c r="D22" s="24">
        <f t="shared" si="1"/>
        <v>0</v>
      </c>
      <c r="E22" s="108"/>
      <c r="F22" s="82">
        <v>49.812199999999997</v>
      </c>
      <c r="G22" s="51">
        <f t="shared" si="4"/>
        <v>0</v>
      </c>
      <c r="H22" s="50">
        <f t="shared" si="2"/>
        <v>0</v>
      </c>
      <c r="I22" s="52">
        <f t="shared" si="3"/>
        <v>0</v>
      </c>
      <c r="J22" s="83">
        <v>6.4355640000000003</v>
      </c>
      <c r="K22" s="83"/>
      <c r="L22" s="53"/>
      <c r="M22" s="9"/>
      <c r="N22" s="120"/>
      <c r="O22" s="120"/>
      <c r="P22" s="120"/>
      <c r="Q22" s="120"/>
      <c r="R22" s="120"/>
      <c r="S22" s="120"/>
      <c r="T22" s="120"/>
      <c r="U22" s="120"/>
      <c r="V22" s="120"/>
      <c r="W22" s="111"/>
      <c r="X22" s="112"/>
      <c r="Y22" s="112"/>
      <c r="Z22" s="112"/>
    </row>
    <row r="23" spans="1:26" ht="23.25" customHeight="1" x14ac:dyDescent="0.2">
      <c r="A23" s="49" t="s">
        <v>12</v>
      </c>
      <c r="B23" s="82">
        <v>79.706900000000005</v>
      </c>
      <c r="C23" s="25">
        <f t="shared" si="0"/>
        <v>1.0000000000331966E-4</v>
      </c>
      <c r="D23" s="24">
        <f t="shared" si="1"/>
        <v>1.2000000000398359</v>
      </c>
      <c r="E23" s="108"/>
      <c r="F23" s="82">
        <v>49.812199999999997</v>
      </c>
      <c r="G23" s="51">
        <f t="shared" si="4"/>
        <v>0</v>
      </c>
      <c r="H23" s="50">
        <f t="shared" si="2"/>
        <v>0</v>
      </c>
      <c r="I23" s="52">
        <f t="shared" si="3"/>
        <v>0</v>
      </c>
      <c r="J23" s="83">
        <v>6.4431769999999995</v>
      </c>
      <c r="K23" s="83"/>
      <c r="L23" s="53"/>
      <c r="M23" s="9"/>
      <c r="N23" s="120"/>
      <c r="O23" s="120"/>
      <c r="P23" s="120"/>
      <c r="Q23" s="120"/>
      <c r="R23" s="120"/>
      <c r="S23" s="120"/>
      <c r="T23" s="120"/>
      <c r="U23" s="120"/>
      <c r="V23" s="120"/>
      <c r="W23" s="111"/>
      <c r="X23" s="112"/>
      <c r="Y23" s="112"/>
      <c r="Z23" s="112"/>
    </row>
    <row r="24" spans="1:26" ht="23.25" customHeight="1" x14ac:dyDescent="0.2">
      <c r="A24" s="49" t="s">
        <v>13</v>
      </c>
      <c r="B24" s="82">
        <v>79.706900000000005</v>
      </c>
      <c r="C24" s="25">
        <f t="shared" si="0"/>
        <v>0</v>
      </c>
      <c r="D24" s="24">
        <f t="shared" si="1"/>
        <v>0</v>
      </c>
      <c r="E24" s="108"/>
      <c r="F24" s="82">
        <v>49.812199999999997</v>
      </c>
      <c r="G24" s="51">
        <f t="shared" si="4"/>
        <v>0</v>
      </c>
      <c r="H24" s="50">
        <f t="shared" si="2"/>
        <v>0</v>
      </c>
      <c r="I24" s="52">
        <f t="shared" si="3"/>
        <v>0</v>
      </c>
      <c r="J24" s="83">
        <v>6.4358900000000006</v>
      </c>
      <c r="K24" s="83"/>
      <c r="L24" s="53"/>
      <c r="M24" s="9"/>
      <c r="N24" s="120"/>
      <c r="O24" s="120"/>
      <c r="P24" s="120"/>
      <c r="Q24" s="120"/>
      <c r="R24" s="120"/>
      <c r="S24" s="120"/>
      <c r="T24" s="120"/>
      <c r="U24" s="120"/>
      <c r="V24" s="120"/>
      <c r="W24" s="111"/>
      <c r="X24" s="112"/>
      <c r="Y24" s="112"/>
      <c r="Z24" s="112"/>
    </row>
    <row r="25" spans="1:26" ht="23.25" customHeight="1" x14ac:dyDescent="0.2">
      <c r="A25" s="49" t="s">
        <v>14</v>
      </c>
      <c r="B25" s="82">
        <v>79.706900000000005</v>
      </c>
      <c r="C25" s="25">
        <f t="shared" si="0"/>
        <v>0</v>
      </c>
      <c r="D25" s="24">
        <f t="shared" si="1"/>
        <v>0</v>
      </c>
      <c r="E25" s="108"/>
      <c r="F25" s="82">
        <v>49.812199999999997</v>
      </c>
      <c r="G25" s="51">
        <f t="shared" si="4"/>
        <v>0</v>
      </c>
      <c r="H25" s="50">
        <f t="shared" si="2"/>
        <v>0</v>
      </c>
      <c r="I25" s="52">
        <f t="shared" si="3"/>
        <v>0</v>
      </c>
      <c r="J25" s="83">
        <v>6.3013320000000004</v>
      </c>
      <c r="K25" s="83"/>
      <c r="L25" s="53"/>
      <c r="M25" s="9"/>
      <c r="N25" s="120"/>
      <c r="O25" s="120"/>
      <c r="P25" s="120"/>
      <c r="Q25" s="120"/>
      <c r="R25" s="120"/>
      <c r="S25" s="120"/>
      <c r="T25" s="120"/>
      <c r="U25" s="120"/>
      <c r="V25" s="120"/>
      <c r="W25" s="111"/>
      <c r="X25" s="112"/>
      <c r="Y25" s="112"/>
      <c r="Z25" s="112"/>
    </row>
    <row r="26" spans="1:26" ht="23.25" customHeight="1" x14ac:dyDescent="0.2">
      <c r="A26" s="49" t="s">
        <v>15</v>
      </c>
      <c r="B26" s="82">
        <v>79.706900000000005</v>
      </c>
      <c r="C26" s="25">
        <f t="shared" si="0"/>
        <v>0</v>
      </c>
      <c r="D26" s="24">
        <f t="shared" si="1"/>
        <v>0</v>
      </c>
      <c r="E26" s="108"/>
      <c r="F26" s="82">
        <v>49.812199999999997</v>
      </c>
      <c r="G26" s="51">
        <f t="shared" si="4"/>
        <v>0</v>
      </c>
      <c r="H26" s="50">
        <f t="shared" si="2"/>
        <v>0</v>
      </c>
      <c r="I26" s="52">
        <f t="shared" si="3"/>
        <v>0</v>
      </c>
      <c r="J26" s="83">
        <v>6.3835550000000003</v>
      </c>
      <c r="K26" s="83"/>
      <c r="L26" s="53"/>
      <c r="M26" s="9"/>
      <c r="N26" s="120"/>
      <c r="O26" s="120"/>
      <c r="P26" s="120"/>
      <c r="Q26" s="120"/>
      <c r="R26" s="120"/>
      <c r="S26" s="120"/>
      <c r="T26" s="120"/>
      <c r="U26" s="120"/>
      <c r="V26" s="120"/>
      <c r="W26" s="111"/>
      <c r="X26" s="112"/>
      <c r="Y26" s="112"/>
      <c r="Z26" s="112"/>
    </row>
    <row r="27" spans="1:26" ht="23.25" customHeight="1" x14ac:dyDescent="0.2">
      <c r="A27" s="49" t="s">
        <v>16</v>
      </c>
      <c r="B27" s="82">
        <v>79.706900000000005</v>
      </c>
      <c r="C27" s="25">
        <f t="shared" si="0"/>
        <v>0</v>
      </c>
      <c r="D27" s="24">
        <f t="shared" si="1"/>
        <v>0</v>
      </c>
      <c r="E27" s="108"/>
      <c r="F27" s="82">
        <v>49.812199999999997</v>
      </c>
      <c r="G27" s="51">
        <f t="shared" si="4"/>
        <v>0</v>
      </c>
      <c r="H27" s="50">
        <f t="shared" si="2"/>
        <v>0</v>
      </c>
      <c r="I27" s="52">
        <f t="shared" si="3"/>
        <v>0</v>
      </c>
      <c r="J27" s="83">
        <v>6.3139899999999995</v>
      </c>
      <c r="K27" s="83"/>
      <c r="L27" s="53"/>
      <c r="M27" s="9"/>
      <c r="N27" s="120"/>
      <c r="O27" s="120"/>
      <c r="P27" s="120"/>
      <c r="Q27" s="120"/>
      <c r="R27" s="120"/>
      <c r="S27" s="120"/>
      <c r="T27" s="120"/>
      <c r="U27" s="120"/>
      <c r="V27" s="120"/>
      <c r="W27" s="111"/>
      <c r="X27" s="112"/>
      <c r="Y27" s="112"/>
      <c r="Z27" s="112"/>
    </row>
    <row r="28" spans="1:26" ht="23.25" customHeight="1" x14ac:dyDescent="0.2">
      <c r="A28" s="49" t="s">
        <v>17</v>
      </c>
      <c r="B28" s="82">
        <v>79.706900000000005</v>
      </c>
      <c r="C28" s="25">
        <f t="shared" si="0"/>
        <v>0</v>
      </c>
      <c r="D28" s="24">
        <f t="shared" si="1"/>
        <v>0</v>
      </c>
      <c r="E28" s="108"/>
      <c r="F28" s="82">
        <v>49.812199999999997</v>
      </c>
      <c r="G28" s="51">
        <f t="shared" si="4"/>
        <v>0</v>
      </c>
      <c r="H28" s="50">
        <f t="shared" si="2"/>
        <v>0</v>
      </c>
      <c r="I28" s="52">
        <f t="shared" si="3"/>
        <v>0</v>
      </c>
      <c r="J28" s="83">
        <v>6.2872430000000001</v>
      </c>
      <c r="K28" s="83"/>
      <c r="L28" s="53"/>
      <c r="M28" s="9"/>
      <c r="N28" s="120"/>
      <c r="O28" s="120"/>
      <c r="P28" s="120"/>
      <c r="Q28" s="120"/>
      <c r="R28" s="120"/>
      <c r="S28" s="120"/>
      <c r="T28" s="120"/>
      <c r="U28" s="120"/>
      <c r="V28" s="120"/>
      <c r="W28" s="111"/>
      <c r="X28" s="112"/>
      <c r="Y28" s="112"/>
      <c r="Z28" s="112"/>
    </row>
    <row r="29" spans="1:26" ht="23.25" customHeight="1" x14ac:dyDescent="0.2">
      <c r="A29" s="49" t="s">
        <v>18</v>
      </c>
      <c r="B29" s="82">
        <v>79.706900000000005</v>
      </c>
      <c r="C29" s="25">
        <f t="shared" si="0"/>
        <v>0</v>
      </c>
      <c r="D29" s="24">
        <f t="shared" si="1"/>
        <v>0</v>
      </c>
      <c r="E29" s="108"/>
      <c r="F29" s="82">
        <v>49.812199999999997</v>
      </c>
      <c r="G29" s="51">
        <f t="shared" si="4"/>
        <v>0</v>
      </c>
      <c r="H29" s="50">
        <f t="shared" si="2"/>
        <v>0</v>
      </c>
      <c r="I29" s="52">
        <f t="shared" si="3"/>
        <v>0</v>
      </c>
      <c r="J29" s="83">
        <v>6.3209369999999998</v>
      </c>
      <c r="K29" s="83"/>
      <c r="L29" s="53"/>
      <c r="M29" s="145" t="s">
        <v>95</v>
      </c>
      <c r="N29" s="145"/>
      <c r="O29" s="145"/>
      <c r="P29" s="145"/>
      <c r="Q29" s="145"/>
      <c r="R29" s="145"/>
      <c r="S29" s="145"/>
      <c r="T29" s="145"/>
      <c r="U29" s="145"/>
      <c r="V29" s="145"/>
      <c r="W29" s="145"/>
      <c r="X29" s="145"/>
      <c r="Y29" s="145"/>
      <c r="Z29" s="145"/>
    </row>
    <row r="30" spans="1:26" ht="23.25" customHeight="1" x14ac:dyDescent="0.2">
      <c r="A30" s="49" t="s">
        <v>19</v>
      </c>
      <c r="B30" s="82">
        <v>79.706900000000005</v>
      </c>
      <c r="C30" s="25">
        <f t="shared" si="0"/>
        <v>0</v>
      </c>
      <c r="D30" s="24">
        <f t="shared" si="1"/>
        <v>0</v>
      </c>
      <c r="E30" s="108"/>
      <c r="F30" s="82">
        <v>49.812199999999997</v>
      </c>
      <c r="G30" s="51">
        <f t="shared" si="4"/>
        <v>0</v>
      </c>
      <c r="H30" s="50">
        <f t="shared" si="2"/>
        <v>0</v>
      </c>
      <c r="I30" s="52">
        <f t="shared" si="3"/>
        <v>0</v>
      </c>
      <c r="J30" s="83">
        <v>6.3449340000000003</v>
      </c>
      <c r="K30" s="83"/>
      <c r="L30" s="53"/>
      <c r="M30" s="122" t="s">
        <v>97</v>
      </c>
      <c r="N30" s="122"/>
      <c r="O30" s="122"/>
      <c r="P30" s="122"/>
      <c r="Q30" s="122"/>
      <c r="R30" s="122"/>
      <c r="S30" s="122"/>
      <c r="T30" s="122"/>
      <c r="U30" s="122"/>
      <c r="V30" s="122"/>
      <c r="W30" s="122"/>
      <c r="X30" s="122"/>
      <c r="Y30" s="122"/>
      <c r="Z30" s="122"/>
    </row>
    <row r="31" spans="1:26" ht="23.25" customHeight="1" x14ac:dyDescent="0.2">
      <c r="A31" s="49" t="s">
        <v>20</v>
      </c>
      <c r="B31" s="82">
        <v>79.706900000000005</v>
      </c>
      <c r="C31" s="25">
        <f t="shared" si="0"/>
        <v>0</v>
      </c>
      <c r="D31" s="24">
        <f t="shared" si="1"/>
        <v>0</v>
      </c>
      <c r="E31" s="108"/>
      <c r="F31" s="82">
        <v>49.812199999999997</v>
      </c>
      <c r="G31" s="51">
        <f t="shared" si="4"/>
        <v>0</v>
      </c>
      <c r="H31" s="50">
        <f t="shared" si="2"/>
        <v>0</v>
      </c>
      <c r="I31" s="52">
        <f t="shared" si="3"/>
        <v>0</v>
      </c>
      <c r="J31" s="83">
        <v>6.3737180000000002</v>
      </c>
      <c r="K31" s="83"/>
      <c r="L31" s="53"/>
      <c r="M31" s="123" t="s">
        <v>79</v>
      </c>
      <c r="N31" s="121" t="s">
        <v>98</v>
      </c>
      <c r="O31" s="121"/>
      <c r="P31" s="121" t="s">
        <v>100</v>
      </c>
      <c r="Q31" s="121"/>
      <c r="R31" s="121" t="s">
        <v>93</v>
      </c>
      <c r="S31" s="121"/>
      <c r="T31" s="121" t="s">
        <v>103</v>
      </c>
      <c r="U31" s="121"/>
      <c r="V31" s="121" t="s">
        <v>179</v>
      </c>
      <c r="W31" s="121"/>
      <c r="X31" s="121"/>
      <c r="Y31" s="121" t="s">
        <v>91</v>
      </c>
      <c r="Z31" s="124"/>
    </row>
    <row r="32" spans="1:26" ht="23.25" customHeight="1" x14ac:dyDescent="0.2">
      <c r="A32" s="49" t="s">
        <v>21</v>
      </c>
      <c r="B32" s="82">
        <v>79.706900000000005</v>
      </c>
      <c r="C32" s="25">
        <f t="shared" si="0"/>
        <v>0</v>
      </c>
      <c r="D32" s="24">
        <f t="shared" si="1"/>
        <v>0</v>
      </c>
      <c r="E32" s="108"/>
      <c r="F32" s="82">
        <v>49.812199999999997</v>
      </c>
      <c r="G32" s="51">
        <f t="shared" si="4"/>
        <v>0</v>
      </c>
      <c r="H32" s="50">
        <f t="shared" si="2"/>
        <v>0</v>
      </c>
      <c r="I32" s="52">
        <f t="shared" si="3"/>
        <v>0</v>
      </c>
      <c r="J32" s="83">
        <v>6.3469440000000006</v>
      </c>
      <c r="K32" s="83"/>
      <c r="L32" s="53"/>
      <c r="M32" s="116"/>
      <c r="N32" s="118"/>
      <c r="O32" s="118"/>
      <c r="P32" s="118" t="s">
        <v>83</v>
      </c>
      <c r="Q32" s="118"/>
      <c r="R32" s="118" t="s">
        <v>102</v>
      </c>
      <c r="S32" s="118"/>
      <c r="T32" s="118" t="s">
        <v>104</v>
      </c>
      <c r="U32" s="118"/>
      <c r="V32" s="118" t="s">
        <v>105</v>
      </c>
      <c r="W32" s="118"/>
      <c r="X32" s="118"/>
      <c r="Y32" s="118"/>
      <c r="Z32" s="125"/>
    </row>
    <row r="33" spans="1:26" ht="23.25" customHeight="1" x14ac:dyDescent="0.2">
      <c r="A33" s="49" t="s">
        <v>22</v>
      </c>
      <c r="B33" s="82">
        <v>79.706900000000005</v>
      </c>
      <c r="C33" s="25">
        <f t="shared" si="0"/>
        <v>0</v>
      </c>
      <c r="D33" s="24">
        <f t="shared" si="1"/>
        <v>0</v>
      </c>
      <c r="E33" s="108"/>
      <c r="F33" s="82">
        <v>49.812199999999997</v>
      </c>
      <c r="G33" s="51">
        <f t="shared" si="4"/>
        <v>0</v>
      </c>
      <c r="H33" s="50">
        <f t="shared" si="2"/>
        <v>0</v>
      </c>
      <c r="I33" s="52">
        <f t="shared" si="3"/>
        <v>0</v>
      </c>
      <c r="J33" s="83">
        <v>6.2324570000000001</v>
      </c>
      <c r="K33" s="83"/>
      <c r="L33" s="53"/>
      <c r="M33" s="116" t="s">
        <v>80</v>
      </c>
      <c r="N33" s="118" t="s">
        <v>99</v>
      </c>
      <c r="O33" s="118"/>
      <c r="P33" s="118" t="s">
        <v>101</v>
      </c>
      <c r="Q33" s="118"/>
      <c r="R33" s="118" t="s">
        <v>69</v>
      </c>
      <c r="S33" s="118"/>
      <c r="T33" s="118" t="s">
        <v>69</v>
      </c>
      <c r="U33" s="118"/>
      <c r="V33" s="118" t="s">
        <v>106</v>
      </c>
      <c r="W33" s="118"/>
      <c r="X33" s="118"/>
      <c r="Y33" s="118"/>
      <c r="Z33" s="125"/>
    </row>
    <row r="34" spans="1:26" ht="23.25" customHeight="1" x14ac:dyDescent="0.2">
      <c r="A34" s="49" t="s">
        <v>23</v>
      </c>
      <c r="B34" s="82">
        <v>79.706900000000005</v>
      </c>
      <c r="C34" s="25">
        <f t="shared" si="0"/>
        <v>0</v>
      </c>
      <c r="D34" s="24">
        <f t="shared" si="1"/>
        <v>0</v>
      </c>
      <c r="E34" s="108"/>
      <c r="F34" s="82">
        <v>49.812199999999997</v>
      </c>
      <c r="G34" s="51">
        <f t="shared" si="4"/>
        <v>0</v>
      </c>
      <c r="H34" s="50">
        <f t="shared" si="2"/>
        <v>0</v>
      </c>
      <c r="I34" s="52">
        <f t="shared" si="3"/>
        <v>0</v>
      </c>
      <c r="J34" s="83">
        <v>6.3555829999999993</v>
      </c>
      <c r="K34" s="83"/>
      <c r="L34" s="53"/>
      <c r="M34" s="117"/>
      <c r="N34" s="119"/>
      <c r="O34" s="119"/>
      <c r="P34" s="119"/>
      <c r="Q34" s="119"/>
      <c r="R34" s="127"/>
      <c r="S34" s="117"/>
      <c r="T34" s="127"/>
      <c r="U34" s="117"/>
      <c r="V34" s="127"/>
      <c r="W34" s="130"/>
      <c r="X34" s="117"/>
      <c r="Y34" s="119"/>
      <c r="Z34" s="127"/>
    </row>
    <row r="35" spans="1:26" ht="23.25" customHeight="1" x14ac:dyDescent="0.2">
      <c r="A35" s="49" t="s">
        <v>24</v>
      </c>
      <c r="B35" s="82">
        <v>79.706900000000005</v>
      </c>
      <c r="C35" s="25">
        <f t="shared" si="0"/>
        <v>0</v>
      </c>
      <c r="D35" s="24">
        <f t="shared" si="1"/>
        <v>0</v>
      </c>
      <c r="E35" s="108"/>
      <c r="F35" s="82">
        <v>49.812199999999997</v>
      </c>
      <c r="G35" s="51">
        <f t="shared" si="4"/>
        <v>0</v>
      </c>
      <c r="H35" s="50">
        <f t="shared" si="2"/>
        <v>0</v>
      </c>
      <c r="I35" s="52">
        <f t="shared" si="3"/>
        <v>0</v>
      </c>
      <c r="J35" s="83">
        <v>6.2777330000000005</v>
      </c>
      <c r="K35" s="83"/>
      <c r="L35" s="53"/>
      <c r="M35" s="9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11"/>
    </row>
    <row r="36" spans="1:26" ht="23.25" customHeight="1" x14ac:dyDescent="0.2">
      <c r="A36" s="49" t="s">
        <v>25</v>
      </c>
      <c r="B36" s="82">
        <v>79.706900000000005</v>
      </c>
      <c r="C36" s="25">
        <f t="shared" si="0"/>
        <v>0</v>
      </c>
      <c r="D36" s="24">
        <f t="shared" si="1"/>
        <v>0</v>
      </c>
      <c r="E36" s="108"/>
      <c r="F36" s="82">
        <v>49.812199999999997</v>
      </c>
      <c r="G36" s="51">
        <f t="shared" si="4"/>
        <v>0</v>
      </c>
      <c r="H36" s="50">
        <f t="shared" si="2"/>
        <v>0</v>
      </c>
      <c r="I36" s="52">
        <f t="shared" si="3"/>
        <v>0</v>
      </c>
      <c r="J36" s="83">
        <v>6.3429009999999995</v>
      </c>
      <c r="K36" s="83"/>
      <c r="L36" s="53"/>
      <c r="M36" s="9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11"/>
    </row>
    <row r="37" spans="1:26" ht="23.25" customHeight="1" x14ac:dyDescent="0.2">
      <c r="A37" s="49" t="s">
        <v>26</v>
      </c>
      <c r="B37" s="82">
        <v>79.706900000000005</v>
      </c>
      <c r="C37" s="25">
        <f t="shared" si="0"/>
        <v>0</v>
      </c>
      <c r="D37" s="24">
        <f t="shared" si="1"/>
        <v>0</v>
      </c>
      <c r="E37" s="108"/>
      <c r="F37" s="82">
        <v>49.812199999999997</v>
      </c>
      <c r="G37" s="51">
        <f t="shared" si="4"/>
        <v>0</v>
      </c>
      <c r="H37" s="50">
        <f t="shared" si="2"/>
        <v>0</v>
      </c>
      <c r="I37" s="52">
        <f t="shared" si="3"/>
        <v>0</v>
      </c>
      <c r="J37" s="83">
        <v>6.2913540000000001</v>
      </c>
      <c r="K37" s="83"/>
      <c r="L37" s="53"/>
      <c r="M37" s="9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11"/>
    </row>
    <row r="38" spans="1:26" ht="23.25" customHeight="1" x14ac:dyDescent="0.2">
      <c r="A38" s="49" t="s">
        <v>27</v>
      </c>
      <c r="B38" s="82">
        <v>79.706999999999994</v>
      </c>
      <c r="C38" s="25">
        <f t="shared" si="0"/>
        <v>9.9999999989108801E-5</v>
      </c>
      <c r="D38" s="24">
        <f t="shared" si="1"/>
        <v>1.1999999998693056</v>
      </c>
      <c r="E38" s="108"/>
      <c r="F38" s="82">
        <v>49.812199999999997</v>
      </c>
      <c r="G38" s="51">
        <f t="shared" si="4"/>
        <v>0</v>
      </c>
      <c r="H38" s="50">
        <f t="shared" si="2"/>
        <v>0</v>
      </c>
      <c r="I38" s="52">
        <f t="shared" si="3"/>
        <v>0</v>
      </c>
      <c r="J38" s="83">
        <v>6.3212409999999997</v>
      </c>
      <c r="K38" s="83"/>
      <c r="L38" s="53"/>
      <c r="M38" s="9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11"/>
    </row>
    <row r="39" spans="1:26" ht="23.25" customHeight="1" x14ac:dyDescent="0.2">
      <c r="A39" s="49" t="s">
        <v>28</v>
      </c>
      <c r="B39" s="82">
        <v>79.706999999999994</v>
      </c>
      <c r="C39" s="25">
        <f t="shared" si="0"/>
        <v>0</v>
      </c>
      <c r="D39" s="24">
        <f t="shared" si="1"/>
        <v>0</v>
      </c>
      <c r="E39" s="108"/>
      <c r="F39" s="82">
        <v>49.812199999999997</v>
      </c>
      <c r="G39" s="51">
        <f t="shared" si="4"/>
        <v>0</v>
      </c>
      <c r="H39" s="50">
        <f t="shared" si="2"/>
        <v>0</v>
      </c>
      <c r="I39" s="52">
        <f t="shared" si="3"/>
        <v>0</v>
      </c>
      <c r="J39" s="83">
        <v>6.3442340000000002</v>
      </c>
      <c r="K39" s="83"/>
      <c r="L39" s="53"/>
      <c r="M39" s="9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11"/>
    </row>
    <row r="40" spans="1:26" ht="23.25" customHeight="1" x14ac:dyDescent="0.2">
      <c r="A40" s="49" t="s">
        <v>29</v>
      </c>
      <c r="B40" s="82">
        <v>79.706999999999994</v>
      </c>
      <c r="C40" s="25">
        <f t="shared" si="0"/>
        <v>0</v>
      </c>
      <c r="D40" s="24">
        <f t="shared" si="1"/>
        <v>0</v>
      </c>
      <c r="E40" s="108"/>
      <c r="F40" s="82">
        <v>49.812199999999997</v>
      </c>
      <c r="G40" s="51">
        <f t="shared" si="4"/>
        <v>0</v>
      </c>
      <c r="H40" s="50">
        <f t="shared" si="2"/>
        <v>0</v>
      </c>
      <c r="I40" s="52">
        <f t="shared" si="3"/>
        <v>0</v>
      </c>
      <c r="J40" s="83">
        <v>6.3640060000000007</v>
      </c>
      <c r="K40" s="83"/>
      <c r="L40" s="53"/>
      <c r="M40" s="122" t="s">
        <v>109</v>
      </c>
      <c r="N40" s="122"/>
      <c r="O40" s="122"/>
      <c r="P40" s="122"/>
      <c r="Q40" s="122"/>
      <c r="R40" s="122"/>
      <c r="S40" s="122"/>
      <c r="T40" s="122"/>
      <c r="U40" s="122"/>
      <c r="V40" s="122"/>
      <c r="W40" s="122"/>
      <c r="X40" s="122"/>
      <c r="Y40" s="122"/>
      <c r="Z40" s="122"/>
    </row>
    <row r="41" spans="1:26" ht="23.25" customHeight="1" x14ac:dyDescent="0.2">
      <c r="A41" s="49" t="s">
        <v>30</v>
      </c>
      <c r="B41" s="82">
        <v>79.706999999999994</v>
      </c>
      <c r="C41" s="25">
        <f t="shared" si="0"/>
        <v>0</v>
      </c>
      <c r="D41" s="24">
        <f t="shared" si="1"/>
        <v>0</v>
      </c>
      <c r="E41" s="108"/>
      <c r="F41" s="82">
        <v>49.812199999999997</v>
      </c>
      <c r="G41" s="51">
        <f t="shared" si="4"/>
        <v>0</v>
      </c>
      <c r="H41" s="50">
        <f t="shared" si="2"/>
        <v>0</v>
      </c>
      <c r="I41" s="52">
        <f t="shared" si="3"/>
        <v>0</v>
      </c>
      <c r="J41" s="83">
        <v>6.4005159999999997</v>
      </c>
      <c r="K41" s="83"/>
      <c r="L41" s="53"/>
      <c r="M41" s="123" t="s">
        <v>79</v>
      </c>
      <c r="N41" s="121" t="s">
        <v>98</v>
      </c>
      <c r="O41" s="121"/>
      <c r="P41" s="121" t="s">
        <v>93</v>
      </c>
      <c r="Q41" s="121"/>
      <c r="R41" s="121"/>
      <c r="S41" s="121" t="s">
        <v>111</v>
      </c>
      <c r="T41" s="121" t="s">
        <v>81</v>
      </c>
      <c r="U41" s="121"/>
      <c r="V41" s="121"/>
      <c r="W41" s="121"/>
      <c r="X41" s="121" t="s">
        <v>93</v>
      </c>
      <c r="Y41" s="121"/>
      <c r="Z41" s="124"/>
    </row>
    <row r="42" spans="1:26" ht="23.25" customHeight="1" x14ac:dyDescent="0.2">
      <c r="A42" s="49" t="s">
        <v>31</v>
      </c>
      <c r="B42" s="82">
        <v>79.706999999999994</v>
      </c>
      <c r="C42" s="25">
        <f t="shared" si="0"/>
        <v>0</v>
      </c>
      <c r="D42" s="24">
        <f t="shared" si="1"/>
        <v>0</v>
      </c>
      <c r="E42" s="108"/>
      <c r="F42" s="82">
        <v>49.812199999999997</v>
      </c>
      <c r="G42" s="51">
        <f t="shared" si="4"/>
        <v>0</v>
      </c>
      <c r="H42" s="50">
        <f t="shared" si="2"/>
        <v>0</v>
      </c>
      <c r="I42" s="52">
        <f t="shared" si="3"/>
        <v>0</v>
      </c>
      <c r="J42" s="83">
        <v>6.4120460000000001</v>
      </c>
      <c r="K42" s="83"/>
      <c r="L42" s="53"/>
      <c r="M42" s="116"/>
      <c r="N42" s="118"/>
      <c r="O42" s="118"/>
      <c r="P42" s="118"/>
      <c r="Q42" s="118"/>
      <c r="R42" s="118"/>
      <c r="S42" s="118"/>
      <c r="T42" s="118"/>
      <c r="U42" s="118"/>
      <c r="V42" s="118"/>
      <c r="W42" s="118"/>
      <c r="X42" s="118"/>
      <c r="Y42" s="118"/>
      <c r="Z42" s="125"/>
    </row>
    <row r="43" spans="1:26" ht="22.5" customHeight="1" x14ac:dyDescent="0.2">
      <c r="A43" s="184" t="s">
        <v>70</v>
      </c>
      <c r="B43" s="184"/>
      <c r="C43" s="184"/>
      <c r="D43" s="50">
        <f>SUM(D18:D42)</f>
        <v>2.3999999999091415</v>
      </c>
      <c r="E43" s="39"/>
      <c r="F43" s="54"/>
      <c r="G43" s="39"/>
      <c r="H43" s="39">
        <f>SUM(H18:H42)</f>
        <v>0</v>
      </c>
      <c r="I43" s="52">
        <f>IF(AND(H43=0,D43=0),0,H43/D43)</f>
        <v>0</v>
      </c>
      <c r="J43" s="39"/>
      <c r="K43" s="39"/>
      <c r="L43" s="53"/>
      <c r="M43" s="116" t="s">
        <v>80</v>
      </c>
      <c r="N43" s="118" t="s">
        <v>99</v>
      </c>
      <c r="O43" s="118"/>
      <c r="P43" s="118" t="s">
        <v>110</v>
      </c>
      <c r="Q43" s="118"/>
      <c r="R43" s="118"/>
      <c r="S43" s="118"/>
      <c r="T43" s="118"/>
      <c r="U43" s="118"/>
      <c r="V43" s="118"/>
      <c r="W43" s="118"/>
      <c r="X43" s="118" t="s">
        <v>110</v>
      </c>
      <c r="Y43" s="118"/>
      <c r="Z43" s="125"/>
    </row>
    <row r="44" spans="1:26" ht="22.5" customHeight="1" x14ac:dyDescent="0.2">
      <c r="A44" s="183" t="s">
        <v>71</v>
      </c>
      <c r="B44" s="183"/>
      <c r="C44" s="183"/>
      <c r="D44" s="39"/>
      <c r="E44" s="39"/>
      <c r="F44" s="54"/>
      <c r="G44" s="39"/>
      <c r="H44" s="39"/>
      <c r="I44" s="39"/>
      <c r="J44" s="39"/>
      <c r="K44" s="39"/>
      <c r="L44" s="53"/>
      <c r="M44" s="117"/>
      <c r="N44" s="119"/>
      <c r="O44" s="119"/>
      <c r="P44" s="119"/>
      <c r="Q44" s="119"/>
      <c r="R44" s="119"/>
      <c r="S44" s="119"/>
      <c r="T44" s="119"/>
      <c r="U44" s="119"/>
      <c r="V44" s="119"/>
      <c r="W44" s="119"/>
      <c r="X44" s="119"/>
      <c r="Y44" s="119"/>
      <c r="Z44" s="127"/>
    </row>
    <row r="45" spans="1:26" ht="22.5" customHeight="1" x14ac:dyDescent="0.2">
      <c r="A45" s="55"/>
      <c r="B45" s="56"/>
      <c r="C45" s="56"/>
      <c r="D45" s="56"/>
      <c r="E45" s="56"/>
      <c r="F45" s="56"/>
      <c r="G45" s="56"/>
      <c r="H45" s="56"/>
      <c r="I45" s="56"/>
      <c r="J45" s="57"/>
      <c r="K45" s="57"/>
      <c r="L45" s="57"/>
      <c r="M45" s="9"/>
      <c r="N45" s="111"/>
      <c r="O45" s="113"/>
      <c r="P45" s="111"/>
      <c r="Q45" s="112"/>
      <c r="R45" s="113"/>
      <c r="S45" s="7"/>
      <c r="T45" s="111"/>
      <c r="U45" s="112"/>
      <c r="V45" s="112"/>
      <c r="W45" s="113"/>
      <c r="X45" s="111"/>
      <c r="Y45" s="112"/>
      <c r="Z45" s="112"/>
    </row>
    <row r="46" spans="1:26" ht="22.5" customHeight="1" x14ac:dyDescent="0.2">
      <c r="A46" s="182" t="s">
        <v>72</v>
      </c>
      <c r="B46" s="182"/>
      <c r="C46" s="182"/>
      <c r="D46" s="182"/>
      <c r="E46" s="182"/>
      <c r="F46" s="182"/>
      <c r="G46" s="204" t="s">
        <v>73</v>
      </c>
      <c r="H46" s="204"/>
      <c r="I46" s="204"/>
      <c r="J46" s="204"/>
      <c r="K46" s="204"/>
      <c r="L46" s="204"/>
      <c r="M46" s="9"/>
      <c r="N46" s="111"/>
      <c r="O46" s="113"/>
      <c r="P46" s="111"/>
      <c r="Q46" s="112"/>
      <c r="R46" s="113"/>
      <c r="S46" s="7"/>
      <c r="T46" s="111"/>
      <c r="U46" s="112"/>
      <c r="V46" s="112"/>
      <c r="W46" s="113"/>
      <c r="X46" s="111"/>
      <c r="Y46" s="112"/>
      <c r="Z46" s="112"/>
    </row>
    <row r="47" spans="1:26" ht="22.5" customHeight="1" x14ac:dyDescent="0.2">
      <c r="A47" s="144" t="s">
        <v>365</v>
      </c>
      <c r="B47" s="144"/>
      <c r="C47" s="144"/>
      <c r="D47" s="135" t="s">
        <v>74</v>
      </c>
      <c r="E47" s="135"/>
      <c r="F47" s="135"/>
      <c r="G47" s="56"/>
      <c r="H47" s="56"/>
      <c r="I47" s="56"/>
      <c r="J47" s="56"/>
      <c r="K47" s="56"/>
      <c r="L47" s="56"/>
      <c r="M47" s="9"/>
      <c r="N47" s="111"/>
      <c r="O47" s="113"/>
      <c r="P47" s="111"/>
      <c r="Q47" s="112"/>
      <c r="R47" s="113"/>
      <c r="S47" s="7"/>
      <c r="T47" s="111"/>
      <c r="U47" s="112"/>
      <c r="V47" s="112"/>
      <c r="W47" s="113"/>
      <c r="X47" s="111"/>
      <c r="Y47" s="112"/>
      <c r="Z47" s="112"/>
    </row>
    <row r="48" spans="1:26" ht="22.5" customHeight="1" x14ac:dyDescent="0.2">
      <c r="A48" s="175" t="s">
        <v>75</v>
      </c>
      <c r="B48" s="175"/>
      <c r="C48" s="175"/>
      <c r="D48" s="174" t="s">
        <v>76</v>
      </c>
      <c r="E48" s="174"/>
      <c r="F48" s="174"/>
      <c r="G48" s="55"/>
      <c r="H48" s="55"/>
      <c r="I48" s="55"/>
      <c r="J48" s="55"/>
      <c r="K48" s="55"/>
      <c r="L48" s="55"/>
    </row>
    <row r="49" spans="1:23" ht="22.5" customHeight="1" x14ac:dyDescent="0.2">
      <c r="A49" s="144" t="s">
        <v>366</v>
      </c>
      <c r="B49" s="144"/>
      <c r="C49" s="144"/>
      <c r="D49" s="135" t="s">
        <v>74</v>
      </c>
      <c r="E49" s="135"/>
      <c r="F49" s="135"/>
      <c r="G49" s="55"/>
      <c r="H49" s="182" t="s">
        <v>183</v>
      </c>
      <c r="I49" s="182"/>
      <c r="J49" s="182"/>
      <c r="K49" s="182" t="s">
        <v>77</v>
      </c>
      <c r="L49" s="182"/>
      <c r="N49" s="177" t="s">
        <v>150</v>
      </c>
      <c r="O49" s="177"/>
      <c r="P49" s="177"/>
      <c r="Q49" s="176" t="s">
        <v>364</v>
      </c>
      <c r="R49" s="176"/>
      <c r="S49" s="176"/>
      <c r="T49" s="176"/>
      <c r="U49" s="176"/>
      <c r="V49" s="176"/>
      <c r="W49" s="1"/>
    </row>
    <row r="50" spans="1:23" ht="22.5" customHeight="1" x14ac:dyDescent="0.2">
      <c r="A50" s="175" t="s">
        <v>75</v>
      </c>
      <c r="B50" s="175"/>
      <c r="C50" s="175"/>
      <c r="D50" s="174" t="s">
        <v>76</v>
      </c>
      <c r="E50" s="174"/>
      <c r="F50" s="174"/>
      <c r="G50" s="58"/>
      <c r="H50" s="175" t="s">
        <v>75</v>
      </c>
      <c r="I50" s="175"/>
      <c r="J50" s="175"/>
      <c r="K50" s="175" t="s">
        <v>76</v>
      </c>
      <c r="L50" s="175"/>
      <c r="S50" s="173" t="s">
        <v>76</v>
      </c>
      <c r="T50" s="173"/>
    </row>
    <row r="51" spans="1:23" ht="20.100000000000001" customHeight="1" x14ac:dyDescent="0.2">
      <c r="A51" s="144" t="s">
        <v>367</v>
      </c>
      <c r="B51" s="144"/>
      <c r="C51" s="144"/>
      <c r="D51" s="135" t="s">
        <v>74</v>
      </c>
      <c r="E51" s="135"/>
      <c r="F51" s="135"/>
      <c r="G51" s="55"/>
      <c r="H51" s="55"/>
      <c r="I51" s="55"/>
      <c r="J51" s="55"/>
      <c r="K51" s="55"/>
      <c r="L51" s="55"/>
    </row>
    <row r="52" spans="1:23" ht="20.100000000000001" customHeight="1" x14ac:dyDescent="0.2">
      <c r="A52" s="174" t="s">
        <v>75</v>
      </c>
      <c r="B52" s="174"/>
      <c r="C52" s="174"/>
      <c r="D52" s="173" t="s">
        <v>76</v>
      </c>
      <c r="E52" s="173"/>
      <c r="F52" s="173"/>
      <c r="G52" s="59"/>
      <c r="H52" s="59"/>
      <c r="I52" s="55"/>
      <c r="J52" s="55"/>
      <c r="K52" s="55"/>
      <c r="L52" s="55"/>
    </row>
    <row r="53" spans="1:23" x14ac:dyDescent="0.2">
      <c r="A53" s="55"/>
      <c r="B53" s="55"/>
      <c r="C53" s="55"/>
      <c r="D53" s="55"/>
      <c r="E53" s="55"/>
      <c r="F53" s="55"/>
      <c r="G53" s="55"/>
      <c r="H53" s="55"/>
      <c r="I53" s="55"/>
      <c r="J53" s="55"/>
      <c r="K53" s="55"/>
      <c r="L53" s="55"/>
    </row>
  </sheetData>
  <sheetProtection sheet="1" objects="1" scenarios="1"/>
  <mergeCells count="258">
    <mergeCell ref="A52:C52"/>
    <mergeCell ref="D52:F52"/>
    <mergeCell ref="I1:L2"/>
    <mergeCell ref="G5:H6"/>
    <mergeCell ref="I5:L6"/>
    <mergeCell ref="H10:L10"/>
    <mergeCell ref="F15:G15"/>
    <mergeCell ref="H50:J50"/>
    <mergeCell ref="K50:L50"/>
    <mergeCell ref="D49:F49"/>
    <mergeCell ref="A7:L7"/>
    <mergeCell ref="I11:L11"/>
    <mergeCell ref="A8:L8"/>
    <mergeCell ref="A1:F1"/>
    <mergeCell ref="A2:F2"/>
    <mergeCell ref="A3:F3"/>
    <mergeCell ref="A4:F4"/>
    <mergeCell ref="A5:F5"/>
    <mergeCell ref="A6:F6"/>
    <mergeCell ref="A9:L9"/>
    <mergeCell ref="G3:H4"/>
    <mergeCell ref="I3:L4"/>
    <mergeCell ref="A11:D11"/>
    <mergeCell ref="E11:H11"/>
    <mergeCell ref="N49:P49"/>
    <mergeCell ref="P45:R45"/>
    <mergeCell ref="A51:C51"/>
    <mergeCell ref="D51:F51"/>
    <mergeCell ref="N46:O46"/>
    <mergeCell ref="N47:O47"/>
    <mergeCell ref="T45:W45"/>
    <mergeCell ref="T46:W46"/>
    <mergeCell ref="H49:J49"/>
    <mergeCell ref="K49:L49"/>
    <mergeCell ref="A48:C48"/>
    <mergeCell ref="A49:C49"/>
    <mergeCell ref="A50:C50"/>
    <mergeCell ref="D50:F50"/>
    <mergeCell ref="D48:F48"/>
    <mergeCell ref="A47:C47"/>
    <mergeCell ref="D47:F47"/>
    <mergeCell ref="G46:L46"/>
    <mergeCell ref="X45:Z45"/>
    <mergeCell ref="X46:Z46"/>
    <mergeCell ref="X47:Z47"/>
    <mergeCell ref="S50:T50"/>
    <mergeCell ref="N39:O39"/>
    <mergeCell ref="P39:Q39"/>
    <mergeCell ref="N41:O42"/>
    <mergeCell ref="P41:R42"/>
    <mergeCell ref="M40:Z40"/>
    <mergeCell ref="M43:M44"/>
    <mergeCell ref="T47:W47"/>
    <mergeCell ref="N43:O44"/>
    <mergeCell ref="P43:R44"/>
    <mergeCell ref="P46:R46"/>
    <mergeCell ref="P47:R47"/>
    <mergeCell ref="N45:O45"/>
    <mergeCell ref="R39:S39"/>
    <mergeCell ref="T39:U39"/>
    <mergeCell ref="V39:X39"/>
    <mergeCell ref="Y39:Z39"/>
    <mergeCell ref="S41:S44"/>
    <mergeCell ref="T41:W44"/>
    <mergeCell ref="M41:M42"/>
    <mergeCell ref="Q49:V49"/>
    <mergeCell ref="V37:X37"/>
    <mergeCell ref="Y37:Z37"/>
    <mergeCell ref="V38:X38"/>
    <mergeCell ref="Y38:Z38"/>
    <mergeCell ref="X41:Z42"/>
    <mergeCell ref="X43:Z44"/>
    <mergeCell ref="N37:O37"/>
    <mergeCell ref="P37:Q37"/>
    <mergeCell ref="R37:S37"/>
    <mergeCell ref="T37:U37"/>
    <mergeCell ref="N38:O38"/>
    <mergeCell ref="P38:Q38"/>
    <mergeCell ref="R38:S38"/>
    <mergeCell ref="T38:U38"/>
    <mergeCell ref="V13:W13"/>
    <mergeCell ref="T11:U11"/>
    <mergeCell ref="T12:U12"/>
    <mergeCell ref="T13:U13"/>
    <mergeCell ref="T27:V27"/>
    <mergeCell ref="W27:Z27"/>
    <mergeCell ref="T25:V25"/>
    <mergeCell ref="Y35:Z35"/>
    <mergeCell ref="N36:O36"/>
    <mergeCell ref="P36:Q36"/>
    <mergeCell ref="R36:S36"/>
    <mergeCell ref="T36:U36"/>
    <mergeCell ref="V36:X36"/>
    <mergeCell ref="Y36:Z36"/>
    <mergeCell ref="R34:S34"/>
    <mergeCell ref="T34:U34"/>
    <mergeCell ref="V34:X34"/>
    <mergeCell ref="N35:O35"/>
    <mergeCell ref="P35:Q35"/>
    <mergeCell ref="R35:S35"/>
    <mergeCell ref="T35:U35"/>
    <mergeCell ref="V35:X35"/>
    <mergeCell ref="T23:V23"/>
    <mergeCell ref="Q26:S26"/>
    <mergeCell ref="T26:V26"/>
    <mergeCell ref="N24:P24"/>
    <mergeCell ref="Q24:S24"/>
    <mergeCell ref="T28:V28"/>
    <mergeCell ref="W28:Z28"/>
    <mergeCell ref="T24:V24"/>
    <mergeCell ref="X9:Z9"/>
    <mergeCell ref="X10:Z10"/>
    <mergeCell ref="X11:Z11"/>
    <mergeCell ref="X12:Z12"/>
    <mergeCell ref="X13:Z13"/>
    <mergeCell ref="X14:Z14"/>
    <mergeCell ref="X15:Z15"/>
    <mergeCell ref="X16:Z16"/>
    <mergeCell ref="W26:Z26"/>
    <mergeCell ref="W23:Z23"/>
    <mergeCell ref="W24:Z24"/>
    <mergeCell ref="W25:Z25"/>
    <mergeCell ref="T18:V19"/>
    <mergeCell ref="V14:W14"/>
    <mergeCell ref="V11:W11"/>
    <mergeCell ref="V12:W12"/>
    <mergeCell ref="N14:O14"/>
    <mergeCell ref="N15:O15"/>
    <mergeCell ref="N31:O32"/>
    <mergeCell ref="N33:O34"/>
    <mergeCell ref="P31:Q31"/>
    <mergeCell ref="P32:Q32"/>
    <mergeCell ref="P33:Q33"/>
    <mergeCell ref="P34:Q34"/>
    <mergeCell ref="N28:P28"/>
    <mergeCell ref="Q28:S28"/>
    <mergeCell ref="N23:P23"/>
    <mergeCell ref="N27:P27"/>
    <mergeCell ref="Q27:S27"/>
    <mergeCell ref="N26:P26"/>
    <mergeCell ref="N25:P25"/>
    <mergeCell ref="Q25:S25"/>
    <mergeCell ref="Q23:S23"/>
    <mergeCell ref="M31:M32"/>
    <mergeCell ref="T33:U33"/>
    <mergeCell ref="R31:S31"/>
    <mergeCell ref="R32:S32"/>
    <mergeCell ref="Q19:S19"/>
    <mergeCell ref="Q20:S20"/>
    <mergeCell ref="R16:S16"/>
    <mergeCell ref="V15:W15"/>
    <mergeCell ref="V16:W16"/>
    <mergeCell ref="T16:U16"/>
    <mergeCell ref="P16:Q16"/>
    <mergeCell ref="M17:Z17"/>
    <mergeCell ref="W18:Z21"/>
    <mergeCell ref="N18:P19"/>
    <mergeCell ref="W22:Z22"/>
    <mergeCell ref="T20:V21"/>
    <mergeCell ref="Q21:S21"/>
    <mergeCell ref="N22:P22"/>
    <mergeCell ref="M18:M19"/>
    <mergeCell ref="M20:M21"/>
    <mergeCell ref="Q22:S22"/>
    <mergeCell ref="T22:V22"/>
    <mergeCell ref="Q18:S18"/>
    <mergeCell ref="N20:P21"/>
    <mergeCell ref="V8:W8"/>
    <mergeCell ref="V9:W9"/>
    <mergeCell ref="V10:W10"/>
    <mergeCell ref="R7:S7"/>
    <mergeCell ref="R8:S8"/>
    <mergeCell ref="R9:S9"/>
    <mergeCell ref="R10:S10"/>
    <mergeCell ref="T8:U8"/>
    <mergeCell ref="T9:U9"/>
    <mergeCell ref="T10:U10"/>
    <mergeCell ref="N16:O16"/>
    <mergeCell ref="N12:O12"/>
    <mergeCell ref="N13:O13"/>
    <mergeCell ref="I13:I17"/>
    <mergeCell ref="J13:K13"/>
    <mergeCell ref="J14:K14"/>
    <mergeCell ref="J15:K15"/>
    <mergeCell ref="A12:L12"/>
    <mergeCell ref="F13:G13"/>
    <mergeCell ref="B14:C14"/>
    <mergeCell ref="D14:E14"/>
    <mergeCell ref="B13:C13"/>
    <mergeCell ref="F14:G14"/>
    <mergeCell ref="P12:Q12"/>
    <mergeCell ref="T14:U14"/>
    <mergeCell ref="T15:U15"/>
    <mergeCell ref="P13:Q13"/>
    <mergeCell ref="P14:Q14"/>
    <mergeCell ref="P15:Q15"/>
    <mergeCell ref="R11:S11"/>
    <mergeCell ref="R12:S12"/>
    <mergeCell ref="R13:S13"/>
    <mergeCell ref="R14:S14"/>
    <mergeCell ref="R15:S15"/>
    <mergeCell ref="M1:Z1"/>
    <mergeCell ref="M2:Z2"/>
    <mergeCell ref="X3:Z6"/>
    <mergeCell ref="M5:M6"/>
    <mergeCell ref="M3:M4"/>
    <mergeCell ref="P3:Q4"/>
    <mergeCell ref="R3:S3"/>
    <mergeCell ref="R4:S4"/>
    <mergeCell ref="R5:S5"/>
    <mergeCell ref="R6:S6"/>
    <mergeCell ref="P5:Q6"/>
    <mergeCell ref="N3:O6"/>
    <mergeCell ref="T3:U3"/>
    <mergeCell ref="T4:U4"/>
    <mergeCell ref="T5:U5"/>
    <mergeCell ref="V3:W3"/>
    <mergeCell ref="V4:W4"/>
    <mergeCell ref="V5:W5"/>
    <mergeCell ref="V6:W6"/>
    <mergeCell ref="T6:U6"/>
    <mergeCell ref="N10:O10"/>
    <mergeCell ref="N11:O11"/>
    <mergeCell ref="P7:Q7"/>
    <mergeCell ref="P8:Q8"/>
    <mergeCell ref="P9:Q9"/>
    <mergeCell ref="P10:Q10"/>
    <mergeCell ref="N8:O8"/>
    <mergeCell ref="M33:M34"/>
    <mergeCell ref="M29:Z29"/>
    <mergeCell ref="M30:Z30"/>
    <mergeCell ref="V31:X31"/>
    <mergeCell ref="V32:X32"/>
    <mergeCell ref="Y31:Z34"/>
    <mergeCell ref="V33:X33"/>
    <mergeCell ref="R33:S33"/>
    <mergeCell ref="T31:U31"/>
    <mergeCell ref="T32:U32"/>
    <mergeCell ref="X7:Z7"/>
    <mergeCell ref="X8:Z8"/>
    <mergeCell ref="N9:O9"/>
    <mergeCell ref="T7:U7"/>
    <mergeCell ref="N7:O7"/>
    <mergeCell ref="V7:W7"/>
    <mergeCell ref="P11:Q11"/>
    <mergeCell ref="A10:D10"/>
    <mergeCell ref="E10:G10"/>
    <mergeCell ref="D13:E13"/>
    <mergeCell ref="A46:F46"/>
    <mergeCell ref="A44:C44"/>
    <mergeCell ref="G1:H2"/>
    <mergeCell ref="J16:J17"/>
    <mergeCell ref="K16:K17"/>
    <mergeCell ref="A13:A17"/>
    <mergeCell ref="E16:E17"/>
    <mergeCell ref="B15:C15"/>
    <mergeCell ref="D15:E15"/>
    <mergeCell ref="A43:C43"/>
  </mergeCells>
  <phoneticPr fontId="0" type="noConversion"/>
  <printOptions horizontalCentered="1"/>
  <pageMargins left="0.39370078740157483" right="0.39370078740157483" top="0.19685039370078741" bottom="0.19685039370078741" header="0" footer="0"/>
  <pageSetup paperSize="9" scale="63" orientation="portrait" horizontalDpi="180" verticalDpi="180" r:id="rId1"/>
  <headerFooter alignWithMargins="0"/>
  <colBreaks count="1" manualBreakCount="1">
    <brk id="12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"/>
  <dimension ref="A1:Z52"/>
  <sheetViews>
    <sheetView view="pageBreakPreview" topLeftCell="A11" zoomScale="75" zoomScaleNormal="75" zoomScaleSheetLayoutView="50" workbookViewId="0">
      <selection activeCell="L43" sqref="L43"/>
    </sheetView>
  </sheetViews>
  <sheetFormatPr defaultRowHeight="18.75" x14ac:dyDescent="0.2"/>
  <cols>
    <col min="1" max="1" width="11.140625" style="2" customWidth="1"/>
    <col min="2" max="2" width="14.28515625" style="2" customWidth="1"/>
    <col min="3" max="3" width="12.140625" style="2" customWidth="1"/>
    <col min="4" max="4" width="14" style="2" customWidth="1"/>
    <col min="5" max="5" width="5.42578125" style="2" customWidth="1"/>
    <col min="6" max="6" width="15.140625" style="2" customWidth="1"/>
    <col min="7" max="7" width="14.140625" style="2" customWidth="1"/>
    <col min="8" max="8" width="19" style="2" customWidth="1"/>
    <col min="9" max="9" width="8.28515625" style="2" customWidth="1"/>
    <col min="10" max="10" width="8.85546875" style="2" customWidth="1"/>
    <col min="11" max="11" width="9.5703125" style="2" customWidth="1"/>
    <col min="12" max="12" width="18.140625" style="2" customWidth="1"/>
    <col min="13" max="26" width="10.28515625" style="2" customWidth="1"/>
    <col min="27" max="16384" width="9.140625" style="2"/>
  </cols>
  <sheetData>
    <row r="1" spans="1:26" ht="21.75" customHeight="1" x14ac:dyDescent="0.2">
      <c r="A1" s="115" t="s">
        <v>157</v>
      </c>
      <c r="B1" s="115"/>
      <c r="C1" s="115"/>
      <c r="D1" s="115"/>
      <c r="E1" s="115"/>
      <c r="F1" s="115"/>
      <c r="G1" s="150" t="s">
        <v>154</v>
      </c>
      <c r="H1" s="150"/>
      <c r="I1" s="115" t="s">
        <v>160</v>
      </c>
      <c r="J1" s="115"/>
      <c r="K1" s="115"/>
      <c r="L1" s="115"/>
      <c r="M1" s="122" t="s">
        <v>96</v>
      </c>
      <c r="N1" s="122"/>
      <c r="O1" s="122"/>
      <c r="P1" s="122"/>
      <c r="Q1" s="122"/>
      <c r="R1" s="122"/>
      <c r="S1" s="122"/>
      <c r="T1" s="122"/>
      <c r="U1" s="122"/>
      <c r="V1" s="122"/>
      <c r="W1" s="122"/>
      <c r="X1" s="122"/>
      <c r="Y1" s="122"/>
      <c r="Z1" s="122"/>
    </row>
    <row r="2" spans="1:26" ht="21.75" customHeight="1" x14ac:dyDescent="0.2">
      <c r="A2" s="146" t="s">
        <v>45</v>
      </c>
      <c r="B2" s="146"/>
      <c r="C2" s="146"/>
      <c r="D2" s="146"/>
      <c r="E2" s="146"/>
      <c r="F2" s="146"/>
      <c r="G2" s="150"/>
      <c r="H2" s="150"/>
      <c r="I2" s="115"/>
      <c r="J2" s="115"/>
      <c r="K2" s="115"/>
      <c r="L2" s="115"/>
      <c r="M2" s="122" t="s">
        <v>78</v>
      </c>
      <c r="N2" s="122"/>
      <c r="O2" s="122"/>
      <c r="P2" s="122"/>
      <c r="Q2" s="122"/>
      <c r="R2" s="122"/>
      <c r="S2" s="122"/>
      <c r="T2" s="122"/>
      <c r="U2" s="122"/>
      <c r="V2" s="122"/>
      <c r="W2" s="122"/>
      <c r="X2" s="122"/>
      <c r="Y2" s="122"/>
      <c r="Z2" s="122"/>
    </row>
    <row r="3" spans="1:26" ht="21.75" customHeight="1" x14ac:dyDescent="0.2">
      <c r="A3" s="115" t="s">
        <v>158</v>
      </c>
      <c r="B3" s="147"/>
      <c r="C3" s="147"/>
      <c r="D3" s="147"/>
      <c r="E3" s="147"/>
      <c r="F3" s="147"/>
      <c r="G3" s="150" t="s">
        <v>155</v>
      </c>
      <c r="H3" s="150"/>
      <c r="I3" s="115" t="s">
        <v>201</v>
      </c>
      <c r="J3" s="115"/>
      <c r="K3" s="115"/>
      <c r="L3" s="115"/>
      <c r="M3" s="123" t="s">
        <v>79</v>
      </c>
      <c r="N3" s="124" t="s">
        <v>81</v>
      </c>
      <c r="O3" s="123"/>
      <c r="P3" s="124" t="s">
        <v>65</v>
      </c>
      <c r="Q3" s="123"/>
      <c r="R3" s="124" t="s">
        <v>82</v>
      </c>
      <c r="S3" s="123"/>
      <c r="T3" s="124" t="s">
        <v>85</v>
      </c>
      <c r="U3" s="123"/>
      <c r="V3" s="124" t="s">
        <v>87</v>
      </c>
      <c r="W3" s="123"/>
      <c r="X3" s="128" t="s">
        <v>91</v>
      </c>
      <c r="Y3" s="132"/>
      <c r="Z3" s="132"/>
    </row>
    <row r="4" spans="1:26" ht="29.25" customHeight="1" x14ac:dyDescent="0.2">
      <c r="A4" s="146" t="s">
        <v>46</v>
      </c>
      <c r="B4" s="146"/>
      <c r="C4" s="146"/>
      <c r="D4" s="146"/>
      <c r="E4" s="146"/>
      <c r="F4" s="146"/>
      <c r="G4" s="150"/>
      <c r="H4" s="150"/>
      <c r="I4" s="115"/>
      <c r="J4" s="115"/>
      <c r="K4" s="115"/>
      <c r="L4" s="115"/>
      <c r="M4" s="116"/>
      <c r="N4" s="125"/>
      <c r="O4" s="116"/>
      <c r="P4" s="125"/>
      <c r="Q4" s="116"/>
      <c r="R4" s="125" t="s">
        <v>83</v>
      </c>
      <c r="S4" s="116"/>
      <c r="T4" s="125" t="s">
        <v>86</v>
      </c>
      <c r="U4" s="116"/>
      <c r="V4" s="125" t="s">
        <v>88</v>
      </c>
      <c r="W4" s="116"/>
      <c r="X4" s="128"/>
      <c r="Y4" s="132"/>
      <c r="Z4" s="132"/>
    </row>
    <row r="5" spans="1:26" ht="21.75" customHeight="1" x14ac:dyDescent="0.2">
      <c r="A5" s="115" t="s">
        <v>178</v>
      </c>
      <c r="B5" s="147"/>
      <c r="C5" s="147"/>
      <c r="D5" s="147"/>
      <c r="E5" s="147"/>
      <c r="F5" s="147"/>
      <c r="G5" s="150" t="s">
        <v>156</v>
      </c>
      <c r="H5" s="150"/>
      <c r="I5" s="115" t="s">
        <v>410</v>
      </c>
      <c r="J5" s="115"/>
      <c r="K5" s="115"/>
      <c r="L5" s="115"/>
      <c r="M5" s="116" t="s">
        <v>80</v>
      </c>
      <c r="N5" s="125"/>
      <c r="O5" s="116"/>
      <c r="P5" s="125" t="s">
        <v>182</v>
      </c>
      <c r="Q5" s="116"/>
      <c r="R5" s="133" t="s">
        <v>84</v>
      </c>
      <c r="S5" s="134"/>
      <c r="T5" s="133" t="s">
        <v>84</v>
      </c>
      <c r="U5" s="134"/>
      <c r="V5" s="125" t="s">
        <v>89</v>
      </c>
      <c r="W5" s="116"/>
      <c r="X5" s="128"/>
      <c r="Y5" s="132"/>
      <c r="Z5" s="132"/>
    </row>
    <row r="6" spans="1:26" ht="21.75" customHeight="1" x14ac:dyDescent="0.2">
      <c r="A6" s="146" t="s">
        <v>47</v>
      </c>
      <c r="B6" s="146"/>
      <c r="C6" s="146"/>
      <c r="D6" s="146"/>
      <c r="E6" s="146"/>
      <c r="F6" s="146"/>
      <c r="G6" s="150"/>
      <c r="H6" s="150"/>
      <c r="I6" s="115"/>
      <c r="J6" s="115"/>
      <c r="K6" s="115"/>
      <c r="L6" s="115"/>
      <c r="M6" s="117"/>
      <c r="N6" s="127"/>
      <c r="O6" s="117"/>
      <c r="P6" s="127"/>
      <c r="Q6" s="117"/>
      <c r="R6" s="127"/>
      <c r="S6" s="117"/>
      <c r="T6" s="127"/>
      <c r="U6" s="117"/>
      <c r="V6" s="127" t="s">
        <v>90</v>
      </c>
      <c r="W6" s="117"/>
      <c r="X6" s="128"/>
      <c r="Y6" s="132"/>
      <c r="Z6" s="132"/>
    </row>
    <row r="7" spans="1:26" ht="21.75" customHeight="1" x14ac:dyDescent="0.2">
      <c r="A7" s="122"/>
      <c r="B7" s="122"/>
      <c r="C7" s="122"/>
      <c r="D7" s="122"/>
      <c r="E7" s="122"/>
      <c r="F7" s="122"/>
      <c r="G7" s="122"/>
      <c r="H7" s="122"/>
      <c r="I7" s="122"/>
      <c r="J7" s="122"/>
      <c r="K7" s="122"/>
      <c r="L7" s="122"/>
      <c r="M7" s="9"/>
      <c r="N7" s="111"/>
      <c r="O7" s="113"/>
      <c r="P7" s="111"/>
      <c r="Q7" s="113"/>
      <c r="R7" s="111"/>
      <c r="S7" s="113"/>
      <c r="T7" s="111"/>
      <c r="U7" s="113"/>
      <c r="V7" s="111"/>
      <c r="W7" s="113"/>
      <c r="X7" s="111"/>
      <c r="Y7" s="112"/>
      <c r="Z7" s="112"/>
    </row>
    <row r="8" spans="1:26" ht="22.5" customHeight="1" x14ac:dyDescent="0.2">
      <c r="A8" s="143" t="s">
        <v>48</v>
      </c>
      <c r="B8" s="143"/>
      <c r="C8" s="143"/>
      <c r="D8" s="143"/>
      <c r="E8" s="143"/>
      <c r="F8" s="143"/>
      <c r="G8" s="143"/>
      <c r="H8" s="143"/>
      <c r="I8" s="143"/>
      <c r="J8" s="143"/>
      <c r="K8" s="143"/>
      <c r="L8" s="143"/>
      <c r="M8" s="9"/>
      <c r="N8" s="111"/>
      <c r="O8" s="113"/>
      <c r="P8" s="111"/>
      <c r="Q8" s="113"/>
      <c r="R8" s="111"/>
      <c r="S8" s="113"/>
      <c r="T8" s="111"/>
      <c r="U8" s="113"/>
      <c r="V8" s="111"/>
      <c r="W8" s="113"/>
      <c r="X8" s="111"/>
      <c r="Y8" s="112"/>
      <c r="Z8" s="112"/>
    </row>
    <row r="9" spans="1:26" ht="22.5" customHeight="1" x14ac:dyDescent="0.2">
      <c r="A9" s="156" t="s">
        <v>49</v>
      </c>
      <c r="B9" s="156"/>
      <c r="C9" s="156"/>
      <c r="D9" s="156"/>
      <c r="E9" s="156"/>
      <c r="F9" s="156"/>
      <c r="G9" s="156"/>
      <c r="H9" s="156"/>
      <c r="I9" s="156"/>
      <c r="J9" s="156"/>
      <c r="K9" s="156"/>
      <c r="L9" s="156"/>
      <c r="M9" s="9"/>
      <c r="N9" s="111"/>
      <c r="O9" s="113"/>
      <c r="P9" s="111"/>
      <c r="Q9" s="113"/>
      <c r="R9" s="111"/>
      <c r="S9" s="113"/>
      <c r="T9" s="111"/>
      <c r="U9" s="113"/>
      <c r="V9" s="111"/>
      <c r="W9" s="113"/>
      <c r="X9" s="111"/>
      <c r="Y9" s="112"/>
      <c r="Z9" s="112"/>
    </row>
    <row r="10" spans="1:26" ht="22.5" customHeight="1" x14ac:dyDescent="0.2">
      <c r="A10" s="151" t="s">
        <v>112</v>
      </c>
      <c r="B10" s="151"/>
      <c r="C10" s="151"/>
      <c r="D10" s="151"/>
      <c r="E10" s="162" t="s">
        <v>407</v>
      </c>
      <c r="F10" s="163"/>
      <c r="G10" s="163"/>
      <c r="H10" s="138" t="s">
        <v>369</v>
      </c>
      <c r="I10" s="138"/>
      <c r="J10" s="138"/>
      <c r="K10" s="138"/>
      <c r="L10" s="138"/>
      <c r="M10" s="9"/>
      <c r="N10" s="111"/>
      <c r="O10" s="113"/>
      <c r="P10" s="111"/>
      <c r="Q10" s="113"/>
      <c r="R10" s="111"/>
      <c r="S10" s="113"/>
      <c r="T10" s="111"/>
      <c r="U10" s="113"/>
      <c r="V10" s="111"/>
      <c r="W10" s="113"/>
      <c r="X10" s="111"/>
      <c r="Y10" s="112"/>
      <c r="Z10" s="112"/>
    </row>
    <row r="11" spans="1:26" ht="22.5" customHeight="1" x14ac:dyDescent="0.2">
      <c r="A11" s="151" t="s">
        <v>113</v>
      </c>
      <c r="B11" s="151"/>
      <c r="C11" s="151"/>
      <c r="D11" s="151"/>
      <c r="E11" s="161" t="s">
        <v>219</v>
      </c>
      <c r="F11" s="161"/>
      <c r="G11" s="161"/>
      <c r="H11" s="161"/>
      <c r="I11" s="138" t="s">
        <v>114</v>
      </c>
      <c r="J11" s="138"/>
      <c r="K11" s="138"/>
      <c r="L11" s="138"/>
      <c r="M11" s="9"/>
      <c r="N11" s="111"/>
      <c r="O11" s="113"/>
      <c r="P11" s="111"/>
      <c r="Q11" s="113"/>
      <c r="R11" s="111"/>
      <c r="S11" s="113"/>
      <c r="T11" s="111"/>
      <c r="U11" s="113"/>
      <c r="V11" s="111"/>
      <c r="W11" s="113"/>
      <c r="X11" s="111"/>
      <c r="Y11" s="112"/>
      <c r="Z11" s="112"/>
    </row>
    <row r="12" spans="1:26" ht="21.75" customHeight="1" x14ac:dyDescent="0.2">
      <c r="A12" s="149"/>
      <c r="B12" s="149"/>
      <c r="C12" s="149"/>
      <c r="D12" s="149"/>
      <c r="E12" s="149"/>
      <c r="F12" s="149"/>
      <c r="G12" s="149"/>
      <c r="H12" s="149"/>
      <c r="I12" s="149"/>
      <c r="J12" s="149"/>
      <c r="K12" s="149"/>
      <c r="L12" s="149"/>
      <c r="M12" s="9"/>
      <c r="N12" s="111"/>
      <c r="O12" s="113"/>
      <c r="P12" s="111"/>
      <c r="Q12" s="113"/>
      <c r="R12" s="111"/>
      <c r="S12" s="113"/>
      <c r="T12" s="111"/>
      <c r="U12" s="113"/>
      <c r="V12" s="111"/>
      <c r="W12" s="113"/>
      <c r="X12" s="111"/>
      <c r="Y12" s="112"/>
      <c r="Z12" s="112"/>
    </row>
    <row r="13" spans="1:26" ht="21.75" customHeight="1" x14ac:dyDescent="0.2">
      <c r="A13" s="187" t="s">
        <v>50</v>
      </c>
      <c r="B13" s="195" t="s">
        <v>56</v>
      </c>
      <c r="C13" s="196"/>
      <c r="D13" s="185" t="s">
        <v>377</v>
      </c>
      <c r="E13" s="186"/>
      <c r="F13" s="195" t="s">
        <v>59</v>
      </c>
      <c r="G13" s="196"/>
      <c r="H13" s="40" t="s">
        <v>377</v>
      </c>
      <c r="I13" s="197" t="s">
        <v>5</v>
      </c>
      <c r="J13" s="195" t="s">
        <v>60</v>
      </c>
      <c r="K13" s="187"/>
      <c r="L13" s="41" t="s">
        <v>65</v>
      </c>
      <c r="M13" s="9"/>
      <c r="N13" s="111"/>
      <c r="O13" s="113"/>
      <c r="P13" s="111"/>
      <c r="Q13" s="113"/>
      <c r="R13" s="111"/>
      <c r="S13" s="113"/>
      <c r="T13" s="111"/>
      <c r="U13" s="113"/>
      <c r="V13" s="111"/>
      <c r="W13" s="113"/>
      <c r="X13" s="111"/>
      <c r="Y13" s="112"/>
      <c r="Z13" s="112"/>
    </row>
    <row r="14" spans="1:26" ht="21.75" customHeight="1" x14ac:dyDescent="0.2">
      <c r="A14" s="188"/>
      <c r="B14" s="200" t="s">
        <v>57</v>
      </c>
      <c r="C14" s="201"/>
      <c r="D14" s="202" t="s">
        <v>215</v>
      </c>
      <c r="E14" s="203"/>
      <c r="F14" s="200" t="s">
        <v>57</v>
      </c>
      <c r="G14" s="201"/>
      <c r="H14" s="42" t="s">
        <v>215</v>
      </c>
      <c r="I14" s="198"/>
      <c r="J14" s="200" t="s">
        <v>61</v>
      </c>
      <c r="K14" s="188"/>
      <c r="L14" s="41" t="s">
        <v>66</v>
      </c>
      <c r="M14" s="9"/>
      <c r="N14" s="111"/>
      <c r="O14" s="113"/>
      <c r="P14" s="111"/>
      <c r="Q14" s="113"/>
      <c r="R14" s="111"/>
      <c r="S14" s="113"/>
      <c r="T14" s="111"/>
      <c r="U14" s="113"/>
      <c r="V14" s="111"/>
      <c r="W14" s="113"/>
      <c r="X14" s="111"/>
      <c r="Y14" s="112"/>
      <c r="Z14" s="112"/>
    </row>
    <row r="15" spans="1:26" ht="21.75" customHeight="1" x14ac:dyDescent="0.2">
      <c r="A15" s="188"/>
      <c r="B15" s="191" t="s">
        <v>58</v>
      </c>
      <c r="C15" s="192"/>
      <c r="D15" s="193">
        <v>12000</v>
      </c>
      <c r="E15" s="194"/>
      <c r="F15" s="191" t="s">
        <v>58</v>
      </c>
      <c r="G15" s="192"/>
      <c r="H15" s="43">
        <v>12000</v>
      </c>
      <c r="I15" s="198"/>
      <c r="J15" s="191" t="s">
        <v>62</v>
      </c>
      <c r="K15" s="189"/>
      <c r="L15" s="41" t="s">
        <v>67</v>
      </c>
      <c r="M15" s="9"/>
      <c r="N15" s="111"/>
      <c r="O15" s="113"/>
      <c r="P15" s="111"/>
      <c r="Q15" s="113"/>
      <c r="R15" s="111"/>
      <c r="S15" s="113"/>
      <c r="T15" s="111"/>
      <c r="U15" s="113"/>
      <c r="V15" s="111"/>
      <c r="W15" s="113"/>
      <c r="X15" s="111"/>
      <c r="Y15" s="112"/>
      <c r="Z15" s="112"/>
    </row>
    <row r="16" spans="1:26" ht="21.75" customHeight="1" x14ac:dyDescent="0.2">
      <c r="A16" s="188"/>
      <c r="B16" s="44" t="s">
        <v>51</v>
      </c>
      <c r="C16" s="44" t="s">
        <v>53</v>
      </c>
      <c r="D16" s="44" t="s">
        <v>54</v>
      </c>
      <c r="E16" s="154"/>
      <c r="F16" s="44" t="s">
        <v>51</v>
      </c>
      <c r="G16" s="44" t="s">
        <v>53</v>
      </c>
      <c r="H16" s="45" t="s">
        <v>54</v>
      </c>
      <c r="I16" s="198"/>
      <c r="J16" s="154" t="s">
        <v>63</v>
      </c>
      <c r="K16" s="154" t="s">
        <v>64</v>
      </c>
      <c r="L16" s="41" t="s">
        <v>68</v>
      </c>
      <c r="M16" s="9"/>
      <c r="N16" s="111"/>
      <c r="O16" s="113"/>
      <c r="P16" s="111"/>
      <c r="Q16" s="113"/>
      <c r="R16" s="111"/>
      <c r="S16" s="113"/>
      <c r="T16" s="111"/>
      <c r="U16" s="113"/>
      <c r="V16" s="111"/>
      <c r="W16" s="113"/>
      <c r="X16" s="111"/>
      <c r="Y16" s="112"/>
      <c r="Z16" s="112"/>
    </row>
    <row r="17" spans="1:26" ht="21.75" customHeight="1" x14ac:dyDescent="0.2">
      <c r="A17" s="189"/>
      <c r="B17" s="46" t="s">
        <v>52</v>
      </c>
      <c r="C17" s="46" t="s">
        <v>51</v>
      </c>
      <c r="D17" s="46" t="s">
        <v>55</v>
      </c>
      <c r="E17" s="190"/>
      <c r="F17" s="46" t="s">
        <v>52</v>
      </c>
      <c r="G17" s="47" t="s">
        <v>51</v>
      </c>
      <c r="H17" s="48" t="s">
        <v>55</v>
      </c>
      <c r="I17" s="199"/>
      <c r="J17" s="155"/>
      <c r="K17" s="155"/>
      <c r="L17" s="41" t="s">
        <v>69</v>
      </c>
      <c r="M17" s="130" t="s">
        <v>92</v>
      </c>
      <c r="N17" s="130"/>
      <c r="O17" s="130"/>
      <c r="P17" s="130"/>
      <c r="Q17" s="130"/>
      <c r="R17" s="130"/>
      <c r="S17" s="130"/>
      <c r="T17" s="130"/>
      <c r="U17" s="130"/>
      <c r="V17" s="130"/>
      <c r="W17" s="130"/>
      <c r="X17" s="130"/>
      <c r="Y17" s="130"/>
      <c r="Z17" s="130"/>
    </row>
    <row r="18" spans="1:26" ht="23.25" customHeight="1" x14ac:dyDescent="0.2">
      <c r="A18" s="49" t="s">
        <v>7</v>
      </c>
      <c r="B18" s="82">
        <v>9679.7049000000006</v>
      </c>
      <c r="C18" s="25"/>
      <c r="D18" s="24"/>
      <c r="E18" s="108"/>
      <c r="F18" s="82">
        <v>6238.4530999999997</v>
      </c>
      <c r="G18" s="22"/>
      <c r="H18" s="24"/>
      <c r="I18" s="52"/>
      <c r="J18" s="39"/>
      <c r="K18" s="79"/>
      <c r="L18" s="53"/>
      <c r="M18" s="123" t="s">
        <v>79</v>
      </c>
      <c r="N18" s="121" t="s">
        <v>98</v>
      </c>
      <c r="O18" s="121"/>
      <c r="P18" s="121"/>
      <c r="Q18" s="121" t="s">
        <v>107</v>
      </c>
      <c r="R18" s="121"/>
      <c r="S18" s="121"/>
      <c r="T18" s="121" t="s">
        <v>93</v>
      </c>
      <c r="U18" s="121"/>
      <c r="V18" s="121"/>
      <c r="W18" s="124" t="s">
        <v>91</v>
      </c>
      <c r="X18" s="131"/>
      <c r="Y18" s="131"/>
      <c r="Z18" s="131"/>
    </row>
    <row r="19" spans="1:26" ht="23.25" customHeight="1" x14ac:dyDescent="0.2">
      <c r="A19" s="49" t="s">
        <v>8</v>
      </c>
      <c r="B19" s="82">
        <v>9679.8372999999992</v>
      </c>
      <c r="C19" s="25">
        <f t="shared" ref="C19:C42" si="0">IF(B19="","",IF(LEN(TRUNC(B18,0))-LEN(TRUNC(B19,0))=0,B19-B18,IF(LEN(TRUNC(B18,0))-LEN(TRUNC(B19,0))&gt;0,VALUE(LEFT(B18,LEN(TRUNC(B18,0))-LEN(TRUNC(B19,0))))*POWER(10,LEN(TRUNC(B19,0)))+B19-B18,B19-B18-VALUE(LEFT(B19,LEN(TRUNC(B19,0))-LEN(TRUNC(B18,0))))*POWER(10,LEN(TRUNC(B18,0))))))</f>
        <v>0.1323999999985972</v>
      </c>
      <c r="D19" s="24">
        <f t="shared" ref="D19:D42" si="1">IF(C19="","",C19*$D$15)</f>
        <v>1588.7999999831663</v>
      </c>
      <c r="E19" s="108"/>
      <c r="F19" s="82">
        <v>6238.5409</v>
      </c>
      <c r="G19" s="22">
        <f t="shared" ref="G19:G42" si="2">IF(F19="","",IF(LEN(TRUNC(F18,0))-LEN(TRUNC(F19,0))=0,F19-F18,IF(LEN(TRUNC(F18,0))-LEN(TRUNC(F19,0))&gt;0,VALUE(LEFT(F18,LEN(TRUNC(F18,0))-LEN(TRUNC(F19,0))))*POWER(10,LEN(TRUNC(F19,0)))+F19-F18,F19-F18-VALUE(LEFT(F19,LEN(TRUNC(F19,0))-LEN(TRUNC(F18,0))))*POWER(10,LEN(TRUNC(F18,0))))))</f>
        <v>8.7800000000243017E-2</v>
      </c>
      <c r="H19" s="24">
        <f t="shared" ref="H19:H42" si="3">IF(G19="","",G19*$H$15)</f>
        <v>1053.6000000029162</v>
      </c>
      <c r="I19" s="52">
        <f t="shared" ref="I19:I42" si="4">IF(H19="","",IF(D19="","",IF(AND(H19=0,D19=0),0,H19/D19)))</f>
        <v>0.66314199396656548</v>
      </c>
      <c r="J19" s="26">
        <v>6.4027560000000001</v>
      </c>
      <c r="K19" s="83"/>
      <c r="L19" s="53"/>
      <c r="M19" s="116"/>
      <c r="N19" s="118"/>
      <c r="O19" s="118"/>
      <c r="P19" s="118"/>
      <c r="Q19" s="118" t="s">
        <v>108</v>
      </c>
      <c r="R19" s="118"/>
      <c r="S19" s="118"/>
      <c r="T19" s="118"/>
      <c r="U19" s="118"/>
      <c r="V19" s="118"/>
      <c r="W19" s="125"/>
      <c r="X19" s="122"/>
      <c r="Y19" s="122"/>
      <c r="Z19" s="122"/>
    </row>
    <row r="20" spans="1:26" ht="23.25" customHeight="1" x14ac:dyDescent="0.2">
      <c r="A20" s="49" t="s">
        <v>9</v>
      </c>
      <c r="B20" s="82">
        <v>9679.9591999999993</v>
      </c>
      <c r="C20" s="25">
        <f t="shared" si="0"/>
        <v>0.12190000000009604</v>
      </c>
      <c r="D20" s="24">
        <f t="shared" si="1"/>
        <v>1462.8000000011525</v>
      </c>
      <c r="E20" s="108"/>
      <c r="F20" s="82">
        <v>6238.6253999999999</v>
      </c>
      <c r="G20" s="22">
        <f t="shared" si="2"/>
        <v>8.4499999999934516E-2</v>
      </c>
      <c r="H20" s="24">
        <f t="shared" si="3"/>
        <v>1013.9999999992142</v>
      </c>
      <c r="I20" s="52">
        <f t="shared" si="4"/>
        <v>0.69319114027783379</v>
      </c>
      <c r="J20" s="26">
        <v>6.4015010000000006</v>
      </c>
      <c r="K20" s="83"/>
      <c r="L20" s="53"/>
      <c r="M20" s="116" t="s">
        <v>80</v>
      </c>
      <c r="N20" s="118" t="s">
        <v>99</v>
      </c>
      <c r="O20" s="118"/>
      <c r="P20" s="118"/>
      <c r="Q20" s="118" t="s">
        <v>181</v>
      </c>
      <c r="R20" s="118"/>
      <c r="S20" s="118"/>
      <c r="T20" s="118" t="s">
        <v>94</v>
      </c>
      <c r="U20" s="118"/>
      <c r="V20" s="118"/>
      <c r="W20" s="125"/>
      <c r="X20" s="122"/>
      <c r="Y20" s="122"/>
      <c r="Z20" s="122"/>
    </row>
    <row r="21" spans="1:26" ht="23.25" customHeight="1" x14ac:dyDescent="0.2">
      <c r="A21" s="49" t="s">
        <v>10</v>
      </c>
      <c r="B21" s="82">
        <v>9680.0781000000006</v>
      </c>
      <c r="C21" s="25">
        <f t="shared" si="0"/>
        <v>0.11890000000130385</v>
      </c>
      <c r="D21" s="24">
        <f t="shared" si="1"/>
        <v>1426.8000000156462</v>
      </c>
      <c r="E21" s="108"/>
      <c r="F21" s="82">
        <v>6238.7084000000004</v>
      </c>
      <c r="G21" s="22">
        <f t="shared" si="2"/>
        <v>8.3000000000538421E-2</v>
      </c>
      <c r="H21" s="24">
        <f t="shared" si="3"/>
        <v>996.00000000646105</v>
      </c>
      <c r="I21" s="52">
        <f t="shared" si="4"/>
        <v>0.69806560134254203</v>
      </c>
      <c r="J21" s="26">
        <v>6.4059049999999997</v>
      </c>
      <c r="K21" s="83"/>
      <c r="L21" s="53"/>
      <c r="M21" s="117"/>
      <c r="N21" s="119"/>
      <c r="O21" s="119"/>
      <c r="P21" s="119"/>
      <c r="Q21" s="119"/>
      <c r="R21" s="119"/>
      <c r="S21" s="119"/>
      <c r="T21" s="119"/>
      <c r="U21" s="119"/>
      <c r="V21" s="119"/>
      <c r="W21" s="127"/>
      <c r="X21" s="130"/>
      <c r="Y21" s="130"/>
      <c r="Z21" s="130"/>
    </row>
    <row r="22" spans="1:26" ht="23.25" customHeight="1" x14ac:dyDescent="0.2">
      <c r="A22" s="49" t="s">
        <v>11</v>
      </c>
      <c r="B22" s="82">
        <v>9680.2070999999996</v>
      </c>
      <c r="C22" s="25">
        <f t="shared" si="0"/>
        <v>0.12899999999899592</v>
      </c>
      <c r="D22" s="24">
        <f t="shared" si="1"/>
        <v>1547.999999987951</v>
      </c>
      <c r="E22" s="108"/>
      <c r="F22" s="82">
        <v>6238.7978000000003</v>
      </c>
      <c r="G22" s="22">
        <f t="shared" si="2"/>
        <v>8.9399999999841384E-2</v>
      </c>
      <c r="H22" s="24">
        <f t="shared" si="3"/>
        <v>1072.7999999980966</v>
      </c>
      <c r="I22" s="52">
        <f t="shared" si="4"/>
        <v>0.69302325581811808</v>
      </c>
      <c r="J22" s="26">
        <v>6.4174610000000003</v>
      </c>
      <c r="K22" s="83"/>
      <c r="L22" s="53"/>
      <c r="M22" s="9"/>
      <c r="N22" s="120"/>
      <c r="O22" s="120"/>
      <c r="P22" s="120"/>
      <c r="Q22" s="120"/>
      <c r="R22" s="120"/>
      <c r="S22" s="120"/>
      <c r="T22" s="120"/>
      <c r="U22" s="120"/>
      <c r="V22" s="120"/>
      <c r="W22" s="111"/>
      <c r="X22" s="112"/>
      <c r="Y22" s="112"/>
      <c r="Z22" s="112"/>
    </row>
    <row r="23" spans="1:26" ht="23.25" customHeight="1" x14ac:dyDescent="0.2">
      <c r="A23" s="49" t="s">
        <v>12</v>
      </c>
      <c r="B23" s="82">
        <v>9680.3379000000004</v>
      </c>
      <c r="C23" s="25">
        <f t="shared" si="0"/>
        <v>0.13080000000081782</v>
      </c>
      <c r="D23" s="24">
        <f t="shared" si="1"/>
        <v>1569.6000000098138</v>
      </c>
      <c r="E23" s="108"/>
      <c r="F23" s="82">
        <v>6238.8895000000002</v>
      </c>
      <c r="G23" s="22">
        <f t="shared" si="2"/>
        <v>9.1699999999946158E-2</v>
      </c>
      <c r="H23" s="24">
        <f t="shared" si="3"/>
        <v>1100.3999999993539</v>
      </c>
      <c r="I23" s="52">
        <f t="shared" si="4"/>
        <v>0.70107033638664229</v>
      </c>
      <c r="J23" s="26">
        <v>6.4230850000000004</v>
      </c>
      <c r="K23" s="83"/>
      <c r="L23" s="53"/>
      <c r="M23" s="9"/>
      <c r="N23" s="120"/>
      <c r="O23" s="120"/>
      <c r="P23" s="120"/>
      <c r="Q23" s="120"/>
      <c r="R23" s="120"/>
      <c r="S23" s="120"/>
      <c r="T23" s="120"/>
      <c r="U23" s="120"/>
      <c r="V23" s="120"/>
      <c r="W23" s="111"/>
      <c r="X23" s="112"/>
      <c r="Y23" s="112"/>
      <c r="Z23" s="112"/>
    </row>
    <row r="24" spans="1:26" ht="23.25" customHeight="1" x14ac:dyDescent="0.2">
      <c r="A24" s="49" t="s">
        <v>13</v>
      </c>
      <c r="B24" s="82">
        <v>9680.4712999999992</v>
      </c>
      <c r="C24" s="25">
        <f t="shared" si="0"/>
        <v>0.13339999999880092</v>
      </c>
      <c r="D24" s="24">
        <f t="shared" si="1"/>
        <v>1600.7999999856111</v>
      </c>
      <c r="E24" s="108"/>
      <c r="F24" s="82">
        <v>6238.9803000000002</v>
      </c>
      <c r="G24" s="22">
        <f t="shared" si="2"/>
        <v>9.0799999999944703E-2</v>
      </c>
      <c r="H24" s="24">
        <f t="shared" si="3"/>
        <v>1089.5999999993364</v>
      </c>
      <c r="I24" s="52">
        <f t="shared" si="4"/>
        <v>0.68065967017062123</v>
      </c>
      <c r="J24" s="26">
        <v>6.4165290000000006</v>
      </c>
      <c r="K24" s="83"/>
      <c r="L24" s="53"/>
      <c r="M24" s="9"/>
      <c r="N24" s="120"/>
      <c r="O24" s="120"/>
      <c r="P24" s="120"/>
      <c r="Q24" s="120"/>
      <c r="R24" s="120"/>
      <c r="S24" s="120"/>
      <c r="T24" s="120"/>
      <c r="U24" s="120"/>
      <c r="V24" s="120"/>
      <c r="W24" s="111"/>
      <c r="X24" s="112"/>
      <c r="Y24" s="112"/>
      <c r="Z24" s="112"/>
    </row>
    <row r="25" spans="1:26" ht="23.25" customHeight="1" x14ac:dyDescent="0.2">
      <c r="A25" s="49" t="s">
        <v>14</v>
      </c>
      <c r="B25" s="82">
        <v>9680.6093000000001</v>
      </c>
      <c r="C25" s="25">
        <f t="shared" si="0"/>
        <v>0.13800000000082946</v>
      </c>
      <c r="D25" s="24">
        <f t="shared" si="1"/>
        <v>1656.0000000099535</v>
      </c>
      <c r="E25" s="108"/>
      <c r="F25" s="82">
        <v>6239.0697</v>
      </c>
      <c r="G25" s="22">
        <f t="shared" si="2"/>
        <v>8.9399999999841384E-2</v>
      </c>
      <c r="H25" s="24">
        <f t="shared" si="3"/>
        <v>1072.7999999980966</v>
      </c>
      <c r="I25" s="52">
        <f t="shared" si="4"/>
        <v>0.64782608695147859</v>
      </c>
      <c r="J25" s="26">
        <v>6.3840529999999998</v>
      </c>
      <c r="K25" s="83"/>
      <c r="L25" s="53"/>
      <c r="M25" s="9"/>
      <c r="N25" s="120"/>
      <c r="O25" s="120"/>
      <c r="P25" s="120"/>
      <c r="Q25" s="120"/>
      <c r="R25" s="120"/>
      <c r="S25" s="120"/>
      <c r="T25" s="120"/>
      <c r="U25" s="120"/>
      <c r="V25" s="120"/>
      <c r="W25" s="111"/>
      <c r="X25" s="112"/>
      <c r="Y25" s="112"/>
      <c r="Z25" s="112"/>
    </row>
    <row r="26" spans="1:26" ht="23.25" customHeight="1" x14ac:dyDescent="0.2">
      <c r="A26" s="49" t="s">
        <v>15</v>
      </c>
      <c r="B26" s="82">
        <v>9680.7572999999993</v>
      </c>
      <c r="C26" s="25">
        <f t="shared" si="0"/>
        <v>0.14799999999922875</v>
      </c>
      <c r="D26" s="24">
        <f t="shared" si="1"/>
        <v>1775.999999990745</v>
      </c>
      <c r="E26" s="108"/>
      <c r="F26" s="82">
        <v>6239.1607999999997</v>
      </c>
      <c r="G26" s="22">
        <f t="shared" si="2"/>
        <v>9.1099999999642023E-2</v>
      </c>
      <c r="H26" s="24">
        <f t="shared" si="3"/>
        <v>1093.1999999957043</v>
      </c>
      <c r="I26" s="52">
        <f t="shared" si="4"/>
        <v>0.61554054054132945</v>
      </c>
      <c r="J26" s="26">
        <v>6.2170870000000003</v>
      </c>
      <c r="K26" s="83"/>
      <c r="L26" s="53"/>
      <c r="M26" s="9"/>
      <c r="N26" s="120"/>
      <c r="O26" s="120"/>
      <c r="P26" s="120"/>
      <c r="Q26" s="120"/>
      <c r="R26" s="120"/>
      <c r="S26" s="120"/>
      <c r="T26" s="120"/>
      <c r="U26" s="120"/>
      <c r="V26" s="120"/>
      <c r="W26" s="111"/>
      <c r="X26" s="112"/>
      <c r="Y26" s="112"/>
      <c r="Z26" s="112"/>
    </row>
    <row r="27" spans="1:26" ht="23.25" customHeight="1" x14ac:dyDescent="0.2">
      <c r="A27" s="49" t="s">
        <v>16</v>
      </c>
      <c r="B27" s="82">
        <v>9680.9105999999992</v>
      </c>
      <c r="C27" s="25">
        <f t="shared" si="0"/>
        <v>0.1532999999999447</v>
      </c>
      <c r="D27" s="24">
        <f t="shared" si="1"/>
        <v>1839.5999999993364</v>
      </c>
      <c r="E27" s="108"/>
      <c r="F27" s="82">
        <v>6239.2528000000002</v>
      </c>
      <c r="G27" s="22">
        <f t="shared" si="2"/>
        <v>9.2000000000552973E-2</v>
      </c>
      <c r="H27" s="24">
        <f t="shared" si="3"/>
        <v>1104.0000000066357</v>
      </c>
      <c r="I27" s="52">
        <f t="shared" si="4"/>
        <v>0.60013046314798535</v>
      </c>
      <c r="J27" s="26">
        <v>6.0935459999999999</v>
      </c>
      <c r="K27" s="83"/>
      <c r="L27" s="53"/>
      <c r="M27" s="9"/>
      <c r="N27" s="120"/>
      <c r="O27" s="120"/>
      <c r="P27" s="120"/>
      <c r="Q27" s="120"/>
      <c r="R27" s="120"/>
      <c r="S27" s="120"/>
      <c r="T27" s="120"/>
      <c r="U27" s="120"/>
      <c r="V27" s="120"/>
      <c r="W27" s="111"/>
      <c r="X27" s="112"/>
      <c r="Y27" s="112"/>
      <c r="Z27" s="112"/>
    </row>
    <row r="28" spans="1:26" ht="23.25" customHeight="1" x14ac:dyDescent="0.2">
      <c r="A28" s="49" t="s">
        <v>17</v>
      </c>
      <c r="B28" s="82">
        <v>9681.0738000000001</v>
      </c>
      <c r="C28" s="25">
        <f t="shared" si="0"/>
        <v>0.1632000000008702</v>
      </c>
      <c r="D28" s="24">
        <f t="shared" si="1"/>
        <v>1958.4000000104425</v>
      </c>
      <c r="E28" s="108"/>
      <c r="F28" s="82">
        <v>6239.3501999999999</v>
      </c>
      <c r="G28" s="22">
        <f t="shared" si="2"/>
        <v>9.7399999999652209E-2</v>
      </c>
      <c r="H28" s="24">
        <f t="shared" si="3"/>
        <v>1168.7999999958265</v>
      </c>
      <c r="I28" s="52">
        <f t="shared" si="4"/>
        <v>0.59681372548488276</v>
      </c>
      <c r="J28" s="26">
        <v>6.1457850000000001</v>
      </c>
      <c r="K28" s="83"/>
      <c r="L28" s="53"/>
      <c r="M28" s="9"/>
      <c r="N28" s="120"/>
      <c r="O28" s="120"/>
      <c r="P28" s="120"/>
      <c r="Q28" s="120"/>
      <c r="R28" s="120"/>
      <c r="S28" s="120"/>
      <c r="T28" s="120"/>
      <c r="U28" s="120"/>
      <c r="V28" s="120"/>
      <c r="W28" s="111"/>
      <c r="X28" s="112"/>
      <c r="Y28" s="112"/>
      <c r="Z28" s="112"/>
    </row>
    <row r="29" spans="1:26" ht="23.25" customHeight="1" x14ac:dyDescent="0.2">
      <c r="A29" s="49" t="s">
        <v>18</v>
      </c>
      <c r="B29" s="82">
        <v>9681.2252000000008</v>
      </c>
      <c r="C29" s="25">
        <f t="shared" si="0"/>
        <v>0.15140000000064902</v>
      </c>
      <c r="D29" s="24">
        <f t="shared" si="1"/>
        <v>1816.8000000077882</v>
      </c>
      <c r="E29" s="108"/>
      <c r="F29" s="82">
        <v>6239.4435999999996</v>
      </c>
      <c r="G29" s="22">
        <f t="shared" si="2"/>
        <v>9.3399999999746797E-2</v>
      </c>
      <c r="H29" s="24">
        <f t="shared" si="3"/>
        <v>1120.7999999969616</v>
      </c>
      <c r="I29" s="52">
        <f t="shared" si="4"/>
        <v>0.61690885072223522</v>
      </c>
      <c r="J29" s="26">
        <v>6.1034700000000006</v>
      </c>
      <c r="K29" s="83"/>
      <c r="L29" s="53"/>
      <c r="M29" s="145" t="s">
        <v>95</v>
      </c>
      <c r="N29" s="145"/>
      <c r="O29" s="145"/>
      <c r="P29" s="145"/>
      <c r="Q29" s="145"/>
      <c r="R29" s="145"/>
      <c r="S29" s="145"/>
      <c r="T29" s="145"/>
      <c r="U29" s="145"/>
      <c r="V29" s="145"/>
      <c r="W29" s="145"/>
      <c r="X29" s="145"/>
      <c r="Y29" s="145"/>
      <c r="Z29" s="145"/>
    </row>
    <row r="30" spans="1:26" ht="23.25" customHeight="1" x14ac:dyDescent="0.2">
      <c r="A30" s="49" t="s">
        <v>19</v>
      </c>
      <c r="B30" s="82">
        <v>9681.3742000000002</v>
      </c>
      <c r="C30" s="25">
        <f t="shared" si="0"/>
        <v>0.14899999999943248</v>
      </c>
      <c r="D30" s="24">
        <f t="shared" si="1"/>
        <v>1787.9999999931897</v>
      </c>
      <c r="E30" s="108"/>
      <c r="F30" s="82">
        <v>6239.5365000000002</v>
      </c>
      <c r="G30" s="22">
        <f t="shared" si="2"/>
        <v>9.2900000000554428E-2</v>
      </c>
      <c r="H30" s="24">
        <f t="shared" si="3"/>
        <v>1114.8000000066531</v>
      </c>
      <c r="I30" s="52">
        <f t="shared" si="4"/>
        <v>0.62348993289200183</v>
      </c>
      <c r="J30" s="26">
        <v>6.3353900000000003</v>
      </c>
      <c r="K30" s="83"/>
      <c r="L30" s="53"/>
      <c r="M30" s="122" t="s">
        <v>97</v>
      </c>
      <c r="N30" s="122"/>
      <c r="O30" s="122"/>
      <c r="P30" s="122"/>
      <c r="Q30" s="122"/>
      <c r="R30" s="122"/>
      <c r="S30" s="122"/>
      <c r="T30" s="122"/>
      <c r="U30" s="122"/>
      <c r="V30" s="122"/>
      <c r="W30" s="122"/>
      <c r="X30" s="122"/>
      <c r="Y30" s="122"/>
      <c r="Z30" s="122"/>
    </row>
    <row r="31" spans="1:26" ht="23.25" customHeight="1" x14ac:dyDescent="0.2">
      <c r="A31" s="49" t="s">
        <v>20</v>
      </c>
      <c r="B31" s="82">
        <v>9681.5197000000007</v>
      </c>
      <c r="C31" s="25">
        <f t="shared" si="0"/>
        <v>0.14550000000053842</v>
      </c>
      <c r="D31" s="24">
        <f t="shared" si="1"/>
        <v>1746.0000000064611</v>
      </c>
      <c r="E31" s="108"/>
      <c r="F31" s="82">
        <v>6239.6279000000004</v>
      </c>
      <c r="G31" s="22">
        <f t="shared" si="2"/>
        <v>9.1400000000248838E-2</v>
      </c>
      <c r="H31" s="24">
        <f t="shared" si="3"/>
        <v>1096.8000000029861</v>
      </c>
      <c r="I31" s="52">
        <f t="shared" si="4"/>
        <v>0.6281786941574613</v>
      </c>
      <c r="J31" s="26">
        <v>6.3639320000000001</v>
      </c>
      <c r="K31" s="83"/>
      <c r="L31" s="53"/>
      <c r="M31" s="123" t="s">
        <v>79</v>
      </c>
      <c r="N31" s="121" t="s">
        <v>98</v>
      </c>
      <c r="O31" s="121"/>
      <c r="P31" s="121" t="s">
        <v>100</v>
      </c>
      <c r="Q31" s="121"/>
      <c r="R31" s="121" t="s">
        <v>93</v>
      </c>
      <c r="S31" s="121"/>
      <c r="T31" s="121" t="s">
        <v>103</v>
      </c>
      <c r="U31" s="121"/>
      <c r="V31" s="121" t="s">
        <v>179</v>
      </c>
      <c r="W31" s="121"/>
      <c r="X31" s="121"/>
      <c r="Y31" s="121" t="s">
        <v>91</v>
      </c>
      <c r="Z31" s="124"/>
    </row>
    <row r="32" spans="1:26" ht="23.25" customHeight="1" x14ac:dyDescent="0.2">
      <c r="A32" s="49" t="s">
        <v>21</v>
      </c>
      <c r="B32" s="82">
        <v>9681.6671999999999</v>
      </c>
      <c r="C32" s="25">
        <f t="shared" si="0"/>
        <v>0.14749999999912689</v>
      </c>
      <c r="D32" s="24">
        <f t="shared" si="1"/>
        <v>1769.9999999895226</v>
      </c>
      <c r="E32" s="108"/>
      <c r="F32" s="82">
        <v>6239.7213000000002</v>
      </c>
      <c r="G32" s="22">
        <f t="shared" si="2"/>
        <v>9.3399999999746797E-2</v>
      </c>
      <c r="H32" s="24">
        <f t="shared" si="3"/>
        <v>1120.7999999969616</v>
      </c>
      <c r="I32" s="52">
        <f t="shared" si="4"/>
        <v>0.63322033898508256</v>
      </c>
      <c r="J32" s="26">
        <v>6.3328509999999998</v>
      </c>
      <c r="K32" s="83"/>
      <c r="L32" s="53"/>
      <c r="M32" s="116"/>
      <c r="N32" s="118"/>
      <c r="O32" s="118"/>
      <c r="P32" s="118" t="s">
        <v>83</v>
      </c>
      <c r="Q32" s="118"/>
      <c r="R32" s="118" t="s">
        <v>102</v>
      </c>
      <c r="S32" s="118"/>
      <c r="T32" s="118" t="s">
        <v>104</v>
      </c>
      <c r="U32" s="118"/>
      <c r="V32" s="118" t="s">
        <v>105</v>
      </c>
      <c r="W32" s="118"/>
      <c r="X32" s="118"/>
      <c r="Y32" s="118"/>
      <c r="Z32" s="125"/>
    </row>
    <row r="33" spans="1:26" ht="23.25" customHeight="1" x14ac:dyDescent="0.2">
      <c r="A33" s="49" t="s">
        <v>22</v>
      </c>
      <c r="B33" s="82">
        <v>9681.8098000000009</v>
      </c>
      <c r="C33" s="25">
        <f t="shared" si="0"/>
        <v>0.14260000000103901</v>
      </c>
      <c r="D33" s="24">
        <f t="shared" si="1"/>
        <v>1711.2000000124681</v>
      </c>
      <c r="E33" s="108"/>
      <c r="F33" s="82">
        <v>6239.8149000000003</v>
      </c>
      <c r="G33" s="22">
        <f t="shared" si="2"/>
        <v>9.360000000015134E-2</v>
      </c>
      <c r="H33" s="24">
        <f t="shared" si="3"/>
        <v>1123.2000000018161</v>
      </c>
      <c r="I33" s="52">
        <f t="shared" si="4"/>
        <v>0.65638148667229557</v>
      </c>
      <c r="J33" s="26">
        <v>6.327693</v>
      </c>
      <c r="K33" s="83"/>
      <c r="L33" s="53"/>
      <c r="M33" s="116" t="s">
        <v>80</v>
      </c>
      <c r="N33" s="118" t="s">
        <v>99</v>
      </c>
      <c r="O33" s="118"/>
      <c r="P33" s="118" t="s">
        <v>101</v>
      </c>
      <c r="Q33" s="118"/>
      <c r="R33" s="118" t="s">
        <v>69</v>
      </c>
      <c r="S33" s="118"/>
      <c r="T33" s="118" t="s">
        <v>69</v>
      </c>
      <c r="U33" s="118"/>
      <c r="V33" s="118" t="s">
        <v>106</v>
      </c>
      <c r="W33" s="118"/>
      <c r="X33" s="118"/>
      <c r="Y33" s="118"/>
      <c r="Z33" s="125"/>
    </row>
    <row r="34" spans="1:26" ht="23.25" customHeight="1" x14ac:dyDescent="0.2">
      <c r="A34" s="49" t="s">
        <v>23</v>
      </c>
      <c r="B34" s="82">
        <v>9681.9537999999993</v>
      </c>
      <c r="C34" s="25">
        <f t="shared" si="0"/>
        <v>0.14399999999841384</v>
      </c>
      <c r="D34" s="24">
        <f t="shared" si="1"/>
        <v>1727.9999999809661</v>
      </c>
      <c r="E34" s="108"/>
      <c r="F34" s="82">
        <v>6239.9090999999999</v>
      </c>
      <c r="G34" s="22">
        <f t="shared" si="2"/>
        <v>9.419999999954598E-2</v>
      </c>
      <c r="H34" s="24">
        <f t="shared" si="3"/>
        <v>1130.3999999945518</v>
      </c>
      <c r="I34" s="52">
        <f t="shared" si="4"/>
        <v>0.65416666667071943</v>
      </c>
      <c r="J34" s="26">
        <v>6.3415850000000002</v>
      </c>
      <c r="K34" s="83"/>
      <c r="L34" s="53"/>
      <c r="M34" s="117"/>
      <c r="N34" s="119"/>
      <c r="O34" s="119"/>
      <c r="P34" s="119"/>
      <c r="Q34" s="119"/>
      <c r="R34" s="127"/>
      <c r="S34" s="117"/>
      <c r="T34" s="127"/>
      <c r="U34" s="117"/>
      <c r="V34" s="127"/>
      <c r="W34" s="130"/>
      <c r="X34" s="117"/>
      <c r="Y34" s="119"/>
      <c r="Z34" s="127"/>
    </row>
    <row r="35" spans="1:26" ht="23.25" customHeight="1" x14ac:dyDescent="0.2">
      <c r="A35" s="49" t="s">
        <v>24</v>
      </c>
      <c r="B35" s="82">
        <v>9682.0977999999996</v>
      </c>
      <c r="C35" s="25">
        <f t="shared" si="0"/>
        <v>0.14400000000023283</v>
      </c>
      <c r="D35" s="24">
        <f t="shared" si="1"/>
        <v>1728.000000002794</v>
      </c>
      <c r="E35" s="108"/>
      <c r="F35" s="82">
        <v>6239.9978000000001</v>
      </c>
      <c r="G35" s="22">
        <f t="shared" si="2"/>
        <v>8.8700000000244472E-2</v>
      </c>
      <c r="H35" s="24">
        <f t="shared" si="3"/>
        <v>1064.4000000029337</v>
      </c>
      <c r="I35" s="52">
        <f t="shared" si="4"/>
        <v>0.61597222222292403</v>
      </c>
      <c r="J35" s="26">
        <v>6.3318639999999995</v>
      </c>
      <c r="K35" s="83"/>
      <c r="L35" s="53"/>
      <c r="M35" s="9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11"/>
    </row>
    <row r="36" spans="1:26" ht="23.25" customHeight="1" x14ac:dyDescent="0.2">
      <c r="A36" s="49" t="s">
        <v>25</v>
      </c>
      <c r="B36" s="82">
        <v>9682.2450000000008</v>
      </c>
      <c r="C36" s="25">
        <f t="shared" si="0"/>
        <v>0.14720000000124855</v>
      </c>
      <c r="D36" s="24">
        <f t="shared" si="1"/>
        <v>1766.4000000149827</v>
      </c>
      <c r="E36" s="108"/>
      <c r="F36" s="82">
        <v>6240.0847000000003</v>
      </c>
      <c r="G36" s="22">
        <f t="shared" si="2"/>
        <v>8.6900000000241562E-2</v>
      </c>
      <c r="H36" s="24">
        <f t="shared" si="3"/>
        <v>1042.8000000028987</v>
      </c>
      <c r="I36" s="52">
        <f t="shared" si="4"/>
        <v>0.59035326086619888</v>
      </c>
      <c r="J36" s="26">
        <v>6.240767</v>
      </c>
      <c r="K36" s="83"/>
      <c r="L36" s="53"/>
      <c r="M36" s="9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11"/>
    </row>
    <row r="37" spans="1:26" ht="23.25" customHeight="1" x14ac:dyDescent="0.2">
      <c r="A37" s="49" t="s">
        <v>26</v>
      </c>
      <c r="B37" s="82">
        <v>9682.3976999999995</v>
      </c>
      <c r="C37" s="25">
        <f t="shared" si="0"/>
        <v>0.15269999999873107</v>
      </c>
      <c r="D37" s="24">
        <f t="shared" si="1"/>
        <v>1832.3999999847729</v>
      </c>
      <c r="E37" s="108"/>
      <c r="F37" s="82">
        <v>6240.1697999999997</v>
      </c>
      <c r="G37" s="22">
        <f t="shared" si="2"/>
        <v>8.5099999999329157E-2</v>
      </c>
      <c r="H37" s="24">
        <f t="shared" si="3"/>
        <v>1021.1999999919499</v>
      </c>
      <c r="I37" s="52">
        <f t="shared" si="4"/>
        <v>0.55730189914889539</v>
      </c>
      <c r="J37" s="26">
        <v>6.2652259999999993</v>
      </c>
      <c r="K37" s="83"/>
      <c r="L37" s="53"/>
      <c r="M37" s="9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11"/>
    </row>
    <row r="38" spans="1:26" ht="23.25" customHeight="1" x14ac:dyDescent="0.2">
      <c r="A38" s="49" t="s">
        <v>27</v>
      </c>
      <c r="B38" s="82">
        <v>9682.5570000000007</v>
      </c>
      <c r="C38" s="25">
        <f t="shared" si="0"/>
        <v>0.15930000000116706</v>
      </c>
      <c r="D38" s="24">
        <f t="shared" si="1"/>
        <v>1911.6000000140048</v>
      </c>
      <c r="E38" s="108"/>
      <c r="F38" s="82">
        <v>6240.2569999999996</v>
      </c>
      <c r="G38" s="22">
        <f t="shared" si="2"/>
        <v>8.7199999999938882E-2</v>
      </c>
      <c r="H38" s="24">
        <f t="shared" si="3"/>
        <v>1046.3999999992666</v>
      </c>
      <c r="I38" s="52">
        <f t="shared" si="4"/>
        <v>0.54739485247520425</v>
      </c>
      <c r="J38" s="26">
        <v>6.1822330000000001</v>
      </c>
      <c r="K38" s="83"/>
      <c r="L38" s="53"/>
      <c r="M38" s="9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11"/>
    </row>
    <row r="39" spans="1:26" ht="23.25" customHeight="1" x14ac:dyDescent="0.2">
      <c r="A39" s="49" t="s">
        <v>28</v>
      </c>
      <c r="B39" s="82">
        <v>9682.7124000000003</v>
      </c>
      <c r="C39" s="25">
        <f t="shared" si="0"/>
        <v>0.15539999999964493</v>
      </c>
      <c r="D39" s="24">
        <f t="shared" si="1"/>
        <v>1864.7999999957392</v>
      </c>
      <c r="E39" s="108"/>
      <c r="F39" s="82">
        <v>6240.3434999999999</v>
      </c>
      <c r="G39" s="22">
        <f t="shared" si="2"/>
        <v>8.650000000034197E-2</v>
      </c>
      <c r="H39" s="24">
        <f t="shared" si="3"/>
        <v>1038.0000000041036</v>
      </c>
      <c r="I39" s="52">
        <f t="shared" si="4"/>
        <v>0.55662805663152903</v>
      </c>
      <c r="J39" s="26">
        <v>6.2344140000000001</v>
      </c>
      <c r="K39" s="83"/>
      <c r="L39" s="53"/>
      <c r="M39" s="9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11"/>
    </row>
    <row r="40" spans="1:26" ht="23.25" customHeight="1" x14ac:dyDescent="0.2">
      <c r="A40" s="49" t="s">
        <v>29</v>
      </c>
      <c r="B40" s="82">
        <v>9682.8644000000004</v>
      </c>
      <c r="C40" s="25">
        <f t="shared" si="0"/>
        <v>0.15200000000004366</v>
      </c>
      <c r="D40" s="24">
        <f t="shared" si="1"/>
        <v>1824.0000000005239</v>
      </c>
      <c r="E40" s="108"/>
      <c r="F40" s="82">
        <v>6240.4308000000001</v>
      </c>
      <c r="G40" s="22">
        <f t="shared" si="2"/>
        <v>8.7300000000141154E-2</v>
      </c>
      <c r="H40" s="24">
        <f t="shared" si="3"/>
        <v>1047.6000000016938</v>
      </c>
      <c r="I40" s="52">
        <f t="shared" si="4"/>
        <v>0.5743421052639216</v>
      </c>
      <c r="J40" s="26">
        <v>6.1531940000000001</v>
      </c>
      <c r="K40" s="83"/>
      <c r="L40" s="53"/>
      <c r="M40" s="122" t="s">
        <v>109</v>
      </c>
      <c r="N40" s="122"/>
      <c r="O40" s="122"/>
      <c r="P40" s="122"/>
      <c r="Q40" s="122"/>
      <c r="R40" s="122"/>
      <c r="S40" s="122"/>
      <c r="T40" s="122"/>
      <c r="U40" s="122"/>
      <c r="V40" s="122"/>
      <c r="W40" s="122"/>
      <c r="X40" s="122"/>
      <c r="Y40" s="122"/>
      <c r="Z40" s="122"/>
    </row>
    <row r="41" spans="1:26" ht="23.25" customHeight="1" x14ac:dyDescent="0.2">
      <c r="A41" s="49" t="s">
        <v>30</v>
      </c>
      <c r="B41" s="82">
        <v>9683.0113999999994</v>
      </c>
      <c r="C41" s="25">
        <f t="shared" si="0"/>
        <v>0.14699999999902502</v>
      </c>
      <c r="D41" s="24">
        <f t="shared" si="1"/>
        <v>1763.9999999883003</v>
      </c>
      <c r="E41" s="108"/>
      <c r="F41" s="82">
        <v>6240.5192999999999</v>
      </c>
      <c r="G41" s="22">
        <f t="shared" si="2"/>
        <v>8.8499999999839929E-2</v>
      </c>
      <c r="H41" s="24">
        <f t="shared" si="3"/>
        <v>1061.9999999980791</v>
      </c>
      <c r="I41" s="52">
        <f t="shared" si="4"/>
        <v>0.60204081632943474</v>
      </c>
      <c r="J41" s="26">
        <v>6.3729949999999995</v>
      </c>
      <c r="K41" s="83"/>
      <c r="L41" s="53"/>
      <c r="M41" s="123" t="s">
        <v>79</v>
      </c>
      <c r="N41" s="121" t="s">
        <v>98</v>
      </c>
      <c r="O41" s="121"/>
      <c r="P41" s="121" t="s">
        <v>93</v>
      </c>
      <c r="Q41" s="121"/>
      <c r="R41" s="121"/>
      <c r="S41" s="121" t="s">
        <v>111</v>
      </c>
      <c r="T41" s="121" t="s">
        <v>81</v>
      </c>
      <c r="U41" s="121"/>
      <c r="V41" s="121"/>
      <c r="W41" s="121"/>
      <c r="X41" s="121" t="s">
        <v>93</v>
      </c>
      <c r="Y41" s="121"/>
      <c r="Z41" s="124"/>
    </row>
    <row r="42" spans="1:26" ht="23.25" customHeight="1" x14ac:dyDescent="0.2">
      <c r="A42" s="49" t="s">
        <v>31</v>
      </c>
      <c r="B42" s="82">
        <v>9683.1460000000006</v>
      </c>
      <c r="C42" s="25">
        <f t="shared" si="0"/>
        <v>0.13460000000122818</v>
      </c>
      <c r="D42" s="24">
        <f t="shared" si="1"/>
        <v>1615.2000000147382</v>
      </c>
      <c r="E42" s="108"/>
      <c r="F42" s="82">
        <v>6240.6062000000002</v>
      </c>
      <c r="G42" s="22">
        <f t="shared" si="2"/>
        <v>8.6900000000241562E-2</v>
      </c>
      <c r="H42" s="24">
        <f t="shared" si="3"/>
        <v>1042.8000000028987</v>
      </c>
      <c r="I42" s="52">
        <f t="shared" si="4"/>
        <v>0.6456166418978353</v>
      </c>
      <c r="J42" s="26">
        <v>6.3865259999999999</v>
      </c>
      <c r="K42" s="83"/>
      <c r="L42" s="53"/>
      <c r="M42" s="116"/>
      <c r="N42" s="118"/>
      <c r="O42" s="118"/>
      <c r="P42" s="118"/>
      <c r="Q42" s="118"/>
      <c r="R42" s="118"/>
      <c r="S42" s="118"/>
      <c r="T42" s="118"/>
      <c r="U42" s="118"/>
      <c r="V42" s="118"/>
      <c r="W42" s="118"/>
      <c r="X42" s="118"/>
      <c r="Y42" s="118"/>
      <c r="Z42" s="125"/>
    </row>
    <row r="43" spans="1:26" ht="22.5" customHeight="1" x14ac:dyDescent="0.2">
      <c r="A43" s="184" t="s">
        <v>70</v>
      </c>
      <c r="B43" s="184"/>
      <c r="C43" s="184"/>
      <c r="D43" s="50">
        <f>SUM(D18:D42)</f>
        <v>41293.20000000007</v>
      </c>
      <c r="E43" s="39"/>
      <c r="F43" s="54"/>
      <c r="G43" s="39"/>
      <c r="H43" s="50">
        <f>SUM(H18:H42)</f>
        <v>25837.200000005396</v>
      </c>
      <c r="I43" s="52">
        <f>IF(AND(H43=0,D43=0),0,H43/D43)</f>
        <v>0.62570108395584145</v>
      </c>
      <c r="J43" s="39"/>
      <c r="K43" s="39"/>
      <c r="L43" s="53"/>
      <c r="M43" s="116" t="s">
        <v>80</v>
      </c>
      <c r="N43" s="118" t="s">
        <v>99</v>
      </c>
      <c r="O43" s="118"/>
      <c r="P43" s="118" t="s">
        <v>110</v>
      </c>
      <c r="Q43" s="118"/>
      <c r="R43" s="118"/>
      <c r="S43" s="118"/>
      <c r="T43" s="118"/>
      <c r="U43" s="118"/>
      <c r="V43" s="118"/>
      <c r="W43" s="118"/>
      <c r="X43" s="118" t="s">
        <v>110</v>
      </c>
      <c r="Y43" s="118"/>
      <c r="Z43" s="125"/>
    </row>
    <row r="44" spans="1:26" ht="22.5" customHeight="1" x14ac:dyDescent="0.2">
      <c r="A44" s="183" t="s">
        <v>71</v>
      </c>
      <c r="B44" s="183"/>
      <c r="C44" s="183"/>
      <c r="D44" s="39"/>
      <c r="E44" s="39"/>
      <c r="F44" s="54"/>
      <c r="G44" s="39"/>
      <c r="H44" s="39"/>
      <c r="I44" s="39"/>
      <c r="J44" s="39"/>
      <c r="K44" s="39"/>
      <c r="L44" s="53"/>
      <c r="M44" s="117"/>
      <c r="N44" s="119"/>
      <c r="O44" s="119"/>
      <c r="P44" s="119"/>
      <c r="Q44" s="119"/>
      <c r="R44" s="119"/>
      <c r="S44" s="119"/>
      <c r="T44" s="119"/>
      <c r="U44" s="119"/>
      <c r="V44" s="119"/>
      <c r="W44" s="119"/>
      <c r="X44" s="119"/>
      <c r="Y44" s="119"/>
      <c r="Z44" s="127"/>
    </row>
    <row r="45" spans="1:26" ht="22.5" customHeight="1" x14ac:dyDescent="0.2">
      <c r="A45" s="55"/>
      <c r="B45" s="56"/>
      <c r="C45" s="56"/>
      <c r="D45" s="56"/>
      <c r="E45" s="56"/>
      <c r="F45" s="56"/>
      <c r="G45" s="56"/>
      <c r="H45" s="56"/>
      <c r="I45" s="56"/>
      <c r="J45" s="57"/>
      <c r="K45" s="57"/>
      <c r="L45" s="57"/>
      <c r="M45" s="9"/>
      <c r="N45" s="111"/>
      <c r="O45" s="113"/>
      <c r="P45" s="111"/>
      <c r="Q45" s="112"/>
      <c r="R45" s="113"/>
      <c r="S45" s="7"/>
      <c r="T45" s="111"/>
      <c r="U45" s="112"/>
      <c r="V45" s="112"/>
      <c r="W45" s="113"/>
      <c r="X45" s="111"/>
      <c r="Y45" s="112"/>
      <c r="Z45" s="112"/>
    </row>
    <row r="46" spans="1:26" ht="22.5" customHeight="1" x14ac:dyDescent="0.2">
      <c r="A46" s="182" t="s">
        <v>72</v>
      </c>
      <c r="B46" s="182"/>
      <c r="C46" s="182"/>
      <c r="D46" s="182"/>
      <c r="E46" s="182"/>
      <c r="F46" s="182"/>
      <c r="G46" s="204" t="s">
        <v>73</v>
      </c>
      <c r="H46" s="204"/>
      <c r="I46" s="204"/>
      <c r="J46" s="204"/>
      <c r="K46" s="204"/>
      <c r="L46" s="204"/>
      <c r="M46" s="9"/>
      <c r="N46" s="111"/>
      <c r="O46" s="113"/>
      <c r="P46" s="111"/>
      <c r="Q46" s="112"/>
      <c r="R46" s="113"/>
      <c r="S46" s="7"/>
      <c r="T46" s="111"/>
      <c r="U46" s="112"/>
      <c r="V46" s="112"/>
      <c r="W46" s="113"/>
      <c r="X46" s="111"/>
      <c r="Y46" s="112"/>
      <c r="Z46" s="112"/>
    </row>
    <row r="47" spans="1:26" ht="22.5" customHeight="1" x14ac:dyDescent="0.2">
      <c r="A47" s="144" t="s">
        <v>365</v>
      </c>
      <c r="B47" s="144"/>
      <c r="C47" s="144"/>
      <c r="D47" s="135" t="s">
        <v>74</v>
      </c>
      <c r="E47" s="135"/>
      <c r="F47" s="135"/>
      <c r="G47" s="56"/>
      <c r="H47" s="56"/>
      <c r="I47" s="56"/>
      <c r="J47" s="56"/>
      <c r="K47" s="56"/>
      <c r="L47" s="56"/>
      <c r="M47" s="9"/>
      <c r="N47" s="111"/>
      <c r="O47" s="113"/>
      <c r="P47" s="111"/>
      <c r="Q47" s="112"/>
      <c r="R47" s="113"/>
      <c r="S47" s="7"/>
      <c r="T47" s="111"/>
      <c r="U47" s="112"/>
      <c r="V47" s="112"/>
      <c r="W47" s="113"/>
      <c r="X47" s="111"/>
      <c r="Y47" s="112"/>
      <c r="Z47" s="112"/>
    </row>
    <row r="48" spans="1:26" ht="22.5" customHeight="1" x14ac:dyDescent="0.2">
      <c r="A48" s="175" t="s">
        <v>75</v>
      </c>
      <c r="B48" s="175"/>
      <c r="C48" s="175"/>
      <c r="D48" s="174" t="s">
        <v>76</v>
      </c>
      <c r="E48" s="174"/>
      <c r="F48" s="174"/>
      <c r="G48" s="55"/>
      <c r="H48" s="55"/>
      <c r="I48" s="55"/>
      <c r="J48" s="55"/>
      <c r="K48" s="55"/>
      <c r="L48" s="55"/>
    </row>
    <row r="49" spans="1:23" ht="22.5" customHeight="1" x14ac:dyDescent="0.2">
      <c r="A49" s="144" t="s">
        <v>366</v>
      </c>
      <c r="B49" s="144"/>
      <c r="C49" s="144"/>
      <c r="D49" s="135" t="s">
        <v>74</v>
      </c>
      <c r="E49" s="135"/>
      <c r="F49" s="135"/>
      <c r="G49" s="55"/>
      <c r="H49" s="182" t="s">
        <v>183</v>
      </c>
      <c r="I49" s="182"/>
      <c r="J49" s="182"/>
      <c r="K49" s="182" t="s">
        <v>77</v>
      </c>
      <c r="L49" s="182"/>
      <c r="N49" s="177" t="s">
        <v>150</v>
      </c>
      <c r="O49" s="177"/>
      <c r="P49" s="177"/>
      <c r="Q49" s="176" t="s">
        <v>364</v>
      </c>
      <c r="R49" s="176"/>
      <c r="S49" s="176"/>
      <c r="T49" s="176"/>
      <c r="U49" s="176"/>
      <c r="V49" s="176"/>
      <c r="W49" s="1"/>
    </row>
    <row r="50" spans="1:23" ht="22.5" customHeight="1" x14ac:dyDescent="0.2">
      <c r="A50" s="175" t="s">
        <v>75</v>
      </c>
      <c r="B50" s="175"/>
      <c r="C50" s="175"/>
      <c r="D50" s="174" t="s">
        <v>76</v>
      </c>
      <c r="E50" s="174"/>
      <c r="F50" s="174"/>
      <c r="G50" s="58"/>
      <c r="H50" s="175" t="s">
        <v>75</v>
      </c>
      <c r="I50" s="175"/>
      <c r="J50" s="175"/>
      <c r="K50" s="175" t="s">
        <v>76</v>
      </c>
      <c r="L50" s="175"/>
      <c r="S50" s="173" t="s">
        <v>76</v>
      </c>
      <c r="T50" s="173"/>
    </row>
    <row r="51" spans="1:23" ht="20.100000000000001" customHeight="1" x14ac:dyDescent="0.2">
      <c r="A51" s="144" t="s">
        <v>367</v>
      </c>
      <c r="B51" s="144"/>
      <c r="C51" s="144"/>
      <c r="D51" s="135" t="s">
        <v>74</v>
      </c>
      <c r="E51" s="135"/>
      <c r="F51" s="135"/>
      <c r="G51" s="55"/>
      <c r="H51" s="55"/>
      <c r="I51" s="55"/>
      <c r="J51" s="55"/>
      <c r="K51" s="55"/>
      <c r="L51" s="55"/>
    </row>
    <row r="52" spans="1:23" ht="20.100000000000001" customHeight="1" x14ac:dyDescent="0.2">
      <c r="A52" s="174" t="s">
        <v>75</v>
      </c>
      <c r="B52" s="174"/>
      <c r="C52" s="174"/>
      <c r="D52" s="173" t="s">
        <v>76</v>
      </c>
      <c r="E52" s="173"/>
      <c r="F52" s="173"/>
      <c r="G52" s="59"/>
      <c r="H52" s="59"/>
      <c r="I52" s="55"/>
      <c r="J52" s="55"/>
      <c r="K52" s="55"/>
      <c r="L52" s="55"/>
    </row>
  </sheetData>
  <sheetProtection sheet="1" objects="1" scenarios="1"/>
  <mergeCells count="258">
    <mergeCell ref="A52:C52"/>
    <mergeCell ref="D52:F52"/>
    <mergeCell ref="K16:K17"/>
    <mergeCell ref="A13:A17"/>
    <mergeCell ref="E16:E17"/>
    <mergeCell ref="B15:C15"/>
    <mergeCell ref="D15:E15"/>
    <mergeCell ref="B13:C13"/>
    <mergeCell ref="J16:J17"/>
    <mergeCell ref="G46:L46"/>
    <mergeCell ref="D49:F49"/>
    <mergeCell ref="G1:H2"/>
    <mergeCell ref="G3:H4"/>
    <mergeCell ref="A1:F1"/>
    <mergeCell ref="A2:F2"/>
    <mergeCell ref="A4:F4"/>
    <mergeCell ref="A51:C51"/>
    <mergeCell ref="D51:F51"/>
    <mergeCell ref="A6:F6"/>
    <mergeCell ref="D47:F47"/>
    <mergeCell ref="F14:G14"/>
    <mergeCell ref="H10:L10"/>
    <mergeCell ref="D13:E13"/>
    <mergeCell ref="E10:G10"/>
    <mergeCell ref="A43:C43"/>
    <mergeCell ref="I13:I17"/>
    <mergeCell ref="J13:K13"/>
    <mergeCell ref="J14:K14"/>
    <mergeCell ref="J15:K15"/>
    <mergeCell ref="I3:L4"/>
    <mergeCell ref="A11:D11"/>
    <mergeCell ref="E11:H11"/>
    <mergeCell ref="A10:D10"/>
    <mergeCell ref="H50:J50"/>
    <mergeCell ref="K50:L50"/>
    <mergeCell ref="A12:L12"/>
    <mergeCell ref="A47:C47"/>
    <mergeCell ref="A3:F3"/>
    <mergeCell ref="A5:F5"/>
    <mergeCell ref="A48:C48"/>
    <mergeCell ref="A49:C49"/>
    <mergeCell ref="A50:C50"/>
    <mergeCell ref="D50:F50"/>
    <mergeCell ref="D48:F48"/>
    <mergeCell ref="F15:G15"/>
    <mergeCell ref="A46:F46"/>
    <mergeCell ref="A44:C44"/>
    <mergeCell ref="A9:L9"/>
    <mergeCell ref="X7:Z7"/>
    <mergeCell ref="X8:Z8"/>
    <mergeCell ref="H49:J49"/>
    <mergeCell ref="K49:L49"/>
    <mergeCell ref="A7:L7"/>
    <mergeCell ref="F13:G13"/>
    <mergeCell ref="I11:L11"/>
    <mergeCell ref="B14:C14"/>
    <mergeCell ref="D14:E14"/>
    <mergeCell ref="A8:L8"/>
    <mergeCell ref="M33:M34"/>
    <mergeCell ref="M29:Z29"/>
    <mergeCell ref="M30:Z30"/>
    <mergeCell ref="V31:X31"/>
    <mergeCell ref="V32:X32"/>
    <mergeCell ref="Y31:Z34"/>
    <mergeCell ref="V33:X33"/>
    <mergeCell ref="R33:S33"/>
    <mergeCell ref="T31:U31"/>
    <mergeCell ref="T32:U32"/>
    <mergeCell ref="N10:O10"/>
    <mergeCell ref="N11:O11"/>
    <mergeCell ref="P7:Q7"/>
    <mergeCell ref="P8:Q8"/>
    <mergeCell ref="M20:M21"/>
    <mergeCell ref="M31:M32"/>
    <mergeCell ref="N16:O16"/>
    <mergeCell ref="N12:O12"/>
    <mergeCell ref="N13:O13"/>
    <mergeCell ref="M18:M19"/>
    <mergeCell ref="N20:P21"/>
    <mergeCell ref="P13:Q13"/>
    <mergeCell ref="N28:P28"/>
    <mergeCell ref="Q28:S28"/>
    <mergeCell ref="P16:Q16"/>
    <mergeCell ref="M17:Z17"/>
    <mergeCell ref="W18:Z21"/>
    <mergeCell ref="X15:Z15"/>
    <mergeCell ref="Q18:S18"/>
    <mergeCell ref="R16:S16"/>
    <mergeCell ref="V15:W15"/>
    <mergeCell ref="V16:W16"/>
    <mergeCell ref="T16:U16"/>
    <mergeCell ref="N24:P24"/>
    <mergeCell ref="W24:Z24"/>
    <mergeCell ref="N25:P25"/>
    <mergeCell ref="Q24:S24"/>
    <mergeCell ref="N22:P22"/>
    <mergeCell ref="V7:W7"/>
    <mergeCell ref="T10:U10"/>
    <mergeCell ref="P9:Q9"/>
    <mergeCell ref="P10:Q10"/>
    <mergeCell ref="P11:Q11"/>
    <mergeCell ref="R11:S11"/>
    <mergeCell ref="V9:W9"/>
    <mergeCell ref="V10:W10"/>
    <mergeCell ref="T11:U11"/>
    <mergeCell ref="R9:S9"/>
    <mergeCell ref="R10:S10"/>
    <mergeCell ref="T9:U9"/>
    <mergeCell ref="V11:W11"/>
    <mergeCell ref="P3:Q4"/>
    <mergeCell ref="R3:S3"/>
    <mergeCell ref="R4:S4"/>
    <mergeCell ref="R5:S5"/>
    <mergeCell ref="R6:S6"/>
    <mergeCell ref="V3:W3"/>
    <mergeCell ref="V4:W4"/>
    <mergeCell ref="V5:W5"/>
    <mergeCell ref="V6:W6"/>
    <mergeCell ref="R12:S12"/>
    <mergeCell ref="R13:S13"/>
    <mergeCell ref="P12:Q12"/>
    <mergeCell ref="M1:Z1"/>
    <mergeCell ref="M2:Z2"/>
    <mergeCell ref="X3:Z6"/>
    <mergeCell ref="M5:M6"/>
    <mergeCell ref="M3:M4"/>
    <mergeCell ref="T6:U6"/>
    <mergeCell ref="N7:O7"/>
    <mergeCell ref="N8:O8"/>
    <mergeCell ref="N9:O9"/>
    <mergeCell ref="P5:Q6"/>
    <mergeCell ref="N3:O6"/>
    <mergeCell ref="T3:U3"/>
    <mergeCell ref="T4:U4"/>
    <mergeCell ref="T5:U5"/>
    <mergeCell ref="T7:U7"/>
    <mergeCell ref="R7:S7"/>
    <mergeCell ref="R8:S8"/>
    <mergeCell ref="X9:Z9"/>
    <mergeCell ref="X10:Z10"/>
    <mergeCell ref="T8:U8"/>
    <mergeCell ref="V8:W8"/>
    <mergeCell ref="T25:V25"/>
    <mergeCell ref="Q22:S22"/>
    <mergeCell ref="T33:U33"/>
    <mergeCell ref="R31:S31"/>
    <mergeCell ref="R32:S32"/>
    <mergeCell ref="N31:O32"/>
    <mergeCell ref="N33:O34"/>
    <mergeCell ref="N23:P23"/>
    <mergeCell ref="V12:W12"/>
    <mergeCell ref="T14:U14"/>
    <mergeCell ref="R34:S34"/>
    <mergeCell ref="T34:U34"/>
    <mergeCell ref="V34:X34"/>
    <mergeCell ref="T24:V24"/>
    <mergeCell ref="T12:U12"/>
    <mergeCell ref="T13:U13"/>
    <mergeCell ref="R14:S14"/>
    <mergeCell ref="P34:Q34"/>
    <mergeCell ref="Q25:S25"/>
    <mergeCell ref="W25:Z25"/>
    <mergeCell ref="T27:V27"/>
    <mergeCell ref="N27:P27"/>
    <mergeCell ref="W27:Z27"/>
    <mergeCell ref="N26:P26"/>
    <mergeCell ref="X11:Z11"/>
    <mergeCell ref="X12:Z12"/>
    <mergeCell ref="X13:Z13"/>
    <mergeCell ref="X14:Z14"/>
    <mergeCell ref="X16:Z16"/>
    <mergeCell ref="T15:U15"/>
    <mergeCell ref="R15:S15"/>
    <mergeCell ref="T23:V23"/>
    <mergeCell ref="W23:Z23"/>
    <mergeCell ref="Q23:S23"/>
    <mergeCell ref="P15:Q15"/>
    <mergeCell ref="T22:V22"/>
    <mergeCell ref="Q19:S19"/>
    <mergeCell ref="N18:P19"/>
    <mergeCell ref="W22:Z22"/>
    <mergeCell ref="T20:V21"/>
    <mergeCell ref="Q21:S21"/>
    <mergeCell ref="N14:O14"/>
    <mergeCell ref="N15:O15"/>
    <mergeCell ref="Q20:S20"/>
    <mergeCell ref="P14:Q14"/>
    <mergeCell ref="T18:V19"/>
    <mergeCell ref="V14:W14"/>
    <mergeCell ref="V13:W13"/>
    <mergeCell ref="Q26:S26"/>
    <mergeCell ref="T26:V26"/>
    <mergeCell ref="P31:Q31"/>
    <mergeCell ref="P32:Q32"/>
    <mergeCell ref="P33:Q33"/>
    <mergeCell ref="W28:Z28"/>
    <mergeCell ref="T28:V28"/>
    <mergeCell ref="W26:Z26"/>
    <mergeCell ref="Q27:S27"/>
    <mergeCell ref="P38:Q38"/>
    <mergeCell ref="R38:S38"/>
    <mergeCell ref="T38:U38"/>
    <mergeCell ref="N37:O37"/>
    <mergeCell ref="P37:Q37"/>
    <mergeCell ref="R37:S37"/>
    <mergeCell ref="T37:U37"/>
    <mergeCell ref="Y35:Z35"/>
    <mergeCell ref="N36:O36"/>
    <mergeCell ref="P36:Q36"/>
    <mergeCell ref="R36:S36"/>
    <mergeCell ref="T36:U36"/>
    <mergeCell ref="V36:X36"/>
    <mergeCell ref="Y36:Z36"/>
    <mergeCell ref="V37:X37"/>
    <mergeCell ref="Y37:Z37"/>
    <mergeCell ref="N35:O35"/>
    <mergeCell ref="P35:Q35"/>
    <mergeCell ref="R35:S35"/>
    <mergeCell ref="T35:U35"/>
    <mergeCell ref="V35:X35"/>
    <mergeCell ref="I1:L2"/>
    <mergeCell ref="G5:H6"/>
    <mergeCell ref="I5:L6"/>
    <mergeCell ref="X46:Z46"/>
    <mergeCell ref="X47:Z47"/>
    <mergeCell ref="M43:M44"/>
    <mergeCell ref="N47:O47"/>
    <mergeCell ref="T45:W45"/>
    <mergeCell ref="T46:W46"/>
    <mergeCell ref="T47:W47"/>
    <mergeCell ref="N43:O44"/>
    <mergeCell ref="P43:R44"/>
    <mergeCell ref="X41:Z42"/>
    <mergeCell ref="X43:Z44"/>
    <mergeCell ref="R39:S39"/>
    <mergeCell ref="T39:U39"/>
    <mergeCell ref="V39:X39"/>
    <mergeCell ref="Y39:Z39"/>
    <mergeCell ref="S41:S44"/>
    <mergeCell ref="T41:W44"/>
    <mergeCell ref="X45:Z45"/>
    <mergeCell ref="V38:X38"/>
    <mergeCell ref="Y38:Z38"/>
    <mergeCell ref="N38:O38"/>
    <mergeCell ref="S50:T50"/>
    <mergeCell ref="N39:O39"/>
    <mergeCell ref="P39:Q39"/>
    <mergeCell ref="N41:O42"/>
    <mergeCell ref="P41:R42"/>
    <mergeCell ref="M40:Z40"/>
    <mergeCell ref="M41:M42"/>
    <mergeCell ref="Q49:V49"/>
    <mergeCell ref="N49:P49"/>
    <mergeCell ref="P45:R45"/>
    <mergeCell ref="P46:R46"/>
    <mergeCell ref="P47:R47"/>
    <mergeCell ref="N45:O45"/>
    <mergeCell ref="N46:O46"/>
  </mergeCells>
  <phoneticPr fontId="0" type="noConversion"/>
  <printOptions horizontalCentered="1"/>
  <pageMargins left="0.39370078740157483" right="0.39370078740157483" top="0.19685039370078741" bottom="0.19685039370078741" header="0" footer="0"/>
  <pageSetup paperSize="9" scale="64" orientation="portrait" horizontalDpi="180" verticalDpi="180" r:id="rId1"/>
  <headerFooter alignWithMargins="0"/>
  <colBreaks count="1" manualBreakCount="1">
    <brk id="12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3"/>
  <dimension ref="A1:Z52"/>
  <sheetViews>
    <sheetView view="pageBreakPreview" topLeftCell="A10" zoomScale="75" zoomScaleNormal="50" zoomScaleSheetLayoutView="75" workbookViewId="0">
      <selection activeCell="L43" sqref="L43"/>
    </sheetView>
  </sheetViews>
  <sheetFormatPr defaultRowHeight="18.75" x14ac:dyDescent="0.2"/>
  <cols>
    <col min="1" max="1" width="11.140625" style="2" customWidth="1"/>
    <col min="2" max="2" width="13.7109375" style="2" customWidth="1"/>
    <col min="3" max="3" width="12.140625" style="2" customWidth="1"/>
    <col min="4" max="4" width="13.28515625" style="2" customWidth="1"/>
    <col min="5" max="5" width="5.42578125" style="2" customWidth="1"/>
    <col min="6" max="6" width="12.42578125" style="2" customWidth="1"/>
    <col min="7" max="7" width="12.85546875" style="2" customWidth="1"/>
    <col min="8" max="8" width="16.28515625" style="2" customWidth="1"/>
    <col min="9" max="9" width="8.28515625" style="2" customWidth="1"/>
    <col min="10" max="11" width="8.85546875" style="2" customWidth="1"/>
    <col min="12" max="12" width="17.7109375" style="2" customWidth="1"/>
    <col min="13" max="26" width="10.28515625" style="2" customWidth="1"/>
    <col min="27" max="16384" width="9.140625" style="2"/>
  </cols>
  <sheetData>
    <row r="1" spans="1:26" ht="21.75" customHeight="1" x14ac:dyDescent="0.2">
      <c r="A1" s="115" t="s">
        <v>157</v>
      </c>
      <c r="B1" s="115"/>
      <c r="C1" s="115"/>
      <c r="D1" s="115"/>
      <c r="E1" s="115"/>
      <c r="F1" s="115"/>
      <c r="G1" s="150" t="s">
        <v>154</v>
      </c>
      <c r="H1" s="150"/>
      <c r="I1" s="115" t="s">
        <v>160</v>
      </c>
      <c r="J1" s="115"/>
      <c r="K1" s="115"/>
      <c r="L1" s="115"/>
      <c r="M1" s="122" t="s">
        <v>96</v>
      </c>
      <c r="N1" s="122"/>
      <c r="O1" s="122"/>
      <c r="P1" s="122"/>
      <c r="Q1" s="122"/>
      <c r="R1" s="122"/>
      <c r="S1" s="122"/>
      <c r="T1" s="122"/>
      <c r="U1" s="122"/>
      <c r="V1" s="122"/>
      <c r="W1" s="122"/>
      <c r="X1" s="122"/>
      <c r="Y1" s="122"/>
      <c r="Z1" s="122"/>
    </row>
    <row r="2" spans="1:26" ht="21.75" customHeight="1" x14ac:dyDescent="0.2">
      <c r="A2" s="146" t="s">
        <v>45</v>
      </c>
      <c r="B2" s="146"/>
      <c r="C2" s="146"/>
      <c r="D2" s="146"/>
      <c r="E2" s="146"/>
      <c r="F2" s="146"/>
      <c r="G2" s="150"/>
      <c r="H2" s="150"/>
      <c r="I2" s="115"/>
      <c r="J2" s="115"/>
      <c r="K2" s="115"/>
      <c r="L2" s="115"/>
      <c r="M2" s="122" t="s">
        <v>78</v>
      </c>
      <c r="N2" s="122"/>
      <c r="O2" s="122"/>
      <c r="P2" s="122"/>
      <c r="Q2" s="122"/>
      <c r="R2" s="122"/>
      <c r="S2" s="122"/>
      <c r="T2" s="122"/>
      <c r="U2" s="122"/>
      <c r="V2" s="122"/>
      <c r="W2" s="122"/>
      <c r="X2" s="122"/>
      <c r="Y2" s="122"/>
      <c r="Z2" s="122"/>
    </row>
    <row r="3" spans="1:26" ht="21.75" customHeight="1" x14ac:dyDescent="0.2">
      <c r="A3" s="115" t="s">
        <v>158</v>
      </c>
      <c r="B3" s="147"/>
      <c r="C3" s="147"/>
      <c r="D3" s="147"/>
      <c r="E3" s="147"/>
      <c r="F3" s="147"/>
      <c r="G3" s="150" t="s">
        <v>155</v>
      </c>
      <c r="H3" s="150"/>
      <c r="I3" s="115" t="s">
        <v>205</v>
      </c>
      <c r="J3" s="115"/>
      <c r="K3" s="115"/>
      <c r="L3" s="115"/>
      <c r="M3" s="123" t="s">
        <v>79</v>
      </c>
      <c r="N3" s="124" t="s">
        <v>81</v>
      </c>
      <c r="O3" s="123"/>
      <c r="P3" s="124" t="s">
        <v>65</v>
      </c>
      <c r="Q3" s="123"/>
      <c r="R3" s="124" t="s">
        <v>82</v>
      </c>
      <c r="S3" s="123"/>
      <c r="T3" s="124" t="s">
        <v>85</v>
      </c>
      <c r="U3" s="123"/>
      <c r="V3" s="124" t="s">
        <v>87</v>
      </c>
      <c r="W3" s="123"/>
      <c r="X3" s="128" t="s">
        <v>91</v>
      </c>
      <c r="Y3" s="132"/>
      <c r="Z3" s="132"/>
    </row>
    <row r="4" spans="1:26" ht="29.25" customHeight="1" x14ac:dyDescent="0.2">
      <c r="A4" s="146" t="s">
        <v>46</v>
      </c>
      <c r="B4" s="146"/>
      <c r="C4" s="146"/>
      <c r="D4" s="146"/>
      <c r="E4" s="146"/>
      <c r="F4" s="146"/>
      <c r="G4" s="150"/>
      <c r="H4" s="150"/>
      <c r="I4" s="115"/>
      <c r="J4" s="115"/>
      <c r="K4" s="115"/>
      <c r="L4" s="115"/>
      <c r="M4" s="116"/>
      <c r="N4" s="125"/>
      <c r="O4" s="116"/>
      <c r="P4" s="125"/>
      <c r="Q4" s="116"/>
      <c r="R4" s="125" t="s">
        <v>83</v>
      </c>
      <c r="S4" s="116"/>
      <c r="T4" s="125" t="s">
        <v>86</v>
      </c>
      <c r="U4" s="116"/>
      <c r="V4" s="125" t="s">
        <v>88</v>
      </c>
      <c r="W4" s="116"/>
      <c r="X4" s="128"/>
      <c r="Y4" s="132"/>
      <c r="Z4" s="132"/>
    </row>
    <row r="5" spans="1:26" ht="21.75" customHeight="1" x14ac:dyDescent="0.2">
      <c r="A5" s="115" t="s">
        <v>178</v>
      </c>
      <c r="B5" s="147"/>
      <c r="C5" s="147"/>
      <c r="D5" s="147"/>
      <c r="E5" s="147"/>
      <c r="F5" s="147"/>
      <c r="G5" s="150" t="s">
        <v>156</v>
      </c>
      <c r="H5" s="150"/>
      <c r="I5" s="115" t="s">
        <v>207</v>
      </c>
      <c r="J5" s="115"/>
      <c r="K5" s="115"/>
      <c r="L5" s="115"/>
      <c r="M5" s="116" t="s">
        <v>80</v>
      </c>
      <c r="N5" s="125"/>
      <c r="O5" s="116"/>
      <c r="P5" s="125" t="s">
        <v>182</v>
      </c>
      <c r="Q5" s="116"/>
      <c r="R5" s="133" t="s">
        <v>84</v>
      </c>
      <c r="S5" s="134"/>
      <c r="T5" s="133" t="s">
        <v>84</v>
      </c>
      <c r="U5" s="134"/>
      <c r="V5" s="125" t="s">
        <v>89</v>
      </c>
      <c r="W5" s="116"/>
      <c r="X5" s="128"/>
      <c r="Y5" s="132"/>
      <c r="Z5" s="132"/>
    </row>
    <row r="6" spans="1:26" ht="21.75" customHeight="1" x14ac:dyDescent="0.2">
      <c r="A6" s="146" t="s">
        <v>47</v>
      </c>
      <c r="B6" s="146"/>
      <c r="C6" s="146"/>
      <c r="D6" s="146"/>
      <c r="E6" s="146"/>
      <c r="F6" s="146"/>
      <c r="G6" s="150"/>
      <c r="H6" s="150"/>
      <c r="I6" s="115"/>
      <c r="J6" s="115"/>
      <c r="K6" s="115"/>
      <c r="L6" s="115"/>
      <c r="M6" s="117"/>
      <c r="N6" s="127"/>
      <c r="O6" s="117"/>
      <c r="P6" s="127"/>
      <c r="Q6" s="117"/>
      <c r="R6" s="127"/>
      <c r="S6" s="117"/>
      <c r="T6" s="127"/>
      <c r="U6" s="117"/>
      <c r="V6" s="127" t="s">
        <v>90</v>
      </c>
      <c r="W6" s="117"/>
      <c r="X6" s="128"/>
      <c r="Y6" s="132"/>
      <c r="Z6" s="132"/>
    </row>
    <row r="7" spans="1:26" ht="21.75" customHeight="1" x14ac:dyDescent="0.2">
      <c r="A7" s="122"/>
      <c r="B7" s="122"/>
      <c r="C7" s="122"/>
      <c r="D7" s="122"/>
      <c r="E7" s="122"/>
      <c r="F7" s="122"/>
      <c r="G7" s="122"/>
      <c r="H7" s="122"/>
      <c r="I7" s="122"/>
      <c r="J7" s="122"/>
      <c r="K7" s="122"/>
      <c r="L7" s="122"/>
      <c r="M7" s="9"/>
      <c r="N7" s="111"/>
      <c r="O7" s="113"/>
      <c r="P7" s="111"/>
      <c r="Q7" s="113"/>
      <c r="R7" s="111"/>
      <c r="S7" s="113"/>
      <c r="T7" s="111"/>
      <c r="U7" s="113"/>
      <c r="V7" s="111"/>
      <c r="W7" s="113"/>
      <c r="X7" s="111"/>
      <c r="Y7" s="112"/>
      <c r="Z7" s="112"/>
    </row>
    <row r="8" spans="1:26" ht="22.5" customHeight="1" x14ac:dyDescent="0.2">
      <c r="A8" s="143" t="s">
        <v>48</v>
      </c>
      <c r="B8" s="143"/>
      <c r="C8" s="143"/>
      <c r="D8" s="143"/>
      <c r="E8" s="143"/>
      <c r="F8" s="143"/>
      <c r="G8" s="143"/>
      <c r="H8" s="143"/>
      <c r="I8" s="143"/>
      <c r="J8" s="143"/>
      <c r="K8" s="143"/>
      <c r="L8" s="143"/>
      <c r="M8" s="9"/>
      <c r="N8" s="111"/>
      <c r="O8" s="113"/>
      <c r="P8" s="111"/>
      <c r="Q8" s="113"/>
      <c r="R8" s="111"/>
      <c r="S8" s="113"/>
      <c r="T8" s="111"/>
      <c r="U8" s="113"/>
      <c r="V8" s="111"/>
      <c r="W8" s="113"/>
      <c r="X8" s="111"/>
      <c r="Y8" s="112"/>
      <c r="Z8" s="112"/>
    </row>
    <row r="9" spans="1:26" ht="22.5" customHeight="1" x14ac:dyDescent="0.2">
      <c r="A9" s="156" t="s">
        <v>49</v>
      </c>
      <c r="B9" s="156"/>
      <c r="C9" s="156"/>
      <c r="D9" s="156"/>
      <c r="E9" s="156"/>
      <c r="F9" s="156"/>
      <c r="G9" s="156"/>
      <c r="H9" s="156"/>
      <c r="I9" s="156"/>
      <c r="J9" s="156"/>
      <c r="K9" s="156"/>
      <c r="L9" s="156"/>
      <c r="M9" s="9"/>
      <c r="N9" s="111"/>
      <c r="O9" s="113"/>
      <c r="P9" s="111"/>
      <c r="Q9" s="113"/>
      <c r="R9" s="111"/>
      <c r="S9" s="113"/>
      <c r="T9" s="111"/>
      <c r="U9" s="113"/>
      <c r="V9" s="111"/>
      <c r="W9" s="113"/>
      <c r="X9" s="111"/>
      <c r="Y9" s="112"/>
      <c r="Z9" s="112"/>
    </row>
    <row r="10" spans="1:26" ht="22.5" customHeight="1" x14ac:dyDescent="0.2">
      <c r="A10" s="151" t="s">
        <v>112</v>
      </c>
      <c r="B10" s="151"/>
      <c r="C10" s="151"/>
      <c r="D10" s="151"/>
      <c r="E10" s="162" t="s">
        <v>407</v>
      </c>
      <c r="F10" s="163"/>
      <c r="G10" s="163"/>
      <c r="H10" s="138" t="s">
        <v>369</v>
      </c>
      <c r="I10" s="138"/>
      <c r="J10" s="138"/>
      <c r="K10" s="138"/>
      <c r="L10" s="138"/>
      <c r="M10" s="9"/>
      <c r="N10" s="111"/>
      <c r="O10" s="113"/>
      <c r="P10" s="111"/>
      <c r="Q10" s="113"/>
      <c r="R10" s="111"/>
      <c r="S10" s="113"/>
      <c r="T10" s="111"/>
      <c r="U10" s="113"/>
      <c r="V10" s="111"/>
      <c r="W10" s="113"/>
      <c r="X10" s="111"/>
      <c r="Y10" s="112"/>
      <c r="Z10" s="112"/>
    </row>
    <row r="11" spans="1:26" ht="22.5" customHeight="1" x14ac:dyDescent="0.2">
      <c r="A11" s="151" t="s">
        <v>113</v>
      </c>
      <c r="B11" s="151"/>
      <c r="C11" s="151"/>
      <c r="D11" s="151"/>
      <c r="E11" s="161" t="s">
        <v>219</v>
      </c>
      <c r="F11" s="161"/>
      <c r="G11" s="161"/>
      <c r="H11" s="161"/>
      <c r="I11" s="138" t="s">
        <v>114</v>
      </c>
      <c r="J11" s="138"/>
      <c r="K11" s="138"/>
      <c r="L11" s="138"/>
      <c r="M11" s="9"/>
      <c r="N11" s="111"/>
      <c r="O11" s="113"/>
      <c r="P11" s="111"/>
      <c r="Q11" s="113"/>
      <c r="R11" s="111"/>
      <c r="S11" s="113"/>
      <c r="T11" s="111"/>
      <c r="U11" s="113"/>
      <c r="V11" s="111"/>
      <c r="W11" s="113"/>
      <c r="X11" s="111"/>
      <c r="Y11" s="112"/>
      <c r="Z11" s="112"/>
    </row>
    <row r="12" spans="1:26" ht="21.75" customHeight="1" x14ac:dyDescent="0.2">
      <c r="A12" s="149"/>
      <c r="B12" s="149"/>
      <c r="C12" s="149"/>
      <c r="D12" s="149"/>
      <c r="E12" s="149"/>
      <c r="F12" s="149"/>
      <c r="G12" s="149"/>
      <c r="H12" s="149"/>
      <c r="I12" s="149"/>
      <c r="J12" s="149"/>
      <c r="K12" s="149"/>
      <c r="L12" s="149"/>
      <c r="M12" s="9"/>
      <c r="N12" s="111"/>
      <c r="O12" s="113"/>
      <c r="P12" s="111"/>
      <c r="Q12" s="113"/>
      <c r="R12" s="111"/>
      <c r="S12" s="113"/>
      <c r="T12" s="111"/>
      <c r="U12" s="113"/>
      <c r="V12" s="111"/>
      <c r="W12" s="113"/>
      <c r="X12" s="111"/>
      <c r="Y12" s="112"/>
      <c r="Z12" s="112"/>
    </row>
    <row r="13" spans="1:26" ht="21.75" customHeight="1" x14ac:dyDescent="0.2">
      <c r="A13" s="187" t="s">
        <v>50</v>
      </c>
      <c r="B13" s="195" t="s">
        <v>56</v>
      </c>
      <c r="C13" s="196"/>
      <c r="D13" s="185" t="s">
        <v>190</v>
      </c>
      <c r="E13" s="186"/>
      <c r="F13" s="195" t="s">
        <v>59</v>
      </c>
      <c r="G13" s="196"/>
      <c r="H13" s="40" t="s">
        <v>190</v>
      </c>
      <c r="I13" s="197" t="s">
        <v>5</v>
      </c>
      <c r="J13" s="195" t="s">
        <v>60</v>
      </c>
      <c r="K13" s="187"/>
      <c r="L13" s="41" t="s">
        <v>65</v>
      </c>
      <c r="M13" s="9"/>
      <c r="N13" s="111"/>
      <c r="O13" s="113"/>
      <c r="P13" s="111"/>
      <c r="Q13" s="113"/>
      <c r="R13" s="111"/>
      <c r="S13" s="113"/>
      <c r="T13" s="111"/>
      <c r="U13" s="113"/>
      <c r="V13" s="111"/>
      <c r="W13" s="113"/>
      <c r="X13" s="111"/>
      <c r="Y13" s="112"/>
      <c r="Z13" s="112"/>
    </row>
    <row r="14" spans="1:26" ht="21.75" customHeight="1" x14ac:dyDescent="0.2">
      <c r="A14" s="188"/>
      <c r="B14" s="200" t="s">
        <v>57</v>
      </c>
      <c r="C14" s="201"/>
      <c r="D14" s="202" t="s">
        <v>208</v>
      </c>
      <c r="E14" s="203"/>
      <c r="F14" s="200" t="s">
        <v>57</v>
      </c>
      <c r="G14" s="201"/>
      <c r="H14" s="42" t="s">
        <v>208</v>
      </c>
      <c r="I14" s="198"/>
      <c r="J14" s="200" t="s">
        <v>61</v>
      </c>
      <c r="K14" s="188"/>
      <c r="L14" s="41" t="s">
        <v>66</v>
      </c>
      <c r="M14" s="9"/>
      <c r="N14" s="111"/>
      <c r="O14" s="113"/>
      <c r="P14" s="111"/>
      <c r="Q14" s="113"/>
      <c r="R14" s="111"/>
      <c r="S14" s="113"/>
      <c r="T14" s="111"/>
      <c r="U14" s="113"/>
      <c r="V14" s="111"/>
      <c r="W14" s="113"/>
      <c r="X14" s="111"/>
      <c r="Y14" s="112"/>
      <c r="Z14" s="112"/>
    </row>
    <row r="15" spans="1:26" ht="21.75" customHeight="1" x14ac:dyDescent="0.2">
      <c r="A15" s="188"/>
      <c r="B15" s="191" t="s">
        <v>58</v>
      </c>
      <c r="C15" s="192"/>
      <c r="D15" s="193">
        <v>7200</v>
      </c>
      <c r="E15" s="194"/>
      <c r="F15" s="191" t="s">
        <v>58</v>
      </c>
      <c r="G15" s="192"/>
      <c r="H15" s="43">
        <v>7200</v>
      </c>
      <c r="I15" s="198"/>
      <c r="J15" s="191" t="s">
        <v>62</v>
      </c>
      <c r="K15" s="189"/>
      <c r="L15" s="41" t="s">
        <v>67</v>
      </c>
      <c r="M15" s="9"/>
      <c r="N15" s="111"/>
      <c r="O15" s="113"/>
      <c r="P15" s="111"/>
      <c r="Q15" s="113"/>
      <c r="R15" s="111"/>
      <c r="S15" s="113"/>
      <c r="T15" s="111"/>
      <c r="U15" s="113"/>
      <c r="V15" s="111"/>
      <c r="W15" s="113"/>
      <c r="X15" s="111"/>
      <c r="Y15" s="112"/>
      <c r="Z15" s="112"/>
    </row>
    <row r="16" spans="1:26" ht="21.75" customHeight="1" x14ac:dyDescent="0.2">
      <c r="A16" s="188"/>
      <c r="B16" s="44" t="s">
        <v>51</v>
      </c>
      <c r="C16" s="44" t="s">
        <v>53</v>
      </c>
      <c r="D16" s="44" t="s">
        <v>54</v>
      </c>
      <c r="E16" s="154"/>
      <c r="F16" s="44" t="s">
        <v>51</v>
      </c>
      <c r="G16" s="44" t="s">
        <v>53</v>
      </c>
      <c r="H16" s="45" t="s">
        <v>54</v>
      </c>
      <c r="I16" s="198"/>
      <c r="J16" s="154" t="s">
        <v>63</v>
      </c>
      <c r="K16" s="154" t="s">
        <v>64</v>
      </c>
      <c r="L16" s="41" t="s">
        <v>68</v>
      </c>
      <c r="M16" s="9"/>
      <c r="N16" s="111"/>
      <c r="O16" s="113"/>
      <c r="P16" s="111"/>
      <c r="Q16" s="113"/>
      <c r="R16" s="111"/>
      <c r="S16" s="113"/>
      <c r="T16" s="111"/>
      <c r="U16" s="113"/>
      <c r="V16" s="111"/>
      <c r="W16" s="113"/>
      <c r="X16" s="111"/>
      <c r="Y16" s="112"/>
      <c r="Z16" s="112"/>
    </row>
    <row r="17" spans="1:26" ht="21.75" customHeight="1" x14ac:dyDescent="0.2">
      <c r="A17" s="189"/>
      <c r="B17" s="46" t="s">
        <v>52</v>
      </c>
      <c r="C17" s="46" t="s">
        <v>51</v>
      </c>
      <c r="D17" s="46" t="s">
        <v>55</v>
      </c>
      <c r="E17" s="190"/>
      <c r="F17" s="46" t="s">
        <v>52</v>
      </c>
      <c r="G17" s="46" t="s">
        <v>51</v>
      </c>
      <c r="H17" s="48" t="s">
        <v>55</v>
      </c>
      <c r="I17" s="199"/>
      <c r="J17" s="155"/>
      <c r="K17" s="155"/>
      <c r="L17" s="41" t="s">
        <v>69</v>
      </c>
      <c r="M17" s="130" t="s">
        <v>92</v>
      </c>
      <c r="N17" s="130"/>
      <c r="O17" s="130"/>
      <c r="P17" s="130"/>
      <c r="Q17" s="130"/>
      <c r="R17" s="130"/>
      <c r="S17" s="130"/>
      <c r="T17" s="130"/>
      <c r="U17" s="130"/>
      <c r="V17" s="130"/>
      <c r="W17" s="130"/>
      <c r="X17" s="130"/>
      <c r="Y17" s="130"/>
      <c r="Z17" s="130"/>
    </row>
    <row r="18" spans="1:26" ht="23.25" customHeight="1" x14ac:dyDescent="0.2">
      <c r="A18" s="49" t="s">
        <v>7</v>
      </c>
      <c r="B18" s="82">
        <v>11479.6656</v>
      </c>
      <c r="C18" s="25"/>
      <c r="D18" s="24"/>
      <c r="E18" s="25"/>
      <c r="F18" s="82">
        <v>6383.1791999999996</v>
      </c>
      <c r="G18" s="51"/>
      <c r="H18" s="50"/>
      <c r="I18" s="52"/>
      <c r="J18" s="39"/>
      <c r="K18" s="79"/>
      <c r="L18" s="53"/>
      <c r="M18" s="123" t="s">
        <v>79</v>
      </c>
      <c r="N18" s="121" t="s">
        <v>98</v>
      </c>
      <c r="O18" s="121"/>
      <c r="P18" s="121"/>
      <c r="Q18" s="121" t="s">
        <v>107</v>
      </c>
      <c r="R18" s="121"/>
      <c r="S18" s="121"/>
      <c r="T18" s="121" t="s">
        <v>93</v>
      </c>
      <c r="U18" s="121"/>
      <c r="V18" s="121"/>
      <c r="W18" s="124" t="s">
        <v>91</v>
      </c>
      <c r="X18" s="131"/>
      <c r="Y18" s="131"/>
      <c r="Z18" s="131"/>
    </row>
    <row r="19" spans="1:26" ht="23.25" customHeight="1" x14ac:dyDescent="0.2">
      <c r="A19" s="49" t="s">
        <v>8</v>
      </c>
      <c r="B19" s="82">
        <v>11479.742200000001</v>
      </c>
      <c r="C19" s="25">
        <f>B19-B18</f>
        <v>7.6600000000325963E-2</v>
      </c>
      <c r="D19" s="24">
        <f t="shared" ref="D19:D42" si="0">IF(C19="","",C19*$D$15)</f>
        <v>551.52000000234693</v>
      </c>
      <c r="E19" s="25"/>
      <c r="F19" s="82">
        <v>6383.2348000000002</v>
      </c>
      <c r="G19" s="51">
        <f>F19-ReportObject13_3</f>
        <v>5.5600000000595173E-2</v>
      </c>
      <c r="H19" s="50">
        <f t="shared" ref="H19:H42" si="1">IF(G19="","",G19*$H$15)</f>
        <v>400.32000000428525</v>
      </c>
      <c r="I19" s="52">
        <f t="shared" ref="I19:I42" si="2">IF(H19="","",IF(D19="","",IF(AND(H19=0,D19=0),0,H19/D19)))</f>
        <v>0.72584856397334951</v>
      </c>
      <c r="J19" s="52">
        <v>6.3249680000000001</v>
      </c>
      <c r="K19" s="83"/>
      <c r="L19" s="53"/>
      <c r="M19" s="116"/>
      <c r="N19" s="118"/>
      <c r="O19" s="118"/>
      <c r="P19" s="118"/>
      <c r="Q19" s="118" t="s">
        <v>108</v>
      </c>
      <c r="R19" s="118"/>
      <c r="S19" s="118"/>
      <c r="T19" s="118"/>
      <c r="U19" s="118"/>
      <c r="V19" s="118"/>
      <c r="W19" s="125"/>
      <c r="X19" s="122"/>
      <c r="Y19" s="122"/>
      <c r="Z19" s="122"/>
    </row>
    <row r="20" spans="1:26" ht="23.25" customHeight="1" x14ac:dyDescent="0.2">
      <c r="A20" s="49" t="s">
        <v>9</v>
      </c>
      <c r="B20" s="82">
        <v>11479.807699999999</v>
      </c>
      <c r="C20" s="25">
        <f t="shared" ref="C20:C42" si="3">IF(B20="","",IF(LEN(TRUNC(B19,0))-LEN(TRUNC(B20,0))=0,B20-B19,IF(LEN(TRUNC(B19,0))-LEN(TRUNC(B20,0))&gt;0,VALUE(LEFT(B19,LEN(TRUNC(B19,0))-LEN(TRUNC(B20,0))))*POWER(10,LEN(TRUNC(B20,0)))+B20-B19,B20-B19-VALUE(LEFT(B20,LEN(TRUNC(B20,0))-LEN(TRUNC(B19,0))))*POWER(10,LEN(TRUNC(B19,0))))))</f>
        <v>6.5499999998792191E-2</v>
      </c>
      <c r="D20" s="24">
        <f t="shared" si="0"/>
        <v>471.59999999130378</v>
      </c>
      <c r="E20" s="25"/>
      <c r="F20" s="82">
        <v>6383.2858999999999</v>
      </c>
      <c r="G20" s="51">
        <f>F20-F19</f>
        <v>5.1099999999678403E-2</v>
      </c>
      <c r="H20" s="50">
        <f t="shared" si="1"/>
        <v>367.9199999976845</v>
      </c>
      <c r="I20" s="52">
        <f t="shared" si="2"/>
        <v>0.7801526717652012</v>
      </c>
      <c r="J20" s="52">
        <v>6.3225600000000002</v>
      </c>
      <c r="K20" s="83"/>
      <c r="L20" s="53"/>
      <c r="M20" s="116" t="s">
        <v>80</v>
      </c>
      <c r="N20" s="118" t="s">
        <v>99</v>
      </c>
      <c r="O20" s="118"/>
      <c r="P20" s="118"/>
      <c r="Q20" s="118" t="s">
        <v>181</v>
      </c>
      <c r="R20" s="118"/>
      <c r="S20" s="118"/>
      <c r="T20" s="118" t="s">
        <v>94</v>
      </c>
      <c r="U20" s="118"/>
      <c r="V20" s="118"/>
      <c r="W20" s="125"/>
      <c r="X20" s="122"/>
      <c r="Y20" s="122"/>
      <c r="Z20" s="122"/>
    </row>
    <row r="21" spans="1:26" ht="23.25" customHeight="1" x14ac:dyDescent="0.2">
      <c r="A21" s="49" t="s">
        <v>10</v>
      </c>
      <c r="B21" s="82">
        <v>11479.8699</v>
      </c>
      <c r="C21" s="25">
        <f t="shared" si="3"/>
        <v>6.220000000030268E-2</v>
      </c>
      <c r="D21" s="24">
        <f t="shared" si="0"/>
        <v>447.84000000217929</v>
      </c>
      <c r="E21" s="25"/>
      <c r="F21" s="82">
        <v>6383.3353999999999</v>
      </c>
      <c r="G21" s="51">
        <f t="shared" ref="G21:G42" si="4">F21-F20</f>
        <v>4.9500000000080036E-2</v>
      </c>
      <c r="H21" s="50">
        <f t="shared" si="1"/>
        <v>356.40000000057626</v>
      </c>
      <c r="I21" s="52">
        <f t="shared" si="2"/>
        <v>0.79581993568873244</v>
      </c>
      <c r="J21" s="52">
        <v>6.2995780000000003</v>
      </c>
      <c r="K21" s="83"/>
      <c r="L21" s="53"/>
      <c r="M21" s="117"/>
      <c r="N21" s="119"/>
      <c r="O21" s="119"/>
      <c r="P21" s="119"/>
      <c r="Q21" s="119"/>
      <c r="R21" s="119"/>
      <c r="S21" s="119"/>
      <c r="T21" s="119"/>
      <c r="U21" s="119"/>
      <c r="V21" s="119"/>
      <c r="W21" s="127"/>
      <c r="X21" s="130"/>
      <c r="Y21" s="130"/>
      <c r="Z21" s="130"/>
    </row>
    <row r="22" spans="1:26" ht="23.25" customHeight="1" x14ac:dyDescent="0.2">
      <c r="A22" s="49" t="s">
        <v>11</v>
      </c>
      <c r="B22" s="82">
        <v>11479.951800000001</v>
      </c>
      <c r="C22" s="25">
        <f t="shared" si="3"/>
        <v>8.1900000001041917E-2</v>
      </c>
      <c r="D22" s="24">
        <f t="shared" si="0"/>
        <v>589.6800000075018</v>
      </c>
      <c r="E22" s="25"/>
      <c r="F22" s="82">
        <v>6383.3962000000001</v>
      </c>
      <c r="G22" s="51">
        <f t="shared" si="4"/>
        <v>6.0800000000199361E-2</v>
      </c>
      <c r="H22" s="50">
        <f t="shared" si="1"/>
        <v>437.7600000014354</v>
      </c>
      <c r="I22" s="52">
        <f t="shared" si="2"/>
        <v>0.74236874236173234</v>
      </c>
      <c r="J22" s="52">
        <v>6.3393129999999998</v>
      </c>
      <c r="K22" s="83"/>
      <c r="L22" s="53"/>
      <c r="M22" s="9"/>
      <c r="N22" s="120"/>
      <c r="O22" s="120"/>
      <c r="P22" s="120"/>
      <c r="Q22" s="120"/>
      <c r="R22" s="120"/>
      <c r="S22" s="120"/>
      <c r="T22" s="120"/>
      <c r="U22" s="120"/>
      <c r="V22" s="120"/>
      <c r="W22" s="111"/>
      <c r="X22" s="112"/>
      <c r="Y22" s="112"/>
      <c r="Z22" s="112"/>
    </row>
    <row r="23" spans="1:26" ht="23.25" customHeight="1" x14ac:dyDescent="0.2">
      <c r="A23" s="49" t="s">
        <v>12</v>
      </c>
      <c r="B23" s="82">
        <v>11480.0308</v>
      </c>
      <c r="C23" s="25">
        <f t="shared" si="3"/>
        <v>7.8999999999723514E-2</v>
      </c>
      <c r="D23" s="24">
        <f t="shared" si="0"/>
        <v>568.7999999980093</v>
      </c>
      <c r="E23" s="25"/>
      <c r="F23" s="82">
        <v>6383.4552999999996</v>
      </c>
      <c r="G23" s="51">
        <f t="shared" si="4"/>
        <v>5.9099999999489228E-2</v>
      </c>
      <c r="H23" s="50">
        <f t="shared" si="1"/>
        <v>425.51999999632244</v>
      </c>
      <c r="I23" s="52">
        <f t="shared" si="2"/>
        <v>0.74810126581893754</v>
      </c>
      <c r="J23" s="52">
        <v>6.1381409999999992</v>
      </c>
      <c r="K23" s="83"/>
      <c r="L23" s="53"/>
      <c r="M23" s="9"/>
      <c r="N23" s="120"/>
      <c r="O23" s="120"/>
      <c r="P23" s="120"/>
      <c r="Q23" s="120"/>
      <c r="R23" s="120"/>
      <c r="S23" s="120"/>
      <c r="T23" s="120"/>
      <c r="U23" s="120"/>
      <c r="V23" s="120"/>
      <c r="W23" s="111"/>
      <c r="X23" s="112"/>
      <c r="Y23" s="112"/>
      <c r="Z23" s="112"/>
    </row>
    <row r="24" spans="1:26" ht="23.25" customHeight="1" x14ac:dyDescent="0.2">
      <c r="A24" s="49" t="s">
        <v>13</v>
      </c>
      <c r="B24" s="82">
        <v>11480.1086</v>
      </c>
      <c r="C24" s="25">
        <f t="shared" si="3"/>
        <v>7.7799999999115244E-2</v>
      </c>
      <c r="D24" s="24">
        <f t="shared" si="0"/>
        <v>560.15999999362975</v>
      </c>
      <c r="E24" s="25"/>
      <c r="F24" s="82">
        <v>6383.5117</v>
      </c>
      <c r="G24" s="51">
        <f t="shared" si="4"/>
        <v>5.6400000000394357E-2</v>
      </c>
      <c r="H24" s="50">
        <f t="shared" si="1"/>
        <v>406.08000000283937</v>
      </c>
      <c r="I24" s="52">
        <f t="shared" si="2"/>
        <v>0.72493573266112787</v>
      </c>
      <c r="J24" s="52">
        <v>6.339747</v>
      </c>
      <c r="K24" s="83"/>
      <c r="L24" s="53"/>
      <c r="M24" s="9"/>
      <c r="N24" s="120"/>
      <c r="O24" s="120"/>
      <c r="P24" s="120"/>
      <c r="Q24" s="120"/>
      <c r="R24" s="120"/>
      <c r="S24" s="120"/>
      <c r="T24" s="120"/>
      <c r="U24" s="120"/>
      <c r="V24" s="120"/>
      <c r="W24" s="111"/>
      <c r="X24" s="112"/>
      <c r="Y24" s="112"/>
      <c r="Z24" s="112"/>
    </row>
    <row r="25" spans="1:26" ht="23.25" customHeight="1" x14ac:dyDescent="0.2">
      <c r="A25" s="49" t="s">
        <v>14</v>
      </c>
      <c r="B25" s="82">
        <v>11480.188099999999</v>
      </c>
      <c r="C25" s="25">
        <f t="shared" si="3"/>
        <v>7.9499999999825377E-2</v>
      </c>
      <c r="D25" s="24">
        <f t="shared" si="0"/>
        <v>572.39999999874271</v>
      </c>
      <c r="E25" s="25"/>
      <c r="F25" s="82">
        <v>6383.5689000000002</v>
      </c>
      <c r="G25" s="51">
        <f t="shared" si="4"/>
        <v>5.720000000019354E-2</v>
      </c>
      <c r="H25" s="50">
        <f t="shared" si="1"/>
        <v>411.84000000139349</v>
      </c>
      <c r="I25" s="52">
        <f t="shared" si="2"/>
        <v>0.7194968553499268</v>
      </c>
      <c r="J25" s="52">
        <v>6.3073920000000001</v>
      </c>
      <c r="K25" s="83"/>
      <c r="L25" s="53"/>
      <c r="M25" s="9"/>
      <c r="N25" s="120"/>
      <c r="O25" s="120"/>
      <c r="P25" s="120"/>
      <c r="Q25" s="120"/>
      <c r="R25" s="120"/>
      <c r="S25" s="120"/>
      <c r="T25" s="120"/>
      <c r="U25" s="120"/>
      <c r="V25" s="120"/>
      <c r="W25" s="111"/>
      <c r="X25" s="112"/>
      <c r="Y25" s="112"/>
      <c r="Z25" s="112"/>
    </row>
    <row r="26" spans="1:26" ht="23.25" customHeight="1" x14ac:dyDescent="0.2">
      <c r="A26" s="49" t="s">
        <v>15</v>
      </c>
      <c r="B26" s="82">
        <v>11480.2822</v>
      </c>
      <c r="C26" s="25">
        <f t="shared" si="3"/>
        <v>9.4100000000253203E-2</v>
      </c>
      <c r="D26" s="24">
        <f t="shared" si="0"/>
        <v>677.52000000182306</v>
      </c>
      <c r="E26" s="25"/>
      <c r="F26" s="82">
        <v>6383.6315000000004</v>
      </c>
      <c r="G26" s="51">
        <f t="shared" si="4"/>
        <v>6.2600000000202272E-2</v>
      </c>
      <c r="H26" s="50">
        <f t="shared" si="1"/>
        <v>450.72000000145636</v>
      </c>
      <c r="I26" s="52">
        <f t="shared" si="2"/>
        <v>0.66524973432554546</v>
      </c>
      <c r="J26" s="52">
        <v>6.2838239999999992</v>
      </c>
      <c r="K26" s="83"/>
      <c r="L26" s="53"/>
      <c r="M26" s="9"/>
      <c r="N26" s="120"/>
      <c r="O26" s="120"/>
      <c r="P26" s="120"/>
      <c r="Q26" s="120"/>
      <c r="R26" s="120"/>
      <c r="S26" s="120"/>
      <c r="T26" s="120"/>
      <c r="U26" s="120"/>
      <c r="V26" s="120"/>
      <c r="W26" s="111"/>
      <c r="X26" s="112"/>
      <c r="Y26" s="112"/>
      <c r="Z26" s="112"/>
    </row>
    <row r="27" spans="1:26" ht="23.25" customHeight="1" x14ac:dyDescent="0.2">
      <c r="A27" s="49" t="s">
        <v>16</v>
      </c>
      <c r="B27" s="82">
        <v>11480.4043</v>
      </c>
      <c r="C27" s="25">
        <f t="shared" si="3"/>
        <v>0.12210000000050059</v>
      </c>
      <c r="D27" s="24">
        <f t="shared" si="0"/>
        <v>879.12000000360422</v>
      </c>
      <c r="E27" s="25"/>
      <c r="F27" s="82">
        <v>6383.7098999999998</v>
      </c>
      <c r="G27" s="51">
        <f t="shared" si="4"/>
        <v>7.8399999999419379E-2</v>
      </c>
      <c r="H27" s="50">
        <f t="shared" si="1"/>
        <v>564.47999999581953</v>
      </c>
      <c r="I27" s="52">
        <f t="shared" si="2"/>
        <v>0.64209664208925432</v>
      </c>
      <c r="J27" s="52">
        <v>6.0031049999999997</v>
      </c>
      <c r="K27" s="83"/>
      <c r="L27" s="53"/>
      <c r="M27" s="9"/>
      <c r="N27" s="120"/>
      <c r="O27" s="120"/>
      <c r="P27" s="120"/>
      <c r="Q27" s="120"/>
      <c r="R27" s="120"/>
      <c r="S27" s="120"/>
      <c r="T27" s="120"/>
      <c r="U27" s="120"/>
      <c r="V27" s="120"/>
      <c r="W27" s="111"/>
      <c r="X27" s="112"/>
      <c r="Y27" s="112"/>
      <c r="Z27" s="112"/>
    </row>
    <row r="28" spans="1:26" ht="23.25" customHeight="1" x14ac:dyDescent="0.2">
      <c r="A28" s="49" t="s">
        <v>17</v>
      </c>
      <c r="B28" s="82">
        <v>11480.5473</v>
      </c>
      <c r="C28" s="25">
        <f t="shared" si="3"/>
        <v>0.1430000000000291</v>
      </c>
      <c r="D28" s="24">
        <f t="shared" si="0"/>
        <v>1029.6000000002095</v>
      </c>
      <c r="E28" s="25"/>
      <c r="F28" s="82">
        <v>6383.7995000000001</v>
      </c>
      <c r="G28" s="51">
        <f t="shared" si="4"/>
        <v>8.9600000000245927E-2</v>
      </c>
      <c r="H28" s="50">
        <f t="shared" si="1"/>
        <v>645.12000000177068</v>
      </c>
      <c r="I28" s="52">
        <f t="shared" si="2"/>
        <v>0.6265734265750188</v>
      </c>
      <c r="J28" s="52">
        <v>6.1960139999999999</v>
      </c>
      <c r="K28" s="83"/>
      <c r="L28" s="53"/>
      <c r="M28" s="9"/>
      <c r="N28" s="120"/>
      <c r="O28" s="120"/>
      <c r="P28" s="120"/>
      <c r="Q28" s="120"/>
      <c r="R28" s="120"/>
      <c r="S28" s="120"/>
      <c r="T28" s="120"/>
      <c r="U28" s="120"/>
      <c r="V28" s="120"/>
      <c r="W28" s="111"/>
      <c r="X28" s="112"/>
      <c r="Y28" s="112"/>
      <c r="Z28" s="112"/>
    </row>
    <row r="29" spans="1:26" ht="23.25" customHeight="1" x14ac:dyDescent="0.2">
      <c r="A29" s="49" t="s">
        <v>18</v>
      </c>
      <c r="B29" s="82">
        <v>11480.679899999999</v>
      </c>
      <c r="C29" s="25">
        <f t="shared" si="3"/>
        <v>0.13259999999900174</v>
      </c>
      <c r="D29" s="24">
        <f t="shared" si="0"/>
        <v>954.71999999281252</v>
      </c>
      <c r="E29" s="25"/>
      <c r="F29" s="82">
        <v>6383.884</v>
      </c>
      <c r="G29" s="51">
        <f t="shared" si="4"/>
        <v>8.4499999999934516E-2</v>
      </c>
      <c r="H29" s="50">
        <f t="shared" si="1"/>
        <v>608.39999999952852</v>
      </c>
      <c r="I29" s="52">
        <f t="shared" si="2"/>
        <v>0.63725490196508794</v>
      </c>
      <c r="J29" s="52">
        <v>6.2346719999999998</v>
      </c>
      <c r="K29" s="83"/>
      <c r="L29" s="53"/>
      <c r="M29" s="145" t="s">
        <v>95</v>
      </c>
      <c r="N29" s="145"/>
      <c r="O29" s="145"/>
      <c r="P29" s="145"/>
      <c r="Q29" s="145"/>
      <c r="R29" s="145"/>
      <c r="S29" s="145"/>
      <c r="T29" s="145"/>
      <c r="U29" s="145"/>
      <c r="V29" s="145"/>
      <c r="W29" s="145"/>
      <c r="X29" s="145"/>
      <c r="Y29" s="145"/>
      <c r="Z29" s="145"/>
    </row>
    <row r="30" spans="1:26" ht="23.25" customHeight="1" x14ac:dyDescent="0.2">
      <c r="A30" s="49" t="s">
        <v>19</v>
      </c>
      <c r="B30" s="82">
        <v>11480.8138</v>
      </c>
      <c r="C30" s="25">
        <f t="shared" si="3"/>
        <v>0.13390000000072177</v>
      </c>
      <c r="D30" s="24">
        <f t="shared" si="0"/>
        <v>964.08000000519678</v>
      </c>
      <c r="E30" s="25"/>
      <c r="F30" s="82">
        <v>6383.9701999999997</v>
      </c>
      <c r="G30" s="51">
        <f t="shared" si="4"/>
        <v>8.6199999999735155E-2</v>
      </c>
      <c r="H30" s="50">
        <f t="shared" si="1"/>
        <v>620.63999999809312</v>
      </c>
      <c r="I30" s="52">
        <f t="shared" si="2"/>
        <v>0.64376400298185588</v>
      </c>
      <c r="J30" s="52">
        <v>6.2587250000000001</v>
      </c>
      <c r="K30" s="83"/>
      <c r="L30" s="53"/>
      <c r="M30" s="122" t="s">
        <v>97</v>
      </c>
      <c r="N30" s="122"/>
      <c r="O30" s="122"/>
      <c r="P30" s="122"/>
      <c r="Q30" s="122"/>
      <c r="R30" s="122"/>
      <c r="S30" s="122"/>
      <c r="T30" s="122"/>
      <c r="U30" s="122"/>
      <c r="V30" s="122"/>
      <c r="W30" s="122"/>
      <c r="X30" s="122"/>
      <c r="Y30" s="122"/>
      <c r="Z30" s="122"/>
    </row>
    <row r="31" spans="1:26" ht="23.25" customHeight="1" x14ac:dyDescent="0.2">
      <c r="A31" s="49" t="s">
        <v>20</v>
      </c>
      <c r="B31" s="82">
        <v>11480.9439</v>
      </c>
      <c r="C31" s="25">
        <f t="shared" si="3"/>
        <v>0.13010000000031141</v>
      </c>
      <c r="D31" s="24">
        <f t="shared" si="0"/>
        <v>936.72000000224216</v>
      </c>
      <c r="E31" s="25"/>
      <c r="F31" s="82">
        <v>6384.0515999999998</v>
      </c>
      <c r="G31" s="51">
        <f t="shared" si="4"/>
        <v>8.1400000000030559E-2</v>
      </c>
      <c r="H31" s="50">
        <f t="shared" si="1"/>
        <v>586.08000000022002</v>
      </c>
      <c r="I31" s="52">
        <f t="shared" si="2"/>
        <v>0.62567255956829915</v>
      </c>
      <c r="J31" s="52">
        <v>6.2900119999999999</v>
      </c>
      <c r="K31" s="83"/>
      <c r="L31" s="53"/>
      <c r="M31" s="123" t="s">
        <v>79</v>
      </c>
      <c r="N31" s="121" t="s">
        <v>98</v>
      </c>
      <c r="O31" s="121"/>
      <c r="P31" s="121" t="s">
        <v>100</v>
      </c>
      <c r="Q31" s="121"/>
      <c r="R31" s="121" t="s">
        <v>93</v>
      </c>
      <c r="S31" s="121"/>
      <c r="T31" s="121" t="s">
        <v>103</v>
      </c>
      <c r="U31" s="121"/>
      <c r="V31" s="121" t="s">
        <v>179</v>
      </c>
      <c r="W31" s="121"/>
      <c r="X31" s="121"/>
      <c r="Y31" s="121" t="s">
        <v>91</v>
      </c>
      <c r="Z31" s="124"/>
    </row>
    <row r="32" spans="1:26" ht="23.25" customHeight="1" x14ac:dyDescent="0.2">
      <c r="A32" s="49" t="s">
        <v>21</v>
      </c>
      <c r="B32" s="82">
        <v>11481.0733</v>
      </c>
      <c r="C32" s="25">
        <f t="shared" si="3"/>
        <v>0.129399999999805</v>
      </c>
      <c r="D32" s="24">
        <f t="shared" si="0"/>
        <v>931.67999999859603</v>
      </c>
      <c r="E32" s="25"/>
      <c r="F32" s="82">
        <v>6384.1359000000002</v>
      </c>
      <c r="G32" s="51">
        <f t="shared" si="4"/>
        <v>8.4300000000439468E-2</v>
      </c>
      <c r="H32" s="50">
        <f t="shared" si="1"/>
        <v>606.96000000316417</v>
      </c>
      <c r="I32" s="52">
        <f t="shared" si="2"/>
        <v>0.65146831530576899</v>
      </c>
      <c r="J32" s="52">
        <v>6.2640099999999999</v>
      </c>
      <c r="K32" s="83"/>
      <c r="L32" s="53"/>
      <c r="M32" s="116"/>
      <c r="N32" s="118"/>
      <c r="O32" s="118"/>
      <c r="P32" s="118" t="s">
        <v>83</v>
      </c>
      <c r="Q32" s="118"/>
      <c r="R32" s="118" t="s">
        <v>102</v>
      </c>
      <c r="S32" s="118"/>
      <c r="T32" s="118" t="s">
        <v>104</v>
      </c>
      <c r="U32" s="118"/>
      <c r="V32" s="118" t="s">
        <v>105</v>
      </c>
      <c r="W32" s="118"/>
      <c r="X32" s="118"/>
      <c r="Y32" s="118"/>
      <c r="Z32" s="125"/>
    </row>
    <row r="33" spans="1:26" ht="23.25" customHeight="1" x14ac:dyDescent="0.2">
      <c r="A33" s="49" t="s">
        <v>22</v>
      </c>
      <c r="B33" s="82">
        <v>11481.195</v>
      </c>
      <c r="C33" s="25">
        <f t="shared" si="3"/>
        <v>0.1216999999996915</v>
      </c>
      <c r="D33" s="24">
        <f t="shared" si="0"/>
        <v>876.2399999977788</v>
      </c>
      <c r="E33" s="25"/>
      <c r="F33" s="82">
        <v>6384.2192999999997</v>
      </c>
      <c r="G33" s="51">
        <f t="shared" si="4"/>
        <v>8.3399999999528518E-2</v>
      </c>
      <c r="H33" s="50">
        <f t="shared" si="1"/>
        <v>600.47999999660533</v>
      </c>
      <c r="I33" s="52">
        <f t="shared" si="2"/>
        <v>0.68529170090172498</v>
      </c>
      <c r="J33" s="52">
        <v>6.2564229999999998</v>
      </c>
      <c r="K33" s="83"/>
      <c r="L33" s="53"/>
      <c r="M33" s="116" t="s">
        <v>80</v>
      </c>
      <c r="N33" s="118" t="s">
        <v>99</v>
      </c>
      <c r="O33" s="118"/>
      <c r="P33" s="118" t="s">
        <v>101</v>
      </c>
      <c r="Q33" s="118"/>
      <c r="R33" s="118" t="s">
        <v>69</v>
      </c>
      <c r="S33" s="118"/>
      <c r="T33" s="118" t="s">
        <v>69</v>
      </c>
      <c r="U33" s="118"/>
      <c r="V33" s="118" t="s">
        <v>106</v>
      </c>
      <c r="W33" s="118"/>
      <c r="X33" s="118"/>
      <c r="Y33" s="118"/>
      <c r="Z33" s="125"/>
    </row>
    <row r="34" spans="1:26" ht="23.25" customHeight="1" x14ac:dyDescent="0.2">
      <c r="A34" s="49" t="s">
        <v>23</v>
      </c>
      <c r="B34" s="82">
        <v>11481.319</v>
      </c>
      <c r="C34" s="25">
        <f t="shared" si="3"/>
        <v>0.12399999999979627</v>
      </c>
      <c r="D34" s="24">
        <f t="shared" si="0"/>
        <v>892.79999999853317</v>
      </c>
      <c r="E34" s="25"/>
      <c r="F34" s="82">
        <v>6384.3051999999998</v>
      </c>
      <c r="G34" s="51">
        <f t="shared" si="4"/>
        <v>8.5900000000037835E-2</v>
      </c>
      <c r="H34" s="50">
        <f t="shared" si="1"/>
        <v>618.48000000027241</v>
      </c>
      <c r="I34" s="52">
        <f t="shared" si="2"/>
        <v>0.69274193548531426</v>
      </c>
      <c r="J34" s="52">
        <v>6.1381409999999992</v>
      </c>
      <c r="K34" s="83"/>
      <c r="L34" s="53"/>
      <c r="M34" s="117"/>
      <c r="N34" s="119"/>
      <c r="O34" s="119"/>
      <c r="P34" s="119"/>
      <c r="Q34" s="119"/>
      <c r="R34" s="127"/>
      <c r="S34" s="117"/>
      <c r="T34" s="127"/>
      <c r="U34" s="117"/>
      <c r="V34" s="127"/>
      <c r="W34" s="130"/>
      <c r="X34" s="117"/>
      <c r="Y34" s="119"/>
      <c r="Z34" s="127"/>
    </row>
    <row r="35" spans="1:26" ht="23.25" customHeight="1" x14ac:dyDescent="0.2">
      <c r="A35" s="49" t="s">
        <v>24</v>
      </c>
      <c r="B35" s="82">
        <v>11481.424000000001</v>
      </c>
      <c r="C35" s="25">
        <f t="shared" si="3"/>
        <v>0.10500000000138243</v>
      </c>
      <c r="D35" s="24">
        <f t="shared" si="0"/>
        <v>756.00000000995351</v>
      </c>
      <c r="E35" s="25"/>
      <c r="F35" s="82">
        <v>6384.3756000000003</v>
      </c>
      <c r="G35" s="51">
        <f t="shared" si="4"/>
        <v>7.0400000000518048E-2</v>
      </c>
      <c r="H35" s="50">
        <f t="shared" si="1"/>
        <v>506.88000000372995</v>
      </c>
      <c r="I35" s="52">
        <f t="shared" si="2"/>
        <v>0.67047619047229678</v>
      </c>
      <c r="J35" s="52">
        <v>5.7954160000000003</v>
      </c>
      <c r="K35" s="83"/>
      <c r="L35" s="53"/>
      <c r="M35" s="9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11"/>
    </row>
    <row r="36" spans="1:26" ht="23.25" customHeight="1" x14ac:dyDescent="0.2">
      <c r="A36" s="49" t="s">
        <v>25</v>
      </c>
      <c r="B36" s="82">
        <v>11481.527</v>
      </c>
      <c r="C36" s="25">
        <f t="shared" si="3"/>
        <v>0.10299999999915599</v>
      </c>
      <c r="D36" s="24">
        <f t="shared" si="0"/>
        <v>741.59999999392312</v>
      </c>
      <c r="E36" s="25"/>
      <c r="F36" s="82">
        <v>6384.4409999999998</v>
      </c>
      <c r="G36" s="51">
        <f t="shared" si="4"/>
        <v>6.5399999999499414E-2</v>
      </c>
      <c r="H36" s="50">
        <f t="shared" si="1"/>
        <v>470.87999999639578</v>
      </c>
      <c r="I36" s="52">
        <f t="shared" si="2"/>
        <v>0.63495145631102257</v>
      </c>
      <c r="J36" s="52">
        <v>6.2516040000000004</v>
      </c>
      <c r="K36" s="83"/>
      <c r="L36" s="53"/>
      <c r="M36" s="9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11"/>
    </row>
    <row r="37" spans="1:26" ht="23.25" customHeight="1" x14ac:dyDescent="0.2">
      <c r="A37" s="49" t="s">
        <v>26</v>
      </c>
      <c r="B37" s="82">
        <v>11481.6265</v>
      </c>
      <c r="C37" s="25">
        <f t="shared" si="3"/>
        <v>9.9500000000261934E-2</v>
      </c>
      <c r="D37" s="24">
        <f t="shared" si="0"/>
        <v>716.40000000188593</v>
      </c>
      <c r="E37" s="25"/>
      <c r="F37" s="82">
        <v>6384.5019000000002</v>
      </c>
      <c r="G37" s="51">
        <f t="shared" si="4"/>
        <v>6.0900000000401633E-2</v>
      </c>
      <c r="H37" s="50">
        <f t="shared" si="1"/>
        <v>438.48000000289176</v>
      </c>
      <c r="I37" s="52">
        <f t="shared" si="2"/>
        <v>0.61206030150996293</v>
      </c>
      <c r="J37" s="52">
        <v>6.1936650000000002</v>
      </c>
      <c r="K37" s="83"/>
      <c r="L37" s="53"/>
      <c r="M37" s="9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11"/>
    </row>
    <row r="38" spans="1:26" ht="23.25" customHeight="1" x14ac:dyDescent="0.2">
      <c r="A38" s="49" t="s">
        <v>27</v>
      </c>
      <c r="B38" s="82">
        <v>11481.7268</v>
      </c>
      <c r="C38" s="25">
        <f t="shared" si="3"/>
        <v>0.10030000000006112</v>
      </c>
      <c r="D38" s="24">
        <f t="shared" si="0"/>
        <v>722.16000000044005</v>
      </c>
      <c r="E38" s="25"/>
      <c r="F38" s="82">
        <v>6384.5594000000001</v>
      </c>
      <c r="G38" s="51">
        <f t="shared" si="4"/>
        <v>5.7499999999890861E-2</v>
      </c>
      <c r="H38" s="50">
        <f t="shared" si="1"/>
        <v>413.9999999992142</v>
      </c>
      <c r="I38" s="52">
        <f t="shared" si="2"/>
        <v>0.57328015951999822</v>
      </c>
      <c r="J38" s="52">
        <v>6.0505659999999999</v>
      </c>
      <c r="K38" s="83"/>
      <c r="L38" s="53"/>
      <c r="M38" s="9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11"/>
    </row>
    <row r="39" spans="1:26" ht="23.25" customHeight="1" x14ac:dyDescent="0.2">
      <c r="A39" s="49" t="s">
        <v>28</v>
      </c>
      <c r="B39" s="82">
        <v>11481.8174</v>
      </c>
      <c r="C39" s="25">
        <f t="shared" si="3"/>
        <v>9.0599999999540159E-2</v>
      </c>
      <c r="D39" s="24">
        <f t="shared" si="0"/>
        <v>652.31999999668915</v>
      </c>
      <c r="E39" s="25"/>
      <c r="F39" s="82">
        <v>6384.6118999999999</v>
      </c>
      <c r="G39" s="51">
        <f t="shared" si="4"/>
        <v>5.2499999999781721E-2</v>
      </c>
      <c r="H39" s="50">
        <f t="shared" si="1"/>
        <v>377.99999999842839</v>
      </c>
      <c r="I39" s="52">
        <f t="shared" si="2"/>
        <v>0.57947019867602856</v>
      </c>
      <c r="J39" s="52">
        <v>6.2487389999999996</v>
      </c>
      <c r="K39" s="83"/>
      <c r="L39" s="53"/>
      <c r="M39" s="9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11"/>
    </row>
    <row r="40" spans="1:26" ht="23.25" customHeight="1" x14ac:dyDescent="0.2">
      <c r="A40" s="49" t="s">
        <v>29</v>
      </c>
      <c r="B40" s="82">
        <v>11481.905000000001</v>
      </c>
      <c r="C40" s="25">
        <f t="shared" si="3"/>
        <v>8.7600000000747968E-2</v>
      </c>
      <c r="D40" s="24">
        <f t="shared" si="0"/>
        <v>630.72000000538537</v>
      </c>
      <c r="E40" s="25"/>
      <c r="F40" s="82">
        <v>6384.6638000000003</v>
      </c>
      <c r="G40" s="51">
        <f t="shared" si="4"/>
        <v>5.1900000000387081E-2</v>
      </c>
      <c r="H40" s="50">
        <f t="shared" si="1"/>
        <v>373.68000000278698</v>
      </c>
      <c r="I40" s="52">
        <f t="shared" si="2"/>
        <v>0.59246575342401753</v>
      </c>
      <c r="J40" s="52">
        <v>6.0575590000000004</v>
      </c>
      <c r="K40" s="83"/>
      <c r="L40" s="53"/>
      <c r="M40" s="122" t="s">
        <v>109</v>
      </c>
      <c r="N40" s="122"/>
      <c r="O40" s="122"/>
      <c r="P40" s="122"/>
      <c r="Q40" s="122"/>
      <c r="R40" s="122"/>
      <c r="S40" s="122"/>
      <c r="T40" s="122"/>
      <c r="U40" s="122"/>
      <c r="V40" s="122"/>
      <c r="W40" s="122"/>
      <c r="X40" s="122"/>
      <c r="Y40" s="122"/>
      <c r="Z40" s="122"/>
    </row>
    <row r="41" spans="1:26" ht="23.25" customHeight="1" x14ac:dyDescent="0.2">
      <c r="A41" s="49" t="s">
        <v>30</v>
      </c>
      <c r="B41" s="82">
        <v>11481.990599999999</v>
      </c>
      <c r="C41" s="25">
        <f t="shared" si="3"/>
        <v>8.5599999998521525E-2</v>
      </c>
      <c r="D41" s="24">
        <f t="shared" si="0"/>
        <v>616.31999998935498</v>
      </c>
      <c r="E41" s="25"/>
      <c r="F41" s="82">
        <v>6384.7181</v>
      </c>
      <c r="G41" s="51">
        <f t="shared" si="4"/>
        <v>5.4299999999784632E-2</v>
      </c>
      <c r="H41" s="50">
        <f t="shared" si="1"/>
        <v>390.95999999844935</v>
      </c>
      <c r="I41" s="52">
        <f t="shared" si="2"/>
        <v>0.63434579440096373</v>
      </c>
      <c r="J41" s="52">
        <v>6.3020680000000002</v>
      </c>
      <c r="K41" s="83"/>
      <c r="L41" s="53"/>
      <c r="M41" s="123" t="s">
        <v>79</v>
      </c>
      <c r="N41" s="121" t="s">
        <v>98</v>
      </c>
      <c r="O41" s="121"/>
      <c r="P41" s="121" t="s">
        <v>93</v>
      </c>
      <c r="Q41" s="121"/>
      <c r="R41" s="121"/>
      <c r="S41" s="121" t="s">
        <v>111</v>
      </c>
      <c r="T41" s="121" t="s">
        <v>81</v>
      </c>
      <c r="U41" s="121"/>
      <c r="V41" s="121"/>
      <c r="W41" s="121"/>
      <c r="X41" s="121" t="s">
        <v>93</v>
      </c>
      <c r="Y41" s="121"/>
      <c r="Z41" s="124"/>
    </row>
    <row r="42" spans="1:26" ht="23.25" customHeight="1" x14ac:dyDescent="0.2">
      <c r="A42" s="49" t="s">
        <v>31</v>
      </c>
      <c r="B42" s="82">
        <v>11482.0718</v>
      </c>
      <c r="C42" s="25">
        <f t="shared" si="3"/>
        <v>8.120000000053551E-2</v>
      </c>
      <c r="D42" s="24">
        <f t="shared" si="0"/>
        <v>584.64000000385568</v>
      </c>
      <c r="E42" s="25"/>
      <c r="F42" s="82">
        <v>6384.7725</v>
      </c>
      <c r="G42" s="51">
        <f t="shared" si="4"/>
        <v>5.4399999999986903E-2</v>
      </c>
      <c r="H42" s="50">
        <f t="shared" si="1"/>
        <v>391.6799999999057</v>
      </c>
      <c r="I42" s="52">
        <f t="shared" si="2"/>
        <v>0.66995073891167656</v>
      </c>
      <c r="J42" s="52">
        <v>6.3156210000000002</v>
      </c>
      <c r="K42" s="83"/>
      <c r="L42" s="53"/>
      <c r="M42" s="116"/>
      <c r="N42" s="118"/>
      <c r="O42" s="118"/>
      <c r="P42" s="118"/>
      <c r="Q42" s="118"/>
      <c r="R42" s="118"/>
      <c r="S42" s="118"/>
      <c r="T42" s="118"/>
      <c r="U42" s="118"/>
      <c r="V42" s="118"/>
      <c r="W42" s="118"/>
      <c r="X42" s="118"/>
      <c r="Y42" s="118"/>
      <c r="Z42" s="125"/>
    </row>
    <row r="43" spans="1:26" ht="22.5" customHeight="1" x14ac:dyDescent="0.2">
      <c r="A43" s="184" t="s">
        <v>70</v>
      </c>
      <c r="B43" s="184"/>
      <c r="C43" s="184"/>
      <c r="D43" s="50">
        <f>SUM(D18:D42)</f>
        <v>17324.639999995998</v>
      </c>
      <c r="E43" s="39"/>
      <c r="F43" s="54"/>
      <c r="G43" s="39"/>
      <c r="H43" s="50">
        <f>SUM(H18:H42)</f>
        <v>11471.760000003269</v>
      </c>
      <c r="I43" s="52">
        <f>IF(AND(H43=0,D43=0),0,H43/D43)</f>
        <v>0.66216440861142967</v>
      </c>
      <c r="J43" s="39"/>
      <c r="K43" s="80"/>
      <c r="L43" s="53"/>
      <c r="M43" s="116" t="s">
        <v>80</v>
      </c>
      <c r="N43" s="118" t="s">
        <v>99</v>
      </c>
      <c r="O43" s="118"/>
      <c r="P43" s="118" t="s">
        <v>110</v>
      </c>
      <c r="Q43" s="118"/>
      <c r="R43" s="118"/>
      <c r="S43" s="118"/>
      <c r="T43" s="118"/>
      <c r="U43" s="118"/>
      <c r="V43" s="118"/>
      <c r="W43" s="118"/>
      <c r="X43" s="118" t="s">
        <v>110</v>
      </c>
      <c r="Y43" s="118"/>
      <c r="Z43" s="125"/>
    </row>
    <row r="44" spans="1:26" ht="22.5" customHeight="1" x14ac:dyDescent="0.2">
      <c r="A44" s="183" t="s">
        <v>71</v>
      </c>
      <c r="B44" s="183"/>
      <c r="C44" s="183"/>
      <c r="D44" s="39"/>
      <c r="E44" s="39"/>
      <c r="F44" s="54"/>
      <c r="G44" s="39"/>
      <c r="H44" s="39"/>
      <c r="I44" s="39"/>
      <c r="J44" s="39"/>
      <c r="K44" s="39"/>
      <c r="L44" s="53"/>
      <c r="M44" s="117"/>
      <c r="N44" s="119"/>
      <c r="O44" s="119"/>
      <c r="P44" s="119"/>
      <c r="Q44" s="119"/>
      <c r="R44" s="119"/>
      <c r="S44" s="119"/>
      <c r="T44" s="119"/>
      <c r="U44" s="119"/>
      <c r="V44" s="119"/>
      <c r="W44" s="119"/>
      <c r="X44" s="119"/>
      <c r="Y44" s="119"/>
      <c r="Z44" s="127"/>
    </row>
    <row r="45" spans="1:26" ht="22.5" customHeight="1" x14ac:dyDescent="0.2">
      <c r="A45" s="55"/>
      <c r="B45" s="56"/>
      <c r="C45" s="56"/>
      <c r="D45" s="56"/>
      <c r="E45" s="56"/>
      <c r="F45" s="56"/>
      <c r="G45" s="56"/>
      <c r="H45" s="56"/>
      <c r="I45" s="56"/>
      <c r="J45" s="57"/>
      <c r="K45" s="57"/>
      <c r="L45" s="57"/>
      <c r="M45" s="9"/>
      <c r="N45" s="111"/>
      <c r="O45" s="113"/>
      <c r="P45" s="111"/>
      <c r="Q45" s="112"/>
      <c r="R45" s="113"/>
      <c r="S45" s="7"/>
      <c r="T45" s="111"/>
      <c r="U45" s="112"/>
      <c r="V45" s="112"/>
      <c r="W45" s="113"/>
      <c r="X45" s="111"/>
      <c r="Y45" s="112"/>
      <c r="Z45" s="112"/>
    </row>
    <row r="46" spans="1:26" ht="22.5" customHeight="1" x14ac:dyDescent="0.2">
      <c r="A46" s="182" t="s">
        <v>72</v>
      </c>
      <c r="B46" s="182"/>
      <c r="C46" s="182"/>
      <c r="D46" s="182"/>
      <c r="E46" s="182"/>
      <c r="F46" s="182"/>
      <c r="G46" s="204" t="s">
        <v>73</v>
      </c>
      <c r="H46" s="204"/>
      <c r="I46" s="204"/>
      <c r="J46" s="204"/>
      <c r="K46" s="204"/>
      <c r="L46" s="204"/>
      <c r="M46" s="9"/>
      <c r="N46" s="111"/>
      <c r="O46" s="113"/>
      <c r="P46" s="111"/>
      <c r="Q46" s="112"/>
      <c r="R46" s="113"/>
      <c r="S46" s="7"/>
      <c r="T46" s="111"/>
      <c r="U46" s="112"/>
      <c r="V46" s="112"/>
      <c r="W46" s="113"/>
      <c r="X46" s="111"/>
      <c r="Y46" s="112"/>
      <c r="Z46" s="112"/>
    </row>
    <row r="47" spans="1:26" ht="22.5" customHeight="1" x14ac:dyDescent="0.2">
      <c r="A47" s="144" t="s">
        <v>365</v>
      </c>
      <c r="B47" s="144"/>
      <c r="C47" s="144"/>
      <c r="D47" s="135" t="s">
        <v>74</v>
      </c>
      <c r="E47" s="135"/>
      <c r="F47" s="135"/>
      <c r="G47" s="56"/>
      <c r="H47" s="56"/>
      <c r="I47" s="56"/>
      <c r="J47" s="56"/>
      <c r="K47" s="56"/>
      <c r="L47" s="56"/>
      <c r="M47" s="9"/>
      <c r="N47" s="111"/>
      <c r="O47" s="113"/>
      <c r="P47" s="111"/>
      <c r="Q47" s="112"/>
      <c r="R47" s="113"/>
      <c r="S47" s="7"/>
      <c r="T47" s="111"/>
      <c r="U47" s="112"/>
      <c r="V47" s="112"/>
      <c r="W47" s="113"/>
      <c r="X47" s="111"/>
      <c r="Y47" s="112"/>
      <c r="Z47" s="112"/>
    </row>
    <row r="48" spans="1:26" ht="22.5" customHeight="1" x14ac:dyDescent="0.2">
      <c r="A48" s="175" t="s">
        <v>75</v>
      </c>
      <c r="B48" s="175"/>
      <c r="C48" s="175"/>
      <c r="D48" s="174" t="s">
        <v>76</v>
      </c>
      <c r="E48" s="174"/>
      <c r="F48" s="174"/>
      <c r="G48" s="55"/>
      <c r="H48" s="55"/>
      <c r="I48" s="55"/>
      <c r="J48" s="55"/>
      <c r="K48" s="55"/>
      <c r="L48" s="55"/>
    </row>
    <row r="49" spans="1:23" ht="22.5" customHeight="1" x14ac:dyDescent="0.2">
      <c r="A49" s="144" t="s">
        <v>366</v>
      </c>
      <c r="B49" s="144"/>
      <c r="C49" s="144"/>
      <c r="D49" s="135" t="s">
        <v>74</v>
      </c>
      <c r="E49" s="135"/>
      <c r="F49" s="135"/>
      <c r="G49" s="55"/>
      <c r="H49" s="182" t="s">
        <v>183</v>
      </c>
      <c r="I49" s="182"/>
      <c r="J49" s="182"/>
      <c r="K49" s="182" t="s">
        <v>77</v>
      </c>
      <c r="L49" s="182"/>
      <c r="N49" s="177" t="s">
        <v>150</v>
      </c>
      <c r="O49" s="177"/>
      <c r="P49" s="177"/>
      <c r="Q49" s="176" t="s">
        <v>364</v>
      </c>
      <c r="R49" s="176"/>
      <c r="S49" s="176"/>
      <c r="T49" s="176"/>
      <c r="U49" s="176"/>
      <c r="V49" s="176"/>
      <c r="W49" s="1"/>
    </row>
    <row r="50" spans="1:23" ht="22.5" customHeight="1" x14ac:dyDescent="0.2">
      <c r="A50" s="175" t="s">
        <v>75</v>
      </c>
      <c r="B50" s="175"/>
      <c r="C50" s="175"/>
      <c r="D50" s="174" t="s">
        <v>76</v>
      </c>
      <c r="E50" s="174"/>
      <c r="F50" s="174"/>
      <c r="G50" s="58"/>
      <c r="H50" s="175" t="s">
        <v>75</v>
      </c>
      <c r="I50" s="175"/>
      <c r="J50" s="175"/>
      <c r="K50" s="175" t="s">
        <v>76</v>
      </c>
      <c r="L50" s="175"/>
      <c r="S50" s="173" t="s">
        <v>76</v>
      </c>
      <c r="T50" s="173"/>
    </row>
    <row r="51" spans="1:23" ht="20.100000000000001" customHeight="1" x14ac:dyDescent="0.2">
      <c r="A51" s="144" t="s">
        <v>367</v>
      </c>
      <c r="B51" s="144"/>
      <c r="C51" s="144"/>
      <c r="D51" s="135" t="s">
        <v>74</v>
      </c>
      <c r="E51" s="135"/>
      <c r="F51" s="135"/>
      <c r="G51" s="55"/>
      <c r="H51" s="55"/>
      <c r="I51" s="55"/>
      <c r="J51" s="55"/>
      <c r="K51" s="55"/>
      <c r="L51" s="55"/>
    </row>
    <row r="52" spans="1:23" ht="20.100000000000001" customHeight="1" x14ac:dyDescent="0.2">
      <c r="A52" s="174" t="s">
        <v>75</v>
      </c>
      <c r="B52" s="174"/>
      <c r="C52" s="174"/>
      <c r="D52" s="173" t="s">
        <v>76</v>
      </c>
      <c r="E52" s="173"/>
      <c r="F52" s="173"/>
      <c r="G52" s="63"/>
      <c r="H52" s="63"/>
      <c r="I52" s="64"/>
      <c r="J52" s="64"/>
      <c r="K52" s="64"/>
      <c r="L52" s="64"/>
    </row>
  </sheetData>
  <sheetProtection sheet="1" objects="1" scenarios="1"/>
  <mergeCells count="258">
    <mergeCell ref="I1:L2"/>
    <mergeCell ref="G5:H6"/>
    <mergeCell ref="I5:L6"/>
    <mergeCell ref="S50:T50"/>
    <mergeCell ref="N39:O39"/>
    <mergeCell ref="P39:Q39"/>
    <mergeCell ref="N41:O42"/>
    <mergeCell ref="P41:R42"/>
    <mergeCell ref="M40:Z40"/>
    <mergeCell ref="M41:M42"/>
    <mergeCell ref="Q49:V49"/>
    <mergeCell ref="N49:P49"/>
    <mergeCell ref="P45:R45"/>
    <mergeCell ref="P46:R46"/>
    <mergeCell ref="P47:R47"/>
    <mergeCell ref="N45:O45"/>
    <mergeCell ref="N46:O46"/>
    <mergeCell ref="X45:Z45"/>
    <mergeCell ref="X46:Z46"/>
    <mergeCell ref="X47:Z47"/>
    <mergeCell ref="M43:M44"/>
    <mergeCell ref="N47:O47"/>
    <mergeCell ref="T45:W45"/>
    <mergeCell ref="T46:W46"/>
    <mergeCell ref="T47:W47"/>
    <mergeCell ref="N43:O44"/>
    <mergeCell ref="P43:R44"/>
    <mergeCell ref="R39:S39"/>
    <mergeCell ref="T39:U39"/>
    <mergeCell ref="V39:X39"/>
    <mergeCell ref="Y39:Z39"/>
    <mergeCell ref="S41:S44"/>
    <mergeCell ref="T41:W44"/>
    <mergeCell ref="X41:Z42"/>
    <mergeCell ref="X43:Z44"/>
    <mergeCell ref="Y37:Z37"/>
    <mergeCell ref="V38:X38"/>
    <mergeCell ref="Y38:Z38"/>
    <mergeCell ref="Y35:Z35"/>
    <mergeCell ref="N36:O36"/>
    <mergeCell ref="P36:Q36"/>
    <mergeCell ref="R36:S36"/>
    <mergeCell ref="T36:U36"/>
    <mergeCell ref="V36:X36"/>
    <mergeCell ref="Y36:Z36"/>
    <mergeCell ref="N35:O35"/>
    <mergeCell ref="P35:Q35"/>
    <mergeCell ref="R35:S35"/>
    <mergeCell ref="T35:U35"/>
    <mergeCell ref="V35:X35"/>
    <mergeCell ref="N37:O37"/>
    <mergeCell ref="P37:Q37"/>
    <mergeCell ref="R37:S37"/>
    <mergeCell ref="T37:U37"/>
    <mergeCell ref="N38:O38"/>
    <mergeCell ref="P38:Q38"/>
    <mergeCell ref="R38:S38"/>
    <mergeCell ref="T38:U38"/>
    <mergeCell ref="T11:U11"/>
    <mergeCell ref="T12:U12"/>
    <mergeCell ref="T13:U13"/>
    <mergeCell ref="N18:P19"/>
    <mergeCell ref="N23:P23"/>
    <mergeCell ref="N27:P27"/>
    <mergeCell ref="Q27:S27"/>
    <mergeCell ref="T27:V27"/>
    <mergeCell ref="V37:X37"/>
    <mergeCell ref="R34:S34"/>
    <mergeCell ref="T34:U34"/>
    <mergeCell ref="V34:X34"/>
    <mergeCell ref="Q26:S26"/>
    <mergeCell ref="N28:P28"/>
    <mergeCell ref="Q28:S28"/>
    <mergeCell ref="T28:V28"/>
    <mergeCell ref="N26:P26"/>
    <mergeCell ref="N25:P25"/>
    <mergeCell ref="Q25:S25"/>
    <mergeCell ref="T25:V25"/>
    <mergeCell ref="W25:Z25"/>
    <mergeCell ref="Q23:S23"/>
    <mergeCell ref="T23:V23"/>
    <mergeCell ref="W18:Z21"/>
    <mergeCell ref="T26:V26"/>
    <mergeCell ref="N24:P24"/>
    <mergeCell ref="Q24:S24"/>
    <mergeCell ref="W26:Z26"/>
    <mergeCell ref="W23:Z23"/>
    <mergeCell ref="W24:Z24"/>
    <mergeCell ref="N22:P22"/>
    <mergeCell ref="M18:M19"/>
    <mergeCell ref="M20:M21"/>
    <mergeCell ref="Q22:S22"/>
    <mergeCell ref="T22:V22"/>
    <mergeCell ref="Q18:S18"/>
    <mergeCell ref="N20:P21"/>
    <mergeCell ref="T18:V19"/>
    <mergeCell ref="Q19:S19"/>
    <mergeCell ref="Q20:S20"/>
    <mergeCell ref="V9:W9"/>
    <mergeCell ref="R10:S10"/>
    <mergeCell ref="T8:U8"/>
    <mergeCell ref="T9:U9"/>
    <mergeCell ref="T10:U10"/>
    <mergeCell ref="W28:Z28"/>
    <mergeCell ref="T24:V24"/>
    <mergeCell ref="W22:Z22"/>
    <mergeCell ref="T20:V21"/>
    <mergeCell ref="Q21:S21"/>
    <mergeCell ref="W27:Z27"/>
    <mergeCell ref="X9:Z9"/>
    <mergeCell ref="X10:Z10"/>
    <mergeCell ref="X11:Z11"/>
    <mergeCell ref="X12:Z12"/>
    <mergeCell ref="X13:Z13"/>
    <mergeCell ref="X14:Z14"/>
    <mergeCell ref="X15:Z15"/>
    <mergeCell ref="X16:Z16"/>
    <mergeCell ref="V14:W14"/>
    <mergeCell ref="V11:W11"/>
    <mergeCell ref="V12:W12"/>
    <mergeCell ref="V13:W13"/>
    <mergeCell ref="V10:W10"/>
    <mergeCell ref="X8:Z8"/>
    <mergeCell ref="R16:S16"/>
    <mergeCell ref="V15:W15"/>
    <mergeCell ref="V16:W16"/>
    <mergeCell ref="T16:U16"/>
    <mergeCell ref="T7:U7"/>
    <mergeCell ref="N7:O7"/>
    <mergeCell ref="V7:W7"/>
    <mergeCell ref="P11:Q11"/>
    <mergeCell ref="R7:S7"/>
    <mergeCell ref="R8:S8"/>
    <mergeCell ref="R9:S9"/>
    <mergeCell ref="P12:Q12"/>
    <mergeCell ref="T14:U14"/>
    <mergeCell ref="T15:U15"/>
    <mergeCell ref="P13:Q13"/>
    <mergeCell ref="P14:Q14"/>
    <mergeCell ref="P15:Q15"/>
    <mergeCell ref="R11:S11"/>
    <mergeCell ref="R12:S12"/>
    <mergeCell ref="R13:S13"/>
    <mergeCell ref="R14:S14"/>
    <mergeCell ref="R15:S15"/>
    <mergeCell ref="V8:W8"/>
    <mergeCell ref="M1:Z1"/>
    <mergeCell ref="M2:Z2"/>
    <mergeCell ref="X3:Z6"/>
    <mergeCell ref="M5:M6"/>
    <mergeCell ref="M3:M4"/>
    <mergeCell ref="P3:Q4"/>
    <mergeCell ref="R3:S3"/>
    <mergeCell ref="R4:S4"/>
    <mergeCell ref="R5:S5"/>
    <mergeCell ref="R6:S6"/>
    <mergeCell ref="P5:Q6"/>
    <mergeCell ref="N3:O6"/>
    <mergeCell ref="T3:U3"/>
    <mergeCell ref="T4:U4"/>
    <mergeCell ref="T5:U5"/>
    <mergeCell ref="V3:W3"/>
    <mergeCell ref="V4:W4"/>
    <mergeCell ref="V5:W5"/>
    <mergeCell ref="V6:W6"/>
    <mergeCell ref="T6:U6"/>
    <mergeCell ref="M33:M34"/>
    <mergeCell ref="M29:Z29"/>
    <mergeCell ref="M30:Z30"/>
    <mergeCell ref="V31:X31"/>
    <mergeCell ref="V32:X32"/>
    <mergeCell ref="Y31:Z34"/>
    <mergeCell ref="V33:X33"/>
    <mergeCell ref="R33:S33"/>
    <mergeCell ref="T31:U31"/>
    <mergeCell ref="T32:U32"/>
    <mergeCell ref="M31:M32"/>
    <mergeCell ref="T33:U33"/>
    <mergeCell ref="R31:S31"/>
    <mergeCell ref="R32:S32"/>
    <mergeCell ref="N31:O32"/>
    <mergeCell ref="N33:O34"/>
    <mergeCell ref="P31:Q31"/>
    <mergeCell ref="P32:Q32"/>
    <mergeCell ref="P33:Q33"/>
    <mergeCell ref="P34:Q34"/>
    <mergeCell ref="H10:L10"/>
    <mergeCell ref="J16:J17"/>
    <mergeCell ref="K16:K17"/>
    <mergeCell ref="A13:A17"/>
    <mergeCell ref="N10:O10"/>
    <mergeCell ref="N11:O11"/>
    <mergeCell ref="P7:Q7"/>
    <mergeCell ref="P8:Q8"/>
    <mergeCell ref="P9:Q9"/>
    <mergeCell ref="P10:Q10"/>
    <mergeCell ref="N8:O8"/>
    <mergeCell ref="N14:O14"/>
    <mergeCell ref="N15:O15"/>
    <mergeCell ref="N16:O16"/>
    <mergeCell ref="N12:O12"/>
    <mergeCell ref="N13:O13"/>
    <mergeCell ref="I13:I17"/>
    <mergeCell ref="J13:K13"/>
    <mergeCell ref="J14:K14"/>
    <mergeCell ref="J15:K15"/>
    <mergeCell ref="N9:O9"/>
    <mergeCell ref="P16:Q16"/>
    <mergeCell ref="M17:Z17"/>
    <mergeCell ref="X7:Z7"/>
    <mergeCell ref="A51:C51"/>
    <mergeCell ref="D51:F51"/>
    <mergeCell ref="A52:C52"/>
    <mergeCell ref="D52:F52"/>
    <mergeCell ref="A44:C44"/>
    <mergeCell ref="D47:F47"/>
    <mergeCell ref="H49:J49"/>
    <mergeCell ref="K49:L49"/>
    <mergeCell ref="A7:L7"/>
    <mergeCell ref="F13:G13"/>
    <mergeCell ref="I11:L11"/>
    <mergeCell ref="B14:C14"/>
    <mergeCell ref="D14:E14"/>
    <mergeCell ref="A8:L8"/>
    <mergeCell ref="H50:J50"/>
    <mergeCell ref="K50:L50"/>
    <mergeCell ref="D49:F49"/>
    <mergeCell ref="A48:C48"/>
    <mergeCell ref="A49:C49"/>
    <mergeCell ref="A50:C50"/>
    <mergeCell ref="D50:F50"/>
    <mergeCell ref="D48:F48"/>
    <mergeCell ref="A47:C47"/>
    <mergeCell ref="D13:E13"/>
    <mergeCell ref="G1:H2"/>
    <mergeCell ref="A9:L9"/>
    <mergeCell ref="G46:L46"/>
    <mergeCell ref="G3:H4"/>
    <mergeCell ref="I3:L4"/>
    <mergeCell ref="A1:F1"/>
    <mergeCell ref="A2:F2"/>
    <mergeCell ref="A3:F3"/>
    <mergeCell ref="A4:F4"/>
    <mergeCell ref="A5:F5"/>
    <mergeCell ref="A6:F6"/>
    <mergeCell ref="F14:G14"/>
    <mergeCell ref="F15:G15"/>
    <mergeCell ref="A11:D11"/>
    <mergeCell ref="E11:H11"/>
    <mergeCell ref="A10:D10"/>
    <mergeCell ref="E10:G10"/>
    <mergeCell ref="A43:C43"/>
    <mergeCell ref="E16:E17"/>
    <mergeCell ref="B15:C15"/>
    <mergeCell ref="D15:E15"/>
    <mergeCell ref="B13:C13"/>
    <mergeCell ref="A46:F46"/>
    <mergeCell ref="A12:L12"/>
  </mergeCells>
  <phoneticPr fontId="0" type="noConversion"/>
  <printOptions horizontalCentered="1"/>
  <pageMargins left="0.39370078740157483" right="0.39370078740157483" top="0.19685039370078741" bottom="0.19685039370078741" header="0" footer="0"/>
  <pageSetup paperSize="9" scale="66" orientation="portrait" horizontalDpi="180" verticalDpi="180" r:id="rId1"/>
  <headerFooter alignWithMargins="0"/>
  <colBreaks count="1" manualBreakCount="1">
    <brk id="12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4"/>
  <dimension ref="A1:Z52"/>
  <sheetViews>
    <sheetView view="pageBreakPreview" topLeftCell="A11" zoomScale="75" zoomScaleNormal="50" zoomScaleSheetLayoutView="75" workbookViewId="0">
      <selection activeCell="L43" sqref="L43"/>
    </sheetView>
  </sheetViews>
  <sheetFormatPr defaultRowHeight="18.75" x14ac:dyDescent="0.2"/>
  <cols>
    <col min="1" max="1" width="11.140625" style="2" customWidth="1"/>
    <col min="2" max="2" width="15" style="2" customWidth="1"/>
    <col min="3" max="3" width="12.140625" style="2" customWidth="1"/>
    <col min="4" max="4" width="13.140625" style="2" customWidth="1"/>
    <col min="5" max="5" width="5.42578125" style="2" customWidth="1"/>
    <col min="6" max="6" width="15.28515625" style="2" customWidth="1"/>
    <col min="7" max="7" width="12.28515625" style="2" customWidth="1"/>
    <col min="8" max="8" width="16.28515625" style="2" customWidth="1"/>
    <col min="9" max="9" width="8.28515625" style="2" customWidth="1"/>
    <col min="10" max="11" width="8.85546875" style="2" customWidth="1"/>
    <col min="12" max="12" width="18.42578125" style="2" customWidth="1"/>
    <col min="13" max="26" width="10.28515625" style="2" customWidth="1"/>
    <col min="27" max="16384" width="9.140625" style="2"/>
  </cols>
  <sheetData>
    <row r="1" spans="1:26" ht="21.75" customHeight="1" x14ac:dyDescent="0.2">
      <c r="A1" s="115" t="s">
        <v>157</v>
      </c>
      <c r="B1" s="115"/>
      <c r="C1" s="115"/>
      <c r="D1" s="115"/>
      <c r="E1" s="115"/>
      <c r="F1" s="115"/>
      <c r="G1" s="150" t="s">
        <v>154</v>
      </c>
      <c r="H1" s="150"/>
      <c r="I1" s="115" t="s">
        <v>160</v>
      </c>
      <c r="J1" s="115"/>
      <c r="K1" s="115"/>
      <c r="L1" s="115"/>
      <c r="M1" s="122" t="s">
        <v>96</v>
      </c>
      <c r="N1" s="122"/>
      <c r="O1" s="122"/>
      <c r="P1" s="122"/>
      <c r="Q1" s="122"/>
      <c r="R1" s="122"/>
      <c r="S1" s="122"/>
      <c r="T1" s="122"/>
      <c r="U1" s="122"/>
      <c r="V1" s="122"/>
      <c r="W1" s="122"/>
      <c r="X1" s="122"/>
      <c r="Y1" s="122"/>
      <c r="Z1" s="122"/>
    </row>
    <row r="2" spans="1:26" ht="21.75" customHeight="1" x14ac:dyDescent="0.2">
      <c r="A2" s="146" t="s">
        <v>45</v>
      </c>
      <c r="B2" s="146"/>
      <c r="C2" s="146"/>
      <c r="D2" s="146"/>
      <c r="E2" s="146"/>
      <c r="F2" s="146"/>
      <c r="G2" s="150"/>
      <c r="H2" s="150"/>
      <c r="I2" s="115"/>
      <c r="J2" s="115"/>
      <c r="K2" s="115"/>
      <c r="L2" s="115"/>
      <c r="M2" s="122" t="s">
        <v>78</v>
      </c>
      <c r="N2" s="122"/>
      <c r="O2" s="122"/>
      <c r="P2" s="122"/>
      <c r="Q2" s="122"/>
      <c r="R2" s="122"/>
      <c r="S2" s="122"/>
      <c r="T2" s="122"/>
      <c r="U2" s="122"/>
      <c r="V2" s="122"/>
      <c r="W2" s="122"/>
      <c r="X2" s="122"/>
      <c r="Y2" s="122"/>
      <c r="Z2" s="122"/>
    </row>
    <row r="3" spans="1:26" ht="21.75" customHeight="1" x14ac:dyDescent="0.2">
      <c r="A3" s="115" t="s">
        <v>158</v>
      </c>
      <c r="B3" s="147"/>
      <c r="C3" s="147"/>
      <c r="D3" s="147"/>
      <c r="E3" s="147"/>
      <c r="F3" s="147"/>
      <c r="G3" s="150" t="s">
        <v>155</v>
      </c>
      <c r="H3" s="150"/>
      <c r="I3" s="115" t="s">
        <v>209</v>
      </c>
      <c r="J3" s="115"/>
      <c r="K3" s="115"/>
      <c r="L3" s="115"/>
      <c r="M3" s="123" t="s">
        <v>79</v>
      </c>
      <c r="N3" s="124" t="s">
        <v>81</v>
      </c>
      <c r="O3" s="123"/>
      <c r="P3" s="124" t="s">
        <v>65</v>
      </c>
      <c r="Q3" s="123"/>
      <c r="R3" s="124" t="s">
        <v>82</v>
      </c>
      <c r="S3" s="123"/>
      <c r="T3" s="124" t="s">
        <v>85</v>
      </c>
      <c r="U3" s="123"/>
      <c r="V3" s="124" t="s">
        <v>87</v>
      </c>
      <c r="W3" s="123"/>
      <c r="X3" s="128" t="s">
        <v>91</v>
      </c>
      <c r="Y3" s="132"/>
      <c r="Z3" s="132"/>
    </row>
    <row r="4" spans="1:26" ht="29.25" customHeight="1" x14ac:dyDescent="0.2">
      <c r="A4" s="146" t="s">
        <v>46</v>
      </c>
      <c r="B4" s="146"/>
      <c r="C4" s="146"/>
      <c r="D4" s="146"/>
      <c r="E4" s="146"/>
      <c r="F4" s="146"/>
      <c r="G4" s="150"/>
      <c r="H4" s="150"/>
      <c r="I4" s="115"/>
      <c r="J4" s="115"/>
      <c r="K4" s="115"/>
      <c r="L4" s="115"/>
      <c r="M4" s="116"/>
      <c r="N4" s="125"/>
      <c r="O4" s="116"/>
      <c r="P4" s="125"/>
      <c r="Q4" s="116"/>
      <c r="R4" s="125" t="s">
        <v>83</v>
      </c>
      <c r="S4" s="116"/>
      <c r="T4" s="125" t="s">
        <v>86</v>
      </c>
      <c r="U4" s="116"/>
      <c r="V4" s="125" t="s">
        <v>88</v>
      </c>
      <c r="W4" s="116"/>
      <c r="X4" s="128"/>
      <c r="Y4" s="132"/>
      <c r="Z4" s="132"/>
    </row>
    <row r="5" spans="1:26" ht="21.75" customHeight="1" x14ac:dyDescent="0.2">
      <c r="A5" s="115" t="s">
        <v>178</v>
      </c>
      <c r="B5" s="147"/>
      <c r="C5" s="147"/>
      <c r="D5" s="147"/>
      <c r="E5" s="147"/>
      <c r="F5" s="147"/>
      <c r="G5" s="150" t="s">
        <v>156</v>
      </c>
      <c r="H5" s="150"/>
      <c r="I5" s="115" t="s">
        <v>210</v>
      </c>
      <c r="J5" s="115"/>
      <c r="K5" s="115"/>
      <c r="L5" s="115"/>
      <c r="M5" s="116" t="s">
        <v>80</v>
      </c>
      <c r="N5" s="125"/>
      <c r="O5" s="116"/>
      <c r="P5" s="125" t="s">
        <v>182</v>
      </c>
      <c r="Q5" s="116"/>
      <c r="R5" s="133" t="s">
        <v>84</v>
      </c>
      <c r="S5" s="134"/>
      <c r="T5" s="133" t="s">
        <v>84</v>
      </c>
      <c r="U5" s="134"/>
      <c r="V5" s="125" t="s">
        <v>89</v>
      </c>
      <c r="W5" s="116"/>
      <c r="X5" s="128"/>
      <c r="Y5" s="132"/>
      <c r="Z5" s="132"/>
    </row>
    <row r="6" spans="1:26" ht="21.75" customHeight="1" x14ac:dyDescent="0.2">
      <c r="A6" s="146" t="s">
        <v>47</v>
      </c>
      <c r="B6" s="146"/>
      <c r="C6" s="146"/>
      <c r="D6" s="146"/>
      <c r="E6" s="146"/>
      <c r="F6" s="146"/>
      <c r="G6" s="150"/>
      <c r="H6" s="150"/>
      <c r="I6" s="115"/>
      <c r="J6" s="115"/>
      <c r="K6" s="115"/>
      <c r="L6" s="115"/>
      <c r="M6" s="117"/>
      <c r="N6" s="127"/>
      <c r="O6" s="117"/>
      <c r="P6" s="127"/>
      <c r="Q6" s="117"/>
      <c r="R6" s="127"/>
      <c r="S6" s="117"/>
      <c r="T6" s="127"/>
      <c r="U6" s="117"/>
      <c r="V6" s="127" t="s">
        <v>90</v>
      </c>
      <c r="W6" s="117"/>
      <c r="X6" s="128"/>
      <c r="Y6" s="132"/>
      <c r="Z6" s="132"/>
    </row>
    <row r="7" spans="1:26" ht="21.75" customHeight="1" x14ac:dyDescent="0.2">
      <c r="A7" s="122"/>
      <c r="B7" s="122"/>
      <c r="C7" s="122"/>
      <c r="D7" s="122"/>
      <c r="E7" s="122"/>
      <c r="F7" s="122"/>
      <c r="G7" s="122"/>
      <c r="H7" s="122"/>
      <c r="I7" s="122"/>
      <c r="J7" s="122"/>
      <c r="K7" s="122"/>
      <c r="L7" s="122"/>
      <c r="M7" s="9"/>
      <c r="N7" s="111"/>
      <c r="O7" s="113"/>
      <c r="P7" s="111"/>
      <c r="Q7" s="113"/>
      <c r="R7" s="111"/>
      <c r="S7" s="113"/>
      <c r="T7" s="111"/>
      <c r="U7" s="113"/>
      <c r="V7" s="111"/>
      <c r="W7" s="113"/>
      <c r="X7" s="111"/>
      <c r="Y7" s="112"/>
      <c r="Z7" s="112"/>
    </row>
    <row r="8" spans="1:26" ht="22.5" customHeight="1" x14ac:dyDescent="0.2">
      <c r="A8" s="143" t="s">
        <v>48</v>
      </c>
      <c r="B8" s="143"/>
      <c r="C8" s="143"/>
      <c r="D8" s="143"/>
      <c r="E8" s="143"/>
      <c r="F8" s="143"/>
      <c r="G8" s="143"/>
      <c r="H8" s="143"/>
      <c r="I8" s="143"/>
      <c r="J8" s="143"/>
      <c r="K8" s="143"/>
      <c r="L8" s="143"/>
      <c r="M8" s="9"/>
      <c r="N8" s="111"/>
      <c r="O8" s="113"/>
      <c r="P8" s="111"/>
      <c r="Q8" s="113"/>
      <c r="R8" s="111"/>
      <c r="S8" s="113"/>
      <c r="T8" s="111"/>
      <c r="U8" s="113"/>
      <c r="V8" s="111"/>
      <c r="W8" s="113"/>
      <c r="X8" s="111"/>
      <c r="Y8" s="112"/>
      <c r="Z8" s="112"/>
    </row>
    <row r="9" spans="1:26" ht="22.5" customHeight="1" x14ac:dyDescent="0.2">
      <c r="A9" s="156" t="s">
        <v>49</v>
      </c>
      <c r="B9" s="156"/>
      <c r="C9" s="156"/>
      <c r="D9" s="156"/>
      <c r="E9" s="156"/>
      <c r="F9" s="156"/>
      <c r="G9" s="156"/>
      <c r="H9" s="156"/>
      <c r="I9" s="156"/>
      <c r="J9" s="156"/>
      <c r="K9" s="156"/>
      <c r="L9" s="156"/>
      <c r="M9" s="9"/>
      <c r="N9" s="111"/>
      <c r="O9" s="113"/>
      <c r="P9" s="111"/>
      <c r="Q9" s="113"/>
      <c r="R9" s="111"/>
      <c r="S9" s="113"/>
      <c r="T9" s="111"/>
      <c r="U9" s="113"/>
      <c r="V9" s="111"/>
      <c r="W9" s="113"/>
      <c r="X9" s="111"/>
      <c r="Y9" s="112"/>
      <c r="Z9" s="112"/>
    </row>
    <row r="10" spans="1:26" ht="22.5" customHeight="1" x14ac:dyDescent="0.2">
      <c r="A10" s="151" t="s">
        <v>112</v>
      </c>
      <c r="B10" s="151"/>
      <c r="C10" s="151"/>
      <c r="D10" s="151"/>
      <c r="E10" s="162" t="s">
        <v>407</v>
      </c>
      <c r="F10" s="163"/>
      <c r="G10" s="163"/>
      <c r="H10" s="138" t="s">
        <v>369</v>
      </c>
      <c r="I10" s="138"/>
      <c r="J10" s="138"/>
      <c r="K10" s="138"/>
      <c r="L10" s="138"/>
      <c r="M10" s="9"/>
      <c r="N10" s="111"/>
      <c r="O10" s="113"/>
      <c r="P10" s="111"/>
      <c r="Q10" s="113"/>
      <c r="R10" s="111"/>
      <c r="S10" s="113"/>
      <c r="T10" s="111"/>
      <c r="U10" s="113"/>
      <c r="V10" s="111"/>
      <c r="W10" s="113"/>
      <c r="X10" s="111"/>
      <c r="Y10" s="112"/>
      <c r="Z10" s="112"/>
    </row>
    <row r="11" spans="1:26" ht="22.5" customHeight="1" x14ac:dyDescent="0.2">
      <c r="A11" s="151" t="s">
        <v>113</v>
      </c>
      <c r="B11" s="151"/>
      <c r="C11" s="151"/>
      <c r="D11" s="151"/>
      <c r="E11" s="161" t="s">
        <v>220</v>
      </c>
      <c r="F11" s="161"/>
      <c r="G11" s="161"/>
      <c r="H11" s="161"/>
      <c r="I11" s="138" t="s">
        <v>114</v>
      </c>
      <c r="J11" s="138"/>
      <c r="K11" s="138"/>
      <c r="L11" s="138"/>
      <c r="M11" s="9"/>
      <c r="N11" s="111"/>
      <c r="O11" s="113"/>
      <c r="P11" s="111"/>
      <c r="Q11" s="113"/>
      <c r="R11" s="111"/>
      <c r="S11" s="113"/>
      <c r="T11" s="111"/>
      <c r="U11" s="113"/>
      <c r="V11" s="111"/>
      <c r="W11" s="113"/>
      <c r="X11" s="111"/>
      <c r="Y11" s="112"/>
      <c r="Z11" s="112"/>
    </row>
    <row r="12" spans="1:26" ht="21.75" customHeight="1" x14ac:dyDescent="0.2">
      <c r="A12" s="149"/>
      <c r="B12" s="149"/>
      <c r="C12" s="149"/>
      <c r="D12" s="149"/>
      <c r="E12" s="149"/>
      <c r="F12" s="149"/>
      <c r="G12" s="149"/>
      <c r="H12" s="149"/>
      <c r="I12" s="149"/>
      <c r="J12" s="149"/>
      <c r="K12" s="149"/>
      <c r="L12" s="149"/>
      <c r="M12" s="9"/>
      <c r="N12" s="111"/>
      <c r="O12" s="113"/>
      <c r="P12" s="111"/>
      <c r="Q12" s="113"/>
      <c r="R12" s="111"/>
      <c r="S12" s="113"/>
      <c r="T12" s="111"/>
      <c r="U12" s="113"/>
      <c r="V12" s="111"/>
      <c r="W12" s="113"/>
      <c r="X12" s="111"/>
      <c r="Y12" s="112"/>
      <c r="Z12" s="112"/>
    </row>
    <row r="13" spans="1:26" ht="21.75" customHeight="1" x14ac:dyDescent="0.2">
      <c r="A13" s="187" t="s">
        <v>50</v>
      </c>
      <c r="B13" s="195" t="s">
        <v>56</v>
      </c>
      <c r="C13" s="196"/>
      <c r="D13" s="185" t="s">
        <v>190</v>
      </c>
      <c r="E13" s="186"/>
      <c r="F13" s="195" t="s">
        <v>59</v>
      </c>
      <c r="G13" s="196"/>
      <c r="H13" s="40" t="s">
        <v>190</v>
      </c>
      <c r="I13" s="197" t="s">
        <v>5</v>
      </c>
      <c r="J13" s="195" t="s">
        <v>60</v>
      </c>
      <c r="K13" s="187"/>
      <c r="L13" s="41" t="s">
        <v>65</v>
      </c>
      <c r="M13" s="9"/>
      <c r="N13" s="111"/>
      <c r="O13" s="113"/>
      <c r="P13" s="111"/>
      <c r="Q13" s="113"/>
      <c r="R13" s="111"/>
      <c r="S13" s="113"/>
      <c r="T13" s="111"/>
      <c r="U13" s="113"/>
      <c r="V13" s="111"/>
      <c r="W13" s="113"/>
      <c r="X13" s="111"/>
      <c r="Y13" s="112"/>
      <c r="Z13" s="112"/>
    </row>
    <row r="14" spans="1:26" ht="21.75" customHeight="1" x14ac:dyDescent="0.2">
      <c r="A14" s="188"/>
      <c r="B14" s="200" t="s">
        <v>57</v>
      </c>
      <c r="C14" s="201"/>
      <c r="D14" s="202" t="s">
        <v>212</v>
      </c>
      <c r="E14" s="203"/>
      <c r="F14" s="200" t="s">
        <v>57</v>
      </c>
      <c r="G14" s="201"/>
      <c r="H14" s="42" t="s">
        <v>212</v>
      </c>
      <c r="I14" s="198"/>
      <c r="J14" s="200" t="s">
        <v>61</v>
      </c>
      <c r="K14" s="188"/>
      <c r="L14" s="41" t="s">
        <v>66</v>
      </c>
      <c r="M14" s="9"/>
      <c r="N14" s="111"/>
      <c r="O14" s="113"/>
      <c r="P14" s="111"/>
      <c r="Q14" s="113"/>
      <c r="R14" s="111"/>
      <c r="S14" s="113"/>
      <c r="T14" s="111"/>
      <c r="U14" s="113"/>
      <c r="V14" s="111"/>
      <c r="W14" s="113"/>
      <c r="X14" s="111"/>
      <c r="Y14" s="112"/>
      <c r="Z14" s="112"/>
    </row>
    <row r="15" spans="1:26" ht="21.75" customHeight="1" x14ac:dyDescent="0.2">
      <c r="A15" s="188"/>
      <c r="B15" s="191" t="s">
        <v>58</v>
      </c>
      <c r="C15" s="192"/>
      <c r="D15" s="193">
        <v>3600</v>
      </c>
      <c r="E15" s="194"/>
      <c r="F15" s="191" t="s">
        <v>58</v>
      </c>
      <c r="G15" s="192"/>
      <c r="H15" s="43">
        <v>3600</v>
      </c>
      <c r="I15" s="198"/>
      <c r="J15" s="191" t="s">
        <v>62</v>
      </c>
      <c r="K15" s="189"/>
      <c r="L15" s="41" t="s">
        <v>67</v>
      </c>
      <c r="M15" s="9"/>
      <c r="N15" s="111"/>
      <c r="O15" s="113"/>
      <c r="P15" s="111"/>
      <c r="Q15" s="113"/>
      <c r="R15" s="111"/>
      <c r="S15" s="113"/>
      <c r="T15" s="111"/>
      <c r="U15" s="113"/>
      <c r="V15" s="111"/>
      <c r="W15" s="113"/>
      <c r="X15" s="111"/>
      <c r="Y15" s="112"/>
      <c r="Z15" s="112"/>
    </row>
    <row r="16" spans="1:26" ht="21.75" customHeight="1" x14ac:dyDescent="0.2">
      <c r="A16" s="188"/>
      <c r="B16" s="44" t="s">
        <v>51</v>
      </c>
      <c r="C16" s="44" t="s">
        <v>53</v>
      </c>
      <c r="D16" s="44" t="s">
        <v>54</v>
      </c>
      <c r="E16" s="154"/>
      <c r="F16" s="44" t="s">
        <v>51</v>
      </c>
      <c r="G16" s="44" t="s">
        <v>53</v>
      </c>
      <c r="H16" s="45" t="s">
        <v>54</v>
      </c>
      <c r="I16" s="198"/>
      <c r="J16" s="154" t="s">
        <v>63</v>
      </c>
      <c r="K16" s="154" t="s">
        <v>64</v>
      </c>
      <c r="L16" s="41" t="s">
        <v>68</v>
      </c>
      <c r="M16" s="9"/>
      <c r="N16" s="111"/>
      <c r="O16" s="113"/>
      <c r="P16" s="111"/>
      <c r="Q16" s="113"/>
      <c r="R16" s="111"/>
      <c r="S16" s="113"/>
      <c r="T16" s="111"/>
      <c r="U16" s="113"/>
      <c r="V16" s="111"/>
      <c r="W16" s="113"/>
      <c r="X16" s="111"/>
      <c r="Y16" s="112"/>
      <c r="Z16" s="112"/>
    </row>
    <row r="17" spans="1:26" ht="21.75" customHeight="1" x14ac:dyDescent="0.2">
      <c r="A17" s="188"/>
      <c r="B17" s="46" t="s">
        <v>52</v>
      </c>
      <c r="C17" s="46" t="s">
        <v>51</v>
      </c>
      <c r="D17" s="46" t="s">
        <v>55</v>
      </c>
      <c r="E17" s="190"/>
      <c r="F17" s="46" t="s">
        <v>52</v>
      </c>
      <c r="G17" s="46" t="s">
        <v>51</v>
      </c>
      <c r="H17" s="71" t="s">
        <v>55</v>
      </c>
      <c r="I17" s="198"/>
      <c r="J17" s="190"/>
      <c r="K17" s="155"/>
      <c r="L17" s="41" t="s">
        <v>69</v>
      </c>
      <c r="M17" s="130" t="s">
        <v>92</v>
      </c>
      <c r="N17" s="130"/>
      <c r="O17" s="130"/>
      <c r="P17" s="130"/>
      <c r="Q17" s="130"/>
      <c r="R17" s="130"/>
      <c r="S17" s="130"/>
      <c r="T17" s="130"/>
      <c r="U17" s="130"/>
      <c r="V17" s="130"/>
      <c r="W17" s="130"/>
      <c r="X17" s="130"/>
      <c r="Y17" s="130"/>
      <c r="Z17" s="130"/>
    </row>
    <row r="18" spans="1:26" ht="23.25" customHeight="1" x14ac:dyDescent="0.2">
      <c r="A18" s="39" t="s">
        <v>7</v>
      </c>
      <c r="B18" s="82">
        <v>6615.5198</v>
      </c>
      <c r="C18" s="25"/>
      <c r="D18" s="24"/>
      <c r="E18" s="108"/>
      <c r="F18" s="82">
        <v>3187.7827000000002</v>
      </c>
      <c r="G18" s="51"/>
      <c r="H18" s="50"/>
      <c r="I18" s="52"/>
      <c r="J18" s="39"/>
      <c r="K18" s="79"/>
      <c r="L18" s="53"/>
      <c r="M18" s="123" t="s">
        <v>79</v>
      </c>
      <c r="N18" s="121" t="s">
        <v>98</v>
      </c>
      <c r="O18" s="121"/>
      <c r="P18" s="121"/>
      <c r="Q18" s="121" t="s">
        <v>107</v>
      </c>
      <c r="R18" s="121"/>
      <c r="S18" s="121"/>
      <c r="T18" s="121" t="s">
        <v>93</v>
      </c>
      <c r="U18" s="121"/>
      <c r="V18" s="121"/>
      <c r="W18" s="124" t="s">
        <v>91</v>
      </c>
      <c r="X18" s="131"/>
      <c r="Y18" s="131"/>
      <c r="Z18" s="131"/>
    </row>
    <row r="19" spans="1:26" ht="23.25" customHeight="1" x14ac:dyDescent="0.2">
      <c r="A19" s="39" t="s">
        <v>8</v>
      </c>
      <c r="B19" s="82">
        <v>6615.6102000000001</v>
      </c>
      <c r="C19" s="25">
        <f t="shared" ref="C19:C42" si="0">IF(B19="","",IF(LEN(TRUNC(B18,0))-LEN(TRUNC(B19,0))=0,B19-B18,IF(LEN(TRUNC(B18,0))-LEN(TRUNC(B19,0))&gt;0,VALUE(LEFT(B18,LEN(TRUNC(B18,0))-LEN(TRUNC(B19,0))))*POWER(10,LEN(TRUNC(B19,0)))+B19-B18,B19-B18-VALUE(LEFT(B19,LEN(TRUNC(B19,0))-LEN(TRUNC(B18,0))))*POWER(10,LEN(TRUNC(B18,0))))))</f>
        <v>9.0400000000045111E-2</v>
      </c>
      <c r="D19" s="24">
        <f t="shared" ref="D19:D42" si="1">IF(C19="","",C19*$D$15)</f>
        <v>325.4400000001624</v>
      </c>
      <c r="E19" s="108"/>
      <c r="F19" s="82">
        <v>3187.8263999999999</v>
      </c>
      <c r="G19" s="51">
        <f>F19-ReportObject14_3</f>
        <v>4.3699999999716965E-2</v>
      </c>
      <c r="H19" s="50">
        <f t="shared" ref="H19:H42" si="2">IF(G19="","",G19*$H$15)</f>
        <v>157.31999999898107</v>
      </c>
      <c r="I19" s="52">
        <f t="shared" ref="I19:I42" si="3">IF(H19="","",IF(D19="","",IF(AND(H19=0,D19=0),0,H19/D19)))</f>
        <v>0.48340707964264557</v>
      </c>
      <c r="J19" s="52">
        <v>6.3249680000000001</v>
      </c>
      <c r="K19" s="83"/>
      <c r="L19" s="53"/>
      <c r="M19" s="116"/>
      <c r="N19" s="118"/>
      <c r="O19" s="118"/>
      <c r="P19" s="118"/>
      <c r="Q19" s="118" t="s">
        <v>108</v>
      </c>
      <c r="R19" s="118"/>
      <c r="S19" s="118"/>
      <c r="T19" s="118"/>
      <c r="U19" s="118"/>
      <c r="V19" s="118"/>
      <c r="W19" s="125"/>
      <c r="X19" s="122"/>
      <c r="Y19" s="122"/>
      <c r="Z19" s="122"/>
    </row>
    <row r="20" spans="1:26" ht="23.25" customHeight="1" x14ac:dyDescent="0.2">
      <c r="A20" s="39" t="s">
        <v>9</v>
      </c>
      <c r="B20" s="82">
        <v>6615.6992</v>
      </c>
      <c r="C20" s="25">
        <f t="shared" si="0"/>
        <v>8.8999999999941792E-2</v>
      </c>
      <c r="D20" s="24">
        <f t="shared" si="1"/>
        <v>320.39999999979045</v>
      </c>
      <c r="E20" s="108"/>
      <c r="F20" s="82">
        <v>3187.8697000000002</v>
      </c>
      <c r="G20" s="51">
        <f>F20-F19</f>
        <v>4.3300000000272121E-2</v>
      </c>
      <c r="H20" s="50">
        <f t="shared" si="2"/>
        <v>155.88000000097963</v>
      </c>
      <c r="I20" s="52">
        <f t="shared" si="3"/>
        <v>0.48651685393596</v>
      </c>
      <c r="J20" s="52">
        <v>6.3225600000000002</v>
      </c>
      <c r="K20" s="83"/>
      <c r="L20" s="53"/>
      <c r="M20" s="116" t="s">
        <v>80</v>
      </c>
      <c r="N20" s="118" t="s">
        <v>99</v>
      </c>
      <c r="O20" s="118"/>
      <c r="P20" s="118"/>
      <c r="Q20" s="118" t="s">
        <v>181</v>
      </c>
      <c r="R20" s="118"/>
      <c r="S20" s="118"/>
      <c r="T20" s="118" t="s">
        <v>94</v>
      </c>
      <c r="U20" s="118"/>
      <c r="V20" s="118"/>
      <c r="W20" s="125"/>
      <c r="X20" s="122"/>
      <c r="Y20" s="122"/>
      <c r="Z20" s="122"/>
    </row>
    <row r="21" spans="1:26" ht="23.25" customHeight="1" x14ac:dyDescent="0.2">
      <c r="A21" s="39" t="s">
        <v>10</v>
      </c>
      <c r="B21" s="82">
        <v>6615.7858999999999</v>
      </c>
      <c r="C21" s="25">
        <f t="shared" si="0"/>
        <v>8.6699999999837019E-2</v>
      </c>
      <c r="D21" s="24">
        <f t="shared" si="1"/>
        <v>312.11999999941327</v>
      </c>
      <c r="E21" s="108"/>
      <c r="F21" s="82">
        <v>3187.9133000000002</v>
      </c>
      <c r="G21" s="51">
        <f t="shared" ref="G21:G42" si="4">F21-F20</f>
        <v>4.3599999999969441E-2</v>
      </c>
      <c r="H21" s="50">
        <f t="shared" si="2"/>
        <v>156.95999999988999</v>
      </c>
      <c r="I21" s="52">
        <f t="shared" si="3"/>
        <v>0.50288350634430679</v>
      </c>
      <c r="J21" s="52">
        <v>6.2995780000000003</v>
      </c>
      <c r="K21" s="83"/>
      <c r="L21" s="53"/>
      <c r="M21" s="117"/>
      <c r="N21" s="119"/>
      <c r="O21" s="119"/>
      <c r="P21" s="119"/>
      <c r="Q21" s="119"/>
      <c r="R21" s="119"/>
      <c r="S21" s="119"/>
      <c r="T21" s="119"/>
      <c r="U21" s="119"/>
      <c r="V21" s="119"/>
      <c r="W21" s="127"/>
      <c r="X21" s="130"/>
      <c r="Y21" s="130"/>
      <c r="Z21" s="130"/>
    </row>
    <row r="22" spans="1:26" ht="23.25" customHeight="1" x14ac:dyDescent="0.2">
      <c r="A22" s="39" t="s">
        <v>11</v>
      </c>
      <c r="B22" s="82">
        <v>6615.8735999999999</v>
      </c>
      <c r="C22" s="25">
        <f t="shared" si="0"/>
        <v>8.7700000000040745E-2</v>
      </c>
      <c r="D22" s="24">
        <f t="shared" si="1"/>
        <v>315.72000000014668</v>
      </c>
      <c r="E22" s="108"/>
      <c r="F22" s="82">
        <v>3187.9571999999998</v>
      </c>
      <c r="G22" s="51">
        <f t="shared" si="4"/>
        <v>4.3899999999666761E-2</v>
      </c>
      <c r="H22" s="50">
        <f t="shared" si="2"/>
        <v>158.03999999880034</v>
      </c>
      <c r="I22" s="52">
        <f t="shared" si="3"/>
        <v>0.50057012542356172</v>
      </c>
      <c r="J22" s="52">
        <v>6.3393129999999998</v>
      </c>
      <c r="K22" s="83"/>
      <c r="L22" s="53"/>
      <c r="M22" s="9"/>
      <c r="N22" s="120"/>
      <c r="O22" s="120"/>
      <c r="P22" s="120"/>
      <c r="Q22" s="120"/>
      <c r="R22" s="120"/>
      <c r="S22" s="120"/>
      <c r="T22" s="120"/>
      <c r="U22" s="120"/>
      <c r="V22" s="120"/>
      <c r="W22" s="111"/>
      <c r="X22" s="112"/>
      <c r="Y22" s="112"/>
      <c r="Z22" s="112"/>
    </row>
    <row r="23" spans="1:26" ht="23.25" customHeight="1" x14ac:dyDescent="0.2">
      <c r="A23" s="39" t="s">
        <v>12</v>
      </c>
      <c r="B23" s="82">
        <v>6615.9629000000004</v>
      </c>
      <c r="C23" s="25">
        <f t="shared" si="0"/>
        <v>8.9300000000548607E-2</v>
      </c>
      <c r="D23" s="24">
        <f t="shared" si="1"/>
        <v>321.48000000197499</v>
      </c>
      <c r="E23" s="108"/>
      <c r="F23" s="82">
        <v>3188.0011</v>
      </c>
      <c r="G23" s="51">
        <f t="shared" si="4"/>
        <v>4.3900000000121508E-2</v>
      </c>
      <c r="H23" s="50">
        <f t="shared" si="2"/>
        <v>158.04000000043743</v>
      </c>
      <c r="I23" s="52">
        <f t="shared" si="3"/>
        <v>0.49160134378333498</v>
      </c>
      <c r="J23" s="52">
        <v>6.1381409999999992</v>
      </c>
      <c r="K23" s="83"/>
      <c r="L23" s="53"/>
      <c r="M23" s="9"/>
      <c r="N23" s="120"/>
      <c r="O23" s="120"/>
      <c r="P23" s="120"/>
      <c r="Q23" s="120"/>
      <c r="R23" s="120"/>
      <c r="S23" s="120"/>
      <c r="T23" s="120"/>
      <c r="U23" s="120"/>
      <c r="V23" s="120"/>
      <c r="W23" s="111"/>
      <c r="X23" s="112"/>
      <c r="Y23" s="112"/>
      <c r="Z23" s="112"/>
    </row>
    <row r="24" spans="1:26" ht="23.25" customHeight="1" x14ac:dyDescent="0.2">
      <c r="A24" s="39" t="s">
        <v>13</v>
      </c>
      <c r="B24" s="82">
        <v>6616.0564000000004</v>
      </c>
      <c r="C24" s="25">
        <f t="shared" si="0"/>
        <v>9.3499999999949068E-2</v>
      </c>
      <c r="D24" s="24">
        <f t="shared" si="1"/>
        <v>336.59999999981665</v>
      </c>
      <c r="E24" s="108"/>
      <c r="F24" s="82">
        <v>3188.0452</v>
      </c>
      <c r="G24" s="51">
        <f t="shared" si="4"/>
        <v>4.4100000000071304E-2</v>
      </c>
      <c r="H24" s="50">
        <f t="shared" si="2"/>
        <v>158.7600000002567</v>
      </c>
      <c r="I24" s="52">
        <f t="shared" si="3"/>
        <v>0.47165775401171472</v>
      </c>
      <c r="J24" s="52">
        <v>6.339747</v>
      </c>
      <c r="K24" s="83"/>
      <c r="L24" s="53"/>
      <c r="M24" s="9"/>
      <c r="N24" s="120"/>
      <c r="O24" s="120"/>
      <c r="P24" s="120"/>
      <c r="Q24" s="120"/>
      <c r="R24" s="120"/>
      <c r="S24" s="120"/>
      <c r="T24" s="120"/>
      <c r="U24" s="120"/>
      <c r="V24" s="120"/>
      <c r="W24" s="111"/>
      <c r="X24" s="112"/>
      <c r="Y24" s="112"/>
      <c r="Z24" s="112"/>
    </row>
    <row r="25" spans="1:26" ht="23.25" customHeight="1" x14ac:dyDescent="0.2">
      <c r="A25" s="39" t="s">
        <v>14</v>
      </c>
      <c r="B25" s="82">
        <v>6616.1508000000003</v>
      </c>
      <c r="C25" s="25">
        <f t="shared" si="0"/>
        <v>9.4399999999950523E-2</v>
      </c>
      <c r="D25" s="24">
        <f t="shared" si="1"/>
        <v>339.83999999982188</v>
      </c>
      <c r="E25" s="108"/>
      <c r="F25" s="82">
        <v>3188.0877999999998</v>
      </c>
      <c r="G25" s="51">
        <f t="shared" si="4"/>
        <v>4.2599999999765714E-2</v>
      </c>
      <c r="H25" s="50">
        <f t="shared" si="2"/>
        <v>153.35999999915657</v>
      </c>
      <c r="I25" s="52">
        <f t="shared" si="3"/>
        <v>0.45127118643843267</v>
      </c>
      <c r="J25" s="52">
        <v>6.3073920000000001</v>
      </c>
      <c r="K25" s="83"/>
      <c r="L25" s="53"/>
      <c r="M25" s="9"/>
      <c r="N25" s="120"/>
      <c r="O25" s="120"/>
      <c r="P25" s="120"/>
      <c r="Q25" s="120"/>
      <c r="R25" s="120"/>
      <c r="S25" s="120"/>
      <c r="T25" s="120"/>
      <c r="U25" s="120"/>
      <c r="V25" s="120"/>
      <c r="W25" s="111"/>
      <c r="X25" s="112"/>
      <c r="Y25" s="112"/>
      <c r="Z25" s="112"/>
    </row>
    <row r="26" spans="1:26" ht="23.25" customHeight="1" x14ac:dyDescent="0.2">
      <c r="A26" s="39" t="s">
        <v>15</v>
      </c>
      <c r="B26" s="82">
        <v>6616.2465000000002</v>
      </c>
      <c r="C26" s="25">
        <f t="shared" si="0"/>
        <v>9.569999999985157E-2</v>
      </c>
      <c r="D26" s="24">
        <f t="shared" si="1"/>
        <v>344.51999999946565</v>
      </c>
      <c r="E26" s="108"/>
      <c r="F26" s="82">
        <v>3188.1296000000002</v>
      </c>
      <c r="G26" s="51">
        <f t="shared" si="4"/>
        <v>4.1800000000421278E-2</v>
      </c>
      <c r="H26" s="50">
        <f t="shared" si="2"/>
        <v>150.4800000015166</v>
      </c>
      <c r="I26" s="52">
        <f t="shared" si="3"/>
        <v>0.43678160920048181</v>
      </c>
      <c r="J26" s="52">
        <v>6.2838239999999992</v>
      </c>
      <c r="K26" s="83"/>
      <c r="L26" s="53"/>
      <c r="M26" s="9"/>
      <c r="N26" s="120"/>
      <c r="O26" s="120"/>
      <c r="P26" s="120"/>
      <c r="Q26" s="120"/>
      <c r="R26" s="120"/>
      <c r="S26" s="120"/>
      <c r="T26" s="120"/>
      <c r="U26" s="120"/>
      <c r="V26" s="120"/>
      <c r="W26" s="111"/>
      <c r="X26" s="112"/>
      <c r="Y26" s="112"/>
      <c r="Z26" s="112"/>
    </row>
    <row r="27" spans="1:26" ht="23.25" customHeight="1" x14ac:dyDescent="0.2">
      <c r="A27" s="39" t="s">
        <v>16</v>
      </c>
      <c r="B27" s="82">
        <v>6616.3382000000001</v>
      </c>
      <c r="C27" s="25">
        <f t="shared" si="0"/>
        <v>9.1699999999946158E-2</v>
      </c>
      <c r="D27" s="24">
        <f t="shared" si="1"/>
        <v>330.11999999980617</v>
      </c>
      <c r="E27" s="108"/>
      <c r="F27" s="82">
        <v>3188.1648</v>
      </c>
      <c r="G27" s="51">
        <f t="shared" si="4"/>
        <v>3.5199999999804277E-2</v>
      </c>
      <c r="H27" s="50">
        <f t="shared" si="2"/>
        <v>126.7199999992954</v>
      </c>
      <c r="I27" s="52">
        <f t="shared" si="3"/>
        <v>0.38386041439285656</v>
      </c>
      <c r="J27" s="52">
        <v>6.0031049999999997</v>
      </c>
      <c r="K27" s="83"/>
      <c r="L27" s="53"/>
      <c r="M27" s="9"/>
      <c r="N27" s="120"/>
      <c r="O27" s="120"/>
      <c r="P27" s="120"/>
      <c r="Q27" s="120"/>
      <c r="R27" s="120"/>
      <c r="S27" s="120"/>
      <c r="T27" s="120"/>
      <c r="U27" s="120"/>
      <c r="V27" s="120"/>
      <c r="W27" s="111"/>
      <c r="X27" s="112"/>
      <c r="Y27" s="112"/>
      <c r="Z27" s="112"/>
    </row>
    <row r="28" spans="1:26" ht="23.25" customHeight="1" x14ac:dyDescent="0.2">
      <c r="A28" s="39" t="s">
        <v>17</v>
      </c>
      <c r="B28" s="82">
        <v>6616.4247999999998</v>
      </c>
      <c r="C28" s="25">
        <f t="shared" si="0"/>
        <v>8.6599999999634747E-2</v>
      </c>
      <c r="D28" s="24">
        <f t="shared" si="1"/>
        <v>311.75999999868509</v>
      </c>
      <c r="E28" s="108"/>
      <c r="F28" s="82">
        <v>3188.1938</v>
      </c>
      <c r="G28" s="51">
        <f t="shared" si="4"/>
        <v>2.8999999999996362E-2</v>
      </c>
      <c r="H28" s="50">
        <f t="shared" si="2"/>
        <v>104.3999999999869</v>
      </c>
      <c r="I28" s="52">
        <f t="shared" si="3"/>
        <v>0.334872979216151</v>
      </c>
      <c r="J28" s="52">
        <v>6.1960139999999999</v>
      </c>
      <c r="K28" s="83"/>
      <c r="L28" s="53"/>
      <c r="M28" s="9"/>
      <c r="N28" s="120"/>
      <c r="O28" s="120"/>
      <c r="P28" s="120"/>
      <c r="Q28" s="120"/>
      <c r="R28" s="120"/>
      <c r="S28" s="120"/>
      <c r="T28" s="120"/>
      <c r="U28" s="120"/>
      <c r="V28" s="120"/>
      <c r="W28" s="111"/>
      <c r="X28" s="112"/>
      <c r="Y28" s="112"/>
      <c r="Z28" s="112"/>
    </row>
    <row r="29" spans="1:26" ht="23.25" customHeight="1" x14ac:dyDescent="0.2">
      <c r="A29" s="39" t="s">
        <v>18</v>
      </c>
      <c r="B29" s="82">
        <v>6616.5097999999998</v>
      </c>
      <c r="C29" s="25">
        <f t="shared" si="0"/>
        <v>8.500000000003638E-2</v>
      </c>
      <c r="D29" s="24">
        <f t="shared" si="1"/>
        <v>306.00000000013097</v>
      </c>
      <c r="E29" s="108"/>
      <c r="F29" s="82">
        <v>3188.2238000000002</v>
      </c>
      <c r="G29" s="51">
        <f t="shared" si="4"/>
        <v>3.0000000000200089E-2</v>
      </c>
      <c r="H29" s="50">
        <f t="shared" si="2"/>
        <v>108.00000000072032</v>
      </c>
      <c r="I29" s="52">
        <f t="shared" si="3"/>
        <v>0.35294117647279116</v>
      </c>
      <c r="J29" s="52">
        <v>6.2346719999999998</v>
      </c>
      <c r="K29" s="83"/>
      <c r="L29" s="53"/>
      <c r="M29" s="145" t="s">
        <v>95</v>
      </c>
      <c r="N29" s="145"/>
      <c r="O29" s="145"/>
      <c r="P29" s="145"/>
      <c r="Q29" s="145"/>
      <c r="R29" s="145"/>
      <c r="S29" s="145"/>
      <c r="T29" s="145"/>
      <c r="U29" s="145"/>
      <c r="V29" s="145"/>
      <c r="W29" s="145"/>
      <c r="X29" s="145"/>
      <c r="Y29" s="145"/>
      <c r="Z29" s="145"/>
    </row>
    <row r="30" spans="1:26" ht="23.25" customHeight="1" x14ac:dyDescent="0.2">
      <c r="A30" s="39" t="s">
        <v>19</v>
      </c>
      <c r="B30" s="82">
        <v>6616.5973999999997</v>
      </c>
      <c r="C30" s="25">
        <f t="shared" si="0"/>
        <v>8.7599999999838474E-2</v>
      </c>
      <c r="D30" s="24">
        <f t="shared" si="1"/>
        <v>315.35999999941851</v>
      </c>
      <c r="E30" s="108"/>
      <c r="F30" s="82">
        <v>3188.2548999999999</v>
      </c>
      <c r="G30" s="51">
        <f t="shared" si="4"/>
        <v>3.1099999999696593E-2</v>
      </c>
      <c r="H30" s="50">
        <f t="shared" si="2"/>
        <v>111.95999999890773</v>
      </c>
      <c r="I30" s="52">
        <f t="shared" si="3"/>
        <v>0.35502283104741938</v>
      </c>
      <c r="J30" s="52">
        <v>6.2587250000000001</v>
      </c>
      <c r="K30" s="83"/>
      <c r="L30" s="53"/>
      <c r="M30" s="122" t="s">
        <v>97</v>
      </c>
      <c r="N30" s="122"/>
      <c r="O30" s="122"/>
      <c r="P30" s="122"/>
      <c r="Q30" s="122"/>
      <c r="R30" s="122"/>
      <c r="S30" s="122"/>
      <c r="T30" s="122"/>
      <c r="U30" s="122"/>
      <c r="V30" s="122"/>
      <c r="W30" s="122"/>
      <c r="X30" s="122"/>
      <c r="Y30" s="122"/>
      <c r="Z30" s="122"/>
    </row>
    <row r="31" spans="1:26" ht="23.25" customHeight="1" x14ac:dyDescent="0.2">
      <c r="A31" s="39" t="s">
        <v>20</v>
      </c>
      <c r="B31" s="82">
        <v>6616.6855999999998</v>
      </c>
      <c r="C31" s="25">
        <f t="shared" si="0"/>
        <v>8.8200000000142609E-2</v>
      </c>
      <c r="D31" s="24">
        <f t="shared" si="1"/>
        <v>317.52000000051339</v>
      </c>
      <c r="E31" s="108"/>
      <c r="F31" s="82">
        <v>3188.2869000000001</v>
      </c>
      <c r="G31" s="51">
        <f t="shared" si="4"/>
        <v>3.2000000000152795E-2</v>
      </c>
      <c r="H31" s="50">
        <f t="shared" si="2"/>
        <v>115.20000000055006</v>
      </c>
      <c r="I31" s="52">
        <f t="shared" si="3"/>
        <v>0.3628117913843657</v>
      </c>
      <c r="J31" s="52">
        <v>6.2900119999999999</v>
      </c>
      <c r="K31" s="83"/>
      <c r="L31" s="53"/>
      <c r="M31" s="123" t="s">
        <v>79</v>
      </c>
      <c r="N31" s="121" t="s">
        <v>98</v>
      </c>
      <c r="O31" s="121"/>
      <c r="P31" s="121" t="s">
        <v>100</v>
      </c>
      <c r="Q31" s="121"/>
      <c r="R31" s="121" t="s">
        <v>93</v>
      </c>
      <c r="S31" s="121"/>
      <c r="T31" s="121" t="s">
        <v>103</v>
      </c>
      <c r="U31" s="121"/>
      <c r="V31" s="121" t="s">
        <v>179</v>
      </c>
      <c r="W31" s="121"/>
      <c r="X31" s="121"/>
      <c r="Y31" s="121" t="s">
        <v>91</v>
      </c>
      <c r="Z31" s="124"/>
    </row>
    <row r="32" spans="1:26" ht="23.25" customHeight="1" x14ac:dyDescent="0.2">
      <c r="A32" s="39" t="s">
        <v>21</v>
      </c>
      <c r="B32" s="82">
        <v>6616.7758999999996</v>
      </c>
      <c r="C32" s="25">
        <f t="shared" si="0"/>
        <v>9.0299999999842839E-2</v>
      </c>
      <c r="D32" s="24">
        <f t="shared" si="1"/>
        <v>325.07999999943422</v>
      </c>
      <c r="E32" s="108"/>
      <c r="F32" s="82">
        <v>3188.3181</v>
      </c>
      <c r="G32" s="51">
        <f t="shared" si="4"/>
        <v>3.1199999999898864E-2</v>
      </c>
      <c r="H32" s="50">
        <f t="shared" si="2"/>
        <v>112.31999999963591</v>
      </c>
      <c r="I32" s="52">
        <f t="shared" si="3"/>
        <v>0.3455149501655943</v>
      </c>
      <c r="J32" s="52">
        <v>6.2640099999999999</v>
      </c>
      <c r="K32" s="83"/>
      <c r="L32" s="53"/>
      <c r="M32" s="116"/>
      <c r="N32" s="118"/>
      <c r="O32" s="118"/>
      <c r="P32" s="118" t="s">
        <v>83</v>
      </c>
      <c r="Q32" s="118"/>
      <c r="R32" s="118" t="s">
        <v>102</v>
      </c>
      <c r="S32" s="118"/>
      <c r="T32" s="118" t="s">
        <v>104</v>
      </c>
      <c r="U32" s="118"/>
      <c r="V32" s="118" t="s">
        <v>105</v>
      </c>
      <c r="W32" s="118"/>
      <c r="X32" s="118"/>
      <c r="Y32" s="118"/>
      <c r="Z32" s="125"/>
    </row>
    <row r="33" spans="1:26" ht="23.25" customHeight="1" x14ac:dyDescent="0.2">
      <c r="A33" s="39" t="s">
        <v>22</v>
      </c>
      <c r="B33" s="82">
        <v>6616.8658999999998</v>
      </c>
      <c r="C33" s="25">
        <f t="shared" si="0"/>
        <v>9.0000000000145519E-2</v>
      </c>
      <c r="D33" s="24">
        <f t="shared" si="1"/>
        <v>324.00000000052387</v>
      </c>
      <c r="E33" s="108"/>
      <c r="F33" s="82">
        <v>3188.3488000000002</v>
      </c>
      <c r="G33" s="51">
        <f t="shared" si="4"/>
        <v>3.0700000000251748E-2</v>
      </c>
      <c r="H33" s="50">
        <f t="shared" si="2"/>
        <v>110.52000000090629</v>
      </c>
      <c r="I33" s="52">
        <f t="shared" si="3"/>
        <v>0.34111111111335679</v>
      </c>
      <c r="J33" s="52">
        <v>6.2564229999999998</v>
      </c>
      <c r="K33" s="83"/>
      <c r="L33" s="53"/>
      <c r="M33" s="116" t="s">
        <v>80</v>
      </c>
      <c r="N33" s="118" t="s">
        <v>99</v>
      </c>
      <c r="O33" s="118"/>
      <c r="P33" s="118" t="s">
        <v>101</v>
      </c>
      <c r="Q33" s="118"/>
      <c r="R33" s="118" t="s">
        <v>69</v>
      </c>
      <c r="S33" s="118"/>
      <c r="T33" s="118" t="s">
        <v>69</v>
      </c>
      <c r="U33" s="118"/>
      <c r="V33" s="118" t="s">
        <v>106</v>
      </c>
      <c r="W33" s="118"/>
      <c r="X33" s="118"/>
      <c r="Y33" s="118"/>
      <c r="Z33" s="125"/>
    </row>
    <row r="34" spans="1:26" ht="23.25" customHeight="1" x14ac:dyDescent="0.2">
      <c r="A34" s="39" t="s">
        <v>23</v>
      </c>
      <c r="B34" s="82">
        <v>6616.9543000000003</v>
      </c>
      <c r="C34" s="25">
        <f t="shared" si="0"/>
        <v>8.8400000000547152E-2</v>
      </c>
      <c r="D34" s="24">
        <f t="shared" si="1"/>
        <v>318.24000000196975</v>
      </c>
      <c r="E34" s="108"/>
      <c r="F34" s="82">
        <v>3188.3800999999999</v>
      </c>
      <c r="G34" s="51">
        <f t="shared" si="4"/>
        <v>3.1299999999646388E-2</v>
      </c>
      <c r="H34" s="50">
        <f t="shared" si="2"/>
        <v>112.679999998727</v>
      </c>
      <c r="I34" s="52">
        <f t="shared" si="3"/>
        <v>0.35407239818385361</v>
      </c>
      <c r="J34" s="52">
        <v>6.1381409999999992</v>
      </c>
      <c r="K34" s="83"/>
      <c r="L34" s="53"/>
      <c r="M34" s="117"/>
      <c r="N34" s="119"/>
      <c r="O34" s="119"/>
      <c r="P34" s="119"/>
      <c r="Q34" s="119"/>
      <c r="R34" s="127"/>
      <c r="S34" s="117"/>
      <c r="T34" s="127"/>
      <c r="U34" s="117"/>
      <c r="V34" s="127"/>
      <c r="W34" s="130"/>
      <c r="X34" s="117"/>
      <c r="Y34" s="119"/>
      <c r="Z34" s="127"/>
    </row>
    <row r="35" spans="1:26" ht="23.25" customHeight="1" x14ac:dyDescent="0.2">
      <c r="A35" s="39" t="s">
        <v>24</v>
      </c>
      <c r="B35" s="82">
        <v>6617.0522000000001</v>
      </c>
      <c r="C35" s="25">
        <f t="shared" si="0"/>
        <v>9.7899999999754073E-2</v>
      </c>
      <c r="D35" s="24">
        <f t="shared" si="1"/>
        <v>352.43999999911466</v>
      </c>
      <c r="E35" s="108"/>
      <c r="F35" s="82">
        <v>3188.4191000000001</v>
      </c>
      <c r="G35" s="51">
        <f t="shared" si="4"/>
        <v>3.9000000000214641E-2</v>
      </c>
      <c r="H35" s="50">
        <f t="shared" si="2"/>
        <v>140.40000000077271</v>
      </c>
      <c r="I35" s="52">
        <f t="shared" si="3"/>
        <v>0.3983656792677488</v>
      </c>
      <c r="J35" s="52">
        <v>5.7954160000000003</v>
      </c>
      <c r="K35" s="83"/>
      <c r="L35" s="53"/>
      <c r="M35" s="9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11"/>
    </row>
    <row r="36" spans="1:26" ht="23.25" customHeight="1" x14ac:dyDescent="0.2">
      <c r="A36" s="39" t="s">
        <v>25</v>
      </c>
      <c r="B36" s="82">
        <v>6617.1507000000001</v>
      </c>
      <c r="C36" s="25">
        <f t="shared" si="0"/>
        <v>9.8500000000058208E-2</v>
      </c>
      <c r="D36" s="24">
        <f t="shared" si="1"/>
        <v>354.60000000020955</v>
      </c>
      <c r="E36" s="108"/>
      <c r="F36" s="82">
        <v>3188.46</v>
      </c>
      <c r="G36" s="51">
        <f t="shared" si="4"/>
        <v>4.0899999999965075E-2</v>
      </c>
      <c r="H36" s="50">
        <f t="shared" si="2"/>
        <v>147.23999999987427</v>
      </c>
      <c r="I36" s="52">
        <f t="shared" si="3"/>
        <v>0.41522842639533913</v>
      </c>
      <c r="J36" s="52">
        <v>6.2516040000000004</v>
      </c>
      <c r="K36" s="83"/>
      <c r="L36" s="53"/>
      <c r="M36" s="9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11"/>
    </row>
    <row r="37" spans="1:26" ht="23.25" customHeight="1" x14ac:dyDescent="0.2">
      <c r="A37" s="39" t="s">
        <v>26</v>
      </c>
      <c r="B37" s="82">
        <v>6617.2830000000004</v>
      </c>
      <c r="C37" s="25">
        <f t="shared" si="0"/>
        <v>0.13230000000021391</v>
      </c>
      <c r="D37" s="24">
        <f t="shared" si="1"/>
        <v>476.28000000077009</v>
      </c>
      <c r="E37" s="108"/>
      <c r="F37" s="82">
        <v>3188.511</v>
      </c>
      <c r="G37" s="51">
        <f t="shared" si="4"/>
        <v>5.0999999999930878E-2</v>
      </c>
      <c r="H37" s="50">
        <f t="shared" si="2"/>
        <v>183.59999999975116</v>
      </c>
      <c r="I37" s="52">
        <f t="shared" si="3"/>
        <v>0.38548752834352545</v>
      </c>
      <c r="J37" s="52">
        <v>6.1936650000000002</v>
      </c>
      <c r="K37" s="83"/>
      <c r="L37" s="53"/>
      <c r="M37" s="9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11"/>
    </row>
    <row r="38" spans="1:26" ht="23.25" customHeight="1" x14ac:dyDescent="0.2">
      <c r="A38" s="39" t="s">
        <v>27</v>
      </c>
      <c r="B38" s="82">
        <v>6617.3792000000003</v>
      </c>
      <c r="C38" s="25">
        <f t="shared" si="0"/>
        <v>9.6199999999953434E-2</v>
      </c>
      <c r="D38" s="24">
        <f t="shared" si="1"/>
        <v>346.31999999983236</v>
      </c>
      <c r="E38" s="108"/>
      <c r="F38" s="82">
        <v>3188.5511999999999</v>
      </c>
      <c r="G38" s="51">
        <f t="shared" si="4"/>
        <v>4.0199999999913416E-2</v>
      </c>
      <c r="H38" s="50">
        <f t="shared" si="2"/>
        <v>144.7199999996883</v>
      </c>
      <c r="I38" s="52">
        <f t="shared" si="3"/>
        <v>0.41787941787872013</v>
      </c>
      <c r="J38" s="52">
        <v>6.0505659999999999</v>
      </c>
      <c r="K38" s="83"/>
      <c r="L38" s="53"/>
      <c r="M38" s="9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11"/>
    </row>
    <row r="39" spans="1:26" ht="23.25" customHeight="1" x14ac:dyDescent="0.2">
      <c r="A39" s="39" t="s">
        <v>28</v>
      </c>
      <c r="B39" s="82">
        <v>6617.4718000000003</v>
      </c>
      <c r="C39" s="25">
        <f t="shared" si="0"/>
        <v>9.2599999999947613E-2</v>
      </c>
      <c r="D39" s="24">
        <f t="shared" si="1"/>
        <v>333.35999999981141</v>
      </c>
      <c r="E39" s="108"/>
      <c r="F39" s="82">
        <v>3188.5911999999998</v>
      </c>
      <c r="G39" s="51">
        <f t="shared" si="4"/>
        <v>3.999999999996362E-2</v>
      </c>
      <c r="H39" s="50">
        <f t="shared" si="2"/>
        <v>143.99999999986903</v>
      </c>
      <c r="I39" s="52">
        <f t="shared" si="3"/>
        <v>0.43196544276443033</v>
      </c>
      <c r="J39" s="52">
        <v>6.2487389999999996</v>
      </c>
      <c r="K39" s="83"/>
      <c r="L39" s="53"/>
      <c r="M39" s="9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11"/>
    </row>
    <row r="40" spans="1:26" ht="23.25" customHeight="1" x14ac:dyDescent="0.2">
      <c r="A40" s="39" t="s">
        <v>29</v>
      </c>
      <c r="B40" s="82">
        <v>6617.5649999999996</v>
      </c>
      <c r="C40" s="25">
        <f t="shared" si="0"/>
        <v>9.3199999999342253E-2</v>
      </c>
      <c r="D40" s="24">
        <f t="shared" si="1"/>
        <v>335.51999999763211</v>
      </c>
      <c r="E40" s="108"/>
      <c r="F40" s="82">
        <v>3188.6333</v>
      </c>
      <c r="G40" s="51">
        <f t="shared" si="4"/>
        <v>4.2100000000118598E-2</v>
      </c>
      <c r="H40" s="50">
        <f t="shared" si="2"/>
        <v>151.56000000042695</v>
      </c>
      <c r="I40" s="52">
        <f t="shared" si="3"/>
        <v>0.45171673820188535</v>
      </c>
      <c r="J40" s="52">
        <v>6.0575590000000004</v>
      </c>
      <c r="K40" s="83"/>
      <c r="L40" s="53"/>
      <c r="M40" s="122" t="s">
        <v>109</v>
      </c>
      <c r="N40" s="122"/>
      <c r="O40" s="122"/>
      <c r="P40" s="122"/>
      <c r="Q40" s="122"/>
      <c r="R40" s="122"/>
      <c r="S40" s="122"/>
      <c r="T40" s="122"/>
      <c r="U40" s="122"/>
      <c r="V40" s="122"/>
      <c r="W40" s="122"/>
      <c r="X40" s="122"/>
      <c r="Y40" s="122"/>
      <c r="Z40" s="122"/>
    </row>
    <row r="41" spans="1:26" ht="23.25" customHeight="1" x14ac:dyDescent="0.2">
      <c r="A41" s="39" t="s">
        <v>30</v>
      </c>
      <c r="B41" s="82">
        <v>6617.6916000000001</v>
      </c>
      <c r="C41" s="25">
        <f t="shared" si="0"/>
        <v>0.12660000000050786</v>
      </c>
      <c r="D41" s="24">
        <f t="shared" si="1"/>
        <v>455.7600000018283</v>
      </c>
      <c r="E41" s="108"/>
      <c r="F41" s="82">
        <v>3188.6932999999999</v>
      </c>
      <c r="G41" s="51">
        <f t="shared" si="4"/>
        <v>5.999999999994543E-2</v>
      </c>
      <c r="H41" s="50">
        <f t="shared" si="2"/>
        <v>215.99999999980355</v>
      </c>
      <c r="I41" s="52">
        <f t="shared" si="3"/>
        <v>0.47393364928676729</v>
      </c>
      <c r="J41" s="52">
        <v>6.3020680000000002</v>
      </c>
      <c r="K41" s="83"/>
      <c r="L41" s="53"/>
      <c r="M41" s="123" t="s">
        <v>79</v>
      </c>
      <c r="N41" s="121" t="s">
        <v>98</v>
      </c>
      <c r="O41" s="121"/>
      <c r="P41" s="121" t="s">
        <v>93</v>
      </c>
      <c r="Q41" s="121"/>
      <c r="R41" s="121"/>
      <c r="S41" s="121" t="s">
        <v>111</v>
      </c>
      <c r="T41" s="121" t="s">
        <v>81</v>
      </c>
      <c r="U41" s="121"/>
      <c r="V41" s="121"/>
      <c r="W41" s="121"/>
      <c r="X41" s="121" t="s">
        <v>93</v>
      </c>
      <c r="Y41" s="121"/>
      <c r="Z41" s="124"/>
    </row>
    <row r="42" spans="1:26" ht="23.25" customHeight="1" x14ac:dyDescent="0.2">
      <c r="A42" s="39" t="s">
        <v>31</v>
      </c>
      <c r="B42" s="82">
        <v>6617.7939999999999</v>
      </c>
      <c r="C42" s="25">
        <f t="shared" si="0"/>
        <v>0.10239999999976135</v>
      </c>
      <c r="D42" s="24">
        <f t="shared" si="1"/>
        <v>368.63999999914085</v>
      </c>
      <c r="E42" s="108"/>
      <c r="F42" s="82">
        <v>3188.7419</v>
      </c>
      <c r="G42" s="51">
        <f t="shared" si="4"/>
        <v>4.860000000007858E-2</v>
      </c>
      <c r="H42" s="50">
        <f t="shared" si="2"/>
        <v>174.96000000028289</v>
      </c>
      <c r="I42" s="52">
        <f t="shared" si="3"/>
        <v>0.4746093750018735</v>
      </c>
      <c r="J42" s="52">
        <v>6.3156210000000002</v>
      </c>
      <c r="K42" s="83"/>
      <c r="L42" s="53"/>
      <c r="M42" s="116"/>
      <c r="N42" s="118"/>
      <c r="O42" s="118"/>
      <c r="P42" s="118"/>
      <c r="Q42" s="118"/>
      <c r="R42" s="118"/>
      <c r="S42" s="118"/>
      <c r="T42" s="118"/>
      <c r="U42" s="118"/>
      <c r="V42" s="118"/>
      <c r="W42" s="118"/>
      <c r="X42" s="118"/>
      <c r="Y42" s="118"/>
      <c r="Z42" s="125"/>
    </row>
    <row r="43" spans="1:26" ht="22.5" customHeight="1" x14ac:dyDescent="0.2">
      <c r="A43" s="214" t="s">
        <v>70</v>
      </c>
      <c r="B43" s="214"/>
      <c r="C43" s="214"/>
      <c r="D43" s="50">
        <f>SUM(D18:D42)</f>
        <v>8187.1199999994133</v>
      </c>
      <c r="E43" s="39"/>
      <c r="F43" s="54"/>
      <c r="G43" s="39"/>
      <c r="H43" s="50">
        <f>SUM(H18:H42)</f>
        <v>3453.1199999992168</v>
      </c>
      <c r="I43" s="52">
        <f>IF(AND(H43=0,D43=0),0,H43/D43)</f>
        <v>0.42177469000081402</v>
      </c>
      <c r="J43" s="39"/>
      <c r="K43" s="39"/>
      <c r="L43" s="53"/>
      <c r="M43" s="116" t="s">
        <v>80</v>
      </c>
      <c r="N43" s="118" t="s">
        <v>99</v>
      </c>
      <c r="O43" s="118"/>
      <c r="P43" s="118" t="s">
        <v>110</v>
      </c>
      <c r="Q43" s="118"/>
      <c r="R43" s="118"/>
      <c r="S43" s="118"/>
      <c r="T43" s="118"/>
      <c r="U43" s="118"/>
      <c r="V43" s="118"/>
      <c r="W43" s="118"/>
      <c r="X43" s="118" t="s">
        <v>110</v>
      </c>
      <c r="Y43" s="118"/>
      <c r="Z43" s="125"/>
    </row>
    <row r="44" spans="1:26" ht="22.5" customHeight="1" x14ac:dyDescent="0.2">
      <c r="A44" s="183" t="s">
        <v>71</v>
      </c>
      <c r="B44" s="183"/>
      <c r="C44" s="183"/>
      <c r="D44" s="61"/>
      <c r="E44" s="61"/>
      <c r="F44" s="62"/>
      <c r="G44" s="61"/>
      <c r="H44" s="61"/>
      <c r="I44" s="61"/>
      <c r="J44" s="61"/>
      <c r="K44" s="39"/>
      <c r="L44" s="53"/>
      <c r="M44" s="117"/>
      <c r="N44" s="119"/>
      <c r="O44" s="119"/>
      <c r="P44" s="119"/>
      <c r="Q44" s="119"/>
      <c r="R44" s="119"/>
      <c r="S44" s="119"/>
      <c r="T44" s="119"/>
      <c r="U44" s="119"/>
      <c r="V44" s="119"/>
      <c r="W44" s="119"/>
      <c r="X44" s="119"/>
      <c r="Y44" s="119"/>
      <c r="Z44" s="127"/>
    </row>
    <row r="45" spans="1:26" ht="22.5" customHeight="1" x14ac:dyDescent="0.2">
      <c r="A45" s="55"/>
      <c r="B45" s="56"/>
      <c r="C45" s="56"/>
      <c r="D45" s="56"/>
      <c r="E45" s="56"/>
      <c r="F45" s="56"/>
      <c r="G45" s="56"/>
      <c r="H45" s="56"/>
      <c r="I45" s="56"/>
      <c r="J45" s="57"/>
      <c r="K45" s="57"/>
      <c r="L45" s="57"/>
      <c r="M45" s="9"/>
      <c r="N45" s="111"/>
      <c r="O45" s="113"/>
      <c r="P45" s="111"/>
      <c r="Q45" s="112"/>
      <c r="R45" s="113"/>
      <c r="S45" s="7"/>
      <c r="T45" s="111"/>
      <c r="U45" s="112"/>
      <c r="V45" s="112"/>
      <c r="W45" s="113"/>
      <c r="X45" s="111"/>
      <c r="Y45" s="112"/>
      <c r="Z45" s="112"/>
    </row>
    <row r="46" spans="1:26" ht="22.5" customHeight="1" x14ac:dyDescent="0.2">
      <c r="A46" s="182" t="s">
        <v>72</v>
      </c>
      <c r="B46" s="182"/>
      <c r="C46" s="182"/>
      <c r="D46" s="182"/>
      <c r="E46" s="182"/>
      <c r="F46" s="182"/>
      <c r="G46" s="204" t="s">
        <v>73</v>
      </c>
      <c r="H46" s="204"/>
      <c r="I46" s="204"/>
      <c r="J46" s="204"/>
      <c r="K46" s="204"/>
      <c r="L46" s="204"/>
      <c r="M46" s="9"/>
      <c r="N46" s="111"/>
      <c r="O46" s="113"/>
      <c r="P46" s="111"/>
      <c r="Q46" s="112"/>
      <c r="R46" s="113"/>
      <c r="S46" s="7"/>
      <c r="T46" s="111"/>
      <c r="U46" s="112"/>
      <c r="V46" s="112"/>
      <c r="W46" s="113"/>
      <c r="X46" s="111"/>
      <c r="Y46" s="112"/>
      <c r="Z46" s="112"/>
    </row>
    <row r="47" spans="1:26" ht="22.5" customHeight="1" x14ac:dyDescent="0.2">
      <c r="A47" s="144" t="s">
        <v>365</v>
      </c>
      <c r="B47" s="144"/>
      <c r="C47" s="144"/>
      <c r="D47" s="135" t="s">
        <v>74</v>
      </c>
      <c r="E47" s="135"/>
      <c r="F47" s="135"/>
      <c r="G47" s="56"/>
      <c r="H47" s="56"/>
      <c r="I47" s="56"/>
      <c r="J47" s="56"/>
      <c r="K47" s="56"/>
      <c r="L47" s="56"/>
      <c r="M47" s="9"/>
      <c r="N47" s="111"/>
      <c r="O47" s="113"/>
      <c r="P47" s="111"/>
      <c r="Q47" s="112"/>
      <c r="R47" s="113"/>
      <c r="S47" s="7"/>
      <c r="T47" s="111"/>
      <c r="U47" s="112"/>
      <c r="V47" s="112"/>
      <c r="W47" s="113"/>
      <c r="X47" s="111"/>
      <c r="Y47" s="112"/>
      <c r="Z47" s="112"/>
    </row>
    <row r="48" spans="1:26" ht="22.5" customHeight="1" x14ac:dyDescent="0.2">
      <c r="A48" s="175" t="s">
        <v>75</v>
      </c>
      <c r="B48" s="175"/>
      <c r="C48" s="175"/>
      <c r="D48" s="174" t="s">
        <v>76</v>
      </c>
      <c r="E48" s="174"/>
      <c r="F48" s="174"/>
      <c r="G48" s="55"/>
      <c r="H48" s="55"/>
      <c r="I48" s="55"/>
      <c r="J48" s="55"/>
      <c r="K48" s="55"/>
      <c r="L48" s="55"/>
    </row>
    <row r="49" spans="1:23" ht="22.5" customHeight="1" x14ac:dyDescent="0.2">
      <c r="A49" s="144" t="s">
        <v>366</v>
      </c>
      <c r="B49" s="144"/>
      <c r="C49" s="144"/>
      <c r="D49" s="135" t="s">
        <v>74</v>
      </c>
      <c r="E49" s="135"/>
      <c r="F49" s="135"/>
      <c r="G49" s="55"/>
      <c r="H49" s="182" t="s">
        <v>183</v>
      </c>
      <c r="I49" s="182"/>
      <c r="J49" s="182"/>
      <c r="K49" s="182" t="s">
        <v>77</v>
      </c>
      <c r="L49" s="182"/>
      <c r="N49" s="177" t="s">
        <v>150</v>
      </c>
      <c r="O49" s="177"/>
      <c r="P49" s="177"/>
      <c r="Q49" s="176" t="s">
        <v>364</v>
      </c>
      <c r="R49" s="176"/>
      <c r="S49" s="176"/>
      <c r="T49" s="176"/>
      <c r="U49" s="176"/>
      <c r="V49" s="176"/>
      <c r="W49" s="1"/>
    </row>
    <row r="50" spans="1:23" ht="22.5" customHeight="1" x14ac:dyDescent="0.2">
      <c r="A50" s="175" t="s">
        <v>75</v>
      </c>
      <c r="B50" s="175"/>
      <c r="C50" s="175"/>
      <c r="D50" s="174" t="s">
        <v>76</v>
      </c>
      <c r="E50" s="174"/>
      <c r="F50" s="174"/>
      <c r="G50" s="58"/>
      <c r="H50" s="175" t="s">
        <v>75</v>
      </c>
      <c r="I50" s="175"/>
      <c r="J50" s="175"/>
      <c r="K50" s="175" t="s">
        <v>76</v>
      </c>
      <c r="L50" s="175"/>
      <c r="S50" s="173" t="s">
        <v>76</v>
      </c>
      <c r="T50" s="173"/>
    </row>
    <row r="51" spans="1:23" ht="20.100000000000001" customHeight="1" x14ac:dyDescent="0.2">
      <c r="A51" s="144" t="s">
        <v>367</v>
      </c>
      <c r="B51" s="144"/>
      <c r="C51" s="144"/>
      <c r="D51" s="135" t="s">
        <v>74</v>
      </c>
      <c r="E51" s="135"/>
      <c r="F51" s="135"/>
      <c r="G51" s="55"/>
      <c r="H51" s="55"/>
      <c r="I51" s="55"/>
      <c r="J51" s="55"/>
      <c r="K51" s="55"/>
      <c r="L51" s="55"/>
    </row>
    <row r="52" spans="1:23" ht="20.100000000000001" customHeight="1" x14ac:dyDescent="0.2">
      <c r="A52" s="174" t="s">
        <v>75</v>
      </c>
      <c r="B52" s="174"/>
      <c r="C52" s="174"/>
      <c r="D52" s="173" t="s">
        <v>76</v>
      </c>
      <c r="E52" s="173"/>
      <c r="F52" s="173"/>
      <c r="G52" s="63"/>
      <c r="H52" s="63"/>
      <c r="I52" s="64"/>
      <c r="J52" s="64"/>
      <c r="K52" s="64"/>
      <c r="L52" s="64"/>
    </row>
  </sheetData>
  <sheetProtection sheet="1" objects="1" scenarios="1"/>
  <mergeCells count="258">
    <mergeCell ref="G1:H2"/>
    <mergeCell ref="J16:J17"/>
    <mergeCell ref="K16:K17"/>
    <mergeCell ref="A13:A17"/>
    <mergeCell ref="E16:E17"/>
    <mergeCell ref="B15:C15"/>
    <mergeCell ref="D15:E15"/>
    <mergeCell ref="B13:C13"/>
    <mergeCell ref="D13:E13"/>
    <mergeCell ref="F14:G14"/>
    <mergeCell ref="A9:L9"/>
    <mergeCell ref="A1:F1"/>
    <mergeCell ref="A2:F2"/>
    <mergeCell ref="G3:H4"/>
    <mergeCell ref="I3:L4"/>
    <mergeCell ref="A11:D11"/>
    <mergeCell ref="E11:H11"/>
    <mergeCell ref="A10:D10"/>
    <mergeCell ref="E10:G10"/>
    <mergeCell ref="D14:E14"/>
    <mergeCell ref="A8:L8"/>
    <mergeCell ref="A43:C43"/>
    <mergeCell ref="J13:K13"/>
    <mergeCell ref="A3:F3"/>
    <mergeCell ref="A4:F4"/>
    <mergeCell ref="A5:F5"/>
    <mergeCell ref="A6:F6"/>
    <mergeCell ref="A12:L12"/>
    <mergeCell ref="H50:J50"/>
    <mergeCell ref="K50:L50"/>
    <mergeCell ref="D49:F49"/>
    <mergeCell ref="A47:C47"/>
    <mergeCell ref="D47:F47"/>
    <mergeCell ref="A46:F46"/>
    <mergeCell ref="A44:C44"/>
    <mergeCell ref="I13:I17"/>
    <mergeCell ref="J14:K14"/>
    <mergeCell ref="J15:K15"/>
    <mergeCell ref="G46:L46"/>
    <mergeCell ref="H49:J49"/>
    <mergeCell ref="K49:L49"/>
    <mergeCell ref="A7:L7"/>
    <mergeCell ref="F13:G13"/>
    <mergeCell ref="I11:L11"/>
    <mergeCell ref="B14:C14"/>
    <mergeCell ref="M20:M21"/>
    <mergeCell ref="M31:M32"/>
    <mergeCell ref="N10:O10"/>
    <mergeCell ref="N11:O11"/>
    <mergeCell ref="D48:F48"/>
    <mergeCell ref="F15:G15"/>
    <mergeCell ref="M18:M19"/>
    <mergeCell ref="P11:Q11"/>
    <mergeCell ref="P12:Q12"/>
    <mergeCell ref="N14:O14"/>
    <mergeCell ref="N15:O15"/>
    <mergeCell ref="N36:O36"/>
    <mergeCell ref="P36:Q36"/>
    <mergeCell ref="M33:M34"/>
    <mergeCell ref="M29:Z29"/>
    <mergeCell ref="M30:Z30"/>
    <mergeCell ref="V31:X31"/>
    <mergeCell ref="V32:X32"/>
    <mergeCell ref="Y31:Z34"/>
    <mergeCell ref="V33:X33"/>
    <mergeCell ref="R33:S33"/>
    <mergeCell ref="T31:U31"/>
    <mergeCell ref="T32:U32"/>
    <mergeCell ref="T14:U14"/>
    <mergeCell ref="N7:O7"/>
    <mergeCell ref="M17:Z17"/>
    <mergeCell ref="W18:Z21"/>
    <mergeCell ref="V11:W11"/>
    <mergeCell ref="V12:W12"/>
    <mergeCell ref="T7:U7"/>
    <mergeCell ref="V7:W7"/>
    <mergeCell ref="R11:S11"/>
    <mergeCell ref="R12:S12"/>
    <mergeCell ref="R13:S13"/>
    <mergeCell ref="R14:S14"/>
    <mergeCell ref="R15:S15"/>
    <mergeCell ref="R7:S7"/>
    <mergeCell ref="X7:Z7"/>
    <mergeCell ref="X8:Z8"/>
    <mergeCell ref="T11:U11"/>
    <mergeCell ref="T12:U12"/>
    <mergeCell ref="P13:Q13"/>
    <mergeCell ref="T13:U13"/>
    <mergeCell ref="N13:O13"/>
    <mergeCell ref="V8:W8"/>
    <mergeCell ref="V9:W9"/>
    <mergeCell ref="V10:W10"/>
    <mergeCell ref="N9:O9"/>
    <mergeCell ref="N3:O6"/>
    <mergeCell ref="T3:U3"/>
    <mergeCell ref="T10:U10"/>
    <mergeCell ref="T9:U9"/>
    <mergeCell ref="N8:O8"/>
    <mergeCell ref="M1:Z1"/>
    <mergeCell ref="M2:Z2"/>
    <mergeCell ref="X3:Z6"/>
    <mergeCell ref="M5:M6"/>
    <mergeCell ref="M3:M4"/>
    <mergeCell ref="R3:S3"/>
    <mergeCell ref="R4:S4"/>
    <mergeCell ref="R5:S5"/>
    <mergeCell ref="R6:S6"/>
    <mergeCell ref="T4:U4"/>
    <mergeCell ref="T5:U5"/>
    <mergeCell ref="P3:Q4"/>
    <mergeCell ref="V3:W3"/>
    <mergeCell ref="V4:W4"/>
    <mergeCell ref="V5:W5"/>
    <mergeCell ref="V6:W6"/>
    <mergeCell ref="T6:U6"/>
    <mergeCell ref="P5:Q6"/>
    <mergeCell ref="P7:Q7"/>
    <mergeCell ref="R8:S8"/>
    <mergeCell ref="R9:S9"/>
    <mergeCell ref="R10:S10"/>
    <mergeCell ref="T8:U8"/>
    <mergeCell ref="P8:Q8"/>
    <mergeCell ref="P9:Q9"/>
    <mergeCell ref="P10:Q10"/>
    <mergeCell ref="N12:O12"/>
    <mergeCell ref="N28:P28"/>
    <mergeCell ref="Q28:S28"/>
    <mergeCell ref="T28:V28"/>
    <mergeCell ref="Q26:S26"/>
    <mergeCell ref="Q25:S25"/>
    <mergeCell ref="Q22:S22"/>
    <mergeCell ref="N25:P25"/>
    <mergeCell ref="T26:V26"/>
    <mergeCell ref="T25:V25"/>
    <mergeCell ref="N27:P27"/>
    <mergeCell ref="Q27:S27"/>
    <mergeCell ref="T27:V27"/>
    <mergeCell ref="P14:Q14"/>
    <mergeCell ref="P15:Q15"/>
    <mergeCell ref="P16:Q16"/>
    <mergeCell ref="V13:W13"/>
    <mergeCell ref="N18:P19"/>
    <mergeCell ref="T20:V21"/>
    <mergeCell ref="Q21:S21"/>
    <mergeCell ref="N22:P22"/>
    <mergeCell ref="T23:V23"/>
    <mergeCell ref="N20:P21"/>
    <mergeCell ref="N16:O16"/>
    <mergeCell ref="Q20:S20"/>
    <mergeCell ref="R16:S16"/>
    <mergeCell ref="V16:W16"/>
    <mergeCell ref="T22:V22"/>
    <mergeCell ref="Q18:S18"/>
    <mergeCell ref="Q19:S19"/>
    <mergeCell ref="X9:Z9"/>
    <mergeCell ref="X10:Z10"/>
    <mergeCell ref="X11:Z11"/>
    <mergeCell ref="X12:Z12"/>
    <mergeCell ref="X13:Z13"/>
    <mergeCell ref="T33:U33"/>
    <mergeCell ref="R31:S31"/>
    <mergeCell ref="R32:S32"/>
    <mergeCell ref="T15:U15"/>
    <mergeCell ref="V15:W15"/>
    <mergeCell ref="X14:Z14"/>
    <mergeCell ref="X15:Z15"/>
    <mergeCell ref="X16:Z16"/>
    <mergeCell ref="W26:Z26"/>
    <mergeCell ref="W25:Z25"/>
    <mergeCell ref="W27:Z27"/>
    <mergeCell ref="W22:Z22"/>
    <mergeCell ref="V14:W14"/>
    <mergeCell ref="Q24:S24"/>
    <mergeCell ref="W24:Z24"/>
    <mergeCell ref="Q23:S23"/>
    <mergeCell ref="T24:V24"/>
    <mergeCell ref="T16:U16"/>
    <mergeCell ref="T18:V19"/>
    <mergeCell ref="V34:X34"/>
    <mergeCell ref="W28:Z28"/>
    <mergeCell ref="W23:Z23"/>
    <mergeCell ref="R36:S36"/>
    <mergeCell ref="T36:U36"/>
    <mergeCell ref="V36:X36"/>
    <mergeCell ref="Y36:Z36"/>
    <mergeCell ref="N35:O35"/>
    <mergeCell ref="P35:Q35"/>
    <mergeCell ref="R35:S35"/>
    <mergeCell ref="T35:U35"/>
    <mergeCell ref="V35:X35"/>
    <mergeCell ref="Y35:Z35"/>
    <mergeCell ref="N31:O32"/>
    <mergeCell ref="N33:O34"/>
    <mergeCell ref="T34:U34"/>
    <mergeCell ref="P32:Q32"/>
    <mergeCell ref="P33:Q33"/>
    <mergeCell ref="P34:Q34"/>
    <mergeCell ref="P31:Q31"/>
    <mergeCell ref="R34:S34"/>
    <mergeCell ref="N24:P24"/>
    <mergeCell ref="N23:P23"/>
    <mergeCell ref="N26:P26"/>
    <mergeCell ref="V38:X38"/>
    <mergeCell ref="Y38:Z38"/>
    <mergeCell ref="N38:O38"/>
    <mergeCell ref="P38:Q38"/>
    <mergeCell ref="R38:S38"/>
    <mergeCell ref="T38:U38"/>
    <mergeCell ref="N37:O37"/>
    <mergeCell ref="P37:Q37"/>
    <mergeCell ref="R37:S37"/>
    <mergeCell ref="T37:U37"/>
    <mergeCell ref="V37:X37"/>
    <mergeCell ref="Y37:Z37"/>
    <mergeCell ref="S50:T50"/>
    <mergeCell ref="X41:Z42"/>
    <mergeCell ref="X43:Z44"/>
    <mergeCell ref="R39:S39"/>
    <mergeCell ref="T39:U39"/>
    <mergeCell ref="V39:X39"/>
    <mergeCell ref="Y39:Z39"/>
    <mergeCell ref="S41:S44"/>
    <mergeCell ref="T41:W44"/>
    <mergeCell ref="T47:W47"/>
    <mergeCell ref="N49:P49"/>
    <mergeCell ref="P45:R45"/>
    <mergeCell ref="N43:O44"/>
    <mergeCell ref="P43:R44"/>
    <mergeCell ref="P46:R46"/>
    <mergeCell ref="P47:R47"/>
    <mergeCell ref="N45:O45"/>
    <mergeCell ref="X45:Z45"/>
    <mergeCell ref="X46:Z46"/>
    <mergeCell ref="X47:Z47"/>
    <mergeCell ref="A51:C51"/>
    <mergeCell ref="D51:F51"/>
    <mergeCell ref="N46:O46"/>
    <mergeCell ref="N47:O47"/>
    <mergeCell ref="T45:W45"/>
    <mergeCell ref="T46:W46"/>
    <mergeCell ref="A52:C52"/>
    <mergeCell ref="D52:F52"/>
    <mergeCell ref="I1:L2"/>
    <mergeCell ref="G5:H6"/>
    <mergeCell ref="I5:L6"/>
    <mergeCell ref="H10:L10"/>
    <mergeCell ref="A48:C48"/>
    <mergeCell ref="A49:C49"/>
    <mergeCell ref="A50:C50"/>
    <mergeCell ref="D50:F50"/>
    <mergeCell ref="N39:O39"/>
    <mergeCell ref="P39:Q39"/>
    <mergeCell ref="N41:O42"/>
    <mergeCell ref="P41:R42"/>
    <mergeCell ref="M40:Z40"/>
    <mergeCell ref="M43:M44"/>
    <mergeCell ref="M41:M42"/>
    <mergeCell ref="Q49:V49"/>
  </mergeCells>
  <phoneticPr fontId="0" type="noConversion"/>
  <printOptions horizontalCentered="1"/>
  <pageMargins left="0.39370078740157483" right="0.39370078740157483" top="0.19685039370078741" bottom="0.19685039370078741" header="0" footer="0"/>
  <pageSetup paperSize="9" scale="66" orientation="portrait" horizontalDpi="180" verticalDpi="180" r:id="rId1"/>
  <headerFooter alignWithMargins="0"/>
  <colBreaks count="1" manualBreakCount="1">
    <brk id="12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5"/>
  <dimension ref="A1:Z52"/>
  <sheetViews>
    <sheetView view="pageBreakPreview" topLeftCell="A9" zoomScale="75" zoomScaleNormal="50" zoomScaleSheetLayoutView="75" workbookViewId="0">
      <selection activeCell="L40" sqref="L40"/>
    </sheetView>
  </sheetViews>
  <sheetFormatPr defaultRowHeight="18.75" x14ac:dyDescent="0.2"/>
  <cols>
    <col min="1" max="1" width="11.140625" style="2" customWidth="1"/>
    <col min="2" max="2" width="13.42578125" style="2" customWidth="1"/>
    <col min="3" max="3" width="12.140625" style="2" customWidth="1"/>
    <col min="4" max="4" width="14" style="2" customWidth="1"/>
    <col min="5" max="5" width="5.42578125" style="2" customWidth="1"/>
    <col min="6" max="6" width="13.85546875" style="2" customWidth="1"/>
    <col min="7" max="7" width="12.85546875" style="2" customWidth="1"/>
    <col min="8" max="8" width="16.28515625" style="2" customWidth="1"/>
    <col min="9" max="9" width="8.28515625" style="2" customWidth="1"/>
    <col min="10" max="11" width="8.85546875" style="2" customWidth="1"/>
    <col min="12" max="12" width="17" style="2" customWidth="1"/>
    <col min="13" max="26" width="10.28515625" style="2" customWidth="1"/>
    <col min="27" max="16384" width="9.140625" style="2"/>
  </cols>
  <sheetData>
    <row r="1" spans="1:26" ht="21.75" customHeight="1" x14ac:dyDescent="0.2">
      <c r="A1" s="115" t="s">
        <v>157</v>
      </c>
      <c r="B1" s="115"/>
      <c r="C1" s="115"/>
      <c r="D1" s="115"/>
      <c r="E1" s="115"/>
      <c r="F1" s="115"/>
      <c r="G1" s="150" t="s">
        <v>154</v>
      </c>
      <c r="H1" s="150"/>
      <c r="I1" s="115" t="s">
        <v>160</v>
      </c>
      <c r="J1" s="115"/>
      <c r="K1" s="115"/>
      <c r="L1" s="115"/>
      <c r="M1" s="122" t="s">
        <v>96</v>
      </c>
      <c r="N1" s="122"/>
      <c r="O1" s="122"/>
      <c r="P1" s="122"/>
      <c r="Q1" s="122"/>
      <c r="R1" s="122"/>
      <c r="S1" s="122"/>
      <c r="T1" s="122"/>
      <c r="U1" s="122"/>
      <c r="V1" s="122"/>
      <c r="W1" s="122"/>
      <c r="X1" s="122"/>
      <c r="Y1" s="122"/>
      <c r="Z1" s="122"/>
    </row>
    <row r="2" spans="1:26" ht="21.75" customHeight="1" x14ac:dyDescent="0.2">
      <c r="A2" s="146" t="s">
        <v>45</v>
      </c>
      <c r="B2" s="146"/>
      <c r="C2" s="146"/>
      <c r="D2" s="146"/>
      <c r="E2" s="146"/>
      <c r="F2" s="146"/>
      <c r="G2" s="150"/>
      <c r="H2" s="150"/>
      <c r="I2" s="115"/>
      <c r="J2" s="115"/>
      <c r="K2" s="115"/>
      <c r="L2" s="115"/>
      <c r="M2" s="122" t="s">
        <v>78</v>
      </c>
      <c r="N2" s="122"/>
      <c r="O2" s="122"/>
      <c r="P2" s="122"/>
      <c r="Q2" s="122"/>
      <c r="R2" s="122"/>
      <c r="S2" s="122"/>
      <c r="T2" s="122"/>
      <c r="U2" s="122"/>
      <c r="V2" s="122"/>
      <c r="W2" s="122"/>
      <c r="X2" s="122"/>
      <c r="Y2" s="122"/>
      <c r="Z2" s="122"/>
    </row>
    <row r="3" spans="1:26" ht="21.75" customHeight="1" x14ac:dyDescent="0.2">
      <c r="A3" s="115" t="s">
        <v>158</v>
      </c>
      <c r="B3" s="147"/>
      <c r="C3" s="147"/>
      <c r="D3" s="147"/>
      <c r="E3" s="147"/>
      <c r="F3" s="147"/>
      <c r="G3" s="150" t="s">
        <v>155</v>
      </c>
      <c r="H3" s="150"/>
      <c r="I3" s="115" t="s">
        <v>199</v>
      </c>
      <c r="J3" s="115"/>
      <c r="K3" s="115"/>
      <c r="L3" s="115"/>
      <c r="M3" s="123" t="s">
        <v>79</v>
      </c>
      <c r="N3" s="124" t="s">
        <v>81</v>
      </c>
      <c r="O3" s="123"/>
      <c r="P3" s="124" t="s">
        <v>65</v>
      </c>
      <c r="Q3" s="123"/>
      <c r="R3" s="124" t="s">
        <v>82</v>
      </c>
      <c r="S3" s="123"/>
      <c r="T3" s="124" t="s">
        <v>85</v>
      </c>
      <c r="U3" s="123"/>
      <c r="V3" s="124" t="s">
        <v>87</v>
      </c>
      <c r="W3" s="123"/>
      <c r="X3" s="128" t="s">
        <v>91</v>
      </c>
      <c r="Y3" s="132"/>
      <c r="Z3" s="132"/>
    </row>
    <row r="4" spans="1:26" ht="29.25" customHeight="1" x14ac:dyDescent="0.2">
      <c r="A4" s="146" t="s">
        <v>46</v>
      </c>
      <c r="B4" s="146"/>
      <c r="C4" s="146"/>
      <c r="D4" s="146"/>
      <c r="E4" s="146"/>
      <c r="F4" s="146"/>
      <c r="G4" s="150"/>
      <c r="H4" s="150"/>
      <c r="I4" s="115"/>
      <c r="J4" s="115"/>
      <c r="K4" s="115"/>
      <c r="L4" s="115"/>
      <c r="M4" s="116"/>
      <c r="N4" s="125"/>
      <c r="O4" s="116"/>
      <c r="P4" s="125"/>
      <c r="Q4" s="116"/>
      <c r="R4" s="125" t="s">
        <v>83</v>
      </c>
      <c r="S4" s="116"/>
      <c r="T4" s="125" t="s">
        <v>86</v>
      </c>
      <c r="U4" s="116"/>
      <c r="V4" s="125" t="s">
        <v>88</v>
      </c>
      <c r="W4" s="116"/>
      <c r="X4" s="128"/>
      <c r="Y4" s="132"/>
      <c r="Z4" s="132"/>
    </row>
    <row r="5" spans="1:26" ht="21.75" customHeight="1" x14ac:dyDescent="0.2">
      <c r="A5" s="115" t="s">
        <v>177</v>
      </c>
      <c r="B5" s="147"/>
      <c r="C5" s="147"/>
      <c r="D5" s="147"/>
      <c r="E5" s="147"/>
      <c r="F5" s="147"/>
      <c r="G5" s="150" t="s">
        <v>156</v>
      </c>
      <c r="H5" s="150"/>
      <c r="I5" s="115" t="s">
        <v>211</v>
      </c>
      <c r="J5" s="115"/>
      <c r="K5" s="115"/>
      <c r="L5" s="115"/>
      <c r="M5" s="116" t="s">
        <v>80</v>
      </c>
      <c r="N5" s="125"/>
      <c r="O5" s="116"/>
      <c r="P5" s="125" t="s">
        <v>182</v>
      </c>
      <c r="Q5" s="116"/>
      <c r="R5" s="133" t="s">
        <v>84</v>
      </c>
      <c r="S5" s="134"/>
      <c r="T5" s="133" t="s">
        <v>84</v>
      </c>
      <c r="U5" s="134"/>
      <c r="V5" s="125" t="s">
        <v>89</v>
      </c>
      <c r="W5" s="116"/>
      <c r="X5" s="128"/>
      <c r="Y5" s="132"/>
      <c r="Z5" s="132"/>
    </row>
    <row r="6" spans="1:26" ht="21.75" customHeight="1" x14ac:dyDescent="0.2">
      <c r="A6" s="146" t="s">
        <v>47</v>
      </c>
      <c r="B6" s="146"/>
      <c r="C6" s="146"/>
      <c r="D6" s="146"/>
      <c r="E6" s="146"/>
      <c r="F6" s="146"/>
      <c r="G6" s="150"/>
      <c r="H6" s="150"/>
      <c r="I6" s="115"/>
      <c r="J6" s="115"/>
      <c r="K6" s="115"/>
      <c r="L6" s="115"/>
      <c r="M6" s="117"/>
      <c r="N6" s="127"/>
      <c r="O6" s="117"/>
      <c r="P6" s="127"/>
      <c r="Q6" s="117"/>
      <c r="R6" s="127"/>
      <c r="S6" s="117"/>
      <c r="T6" s="127"/>
      <c r="U6" s="117"/>
      <c r="V6" s="127" t="s">
        <v>90</v>
      </c>
      <c r="W6" s="117"/>
      <c r="X6" s="128"/>
      <c r="Y6" s="132"/>
      <c r="Z6" s="132"/>
    </row>
    <row r="7" spans="1:26" ht="21.75" customHeight="1" x14ac:dyDescent="0.2">
      <c r="A7" s="122"/>
      <c r="B7" s="122"/>
      <c r="C7" s="122"/>
      <c r="D7" s="122"/>
      <c r="E7" s="122"/>
      <c r="F7" s="122"/>
      <c r="G7" s="122"/>
      <c r="H7" s="122"/>
      <c r="I7" s="122"/>
      <c r="J7" s="122"/>
      <c r="K7" s="122"/>
      <c r="L7" s="122"/>
      <c r="M7" s="9"/>
      <c r="N7" s="111"/>
      <c r="O7" s="113"/>
      <c r="P7" s="111"/>
      <c r="Q7" s="113"/>
      <c r="R7" s="111"/>
      <c r="S7" s="113"/>
      <c r="T7" s="111"/>
      <c r="U7" s="113"/>
      <c r="V7" s="111"/>
      <c r="W7" s="113"/>
      <c r="X7" s="111"/>
      <c r="Y7" s="112"/>
      <c r="Z7" s="112"/>
    </row>
    <row r="8" spans="1:26" ht="22.5" customHeight="1" x14ac:dyDescent="0.2">
      <c r="A8" s="143" t="s">
        <v>48</v>
      </c>
      <c r="B8" s="143"/>
      <c r="C8" s="143"/>
      <c r="D8" s="143"/>
      <c r="E8" s="143"/>
      <c r="F8" s="143"/>
      <c r="G8" s="143"/>
      <c r="H8" s="143"/>
      <c r="I8" s="143"/>
      <c r="J8" s="143"/>
      <c r="K8" s="143"/>
      <c r="L8" s="143"/>
      <c r="M8" s="9"/>
      <c r="N8" s="111"/>
      <c r="O8" s="113"/>
      <c r="P8" s="111"/>
      <c r="Q8" s="113"/>
      <c r="R8" s="111"/>
      <c r="S8" s="113"/>
      <c r="T8" s="111"/>
      <c r="U8" s="113"/>
      <c r="V8" s="111"/>
      <c r="W8" s="113"/>
      <c r="X8" s="111"/>
      <c r="Y8" s="112"/>
      <c r="Z8" s="112"/>
    </row>
    <row r="9" spans="1:26" ht="22.5" customHeight="1" x14ac:dyDescent="0.2">
      <c r="A9" s="156" t="s">
        <v>49</v>
      </c>
      <c r="B9" s="156"/>
      <c r="C9" s="156"/>
      <c r="D9" s="156"/>
      <c r="E9" s="156"/>
      <c r="F9" s="156"/>
      <c r="G9" s="156"/>
      <c r="H9" s="156"/>
      <c r="I9" s="156"/>
      <c r="J9" s="156"/>
      <c r="K9" s="156"/>
      <c r="L9" s="156"/>
      <c r="M9" s="9"/>
      <c r="N9" s="111"/>
      <c r="O9" s="113"/>
      <c r="P9" s="111"/>
      <c r="Q9" s="113"/>
      <c r="R9" s="111"/>
      <c r="S9" s="113"/>
      <c r="T9" s="111"/>
      <c r="U9" s="113"/>
      <c r="V9" s="111"/>
      <c r="W9" s="113"/>
      <c r="X9" s="111"/>
      <c r="Y9" s="112"/>
      <c r="Z9" s="112"/>
    </row>
    <row r="10" spans="1:26" ht="22.5" customHeight="1" x14ac:dyDescent="0.2">
      <c r="A10" s="151" t="s">
        <v>112</v>
      </c>
      <c r="B10" s="151"/>
      <c r="C10" s="151"/>
      <c r="D10" s="151"/>
      <c r="E10" s="162" t="s">
        <v>407</v>
      </c>
      <c r="F10" s="163"/>
      <c r="G10" s="163"/>
      <c r="H10" s="138" t="s">
        <v>369</v>
      </c>
      <c r="I10" s="138"/>
      <c r="J10" s="138"/>
      <c r="K10" s="138"/>
      <c r="L10" s="138"/>
      <c r="M10" s="9"/>
      <c r="N10" s="111"/>
      <c r="O10" s="113"/>
      <c r="P10" s="111"/>
      <c r="Q10" s="113"/>
      <c r="R10" s="111"/>
      <c r="S10" s="113"/>
      <c r="T10" s="111"/>
      <c r="U10" s="113"/>
      <c r="V10" s="111"/>
      <c r="W10" s="113"/>
      <c r="X10" s="111"/>
      <c r="Y10" s="112"/>
      <c r="Z10" s="112"/>
    </row>
    <row r="11" spans="1:26" ht="22.5" customHeight="1" x14ac:dyDescent="0.2">
      <c r="A11" s="151" t="s">
        <v>113</v>
      </c>
      <c r="B11" s="151"/>
      <c r="C11" s="151"/>
      <c r="D11" s="151"/>
      <c r="E11" s="161" t="s">
        <v>221</v>
      </c>
      <c r="F11" s="161"/>
      <c r="G11" s="161"/>
      <c r="H11" s="161"/>
      <c r="I11" s="138" t="s">
        <v>114</v>
      </c>
      <c r="J11" s="138"/>
      <c r="K11" s="138"/>
      <c r="L11" s="138"/>
      <c r="M11" s="9"/>
      <c r="N11" s="111"/>
      <c r="O11" s="113"/>
      <c r="P11" s="111"/>
      <c r="Q11" s="113"/>
      <c r="R11" s="111"/>
      <c r="S11" s="113"/>
      <c r="T11" s="111"/>
      <c r="U11" s="113"/>
      <c r="V11" s="111"/>
      <c r="W11" s="113"/>
      <c r="X11" s="111"/>
      <c r="Y11" s="112"/>
      <c r="Z11" s="112"/>
    </row>
    <row r="12" spans="1:26" ht="21.75" customHeight="1" x14ac:dyDescent="0.2">
      <c r="A12" s="215"/>
      <c r="B12" s="149"/>
      <c r="C12" s="149"/>
      <c r="D12" s="149"/>
      <c r="E12" s="149"/>
      <c r="F12" s="149"/>
      <c r="G12" s="149"/>
      <c r="H12" s="149"/>
      <c r="I12" s="149"/>
      <c r="J12" s="149"/>
      <c r="K12" s="149"/>
      <c r="L12" s="215"/>
      <c r="M12" s="9"/>
      <c r="N12" s="111"/>
      <c r="O12" s="113"/>
      <c r="P12" s="111"/>
      <c r="Q12" s="113"/>
      <c r="R12" s="111"/>
      <c r="S12" s="113"/>
      <c r="T12" s="111"/>
      <c r="U12" s="113"/>
      <c r="V12" s="111"/>
      <c r="W12" s="113"/>
      <c r="X12" s="111"/>
      <c r="Y12" s="112"/>
      <c r="Z12" s="112"/>
    </row>
    <row r="13" spans="1:26" ht="21.75" customHeight="1" x14ac:dyDescent="0.2">
      <c r="A13" s="187" t="s">
        <v>50</v>
      </c>
      <c r="B13" s="196" t="s">
        <v>56</v>
      </c>
      <c r="C13" s="196"/>
      <c r="D13" s="185" t="s">
        <v>190</v>
      </c>
      <c r="E13" s="186"/>
      <c r="F13" s="195" t="s">
        <v>59</v>
      </c>
      <c r="G13" s="196"/>
      <c r="H13" s="40" t="s">
        <v>190</v>
      </c>
      <c r="I13" s="197" t="s">
        <v>5</v>
      </c>
      <c r="J13" s="195" t="s">
        <v>60</v>
      </c>
      <c r="K13" s="196"/>
      <c r="L13" s="45" t="s">
        <v>65</v>
      </c>
      <c r="M13" s="9"/>
      <c r="N13" s="111"/>
      <c r="O13" s="113"/>
      <c r="P13" s="111"/>
      <c r="Q13" s="113"/>
      <c r="R13" s="111"/>
      <c r="S13" s="113"/>
      <c r="T13" s="111"/>
      <c r="U13" s="113"/>
      <c r="V13" s="111"/>
      <c r="W13" s="113"/>
      <c r="X13" s="111"/>
      <c r="Y13" s="112"/>
      <c r="Z13" s="112"/>
    </row>
    <row r="14" spans="1:26" ht="21.75" customHeight="1" x14ac:dyDescent="0.2">
      <c r="A14" s="188"/>
      <c r="B14" s="201" t="s">
        <v>57</v>
      </c>
      <c r="C14" s="201"/>
      <c r="D14" s="202" t="s">
        <v>213</v>
      </c>
      <c r="E14" s="203"/>
      <c r="F14" s="200" t="s">
        <v>57</v>
      </c>
      <c r="G14" s="201"/>
      <c r="H14" s="42" t="s">
        <v>213</v>
      </c>
      <c r="I14" s="198"/>
      <c r="J14" s="200" t="s">
        <v>61</v>
      </c>
      <c r="K14" s="201"/>
      <c r="L14" s="71" t="s">
        <v>66</v>
      </c>
      <c r="M14" s="9"/>
      <c r="N14" s="111"/>
      <c r="O14" s="113"/>
      <c r="P14" s="111"/>
      <c r="Q14" s="113"/>
      <c r="R14" s="111"/>
      <c r="S14" s="113"/>
      <c r="T14" s="111"/>
      <c r="U14" s="113"/>
      <c r="V14" s="111"/>
      <c r="W14" s="113"/>
      <c r="X14" s="111"/>
      <c r="Y14" s="112"/>
      <c r="Z14" s="112"/>
    </row>
    <row r="15" spans="1:26" ht="21.75" customHeight="1" x14ac:dyDescent="0.2">
      <c r="A15" s="188"/>
      <c r="B15" s="192" t="s">
        <v>58</v>
      </c>
      <c r="C15" s="192"/>
      <c r="D15" s="193">
        <v>2400</v>
      </c>
      <c r="E15" s="194"/>
      <c r="F15" s="191" t="s">
        <v>58</v>
      </c>
      <c r="G15" s="192"/>
      <c r="H15" s="43">
        <v>2400</v>
      </c>
      <c r="I15" s="198"/>
      <c r="J15" s="191" t="s">
        <v>62</v>
      </c>
      <c r="K15" s="192"/>
      <c r="L15" s="71" t="s">
        <v>67</v>
      </c>
      <c r="M15" s="9"/>
      <c r="N15" s="111"/>
      <c r="O15" s="113"/>
      <c r="P15" s="111"/>
      <c r="Q15" s="113"/>
      <c r="R15" s="111"/>
      <c r="S15" s="113"/>
      <c r="T15" s="111"/>
      <c r="U15" s="113"/>
      <c r="V15" s="111"/>
      <c r="W15" s="113"/>
      <c r="X15" s="111"/>
      <c r="Y15" s="112"/>
      <c r="Z15" s="112"/>
    </row>
    <row r="16" spans="1:26" ht="21.75" customHeight="1" x14ac:dyDescent="0.2">
      <c r="A16" s="188"/>
      <c r="B16" s="72" t="s">
        <v>51</v>
      </c>
      <c r="C16" s="44" t="s">
        <v>53</v>
      </c>
      <c r="D16" s="44" t="s">
        <v>54</v>
      </c>
      <c r="E16" s="154"/>
      <c r="F16" s="44" t="s">
        <v>51</v>
      </c>
      <c r="G16" s="44" t="s">
        <v>53</v>
      </c>
      <c r="H16" s="45" t="s">
        <v>54</v>
      </c>
      <c r="I16" s="198"/>
      <c r="J16" s="154" t="s">
        <v>63</v>
      </c>
      <c r="K16" s="154" t="s">
        <v>64</v>
      </c>
      <c r="L16" s="71" t="s">
        <v>68</v>
      </c>
      <c r="M16" s="9"/>
      <c r="N16" s="111"/>
      <c r="O16" s="113"/>
      <c r="P16" s="111"/>
      <c r="Q16" s="113"/>
      <c r="R16" s="111"/>
      <c r="S16" s="113"/>
      <c r="T16" s="111"/>
      <c r="U16" s="113"/>
      <c r="V16" s="111"/>
      <c r="W16" s="113"/>
      <c r="X16" s="111"/>
      <c r="Y16" s="112"/>
      <c r="Z16" s="112"/>
    </row>
    <row r="17" spans="1:26" ht="21.75" customHeight="1" x14ac:dyDescent="0.2">
      <c r="A17" s="189"/>
      <c r="B17" s="44" t="s">
        <v>52</v>
      </c>
      <c r="C17" s="46" t="s">
        <v>51</v>
      </c>
      <c r="D17" s="46" t="s">
        <v>55</v>
      </c>
      <c r="E17" s="190"/>
      <c r="F17" s="46" t="s">
        <v>52</v>
      </c>
      <c r="G17" s="47" t="s">
        <v>51</v>
      </c>
      <c r="H17" s="48" t="s">
        <v>55</v>
      </c>
      <c r="I17" s="199"/>
      <c r="J17" s="155"/>
      <c r="K17" s="155"/>
      <c r="L17" s="48" t="s">
        <v>69</v>
      </c>
      <c r="M17" s="130" t="s">
        <v>92</v>
      </c>
      <c r="N17" s="130"/>
      <c r="O17" s="130"/>
      <c r="P17" s="130"/>
      <c r="Q17" s="130"/>
      <c r="R17" s="130"/>
      <c r="S17" s="130"/>
      <c r="T17" s="130"/>
      <c r="U17" s="130"/>
      <c r="V17" s="130"/>
      <c r="W17" s="130"/>
      <c r="X17" s="130"/>
      <c r="Y17" s="130"/>
      <c r="Z17" s="130"/>
    </row>
    <row r="18" spans="1:26" ht="23.25" customHeight="1" x14ac:dyDescent="0.2">
      <c r="A18" s="49" t="s">
        <v>7</v>
      </c>
      <c r="B18" s="82">
        <v>1.9648000000000001</v>
      </c>
      <c r="C18" s="25"/>
      <c r="D18" s="24"/>
      <c r="E18" s="108"/>
      <c r="F18" s="82">
        <v>0.20020000000000002</v>
      </c>
      <c r="G18" s="51"/>
      <c r="H18" s="50"/>
      <c r="I18" s="52"/>
      <c r="J18" s="39"/>
      <c r="K18" s="79"/>
      <c r="L18" s="73"/>
      <c r="M18" s="123" t="s">
        <v>79</v>
      </c>
      <c r="N18" s="121" t="s">
        <v>98</v>
      </c>
      <c r="O18" s="121"/>
      <c r="P18" s="121"/>
      <c r="Q18" s="121" t="s">
        <v>107</v>
      </c>
      <c r="R18" s="121"/>
      <c r="S18" s="121"/>
      <c r="T18" s="121" t="s">
        <v>93</v>
      </c>
      <c r="U18" s="121"/>
      <c r="V18" s="121"/>
      <c r="W18" s="124" t="s">
        <v>91</v>
      </c>
      <c r="X18" s="131"/>
      <c r="Y18" s="131"/>
      <c r="Z18" s="131"/>
    </row>
    <row r="19" spans="1:26" ht="23.25" customHeight="1" x14ac:dyDescent="0.2">
      <c r="A19" s="49" t="s">
        <v>8</v>
      </c>
      <c r="B19" s="82">
        <v>1.9648000000000001</v>
      </c>
      <c r="C19" s="25">
        <f t="shared" ref="C19:C42" si="0">IF(B19="","",IF(LEN(TRUNC(B18,0))-LEN(TRUNC(B19,0))=0,B19-B18,IF(LEN(TRUNC(B18,0))-LEN(TRUNC(B19,0))&gt;0,VALUE(LEFT(B18,LEN(TRUNC(B18,0))-LEN(TRUNC(B19,0))))*POWER(10,LEN(TRUNC(B19,0)))+B19-B18,B19-B18-VALUE(LEFT(B19,LEN(TRUNC(B19,0))-LEN(TRUNC(B18,0))))*POWER(10,LEN(TRUNC(B18,0))))))</f>
        <v>0</v>
      </c>
      <c r="D19" s="24">
        <f t="shared" ref="D19:D42" si="1">IF(C19="","",C19*$D$15)</f>
        <v>0</v>
      </c>
      <c r="E19" s="108"/>
      <c r="F19" s="82">
        <v>0.20020000000000002</v>
      </c>
      <c r="G19" s="51">
        <f>F19-ReportObject15_3</f>
        <v>0</v>
      </c>
      <c r="H19" s="50">
        <f t="shared" ref="H19:H42" si="2">IF(G19="","",G19*$H$15)</f>
        <v>0</v>
      </c>
      <c r="I19" s="52">
        <f t="shared" ref="I19:I42" si="3">IF(H19="","",IF(D19="","",IF(AND(H19=0,D19=0),0,H19/D19)))</f>
        <v>0</v>
      </c>
      <c r="J19" s="52">
        <v>6.3249680000000001</v>
      </c>
      <c r="K19" s="83"/>
      <c r="L19" s="53"/>
      <c r="M19" s="116"/>
      <c r="N19" s="118"/>
      <c r="O19" s="118"/>
      <c r="P19" s="118"/>
      <c r="Q19" s="118" t="s">
        <v>108</v>
      </c>
      <c r="R19" s="118"/>
      <c r="S19" s="118"/>
      <c r="T19" s="118"/>
      <c r="U19" s="118"/>
      <c r="V19" s="118"/>
      <c r="W19" s="125"/>
      <c r="X19" s="122"/>
      <c r="Y19" s="122"/>
      <c r="Z19" s="122"/>
    </row>
    <row r="20" spans="1:26" ht="23.25" customHeight="1" x14ac:dyDescent="0.2">
      <c r="A20" s="49" t="s">
        <v>9</v>
      </c>
      <c r="B20" s="82">
        <v>1.9648000000000001</v>
      </c>
      <c r="C20" s="25">
        <f t="shared" si="0"/>
        <v>0</v>
      </c>
      <c r="D20" s="24">
        <f t="shared" si="1"/>
        <v>0</v>
      </c>
      <c r="E20" s="108"/>
      <c r="F20" s="82">
        <v>0.20020000000000002</v>
      </c>
      <c r="G20" s="51">
        <f>F20-F19</f>
        <v>0</v>
      </c>
      <c r="H20" s="50">
        <f t="shared" si="2"/>
        <v>0</v>
      </c>
      <c r="I20" s="52">
        <f t="shared" si="3"/>
        <v>0</v>
      </c>
      <c r="J20" s="52">
        <v>6.3225600000000002</v>
      </c>
      <c r="K20" s="83"/>
      <c r="L20" s="53"/>
      <c r="M20" s="116" t="s">
        <v>80</v>
      </c>
      <c r="N20" s="118" t="s">
        <v>99</v>
      </c>
      <c r="O20" s="118"/>
      <c r="P20" s="118"/>
      <c r="Q20" s="118" t="s">
        <v>181</v>
      </c>
      <c r="R20" s="118"/>
      <c r="S20" s="118"/>
      <c r="T20" s="118" t="s">
        <v>94</v>
      </c>
      <c r="U20" s="118"/>
      <c r="V20" s="118"/>
      <c r="W20" s="125"/>
      <c r="X20" s="122"/>
      <c r="Y20" s="122"/>
      <c r="Z20" s="122"/>
    </row>
    <row r="21" spans="1:26" ht="23.25" customHeight="1" x14ac:dyDescent="0.2">
      <c r="A21" s="49" t="s">
        <v>10</v>
      </c>
      <c r="B21" s="82">
        <v>1.9648000000000001</v>
      </c>
      <c r="C21" s="25">
        <f t="shared" si="0"/>
        <v>0</v>
      </c>
      <c r="D21" s="24">
        <f t="shared" si="1"/>
        <v>0</v>
      </c>
      <c r="E21" s="108"/>
      <c r="F21" s="82">
        <v>0.20020000000000002</v>
      </c>
      <c r="G21" s="51">
        <f t="shared" ref="G21:G42" si="4">F21-F20</f>
        <v>0</v>
      </c>
      <c r="H21" s="50">
        <f t="shared" si="2"/>
        <v>0</v>
      </c>
      <c r="I21" s="52">
        <f t="shared" si="3"/>
        <v>0</v>
      </c>
      <c r="J21" s="52">
        <v>6.2995780000000003</v>
      </c>
      <c r="K21" s="83"/>
      <c r="L21" s="53"/>
      <c r="M21" s="117"/>
      <c r="N21" s="119"/>
      <c r="O21" s="119"/>
      <c r="P21" s="119"/>
      <c r="Q21" s="119"/>
      <c r="R21" s="119"/>
      <c r="S21" s="119"/>
      <c r="T21" s="119"/>
      <c r="U21" s="119"/>
      <c r="V21" s="119"/>
      <c r="W21" s="127"/>
      <c r="X21" s="130"/>
      <c r="Y21" s="130"/>
      <c r="Z21" s="130"/>
    </row>
    <row r="22" spans="1:26" ht="23.25" customHeight="1" x14ac:dyDescent="0.2">
      <c r="A22" s="49" t="s">
        <v>11</v>
      </c>
      <c r="B22" s="82">
        <v>1.9648000000000001</v>
      </c>
      <c r="C22" s="25">
        <f t="shared" si="0"/>
        <v>0</v>
      </c>
      <c r="D22" s="24">
        <f t="shared" si="1"/>
        <v>0</v>
      </c>
      <c r="E22" s="108"/>
      <c r="F22" s="82">
        <v>0.20020000000000002</v>
      </c>
      <c r="G22" s="51">
        <f t="shared" si="4"/>
        <v>0</v>
      </c>
      <c r="H22" s="50">
        <f t="shared" si="2"/>
        <v>0</v>
      </c>
      <c r="I22" s="52">
        <f t="shared" si="3"/>
        <v>0</v>
      </c>
      <c r="J22" s="52">
        <v>6.3393129999999998</v>
      </c>
      <c r="K22" s="83"/>
      <c r="L22" s="53"/>
      <c r="M22" s="9"/>
      <c r="N22" s="120"/>
      <c r="O22" s="120"/>
      <c r="P22" s="120"/>
      <c r="Q22" s="120"/>
      <c r="R22" s="120"/>
      <c r="S22" s="120"/>
      <c r="T22" s="120"/>
      <c r="U22" s="120"/>
      <c r="V22" s="120"/>
      <c r="W22" s="111"/>
      <c r="X22" s="112"/>
      <c r="Y22" s="112"/>
      <c r="Z22" s="112"/>
    </row>
    <row r="23" spans="1:26" ht="23.25" customHeight="1" x14ac:dyDescent="0.2">
      <c r="A23" s="49" t="s">
        <v>12</v>
      </c>
      <c r="B23" s="82">
        <v>1.9648000000000001</v>
      </c>
      <c r="C23" s="25">
        <f t="shared" si="0"/>
        <v>0</v>
      </c>
      <c r="D23" s="24">
        <f t="shared" si="1"/>
        <v>0</v>
      </c>
      <c r="E23" s="108"/>
      <c r="F23" s="82">
        <v>0.20020000000000002</v>
      </c>
      <c r="G23" s="51">
        <f t="shared" si="4"/>
        <v>0</v>
      </c>
      <c r="H23" s="50">
        <f t="shared" si="2"/>
        <v>0</v>
      </c>
      <c r="I23" s="52">
        <f t="shared" si="3"/>
        <v>0</v>
      </c>
      <c r="J23" s="52">
        <v>6.1381409999999992</v>
      </c>
      <c r="K23" s="83"/>
      <c r="L23" s="53"/>
      <c r="M23" s="9"/>
      <c r="N23" s="120"/>
      <c r="O23" s="120"/>
      <c r="P23" s="120"/>
      <c r="Q23" s="120"/>
      <c r="R23" s="120"/>
      <c r="S23" s="120"/>
      <c r="T23" s="120"/>
      <c r="U23" s="120"/>
      <c r="V23" s="120"/>
      <c r="W23" s="111"/>
      <c r="X23" s="112"/>
      <c r="Y23" s="112"/>
      <c r="Z23" s="112"/>
    </row>
    <row r="24" spans="1:26" ht="23.25" customHeight="1" x14ac:dyDescent="0.2">
      <c r="A24" s="49" t="s">
        <v>13</v>
      </c>
      <c r="B24" s="82">
        <v>1.9648000000000001</v>
      </c>
      <c r="C24" s="25">
        <f t="shared" si="0"/>
        <v>0</v>
      </c>
      <c r="D24" s="24">
        <f t="shared" si="1"/>
        <v>0</v>
      </c>
      <c r="E24" s="108"/>
      <c r="F24" s="82">
        <v>0.20020000000000002</v>
      </c>
      <c r="G24" s="51">
        <f t="shared" si="4"/>
        <v>0</v>
      </c>
      <c r="H24" s="50">
        <f t="shared" si="2"/>
        <v>0</v>
      </c>
      <c r="I24" s="52">
        <f t="shared" si="3"/>
        <v>0</v>
      </c>
      <c r="J24" s="52">
        <v>6.339747</v>
      </c>
      <c r="K24" s="83"/>
      <c r="L24" s="53"/>
      <c r="M24" s="9"/>
      <c r="N24" s="120"/>
      <c r="O24" s="120"/>
      <c r="P24" s="120"/>
      <c r="Q24" s="120"/>
      <c r="R24" s="120"/>
      <c r="S24" s="120"/>
      <c r="T24" s="120"/>
      <c r="U24" s="120"/>
      <c r="V24" s="120"/>
      <c r="W24" s="111"/>
      <c r="X24" s="112"/>
      <c r="Y24" s="112"/>
      <c r="Z24" s="112"/>
    </row>
    <row r="25" spans="1:26" ht="23.25" customHeight="1" x14ac:dyDescent="0.2">
      <c r="A25" s="49" t="s">
        <v>14</v>
      </c>
      <c r="B25" s="82">
        <v>1.9648000000000001</v>
      </c>
      <c r="C25" s="25">
        <f t="shared" si="0"/>
        <v>0</v>
      </c>
      <c r="D25" s="24">
        <f t="shared" si="1"/>
        <v>0</v>
      </c>
      <c r="E25" s="108"/>
      <c r="F25" s="82">
        <v>0.20020000000000002</v>
      </c>
      <c r="G25" s="51">
        <f t="shared" si="4"/>
        <v>0</v>
      </c>
      <c r="H25" s="50">
        <f t="shared" si="2"/>
        <v>0</v>
      </c>
      <c r="I25" s="52">
        <f t="shared" si="3"/>
        <v>0</v>
      </c>
      <c r="J25" s="52">
        <v>6.3073920000000001</v>
      </c>
      <c r="K25" s="83"/>
      <c r="L25" s="53"/>
      <c r="M25" s="9"/>
      <c r="N25" s="120"/>
      <c r="O25" s="120"/>
      <c r="P25" s="120"/>
      <c r="Q25" s="120"/>
      <c r="R25" s="120"/>
      <c r="S25" s="120"/>
      <c r="T25" s="120"/>
      <c r="U25" s="120"/>
      <c r="V25" s="120"/>
      <c r="W25" s="111"/>
      <c r="X25" s="112"/>
      <c r="Y25" s="112"/>
      <c r="Z25" s="112"/>
    </row>
    <row r="26" spans="1:26" ht="23.25" customHeight="1" x14ac:dyDescent="0.2">
      <c r="A26" s="49" t="s">
        <v>15</v>
      </c>
      <c r="B26" s="82">
        <v>1.9648000000000001</v>
      </c>
      <c r="C26" s="25">
        <f t="shared" si="0"/>
        <v>0</v>
      </c>
      <c r="D26" s="24">
        <f t="shared" si="1"/>
        <v>0</v>
      </c>
      <c r="E26" s="108"/>
      <c r="F26" s="82">
        <v>0.20020000000000002</v>
      </c>
      <c r="G26" s="51">
        <f t="shared" si="4"/>
        <v>0</v>
      </c>
      <c r="H26" s="50">
        <f t="shared" si="2"/>
        <v>0</v>
      </c>
      <c r="I26" s="52">
        <f t="shared" si="3"/>
        <v>0</v>
      </c>
      <c r="J26" s="52">
        <v>6.2838239999999992</v>
      </c>
      <c r="K26" s="83"/>
      <c r="L26" s="53"/>
      <c r="M26" s="9"/>
      <c r="N26" s="120"/>
      <c r="O26" s="120"/>
      <c r="P26" s="120"/>
      <c r="Q26" s="120"/>
      <c r="R26" s="120"/>
      <c r="S26" s="120"/>
      <c r="T26" s="120"/>
      <c r="U26" s="120"/>
      <c r="V26" s="120"/>
      <c r="W26" s="111"/>
      <c r="X26" s="112"/>
      <c r="Y26" s="112"/>
      <c r="Z26" s="112"/>
    </row>
    <row r="27" spans="1:26" ht="23.25" customHeight="1" x14ac:dyDescent="0.2">
      <c r="A27" s="49" t="s">
        <v>16</v>
      </c>
      <c r="B27" s="82">
        <v>1.9648000000000001</v>
      </c>
      <c r="C27" s="25">
        <f t="shared" si="0"/>
        <v>0</v>
      </c>
      <c r="D27" s="24">
        <f t="shared" si="1"/>
        <v>0</v>
      </c>
      <c r="E27" s="108"/>
      <c r="F27" s="82">
        <v>0.20020000000000002</v>
      </c>
      <c r="G27" s="51">
        <f t="shared" si="4"/>
        <v>0</v>
      </c>
      <c r="H27" s="50">
        <f t="shared" si="2"/>
        <v>0</v>
      </c>
      <c r="I27" s="52">
        <f t="shared" si="3"/>
        <v>0</v>
      </c>
      <c r="J27" s="52">
        <v>6.0031049999999997</v>
      </c>
      <c r="K27" s="83"/>
      <c r="L27" s="53"/>
      <c r="M27" s="9"/>
      <c r="N27" s="120"/>
      <c r="O27" s="120"/>
      <c r="P27" s="120"/>
      <c r="Q27" s="120"/>
      <c r="R27" s="120"/>
      <c r="S27" s="120"/>
      <c r="T27" s="120"/>
      <c r="U27" s="120"/>
      <c r="V27" s="120"/>
      <c r="W27" s="111"/>
      <c r="X27" s="112"/>
      <c r="Y27" s="112"/>
      <c r="Z27" s="112"/>
    </row>
    <row r="28" spans="1:26" ht="23.25" customHeight="1" x14ac:dyDescent="0.2">
      <c r="A28" s="49" t="s">
        <v>17</v>
      </c>
      <c r="B28" s="82">
        <v>1.9648000000000001</v>
      </c>
      <c r="C28" s="25">
        <f t="shared" si="0"/>
        <v>0</v>
      </c>
      <c r="D28" s="24">
        <f t="shared" si="1"/>
        <v>0</v>
      </c>
      <c r="E28" s="108"/>
      <c r="F28" s="82">
        <v>0.20020000000000002</v>
      </c>
      <c r="G28" s="51">
        <f t="shared" si="4"/>
        <v>0</v>
      </c>
      <c r="H28" s="50">
        <f t="shared" si="2"/>
        <v>0</v>
      </c>
      <c r="I28" s="52">
        <f t="shared" si="3"/>
        <v>0</v>
      </c>
      <c r="J28" s="52">
        <v>6.1960139999999999</v>
      </c>
      <c r="K28" s="83"/>
      <c r="L28" s="53"/>
      <c r="M28" s="9"/>
      <c r="N28" s="120"/>
      <c r="O28" s="120"/>
      <c r="P28" s="120"/>
      <c r="Q28" s="120"/>
      <c r="R28" s="120"/>
      <c r="S28" s="120"/>
      <c r="T28" s="120"/>
      <c r="U28" s="120"/>
      <c r="V28" s="120"/>
      <c r="W28" s="111"/>
      <c r="X28" s="112"/>
      <c r="Y28" s="112"/>
      <c r="Z28" s="112"/>
    </row>
    <row r="29" spans="1:26" ht="23.25" customHeight="1" x14ac:dyDescent="0.2">
      <c r="A29" s="49" t="s">
        <v>18</v>
      </c>
      <c r="B29" s="82">
        <v>1.9648000000000001</v>
      </c>
      <c r="C29" s="25">
        <f t="shared" si="0"/>
        <v>0</v>
      </c>
      <c r="D29" s="24">
        <f t="shared" si="1"/>
        <v>0</v>
      </c>
      <c r="E29" s="108"/>
      <c r="F29" s="82">
        <v>0.20020000000000002</v>
      </c>
      <c r="G29" s="51">
        <f t="shared" si="4"/>
        <v>0</v>
      </c>
      <c r="H29" s="50">
        <f t="shared" si="2"/>
        <v>0</v>
      </c>
      <c r="I29" s="52">
        <f t="shared" si="3"/>
        <v>0</v>
      </c>
      <c r="J29" s="52">
        <v>6.2346719999999998</v>
      </c>
      <c r="K29" s="83"/>
      <c r="L29" s="53"/>
      <c r="M29" s="145" t="s">
        <v>95</v>
      </c>
      <c r="N29" s="145"/>
      <c r="O29" s="145"/>
      <c r="P29" s="145"/>
      <c r="Q29" s="145"/>
      <c r="R29" s="145"/>
      <c r="S29" s="145"/>
      <c r="T29" s="145"/>
      <c r="U29" s="145"/>
      <c r="V29" s="145"/>
      <c r="W29" s="145"/>
      <c r="X29" s="145"/>
      <c r="Y29" s="145"/>
      <c r="Z29" s="145"/>
    </row>
    <row r="30" spans="1:26" ht="23.25" customHeight="1" x14ac:dyDescent="0.2">
      <c r="A30" s="49" t="s">
        <v>19</v>
      </c>
      <c r="B30" s="82">
        <v>1.9648000000000001</v>
      </c>
      <c r="C30" s="25">
        <f t="shared" si="0"/>
        <v>0</v>
      </c>
      <c r="D30" s="24">
        <f t="shared" si="1"/>
        <v>0</v>
      </c>
      <c r="E30" s="108"/>
      <c r="F30" s="82">
        <v>0.20020000000000002</v>
      </c>
      <c r="G30" s="51">
        <f t="shared" si="4"/>
        <v>0</v>
      </c>
      <c r="H30" s="50">
        <f t="shared" si="2"/>
        <v>0</v>
      </c>
      <c r="I30" s="52">
        <f t="shared" si="3"/>
        <v>0</v>
      </c>
      <c r="J30" s="52">
        <v>6.2587250000000001</v>
      </c>
      <c r="K30" s="83"/>
      <c r="L30" s="53"/>
      <c r="M30" s="122" t="s">
        <v>97</v>
      </c>
      <c r="N30" s="122"/>
      <c r="O30" s="122"/>
      <c r="P30" s="122"/>
      <c r="Q30" s="122"/>
      <c r="R30" s="122"/>
      <c r="S30" s="122"/>
      <c r="T30" s="122"/>
      <c r="U30" s="122"/>
      <c r="V30" s="122"/>
      <c r="W30" s="122"/>
      <c r="X30" s="122"/>
      <c r="Y30" s="122"/>
      <c r="Z30" s="122"/>
    </row>
    <row r="31" spans="1:26" ht="23.25" customHeight="1" x14ac:dyDescent="0.2">
      <c r="A31" s="49" t="s">
        <v>20</v>
      </c>
      <c r="B31" s="82">
        <v>1.9648000000000001</v>
      </c>
      <c r="C31" s="25">
        <f t="shared" si="0"/>
        <v>0</v>
      </c>
      <c r="D31" s="24">
        <f t="shared" si="1"/>
        <v>0</v>
      </c>
      <c r="E31" s="108"/>
      <c r="F31" s="82">
        <v>0.20020000000000002</v>
      </c>
      <c r="G31" s="51">
        <f t="shared" si="4"/>
        <v>0</v>
      </c>
      <c r="H31" s="50">
        <f t="shared" si="2"/>
        <v>0</v>
      </c>
      <c r="I31" s="52">
        <f t="shared" si="3"/>
        <v>0</v>
      </c>
      <c r="J31" s="52">
        <v>6.2900119999999999</v>
      </c>
      <c r="K31" s="83"/>
      <c r="L31" s="53"/>
      <c r="M31" s="123" t="s">
        <v>79</v>
      </c>
      <c r="N31" s="121" t="s">
        <v>98</v>
      </c>
      <c r="O31" s="121"/>
      <c r="P31" s="121" t="s">
        <v>100</v>
      </c>
      <c r="Q31" s="121"/>
      <c r="R31" s="121" t="s">
        <v>93</v>
      </c>
      <c r="S31" s="121"/>
      <c r="T31" s="121" t="s">
        <v>103</v>
      </c>
      <c r="U31" s="121"/>
      <c r="V31" s="121" t="s">
        <v>179</v>
      </c>
      <c r="W31" s="121"/>
      <c r="X31" s="121"/>
      <c r="Y31" s="121" t="s">
        <v>91</v>
      </c>
      <c r="Z31" s="124"/>
    </row>
    <row r="32" spans="1:26" ht="23.25" customHeight="1" x14ac:dyDescent="0.2">
      <c r="A32" s="49" t="s">
        <v>21</v>
      </c>
      <c r="B32" s="82">
        <v>1.9648000000000001</v>
      </c>
      <c r="C32" s="25">
        <f t="shared" si="0"/>
        <v>0</v>
      </c>
      <c r="D32" s="24">
        <f t="shared" si="1"/>
        <v>0</v>
      </c>
      <c r="E32" s="108"/>
      <c r="F32" s="82">
        <v>0.20020000000000002</v>
      </c>
      <c r="G32" s="51">
        <f t="shared" si="4"/>
        <v>0</v>
      </c>
      <c r="H32" s="50">
        <f t="shared" si="2"/>
        <v>0</v>
      </c>
      <c r="I32" s="52">
        <f t="shared" si="3"/>
        <v>0</v>
      </c>
      <c r="J32" s="52">
        <v>6.2640099999999999</v>
      </c>
      <c r="K32" s="83"/>
      <c r="L32" s="53"/>
      <c r="M32" s="116"/>
      <c r="N32" s="118"/>
      <c r="O32" s="118"/>
      <c r="P32" s="118" t="s">
        <v>83</v>
      </c>
      <c r="Q32" s="118"/>
      <c r="R32" s="118" t="s">
        <v>102</v>
      </c>
      <c r="S32" s="118"/>
      <c r="T32" s="118" t="s">
        <v>104</v>
      </c>
      <c r="U32" s="118"/>
      <c r="V32" s="118" t="s">
        <v>105</v>
      </c>
      <c r="W32" s="118"/>
      <c r="X32" s="118"/>
      <c r="Y32" s="118"/>
      <c r="Z32" s="125"/>
    </row>
    <row r="33" spans="1:26" ht="23.25" customHeight="1" x14ac:dyDescent="0.2">
      <c r="A33" s="49" t="s">
        <v>22</v>
      </c>
      <c r="B33" s="82">
        <v>1.9648000000000001</v>
      </c>
      <c r="C33" s="25">
        <f t="shared" si="0"/>
        <v>0</v>
      </c>
      <c r="D33" s="24">
        <f t="shared" si="1"/>
        <v>0</v>
      </c>
      <c r="E33" s="108"/>
      <c r="F33" s="82">
        <v>0.20020000000000002</v>
      </c>
      <c r="G33" s="51">
        <f t="shared" si="4"/>
        <v>0</v>
      </c>
      <c r="H33" s="50">
        <f t="shared" si="2"/>
        <v>0</v>
      </c>
      <c r="I33" s="52">
        <f t="shared" si="3"/>
        <v>0</v>
      </c>
      <c r="J33" s="52">
        <v>6.2564229999999998</v>
      </c>
      <c r="K33" s="83"/>
      <c r="L33" s="53"/>
      <c r="M33" s="116" t="s">
        <v>80</v>
      </c>
      <c r="N33" s="118" t="s">
        <v>99</v>
      </c>
      <c r="O33" s="118"/>
      <c r="P33" s="118" t="s">
        <v>101</v>
      </c>
      <c r="Q33" s="118"/>
      <c r="R33" s="118" t="s">
        <v>69</v>
      </c>
      <c r="S33" s="118"/>
      <c r="T33" s="118" t="s">
        <v>69</v>
      </c>
      <c r="U33" s="118"/>
      <c r="V33" s="118" t="s">
        <v>106</v>
      </c>
      <c r="W33" s="118"/>
      <c r="X33" s="118"/>
      <c r="Y33" s="118"/>
      <c r="Z33" s="125"/>
    </row>
    <row r="34" spans="1:26" ht="23.25" customHeight="1" x14ac:dyDescent="0.2">
      <c r="A34" s="49" t="s">
        <v>23</v>
      </c>
      <c r="B34" s="82">
        <v>1.9648000000000001</v>
      </c>
      <c r="C34" s="25">
        <f t="shared" si="0"/>
        <v>0</v>
      </c>
      <c r="D34" s="24">
        <f t="shared" si="1"/>
        <v>0</v>
      </c>
      <c r="E34" s="108"/>
      <c r="F34" s="82">
        <v>0.20020000000000002</v>
      </c>
      <c r="G34" s="51">
        <f t="shared" si="4"/>
        <v>0</v>
      </c>
      <c r="H34" s="50">
        <f t="shared" si="2"/>
        <v>0</v>
      </c>
      <c r="I34" s="52">
        <f t="shared" si="3"/>
        <v>0</v>
      </c>
      <c r="J34" s="52">
        <v>6.1381409999999992</v>
      </c>
      <c r="K34" s="83"/>
      <c r="L34" s="53"/>
      <c r="M34" s="117"/>
      <c r="N34" s="119"/>
      <c r="O34" s="119"/>
      <c r="P34" s="119"/>
      <c r="Q34" s="119"/>
      <c r="R34" s="127"/>
      <c r="S34" s="117"/>
      <c r="T34" s="127"/>
      <c r="U34" s="117"/>
      <c r="V34" s="127"/>
      <c r="W34" s="130"/>
      <c r="X34" s="117"/>
      <c r="Y34" s="119"/>
      <c r="Z34" s="127"/>
    </row>
    <row r="35" spans="1:26" ht="23.25" customHeight="1" x14ac:dyDescent="0.2">
      <c r="A35" s="49" t="s">
        <v>24</v>
      </c>
      <c r="B35" s="82">
        <v>1.9648000000000001</v>
      </c>
      <c r="C35" s="25">
        <f t="shared" si="0"/>
        <v>0</v>
      </c>
      <c r="D35" s="24">
        <f t="shared" si="1"/>
        <v>0</v>
      </c>
      <c r="E35" s="108"/>
      <c r="F35" s="82">
        <v>0.20020000000000002</v>
      </c>
      <c r="G35" s="51">
        <f t="shared" si="4"/>
        <v>0</v>
      </c>
      <c r="H35" s="50">
        <f t="shared" si="2"/>
        <v>0</v>
      </c>
      <c r="I35" s="52">
        <f t="shared" si="3"/>
        <v>0</v>
      </c>
      <c r="J35" s="52">
        <v>5.7954160000000003</v>
      </c>
      <c r="K35" s="83"/>
      <c r="L35" s="53"/>
      <c r="M35" s="9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11"/>
    </row>
    <row r="36" spans="1:26" ht="23.25" customHeight="1" x14ac:dyDescent="0.2">
      <c r="A36" s="49" t="s">
        <v>25</v>
      </c>
      <c r="B36" s="82">
        <v>1.9648000000000001</v>
      </c>
      <c r="C36" s="25">
        <f t="shared" si="0"/>
        <v>0</v>
      </c>
      <c r="D36" s="24">
        <f t="shared" si="1"/>
        <v>0</v>
      </c>
      <c r="E36" s="108"/>
      <c r="F36" s="82">
        <v>0.20020000000000002</v>
      </c>
      <c r="G36" s="51">
        <f t="shared" si="4"/>
        <v>0</v>
      </c>
      <c r="H36" s="50">
        <f t="shared" si="2"/>
        <v>0</v>
      </c>
      <c r="I36" s="52">
        <f t="shared" si="3"/>
        <v>0</v>
      </c>
      <c r="J36" s="52">
        <v>6.2516040000000004</v>
      </c>
      <c r="K36" s="83"/>
      <c r="L36" s="53"/>
      <c r="M36" s="9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11"/>
    </row>
    <row r="37" spans="1:26" ht="23.25" customHeight="1" x14ac:dyDescent="0.2">
      <c r="A37" s="49" t="s">
        <v>26</v>
      </c>
      <c r="B37" s="82">
        <v>1.9648000000000001</v>
      </c>
      <c r="C37" s="25">
        <f t="shared" si="0"/>
        <v>0</v>
      </c>
      <c r="D37" s="24">
        <f t="shared" si="1"/>
        <v>0</v>
      </c>
      <c r="E37" s="108"/>
      <c r="F37" s="82">
        <v>0.20020000000000002</v>
      </c>
      <c r="G37" s="51">
        <f t="shared" si="4"/>
        <v>0</v>
      </c>
      <c r="H37" s="50">
        <f t="shared" si="2"/>
        <v>0</v>
      </c>
      <c r="I37" s="52">
        <f t="shared" si="3"/>
        <v>0</v>
      </c>
      <c r="J37" s="52">
        <v>6.1936650000000002</v>
      </c>
      <c r="K37" s="83"/>
      <c r="L37" s="53"/>
      <c r="M37" s="9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11"/>
    </row>
    <row r="38" spans="1:26" ht="23.25" customHeight="1" x14ac:dyDescent="0.2">
      <c r="A38" s="49" t="s">
        <v>27</v>
      </c>
      <c r="B38" s="82">
        <v>1.9648000000000001</v>
      </c>
      <c r="C38" s="25">
        <f t="shared" si="0"/>
        <v>0</v>
      </c>
      <c r="D38" s="24">
        <f t="shared" si="1"/>
        <v>0</v>
      </c>
      <c r="E38" s="108"/>
      <c r="F38" s="82">
        <v>0.20020000000000002</v>
      </c>
      <c r="G38" s="51">
        <f t="shared" si="4"/>
        <v>0</v>
      </c>
      <c r="H38" s="50">
        <f t="shared" si="2"/>
        <v>0</v>
      </c>
      <c r="I38" s="52">
        <f t="shared" si="3"/>
        <v>0</v>
      </c>
      <c r="J38" s="52">
        <v>6.0505659999999999</v>
      </c>
      <c r="K38" s="83"/>
      <c r="L38" s="53"/>
      <c r="M38" s="9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11"/>
    </row>
    <row r="39" spans="1:26" ht="23.25" customHeight="1" x14ac:dyDescent="0.2">
      <c r="A39" s="49" t="s">
        <v>28</v>
      </c>
      <c r="B39" s="82">
        <v>1.9648000000000001</v>
      </c>
      <c r="C39" s="25">
        <f t="shared" si="0"/>
        <v>0</v>
      </c>
      <c r="D39" s="24">
        <f t="shared" si="1"/>
        <v>0</v>
      </c>
      <c r="E39" s="108"/>
      <c r="F39" s="82">
        <v>0.20020000000000002</v>
      </c>
      <c r="G39" s="51">
        <f t="shared" si="4"/>
        <v>0</v>
      </c>
      <c r="H39" s="50">
        <f t="shared" si="2"/>
        <v>0</v>
      </c>
      <c r="I39" s="52">
        <f t="shared" si="3"/>
        <v>0</v>
      </c>
      <c r="J39" s="52">
        <v>6.2487389999999996</v>
      </c>
      <c r="K39" s="83"/>
      <c r="L39" s="53"/>
      <c r="M39" s="9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11"/>
    </row>
    <row r="40" spans="1:26" ht="23.25" customHeight="1" x14ac:dyDescent="0.2">
      <c r="A40" s="49" t="s">
        <v>29</v>
      </c>
      <c r="B40" s="82">
        <v>1.9648000000000001</v>
      </c>
      <c r="C40" s="25">
        <f t="shared" si="0"/>
        <v>0</v>
      </c>
      <c r="D40" s="24">
        <f t="shared" si="1"/>
        <v>0</v>
      </c>
      <c r="E40" s="108"/>
      <c r="F40" s="82">
        <v>0.20020000000000002</v>
      </c>
      <c r="G40" s="51">
        <f t="shared" si="4"/>
        <v>0</v>
      </c>
      <c r="H40" s="50">
        <f t="shared" si="2"/>
        <v>0</v>
      </c>
      <c r="I40" s="52">
        <f t="shared" si="3"/>
        <v>0</v>
      </c>
      <c r="J40" s="52">
        <v>6.0575590000000004</v>
      </c>
      <c r="K40" s="83"/>
      <c r="L40" s="53"/>
      <c r="M40" s="122" t="s">
        <v>109</v>
      </c>
      <c r="N40" s="122"/>
      <c r="O40" s="122"/>
      <c r="P40" s="122"/>
      <c r="Q40" s="122"/>
      <c r="R40" s="122"/>
      <c r="S40" s="122"/>
      <c r="T40" s="122"/>
      <c r="U40" s="122"/>
      <c r="V40" s="122"/>
      <c r="W40" s="122"/>
      <c r="X40" s="122"/>
      <c r="Y40" s="122"/>
      <c r="Z40" s="122"/>
    </row>
    <row r="41" spans="1:26" ht="23.25" customHeight="1" x14ac:dyDescent="0.2">
      <c r="A41" s="49" t="s">
        <v>30</v>
      </c>
      <c r="B41" s="82">
        <v>1.9648000000000001</v>
      </c>
      <c r="C41" s="25">
        <f t="shared" si="0"/>
        <v>0</v>
      </c>
      <c r="D41" s="24">
        <f t="shared" si="1"/>
        <v>0</v>
      </c>
      <c r="E41" s="108"/>
      <c r="F41" s="82">
        <v>0.20020000000000002</v>
      </c>
      <c r="G41" s="51">
        <f t="shared" si="4"/>
        <v>0</v>
      </c>
      <c r="H41" s="50">
        <f t="shared" si="2"/>
        <v>0</v>
      </c>
      <c r="I41" s="52">
        <f t="shared" si="3"/>
        <v>0</v>
      </c>
      <c r="J41" s="52">
        <v>6.3020680000000002</v>
      </c>
      <c r="K41" s="83"/>
      <c r="L41" s="53"/>
      <c r="M41" s="123" t="s">
        <v>79</v>
      </c>
      <c r="N41" s="121" t="s">
        <v>98</v>
      </c>
      <c r="O41" s="121"/>
      <c r="P41" s="121" t="s">
        <v>93</v>
      </c>
      <c r="Q41" s="121"/>
      <c r="R41" s="121"/>
      <c r="S41" s="121" t="s">
        <v>111</v>
      </c>
      <c r="T41" s="121" t="s">
        <v>81</v>
      </c>
      <c r="U41" s="121"/>
      <c r="V41" s="121"/>
      <c r="W41" s="121"/>
      <c r="X41" s="121" t="s">
        <v>93</v>
      </c>
      <c r="Y41" s="121"/>
      <c r="Z41" s="124"/>
    </row>
    <row r="42" spans="1:26" ht="23.25" customHeight="1" x14ac:dyDescent="0.2">
      <c r="A42" s="49" t="s">
        <v>31</v>
      </c>
      <c r="B42" s="82">
        <v>1.9648000000000001</v>
      </c>
      <c r="C42" s="25">
        <f t="shared" si="0"/>
        <v>0</v>
      </c>
      <c r="D42" s="24">
        <f t="shared" si="1"/>
        <v>0</v>
      </c>
      <c r="E42" s="108"/>
      <c r="F42" s="82">
        <v>0.20020000000000002</v>
      </c>
      <c r="G42" s="51">
        <f t="shared" si="4"/>
        <v>0</v>
      </c>
      <c r="H42" s="50">
        <f t="shared" si="2"/>
        <v>0</v>
      </c>
      <c r="I42" s="52">
        <f t="shared" si="3"/>
        <v>0</v>
      </c>
      <c r="J42" s="52">
        <v>6.3156210000000002</v>
      </c>
      <c r="K42" s="83"/>
      <c r="L42" s="53"/>
      <c r="M42" s="116"/>
      <c r="N42" s="118"/>
      <c r="O42" s="118"/>
      <c r="P42" s="118"/>
      <c r="Q42" s="118"/>
      <c r="R42" s="118"/>
      <c r="S42" s="118"/>
      <c r="T42" s="118"/>
      <c r="U42" s="118"/>
      <c r="V42" s="118"/>
      <c r="W42" s="118"/>
      <c r="X42" s="118"/>
      <c r="Y42" s="118"/>
      <c r="Z42" s="125"/>
    </row>
    <row r="43" spans="1:26" ht="22.5" customHeight="1" x14ac:dyDescent="0.2">
      <c r="A43" s="184" t="s">
        <v>70</v>
      </c>
      <c r="B43" s="184"/>
      <c r="C43" s="184"/>
      <c r="D43" s="39">
        <f>SUM(D18:D42)</f>
        <v>0</v>
      </c>
      <c r="E43" s="39"/>
      <c r="F43" s="54"/>
      <c r="G43" s="39"/>
      <c r="H43" s="39">
        <f>SUM(H18:H42)</f>
        <v>0</v>
      </c>
      <c r="I43" s="52">
        <f>IF(AND(H43=0,D43=0),0,H43/D43)</f>
        <v>0</v>
      </c>
      <c r="J43" s="39"/>
      <c r="K43" s="39"/>
      <c r="L43" s="53"/>
      <c r="M43" s="116" t="s">
        <v>80</v>
      </c>
      <c r="N43" s="118" t="s">
        <v>99</v>
      </c>
      <c r="O43" s="118"/>
      <c r="P43" s="118" t="s">
        <v>110</v>
      </c>
      <c r="Q43" s="118"/>
      <c r="R43" s="118"/>
      <c r="S43" s="118"/>
      <c r="T43" s="118"/>
      <c r="U43" s="118"/>
      <c r="V43" s="118"/>
      <c r="W43" s="118"/>
      <c r="X43" s="118" t="s">
        <v>110</v>
      </c>
      <c r="Y43" s="118"/>
      <c r="Z43" s="125"/>
    </row>
    <row r="44" spans="1:26" ht="22.5" customHeight="1" x14ac:dyDescent="0.2">
      <c r="A44" s="183" t="s">
        <v>71</v>
      </c>
      <c r="B44" s="183"/>
      <c r="C44" s="183"/>
      <c r="D44" s="39"/>
      <c r="E44" s="39"/>
      <c r="F44" s="54"/>
      <c r="G44" s="39"/>
      <c r="H44" s="39"/>
      <c r="I44" s="39"/>
      <c r="J44" s="39"/>
      <c r="K44" s="39"/>
      <c r="L44" s="53"/>
      <c r="M44" s="117"/>
      <c r="N44" s="119"/>
      <c r="O44" s="119"/>
      <c r="P44" s="119"/>
      <c r="Q44" s="119"/>
      <c r="R44" s="119"/>
      <c r="S44" s="119"/>
      <c r="T44" s="119"/>
      <c r="U44" s="119"/>
      <c r="V44" s="119"/>
      <c r="W44" s="119"/>
      <c r="X44" s="119"/>
      <c r="Y44" s="119"/>
      <c r="Z44" s="127"/>
    </row>
    <row r="45" spans="1:26" ht="22.5" customHeight="1" x14ac:dyDescent="0.2">
      <c r="A45" s="55"/>
      <c r="B45" s="56"/>
      <c r="C45" s="56"/>
      <c r="D45" s="56"/>
      <c r="E45" s="56"/>
      <c r="F45" s="56"/>
      <c r="G45" s="56"/>
      <c r="H45" s="56"/>
      <c r="I45" s="56"/>
      <c r="J45" s="57"/>
      <c r="K45" s="57"/>
      <c r="L45" s="57"/>
      <c r="M45" s="9"/>
      <c r="N45" s="111"/>
      <c r="O45" s="113"/>
      <c r="P45" s="111"/>
      <c r="Q45" s="112"/>
      <c r="R45" s="113"/>
      <c r="S45" s="7"/>
      <c r="T45" s="111"/>
      <c r="U45" s="112"/>
      <c r="V45" s="112"/>
      <c r="W45" s="113"/>
      <c r="X45" s="111"/>
      <c r="Y45" s="112"/>
      <c r="Z45" s="112"/>
    </row>
    <row r="46" spans="1:26" ht="22.5" customHeight="1" x14ac:dyDescent="0.2">
      <c r="A46" s="182" t="s">
        <v>72</v>
      </c>
      <c r="B46" s="182"/>
      <c r="C46" s="182"/>
      <c r="D46" s="182"/>
      <c r="E46" s="182"/>
      <c r="F46" s="182"/>
      <c r="G46" s="204" t="s">
        <v>73</v>
      </c>
      <c r="H46" s="204"/>
      <c r="I46" s="204"/>
      <c r="J46" s="204"/>
      <c r="K46" s="204"/>
      <c r="L46" s="204"/>
      <c r="M46" s="9"/>
      <c r="N46" s="111"/>
      <c r="O46" s="113"/>
      <c r="P46" s="111"/>
      <c r="Q46" s="112"/>
      <c r="R46" s="113"/>
      <c r="S46" s="7"/>
      <c r="T46" s="111"/>
      <c r="U46" s="112"/>
      <c r="V46" s="112"/>
      <c r="W46" s="113"/>
      <c r="X46" s="111"/>
      <c r="Y46" s="112"/>
      <c r="Z46" s="112"/>
    </row>
    <row r="47" spans="1:26" ht="22.5" customHeight="1" x14ac:dyDescent="0.2">
      <c r="A47" s="144" t="s">
        <v>365</v>
      </c>
      <c r="B47" s="144"/>
      <c r="C47" s="144"/>
      <c r="D47" s="135" t="s">
        <v>74</v>
      </c>
      <c r="E47" s="135"/>
      <c r="F47" s="135"/>
      <c r="G47" s="56"/>
      <c r="H47" s="56"/>
      <c r="I47" s="56"/>
      <c r="J47" s="56"/>
      <c r="K47" s="56"/>
      <c r="L47" s="56"/>
      <c r="M47" s="9"/>
      <c r="N47" s="111"/>
      <c r="O47" s="113"/>
      <c r="P47" s="111"/>
      <c r="Q47" s="112"/>
      <c r="R47" s="113"/>
      <c r="S47" s="7"/>
      <c r="T47" s="111"/>
      <c r="U47" s="112"/>
      <c r="V47" s="112"/>
      <c r="W47" s="113"/>
      <c r="X47" s="111"/>
      <c r="Y47" s="112"/>
      <c r="Z47" s="112"/>
    </row>
    <row r="48" spans="1:26" ht="22.5" customHeight="1" x14ac:dyDescent="0.2">
      <c r="A48" s="175" t="s">
        <v>75</v>
      </c>
      <c r="B48" s="175"/>
      <c r="C48" s="175"/>
      <c r="D48" s="174" t="s">
        <v>76</v>
      </c>
      <c r="E48" s="174"/>
      <c r="F48" s="174"/>
      <c r="G48" s="55"/>
      <c r="H48" s="55"/>
      <c r="I48" s="55"/>
      <c r="J48" s="55"/>
      <c r="K48" s="55"/>
      <c r="L48" s="55"/>
    </row>
    <row r="49" spans="1:23" ht="22.5" customHeight="1" x14ac:dyDescent="0.2">
      <c r="A49" s="144" t="s">
        <v>366</v>
      </c>
      <c r="B49" s="144"/>
      <c r="C49" s="144"/>
      <c r="D49" s="135" t="s">
        <v>74</v>
      </c>
      <c r="E49" s="135"/>
      <c r="F49" s="135"/>
      <c r="G49" s="55"/>
      <c r="H49" s="182" t="s">
        <v>183</v>
      </c>
      <c r="I49" s="182"/>
      <c r="J49" s="182"/>
      <c r="K49" s="182" t="s">
        <v>77</v>
      </c>
      <c r="L49" s="182"/>
      <c r="N49" s="177" t="s">
        <v>150</v>
      </c>
      <c r="O49" s="177"/>
      <c r="P49" s="177"/>
      <c r="Q49" s="176" t="s">
        <v>364</v>
      </c>
      <c r="R49" s="176"/>
      <c r="S49" s="176"/>
      <c r="T49" s="176"/>
      <c r="U49" s="176"/>
      <c r="V49" s="176"/>
      <c r="W49" s="1"/>
    </row>
    <row r="50" spans="1:23" ht="22.5" customHeight="1" x14ac:dyDescent="0.2">
      <c r="A50" s="175" t="s">
        <v>75</v>
      </c>
      <c r="B50" s="175"/>
      <c r="C50" s="175"/>
      <c r="D50" s="174" t="s">
        <v>76</v>
      </c>
      <c r="E50" s="174"/>
      <c r="F50" s="174"/>
      <c r="G50" s="58"/>
      <c r="H50" s="175" t="s">
        <v>75</v>
      </c>
      <c r="I50" s="175"/>
      <c r="J50" s="175"/>
      <c r="K50" s="175" t="s">
        <v>76</v>
      </c>
      <c r="L50" s="175"/>
      <c r="S50" s="173" t="s">
        <v>76</v>
      </c>
      <c r="T50" s="173"/>
    </row>
    <row r="51" spans="1:23" ht="20.100000000000001" customHeight="1" x14ac:dyDescent="0.2">
      <c r="A51" s="144" t="s">
        <v>367</v>
      </c>
      <c r="B51" s="144"/>
      <c r="C51" s="144"/>
      <c r="D51" s="135" t="s">
        <v>74</v>
      </c>
      <c r="E51" s="135"/>
      <c r="F51" s="135"/>
      <c r="G51" s="55"/>
      <c r="H51" s="55"/>
      <c r="I51" s="55"/>
      <c r="J51" s="55"/>
      <c r="K51" s="55"/>
      <c r="L51" s="55"/>
    </row>
    <row r="52" spans="1:23" ht="20.100000000000001" customHeight="1" x14ac:dyDescent="0.2">
      <c r="A52" s="174" t="s">
        <v>75</v>
      </c>
      <c r="B52" s="174"/>
      <c r="C52" s="174"/>
      <c r="D52" s="173" t="s">
        <v>76</v>
      </c>
      <c r="E52" s="173"/>
      <c r="F52" s="173"/>
      <c r="G52" s="63"/>
      <c r="H52" s="63"/>
      <c r="I52" s="64"/>
      <c r="J52" s="64"/>
      <c r="K52" s="64"/>
      <c r="L52" s="64"/>
    </row>
  </sheetData>
  <sheetProtection sheet="1" objects="1" scenarios="1"/>
  <mergeCells count="258">
    <mergeCell ref="I1:L2"/>
    <mergeCell ref="G5:H6"/>
    <mergeCell ref="I5:L6"/>
    <mergeCell ref="S50:T50"/>
    <mergeCell ref="N39:O39"/>
    <mergeCell ref="P39:Q39"/>
    <mergeCell ref="N41:O42"/>
    <mergeCell ref="P41:R42"/>
    <mergeCell ref="M40:Z40"/>
    <mergeCell ref="M41:M42"/>
    <mergeCell ref="Q49:V49"/>
    <mergeCell ref="N49:P49"/>
    <mergeCell ref="P45:R45"/>
    <mergeCell ref="P46:R46"/>
    <mergeCell ref="P47:R47"/>
    <mergeCell ref="N45:O45"/>
    <mergeCell ref="N46:O46"/>
    <mergeCell ref="X45:Z45"/>
    <mergeCell ref="X46:Z46"/>
    <mergeCell ref="X47:Z47"/>
    <mergeCell ref="M43:M44"/>
    <mergeCell ref="N47:O47"/>
    <mergeCell ref="T45:W45"/>
    <mergeCell ref="T46:W46"/>
    <mergeCell ref="T47:W47"/>
    <mergeCell ref="N43:O44"/>
    <mergeCell ref="P43:R44"/>
    <mergeCell ref="R39:S39"/>
    <mergeCell ref="T39:U39"/>
    <mergeCell ref="V39:X39"/>
    <mergeCell ref="Y39:Z39"/>
    <mergeCell ref="S41:S44"/>
    <mergeCell ref="T41:W44"/>
    <mergeCell ref="X41:Z42"/>
    <mergeCell ref="X43:Z44"/>
    <mergeCell ref="Y37:Z37"/>
    <mergeCell ref="V38:X38"/>
    <mergeCell ref="Y38:Z38"/>
    <mergeCell ref="Y35:Z35"/>
    <mergeCell ref="N36:O36"/>
    <mergeCell ref="P36:Q36"/>
    <mergeCell ref="R36:S36"/>
    <mergeCell ref="T36:U36"/>
    <mergeCell ref="V36:X36"/>
    <mergeCell ref="Y36:Z36"/>
    <mergeCell ref="N35:O35"/>
    <mergeCell ref="P35:Q35"/>
    <mergeCell ref="R35:S35"/>
    <mergeCell ref="T35:U35"/>
    <mergeCell ref="V35:X35"/>
    <mergeCell ref="N37:O37"/>
    <mergeCell ref="P37:Q37"/>
    <mergeCell ref="R37:S37"/>
    <mergeCell ref="T37:U37"/>
    <mergeCell ref="N38:O38"/>
    <mergeCell ref="P38:Q38"/>
    <mergeCell ref="R38:S38"/>
    <mergeCell ref="T38:U38"/>
    <mergeCell ref="T11:U11"/>
    <mergeCell ref="T12:U12"/>
    <mergeCell ref="T13:U13"/>
    <mergeCell ref="N18:P19"/>
    <mergeCell ref="N23:P23"/>
    <mergeCell ref="N27:P27"/>
    <mergeCell ref="Q27:S27"/>
    <mergeCell ref="T27:V27"/>
    <mergeCell ref="V37:X37"/>
    <mergeCell ref="R34:S34"/>
    <mergeCell ref="T34:U34"/>
    <mergeCell ref="V34:X34"/>
    <mergeCell ref="Q26:S26"/>
    <mergeCell ref="N28:P28"/>
    <mergeCell ref="Q28:S28"/>
    <mergeCell ref="T28:V28"/>
    <mergeCell ref="N26:P26"/>
    <mergeCell ref="N25:P25"/>
    <mergeCell ref="Q25:S25"/>
    <mergeCell ref="T25:V25"/>
    <mergeCell ref="W25:Z25"/>
    <mergeCell ref="Q23:S23"/>
    <mergeCell ref="T23:V23"/>
    <mergeCell ref="W18:Z21"/>
    <mergeCell ref="T26:V26"/>
    <mergeCell ref="N24:P24"/>
    <mergeCell ref="Q24:S24"/>
    <mergeCell ref="W26:Z26"/>
    <mergeCell ref="W23:Z23"/>
    <mergeCell ref="W24:Z24"/>
    <mergeCell ref="N22:P22"/>
    <mergeCell ref="M18:M19"/>
    <mergeCell ref="M20:M21"/>
    <mergeCell ref="Q22:S22"/>
    <mergeCell ref="T22:V22"/>
    <mergeCell ref="Q18:S18"/>
    <mergeCell ref="N20:P21"/>
    <mergeCell ref="T18:V19"/>
    <mergeCell ref="Q19:S19"/>
    <mergeCell ref="Q20:S20"/>
    <mergeCell ref="V9:W9"/>
    <mergeCell ref="R10:S10"/>
    <mergeCell ref="T8:U8"/>
    <mergeCell ref="T9:U9"/>
    <mergeCell ref="T10:U10"/>
    <mergeCell ref="W28:Z28"/>
    <mergeCell ref="T24:V24"/>
    <mergeCell ref="W22:Z22"/>
    <mergeCell ref="T20:V21"/>
    <mergeCell ref="Q21:S21"/>
    <mergeCell ref="W27:Z27"/>
    <mergeCell ref="X9:Z9"/>
    <mergeCell ref="X10:Z10"/>
    <mergeCell ref="X11:Z11"/>
    <mergeCell ref="X12:Z12"/>
    <mergeCell ref="X13:Z13"/>
    <mergeCell ref="X14:Z14"/>
    <mergeCell ref="X15:Z15"/>
    <mergeCell ref="X16:Z16"/>
    <mergeCell ref="V14:W14"/>
    <mergeCell ref="V11:W11"/>
    <mergeCell ref="V12:W12"/>
    <mergeCell ref="V13:W13"/>
    <mergeCell ref="V10:W10"/>
    <mergeCell ref="X8:Z8"/>
    <mergeCell ref="R16:S16"/>
    <mergeCell ref="V15:W15"/>
    <mergeCell ref="V16:W16"/>
    <mergeCell ref="T16:U16"/>
    <mergeCell ref="T7:U7"/>
    <mergeCell ref="N7:O7"/>
    <mergeCell ref="V7:W7"/>
    <mergeCell ref="P11:Q11"/>
    <mergeCell ref="R7:S7"/>
    <mergeCell ref="R8:S8"/>
    <mergeCell ref="R9:S9"/>
    <mergeCell ref="P12:Q12"/>
    <mergeCell ref="T14:U14"/>
    <mergeCell ref="T15:U15"/>
    <mergeCell ref="P13:Q13"/>
    <mergeCell ref="P14:Q14"/>
    <mergeCell ref="P15:Q15"/>
    <mergeCell ref="R11:S11"/>
    <mergeCell ref="R12:S12"/>
    <mergeCell ref="R13:S13"/>
    <mergeCell ref="R14:S14"/>
    <mergeCell ref="R15:S15"/>
    <mergeCell ref="V8:W8"/>
    <mergeCell ref="M1:Z1"/>
    <mergeCell ref="M2:Z2"/>
    <mergeCell ref="X3:Z6"/>
    <mergeCell ref="M5:M6"/>
    <mergeCell ref="M3:M4"/>
    <mergeCell ref="P3:Q4"/>
    <mergeCell ref="R3:S3"/>
    <mergeCell ref="R4:S4"/>
    <mergeCell ref="R5:S5"/>
    <mergeCell ref="R6:S6"/>
    <mergeCell ref="P5:Q6"/>
    <mergeCell ref="N3:O6"/>
    <mergeCell ref="T3:U3"/>
    <mergeCell ref="T4:U4"/>
    <mergeCell ref="T5:U5"/>
    <mergeCell ref="V3:W3"/>
    <mergeCell ref="V4:W4"/>
    <mergeCell ref="V5:W5"/>
    <mergeCell ref="V6:W6"/>
    <mergeCell ref="T6:U6"/>
    <mergeCell ref="M33:M34"/>
    <mergeCell ref="M29:Z29"/>
    <mergeCell ref="M30:Z30"/>
    <mergeCell ref="V31:X31"/>
    <mergeCell ref="V32:X32"/>
    <mergeCell ref="Y31:Z34"/>
    <mergeCell ref="V33:X33"/>
    <mergeCell ref="R33:S33"/>
    <mergeCell ref="T31:U31"/>
    <mergeCell ref="T32:U32"/>
    <mergeCell ref="M31:M32"/>
    <mergeCell ref="T33:U33"/>
    <mergeCell ref="R31:S31"/>
    <mergeCell ref="R32:S32"/>
    <mergeCell ref="N31:O32"/>
    <mergeCell ref="N33:O34"/>
    <mergeCell ref="P31:Q31"/>
    <mergeCell ref="P32:Q32"/>
    <mergeCell ref="P33:Q33"/>
    <mergeCell ref="P34:Q34"/>
    <mergeCell ref="H10:L10"/>
    <mergeCell ref="J16:J17"/>
    <mergeCell ref="K16:K17"/>
    <mergeCell ref="A13:A17"/>
    <mergeCell ref="N10:O10"/>
    <mergeCell ref="N11:O11"/>
    <mergeCell ref="P7:Q7"/>
    <mergeCell ref="P8:Q8"/>
    <mergeCell ref="P9:Q9"/>
    <mergeCell ref="P10:Q10"/>
    <mergeCell ref="N8:O8"/>
    <mergeCell ref="N14:O14"/>
    <mergeCell ref="N15:O15"/>
    <mergeCell ref="N16:O16"/>
    <mergeCell ref="N12:O12"/>
    <mergeCell ref="N13:O13"/>
    <mergeCell ref="I13:I17"/>
    <mergeCell ref="J13:K13"/>
    <mergeCell ref="J14:K14"/>
    <mergeCell ref="J15:K15"/>
    <mergeCell ref="N9:O9"/>
    <mergeCell ref="P16:Q16"/>
    <mergeCell ref="M17:Z17"/>
    <mergeCell ref="X7:Z7"/>
    <mergeCell ref="A51:C51"/>
    <mergeCell ref="A52:C52"/>
    <mergeCell ref="D52:F52"/>
    <mergeCell ref="D51:F51"/>
    <mergeCell ref="A44:C44"/>
    <mergeCell ref="D47:F47"/>
    <mergeCell ref="H49:J49"/>
    <mergeCell ref="K49:L49"/>
    <mergeCell ref="A7:L7"/>
    <mergeCell ref="F13:G13"/>
    <mergeCell ref="I11:L11"/>
    <mergeCell ref="B14:C14"/>
    <mergeCell ref="D14:E14"/>
    <mergeCell ref="A8:L8"/>
    <mergeCell ref="H50:J50"/>
    <mergeCell ref="K50:L50"/>
    <mergeCell ref="D49:F49"/>
    <mergeCell ref="A48:C48"/>
    <mergeCell ref="A49:C49"/>
    <mergeCell ref="A50:C50"/>
    <mergeCell ref="D50:F50"/>
    <mergeCell ref="D48:F48"/>
    <mergeCell ref="A47:C47"/>
    <mergeCell ref="D13:E13"/>
    <mergeCell ref="G1:H2"/>
    <mergeCell ref="A9:L9"/>
    <mergeCell ref="G46:L46"/>
    <mergeCell ref="G3:H4"/>
    <mergeCell ref="I3:L4"/>
    <mergeCell ref="A1:F1"/>
    <mergeCell ref="A2:F2"/>
    <mergeCell ref="A3:F3"/>
    <mergeCell ref="A4:F4"/>
    <mergeCell ref="A5:F5"/>
    <mergeCell ref="A6:F6"/>
    <mergeCell ref="F14:G14"/>
    <mergeCell ref="F15:G15"/>
    <mergeCell ref="A11:D11"/>
    <mergeCell ref="E11:H11"/>
    <mergeCell ref="A10:D10"/>
    <mergeCell ref="E10:G10"/>
    <mergeCell ref="A43:C43"/>
    <mergeCell ref="E16:E17"/>
    <mergeCell ref="B15:C15"/>
    <mergeCell ref="D15:E15"/>
    <mergeCell ref="B13:C13"/>
    <mergeCell ref="A46:F46"/>
    <mergeCell ref="A12:L12"/>
  </mergeCells>
  <phoneticPr fontId="0" type="noConversion"/>
  <printOptions horizontalCentered="1"/>
  <pageMargins left="0.39370078740157483" right="0.39370078740157483" top="0.19685039370078741" bottom="0.19685039370078741" header="0" footer="0"/>
  <pageSetup paperSize="9" scale="66" orientation="portrait" horizontalDpi="180" verticalDpi="180" r:id="rId1"/>
  <headerFooter alignWithMargins="0"/>
  <colBreaks count="1" manualBreakCount="1">
    <brk id="12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5"/>
  <dimension ref="A1:Z52"/>
  <sheetViews>
    <sheetView view="pageBreakPreview" topLeftCell="A10" zoomScale="75" zoomScaleNormal="100" zoomScaleSheetLayoutView="75" workbookViewId="0">
      <selection activeCell="L43" sqref="L43"/>
    </sheetView>
  </sheetViews>
  <sheetFormatPr defaultRowHeight="18.75" x14ac:dyDescent="0.2"/>
  <cols>
    <col min="1" max="1" width="11.140625" style="2" customWidth="1"/>
    <col min="2" max="2" width="15.140625" style="2" customWidth="1"/>
    <col min="3" max="3" width="13.5703125" style="2" customWidth="1"/>
    <col min="4" max="4" width="12.7109375" style="2" customWidth="1"/>
    <col min="5" max="5" width="5.42578125" style="2" customWidth="1"/>
    <col min="6" max="6" width="14.140625" style="2" customWidth="1"/>
    <col min="7" max="7" width="13.7109375" style="2" customWidth="1"/>
    <col min="8" max="8" width="19.28515625" style="2" customWidth="1"/>
    <col min="9" max="9" width="8.28515625" style="2" customWidth="1"/>
    <col min="10" max="10" width="8.85546875" style="2" customWidth="1"/>
    <col min="11" max="11" width="9.5703125" style="2" customWidth="1"/>
    <col min="12" max="12" width="18.85546875" style="2" customWidth="1"/>
    <col min="13" max="26" width="10.28515625" style="2" customWidth="1"/>
    <col min="27" max="16384" width="9.140625" style="2"/>
  </cols>
  <sheetData>
    <row r="1" spans="1:26" ht="21.75" customHeight="1" x14ac:dyDescent="0.2">
      <c r="A1" s="115" t="s">
        <v>157</v>
      </c>
      <c r="B1" s="115"/>
      <c r="C1" s="115"/>
      <c r="D1" s="115"/>
      <c r="E1" s="115"/>
      <c r="F1" s="115"/>
      <c r="G1" s="150" t="s">
        <v>154</v>
      </c>
      <c r="H1" s="150"/>
      <c r="I1" s="115" t="s">
        <v>160</v>
      </c>
      <c r="J1" s="115"/>
      <c r="K1" s="115"/>
      <c r="L1" s="115"/>
      <c r="M1" s="122" t="s">
        <v>96</v>
      </c>
      <c r="N1" s="122"/>
      <c r="O1" s="122"/>
      <c r="P1" s="122"/>
      <c r="Q1" s="122"/>
      <c r="R1" s="122"/>
      <c r="S1" s="122"/>
      <c r="T1" s="122"/>
      <c r="U1" s="122"/>
      <c r="V1" s="122"/>
      <c r="W1" s="122"/>
      <c r="X1" s="122"/>
      <c r="Y1" s="122"/>
      <c r="Z1" s="122"/>
    </row>
    <row r="2" spans="1:26" ht="21.75" customHeight="1" x14ac:dyDescent="0.2">
      <c r="A2" s="146" t="s">
        <v>45</v>
      </c>
      <c r="B2" s="146"/>
      <c r="C2" s="146"/>
      <c r="D2" s="146"/>
      <c r="E2" s="146"/>
      <c r="F2" s="146"/>
      <c r="G2" s="150"/>
      <c r="H2" s="150"/>
      <c r="I2" s="115"/>
      <c r="J2" s="115"/>
      <c r="K2" s="115"/>
      <c r="L2" s="115"/>
      <c r="M2" s="122" t="s">
        <v>78</v>
      </c>
      <c r="N2" s="122"/>
      <c r="O2" s="122"/>
      <c r="P2" s="122"/>
      <c r="Q2" s="122"/>
      <c r="R2" s="122"/>
      <c r="S2" s="122"/>
      <c r="T2" s="122"/>
      <c r="U2" s="122"/>
      <c r="V2" s="122"/>
      <c r="W2" s="122"/>
      <c r="X2" s="122"/>
      <c r="Y2" s="122"/>
      <c r="Z2" s="122"/>
    </row>
    <row r="3" spans="1:26" ht="21.75" customHeight="1" x14ac:dyDescent="0.2">
      <c r="A3" s="115" t="s">
        <v>158</v>
      </c>
      <c r="B3" s="147"/>
      <c r="C3" s="147"/>
      <c r="D3" s="147"/>
      <c r="E3" s="147"/>
      <c r="F3" s="147"/>
      <c r="G3" s="150" t="s">
        <v>155</v>
      </c>
      <c r="H3" s="150"/>
      <c r="I3" s="115" t="s">
        <v>201</v>
      </c>
      <c r="J3" s="115"/>
      <c r="K3" s="115"/>
      <c r="L3" s="115"/>
      <c r="M3" s="123" t="s">
        <v>79</v>
      </c>
      <c r="N3" s="124" t="s">
        <v>81</v>
      </c>
      <c r="O3" s="123"/>
      <c r="P3" s="124" t="s">
        <v>65</v>
      </c>
      <c r="Q3" s="123"/>
      <c r="R3" s="124" t="s">
        <v>82</v>
      </c>
      <c r="S3" s="123"/>
      <c r="T3" s="124" t="s">
        <v>85</v>
      </c>
      <c r="U3" s="123"/>
      <c r="V3" s="124" t="s">
        <v>87</v>
      </c>
      <c r="W3" s="123"/>
      <c r="X3" s="128" t="s">
        <v>91</v>
      </c>
      <c r="Y3" s="132"/>
      <c r="Z3" s="132"/>
    </row>
    <row r="4" spans="1:26" ht="29.25" customHeight="1" x14ac:dyDescent="0.2">
      <c r="A4" s="146" t="s">
        <v>46</v>
      </c>
      <c r="B4" s="146"/>
      <c r="C4" s="146"/>
      <c r="D4" s="146"/>
      <c r="E4" s="146"/>
      <c r="F4" s="146"/>
      <c r="G4" s="150"/>
      <c r="H4" s="150"/>
      <c r="I4" s="115"/>
      <c r="J4" s="115"/>
      <c r="K4" s="115"/>
      <c r="L4" s="115"/>
      <c r="M4" s="116"/>
      <c r="N4" s="125"/>
      <c r="O4" s="116"/>
      <c r="P4" s="125"/>
      <c r="Q4" s="116"/>
      <c r="R4" s="125" t="s">
        <v>83</v>
      </c>
      <c r="S4" s="116"/>
      <c r="T4" s="125" t="s">
        <v>86</v>
      </c>
      <c r="U4" s="116"/>
      <c r="V4" s="125" t="s">
        <v>88</v>
      </c>
      <c r="W4" s="116"/>
      <c r="X4" s="128"/>
      <c r="Y4" s="132"/>
      <c r="Z4" s="132"/>
    </row>
    <row r="5" spans="1:26" ht="21.75" customHeight="1" x14ac:dyDescent="0.2">
      <c r="A5" s="115" t="s">
        <v>177</v>
      </c>
      <c r="B5" s="147"/>
      <c r="C5" s="147"/>
      <c r="D5" s="147"/>
      <c r="E5" s="147"/>
      <c r="F5" s="147"/>
      <c r="G5" s="150" t="s">
        <v>156</v>
      </c>
      <c r="H5" s="150"/>
      <c r="I5" s="115" t="s">
        <v>254</v>
      </c>
      <c r="J5" s="115"/>
      <c r="K5" s="115"/>
      <c r="L5" s="115"/>
      <c r="M5" s="116" t="s">
        <v>80</v>
      </c>
      <c r="N5" s="125"/>
      <c r="O5" s="116"/>
      <c r="P5" s="125" t="s">
        <v>182</v>
      </c>
      <c r="Q5" s="116"/>
      <c r="R5" s="133" t="s">
        <v>84</v>
      </c>
      <c r="S5" s="134"/>
      <c r="T5" s="133" t="s">
        <v>84</v>
      </c>
      <c r="U5" s="134"/>
      <c r="V5" s="125" t="s">
        <v>89</v>
      </c>
      <c r="W5" s="116"/>
      <c r="X5" s="128"/>
      <c r="Y5" s="132"/>
      <c r="Z5" s="132"/>
    </row>
    <row r="6" spans="1:26" ht="21.75" customHeight="1" x14ac:dyDescent="0.2">
      <c r="A6" s="146" t="s">
        <v>47</v>
      </c>
      <c r="B6" s="146"/>
      <c r="C6" s="146"/>
      <c r="D6" s="146"/>
      <c r="E6" s="146"/>
      <c r="F6" s="146"/>
      <c r="G6" s="150"/>
      <c r="H6" s="150"/>
      <c r="I6" s="115"/>
      <c r="J6" s="115"/>
      <c r="K6" s="115"/>
      <c r="L6" s="115"/>
      <c r="M6" s="117"/>
      <c r="N6" s="127"/>
      <c r="O6" s="117"/>
      <c r="P6" s="127"/>
      <c r="Q6" s="117"/>
      <c r="R6" s="127"/>
      <c r="S6" s="117"/>
      <c r="T6" s="127"/>
      <c r="U6" s="117"/>
      <c r="V6" s="127" t="s">
        <v>90</v>
      </c>
      <c r="W6" s="117"/>
      <c r="X6" s="128"/>
      <c r="Y6" s="132"/>
      <c r="Z6" s="132"/>
    </row>
    <row r="7" spans="1:26" ht="21.75" customHeight="1" x14ac:dyDescent="0.2">
      <c r="A7" s="122"/>
      <c r="B7" s="122"/>
      <c r="C7" s="122"/>
      <c r="D7" s="122"/>
      <c r="E7" s="122"/>
      <c r="F7" s="122"/>
      <c r="G7" s="122"/>
      <c r="H7" s="122"/>
      <c r="I7" s="122"/>
      <c r="J7" s="122"/>
      <c r="K7" s="122"/>
      <c r="L7" s="122"/>
      <c r="M7" s="9"/>
      <c r="N7" s="111"/>
      <c r="O7" s="113"/>
      <c r="P7" s="111"/>
      <c r="Q7" s="113"/>
      <c r="R7" s="111"/>
      <c r="S7" s="113"/>
      <c r="T7" s="111"/>
      <c r="U7" s="113"/>
      <c r="V7" s="111"/>
      <c r="W7" s="113"/>
      <c r="X7" s="111"/>
      <c r="Y7" s="112"/>
      <c r="Z7" s="112"/>
    </row>
    <row r="8" spans="1:26" ht="22.5" customHeight="1" x14ac:dyDescent="0.2">
      <c r="A8" s="143" t="s">
        <v>48</v>
      </c>
      <c r="B8" s="143"/>
      <c r="C8" s="143"/>
      <c r="D8" s="143"/>
      <c r="E8" s="143"/>
      <c r="F8" s="143"/>
      <c r="G8" s="143"/>
      <c r="H8" s="143"/>
      <c r="I8" s="143"/>
      <c r="J8" s="143"/>
      <c r="K8" s="143"/>
      <c r="L8" s="143"/>
      <c r="M8" s="9"/>
      <c r="N8" s="111"/>
      <c r="O8" s="113"/>
      <c r="P8" s="111"/>
      <c r="Q8" s="113"/>
      <c r="R8" s="111"/>
      <c r="S8" s="113"/>
      <c r="T8" s="111"/>
      <c r="U8" s="113"/>
      <c r="V8" s="111"/>
      <c r="W8" s="113"/>
      <c r="X8" s="111"/>
      <c r="Y8" s="112"/>
      <c r="Z8" s="112"/>
    </row>
    <row r="9" spans="1:26" ht="22.5" customHeight="1" x14ac:dyDescent="0.2">
      <c r="A9" s="156" t="s">
        <v>49</v>
      </c>
      <c r="B9" s="156"/>
      <c r="C9" s="156"/>
      <c r="D9" s="156"/>
      <c r="E9" s="156"/>
      <c r="F9" s="156"/>
      <c r="G9" s="156"/>
      <c r="H9" s="156"/>
      <c r="I9" s="156"/>
      <c r="J9" s="156"/>
      <c r="K9" s="156"/>
      <c r="L9" s="156"/>
      <c r="M9" s="9"/>
      <c r="N9" s="111"/>
      <c r="O9" s="113"/>
      <c r="P9" s="111"/>
      <c r="Q9" s="113"/>
      <c r="R9" s="111"/>
      <c r="S9" s="113"/>
      <c r="T9" s="111"/>
      <c r="U9" s="113"/>
      <c r="V9" s="111"/>
      <c r="W9" s="113"/>
      <c r="X9" s="111"/>
      <c r="Y9" s="112"/>
      <c r="Z9" s="112"/>
    </row>
    <row r="10" spans="1:26" ht="22.5" customHeight="1" x14ac:dyDescent="0.2">
      <c r="A10" s="151" t="s">
        <v>112</v>
      </c>
      <c r="B10" s="151"/>
      <c r="C10" s="151"/>
      <c r="D10" s="151"/>
      <c r="E10" s="162" t="s">
        <v>407</v>
      </c>
      <c r="F10" s="163"/>
      <c r="G10" s="163"/>
      <c r="H10" s="138" t="s">
        <v>369</v>
      </c>
      <c r="I10" s="138"/>
      <c r="J10" s="138"/>
      <c r="K10" s="138"/>
      <c r="L10" s="138"/>
      <c r="M10" s="9"/>
      <c r="N10" s="111"/>
      <c r="O10" s="113"/>
      <c r="P10" s="111"/>
      <c r="Q10" s="113"/>
      <c r="R10" s="111"/>
      <c r="S10" s="113"/>
      <c r="T10" s="111"/>
      <c r="U10" s="113"/>
      <c r="V10" s="111"/>
      <c r="W10" s="113"/>
      <c r="X10" s="111"/>
      <c r="Y10" s="112"/>
      <c r="Z10" s="112"/>
    </row>
    <row r="11" spans="1:26" ht="22.5" customHeight="1" x14ac:dyDescent="0.2">
      <c r="A11" s="151" t="s">
        <v>113</v>
      </c>
      <c r="B11" s="151"/>
      <c r="C11" s="151"/>
      <c r="D11" s="151"/>
      <c r="E11" s="161" t="s">
        <v>229</v>
      </c>
      <c r="F11" s="161"/>
      <c r="G11" s="161"/>
      <c r="H11" s="161"/>
      <c r="I11" s="138" t="s">
        <v>114</v>
      </c>
      <c r="J11" s="138"/>
      <c r="K11" s="138"/>
      <c r="L11" s="138"/>
      <c r="M11" s="9"/>
      <c r="N11" s="111"/>
      <c r="O11" s="113"/>
      <c r="P11" s="111"/>
      <c r="Q11" s="113"/>
      <c r="R11" s="111"/>
      <c r="S11" s="113"/>
      <c r="T11" s="111"/>
      <c r="U11" s="113"/>
      <c r="V11" s="111"/>
      <c r="W11" s="113"/>
      <c r="X11" s="111"/>
      <c r="Y11" s="112"/>
      <c r="Z11" s="112"/>
    </row>
    <row r="12" spans="1:26" ht="21.75" customHeight="1" x14ac:dyDescent="0.2">
      <c r="A12" s="149"/>
      <c r="B12" s="149"/>
      <c r="C12" s="149"/>
      <c r="D12" s="149"/>
      <c r="E12" s="149"/>
      <c r="F12" s="149"/>
      <c r="G12" s="149"/>
      <c r="H12" s="149"/>
      <c r="I12" s="149"/>
      <c r="J12" s="149"/>
      <c r="K12" s="149"/>
      <c r="L12" s="149"/>
      <c r="M12" s="9"/>
      <c r="N12" s="111"/>
      <c r="O12" s="113"/>
      <c r="P12" s="111"/>
      <c r="Q12" s="113"/>
      <c r="R12" s="111"/>
      <c r="S12" s="113"/>
      <c r="T12" s="111"/>
      <c r="U12" s="113"/>
      <c r="V12" s="111"/>
      <c r="W12" s="113"/>
      <c r="X12" s="111"/>
      <c r="Y12" s="112"/>
      <c r="Z12" s="112"/>
    </row>
    <row r="13" spans="1:26" ht="21.75" customHeight="1" x14ac:dyDescent="0.2">
      <c r="A13" s="187" t="s">
        <v>50</v>
      </c>
      <c r="B13" s="195" t="s">
        <v>56</v>
      </c>
      <c r="C13" s="196"/>
      <c r="D13" s="185" t="s">
        <v>377</v>
      </c>
      <c r="E13" s="186"/>
      <c r="F13" s="195" t="s">
        <v>59</v>
      </c>
      <c r="G13" s="196"/>
      <c r="H13" s="40" t="s">
        <v>377</v>
      </c>
      <c r="I13" s="197" t="s">
        <v>5</v>
      </c>
      <c r="J13" s="195" t="s">
        <v>60</v>
      </c>
      <c r="K13" s="187"/>
      <c r="L13" s="41" t="s">
        <v>65</v>
      </c>
      <c r="M13" s="9"/>
      <c r="N13" s="111"/>
      <c r="O13" s="113"/>
      <c r="P13" s="111"/>
      <c r="Q13" s="113"/>
      <c r="R13" s="111"/>
      <c r="S13" s="113"/>
      <c r="T13" s="111"/>
      <c r="U13" s="113"/>
      <c r="V13" s="111"/>
      <c r="W13" s="113"/>
      <c r="X13" s="111"/>
      <c r="Y13" s="112"/>
      <c r="Z13" s="112"/>
    </row>
    <row r="14" spans="1:26" ht="21.75" customHeight="1" x14ac:dyDescent="0.2">
      <c r="A14" s="188"/>
      <c r="B14" s="200" t="s">
        <v>57</v>
      </c>
      <c r="C14" s="201"/>
      <c r="D14" s="202" t="s">
        <v>257</v>
      </c>
      <c r="E14" s="203"/>
      <c r="F14" s="200" t="s">
        <v>57</v>
      </c>
      <c r="G14" s="201"/>
      <c r="H14" s="42" t="s">
        <v>258</v>
      </c>
      <c r="I14" s="198"/>
      <c r="J14" s="200" t="s">
        <v>61</v>
      </c>
      <c r="K14" s="188"/>
      <c r="L14" s="41" t="s">
        <v>66</v>
      </c>
      <c r="M14" s="9"/>
      <c r="N14" s="111"/>
      <c r="O14" s="113"/>
      <c r="P14" s="111"/>
      <c r="Q14" s="113"/>
      <c r="R14" s="111"/>
      <c r="S14" s="113"/>
      <c r="T14" s="111"/>
      <c r="U14" s="113"/>
      <c r="V14" s="111"/>
      <c r="W14" s="113"/>
      <c r="X14" s="111"/>
      <c r="Y14" s="112"/>
      <c r="Z14" s="112"/>
    </row>
    <row r="15" spans="1:26" ht="21.75" customHeight="1" x14ac:dyDescent="0.2">
      <c r="A15" s="188"/>
      <c r="B15" s="191" t="s">
        <v>58</v>
      </c>
      <c r="C15" s="192"/>
      <c r="D15" s="193">
        <v>4800</v>
      </c>
      <c r="E15" s="194"/>
      <c r="F15" s="191" t="s">
        <v>58</v>
      </c>
      <c r="G15" s="192"/>
      <c r="H15" s="43">
        <v>4800</v>
      </c>
      <c r="I15" s="198"/>
      <c r="J15" s="191" t="s">
        <v>62</v>
      </c>
      <c r="K15" s="189"/>
      <c r="L15" s="41" t="s">
        <v>67</v>
      </c>
      <c r="M15" s="9"/>
      <c r="N15" s="111"/>
      <c r="O15" s="113"/>
      <c r="P15" s="111"/>
      <c r="Q15" s="113"/>
      <c r="R15" s="111"/>
      <c r="S15" s="113"/>
      <c r="T15" s="111"/>
      <c r="U15" s="113"/>
      <c r="V15" s="111"/>
      <c r="W15" s="113"/>
      <c r="X15" s="111"/>
      <c r="Y15" s="112"/>
      <c r="Z15" s="112"/>
    </row>
    <row r="16" spans="1:26" ht="21.75" customHeight="1" x14ac:dyDescent="0.2">
      <c r="A16" s="188"/>
      <c r="B16" s="44" t="s">
        <v>51</v>
      </c>
      <c r="C16" s="44" t="s">
        <v>53</v>
      </c>
      <c r="D16" s="44" t="s">
        <v>54</v>
      </c>
      <c r="E16" s="154"/>
      <c r="F16" s="44" t="s">
        <v>51</v>
      </c>
      <c r="G16" s="44" t="s">
        <v>53</v>
      </c>
      <c r="H16" s="45" t="s">
        <v>54</v>
      </c>
      <c r="I16" s="198"/>
      <c r="J16" s="154" t="s">
        <v>63</v>
      </c>
      <c r="K16" s="154" t="s">
        <v>64</v>
      </c>
      <c r="L16" s="41" t="s">
        <v>68</v>
      </c>
      <c r="M16" s="9"/>
      <c r="N16" s="111"/>
      <c r="O16" s="113"/>
      <c r="P16" s="111"/>
      <c r="Q16" s="113"/>
      <c r="R16" s="111"/>
      <c r="S16" s="113"/>
      <c r="T16" s="111"/>
      <c r="U16" s="113"/>
      <c r="V16" s="111"/>
      <c r="W16" s="113"/>
      <c r="X16" s="111"/>
      <c r="Y16" s="112"/>
      <c r="Z16" s="112"/>
    </row>
    <row r="17" spans="1:26" ht="21.75" customHeight="1" x14ac:dyDescent="0.2">
      <c r="A17" s="188"/>
      <c r="B17" s="46" t="s">
        <v>52</v>
      </c>
      <c r="C17" s="46" t="s">
        <v>51</v>
      </c>
      <c r="D17" s="46" t="s">
        <v>55</v>
      </c>
      <c r="E17" s="190"/>
      <c r="F17" s="46" t="s">
        <v>52</v>
      </c>
      <c r="G17" s="47" t="s">
        <v>51</v>
      </c>
      <c r="H17" s="48" t="s">
        <v>55</v>
      </c>
      <c r="I17" s="199"/>
      <c r="J17" s="155"/>
      <c r="K17" s="155"/>
      <c r="L17" s="41" t="s">
        <v>69</v>
      </c>
      <c r="M17" s="130" t="s">
        <v>92</v>
      </c>
      <c r="N17" s="130"/>
      <c r="O17" s="130"/>
      <c r="P17" s="130"/>
      <c r="Q17" s="130"/>
      <c r="R17" s="130"/>
      <c r="S17" s="130"/>
      <c r="T17" s="130"/>
      <c r="U17" s="130"/>
      <c r="V17" s="130"/>
      <c r="W17" s="130"/>
      <c r="X17" s="130"/>
      <c r="Y17" s="130"/>
      <c r="Z17" s="130"/>
    </row>
    <row r="18" spans="1:26" ht="23.25" customHeight="1" x14ac:dyDescent="0.2">
      <c r="A18" s="78" t="s">
        <v>7</v>
      </c>
      <c r="B18" s="82">
        <v>5383.3761000000004</v>
      </c>
      <c r="C18" s="25"/>
      <c r="D18" s="24"/>
      <c r="E18" s="108"/>
      <c r="F18" s="82">
        <v>2400.7793000000001</v>
      </c>
      <c r="G18" s="51"/>
      <c r="H18" s="50"/>
      <c r="I18" s="52"/>
      <c r="J18" s="39"/>
      <c r="K18" s="79"/>
      <c r="L18" s="53"/>
      <c r="M18" s="123" t="s">
        <v>79</v>
      </c>
      <c r="N18" s="121" t="s">
        <v>98</v>
      </c>
      <c r="O18" s="121"/>
      <c r="P18" s="121"/>
      <c r="Q18" s="121" t="s">
        <v>107</v>
      </c>
      <c r="R18" s="121"/>
      <c r="S18" s="121"/>
      <c r="T18" s="121" t="s">
        <v>93</v>
      </c>
      <c r="U18" s="121"/>
      <c r="V18" s="121"/>
      <c r="W18" s="124" t="s">
        <v>91</v>
      </c>
      <c r="X18" s="131"/>
      <c r="Y18" s="131"/>
      <c r="Z18" s="131"/>
    </row>
    <row r="19" spans="1:26" ht="23.25" customHeight="1" x14ac:dyDescent="0.2">
      <c r="A19" s="78" t="s">
        <v>8</v>
      </c>
      <c r="B19" s="82">
        <v>5383.4273999999996</v>
      </c>
      <c r="C19" s="25">
        <f t="shared" ref="C19:C42" si="0">IF(B19="","",IF(LEN(TRUNC(B18,0))-LEN(TRUNC(B19,0))=0,B19-B18,IF(LEN(TRUNC(B18,0))-LEN(TRUNC(B19,0))&gt;0,VALUE(LEFT(B18,LEN(TRUNC(B18,0))-LEN(TRUNC(B19,0))))*POWER(10,LEN(TRUNC(B19,0)))+B19-B18,B19-B18-VALUE(LEFT(B19,LEN(TRUNC(B19,0))-LEN(TRUNC(B18,0))))*POWER(10,LEN(TRUNC(B18,0))))))</f>
        <v>5.1299999999173451E-2</v>
      </c>
      <c r="D19" s="24">
        <f t="shared" ref="D19:D42" si="1">IF(C19="","",C19*$D$15)</f>
        <v>246.23999999603257</v>
      </c>
      <c r="E19" s="108"/>
      <c r="F19" s="82">
        <v>2400.7910000000002</v>
      </c>
      <c r="G19" s="51">
        <f>F19-ReportObject5_3</f>
        <v>1.1700000000018917E-2</v>
      </c>
      <c r="H19" s="50">
        <f t="shared" ref="H19:H42" si="2">IF(G19="","",G19*$H$15)</f>
        <v>56.160000000090804</v>
      </c>
      <c r="I19" s="52">
        <f t="shared" ref="I19:I42" si="3">IF(H19="","",IF(D19="","",IF(AND(H19=0,D19=0),0,H19/D19)))</f>
        <v>0.22807017544263994</v>
      </c>
      <c r="J19" s="26">
        <v>6.4027560000000001</v>
      </c>
      <c r="K19" s="83"/>
      <c r="L19" s="53"/>
      <c r="M19" s="116"/>
      <c r="N19" s="118"/>
      <c r="O19" s="118"/>
      <c r="P19" s="118"/>
      <c r="Q19" s="118" t="s">
        <v>108</v>
      </c>
      <c r="R19" s="118"/>
      <c r="S19" s="118"/>
      <c r="T19" s="118"/>
      <c r="U19" s="118"/>
      <c r="V19" s="118"/>
      <c r="W19" s="125"/>
      <c r="X19" s="122"/>
      <c r="Y19" s="122"/>
      <c r="Z19" s="122"/>
    </row>
    <row r="20" spans="1:26" ht="23.25" customHeight="1" x14ac:dyDescent="0.2">
      <c r="A20" s="78" t="s">
        <v>9</v>
      </c>
      <c r="B20" s="82">
        <v>5383.4812000000002</v>
      </c>
      <c r="C20" s="25">
        <f t="shared" si="0"/>
        <v>5.3800000000592263E-2</v>
      </c>
      <c r="D20" s="24">
        <f t="shared" si="1"/>
        <v>258.24000000284286</v>
      </c>
      <c r="E20" s="108"/>
      <c r="F20" s="82">
        <v>2400.8038999999999</v>
      </c>
      <c r="G20" s="51">
        <f>F20-F19</f>
        <v>1.2899999999717693E-2</v>
      </c>
      <c r="H20" s="50">
        <f t="shared" si="2"/>
        <v>61.919999998644926</v>
      </c>
      <c r="I20" s="52">
        <f t="shared" si="3"/>
        <v>0.23977695166497551</v>
      </c>
      <c r="J20" s="26">
        <v>6.4015010000000006</v>
      </c>
      <c r="K20" s="83"/>
      <c r="L20" s="53"/>
      <c r="M20" s="116" t="s">
        <v>80</v>
      </c>
      <c r="N20" s="118" t="s">
        <v>99</v>
      </c>
      <c r="O20" s="118"/>
      <c r="P20" s="118"/>
      <c r="Q20" s="118" t="s">
        <v>181</v>
      </c>
      <c r="R20" s="118"/>
      <c r="S20" s="118"/>
      <c r="T20" s="118" t="s">
        <v>94</v>
      </c>
      <c r="U20" s="118"/>
      <c r="V20" s="118"/>
      <c r="W20" s="125"/>
      <c r="X20" s="122"/>
      <c r="Y20" s="122"/>
      <c r="Z20" s="122"/>
    </row>
    <row r="21" spans="1:26" ht="23.25" customHeight="1" x14ac:dyDescent="0.2">
      <c r="A21" s="78" t="s">
        <v>10</v>
      </c>
      <c r="B21" s="82">
        <v>5383.5339999999997</v>
      </c>
      <c r="C21" s="25">
        <f t="shared" si="0"/>
        <v>5.2799999999479041E-2</v>
      </c>
      <c r="D21" s="24">
        <f t="shared" si="1"/>
        <v>253.4399999974994</v>
      </c>
      <c r="E21" s="108"/>
      <c r="F21" s="82">
        <v>2400.8171000000002</v>
      </c>
      <c r="G21" s="51">
        <f t="shared" ref="G21:G42" si="4">F21-F20</f>
        <v>1.3200000000324508E-2</v>
      </c>
      <c r="H21" s="50">
        <f t="shared" si="2"/>
        <v>63.360000001557637</v>
      </c>
      <c r="I21" s="52">
        <f t="shared" si="3"/>
        <v>0.25000000000861267</v>
      </c>
      <c r="J21" s="26">
        <v>6.4059049999999997</v>
      </c>
      <c r="K21" s="83"/>
      <c r="L21" s="53"/>
      <c r="M21" s="117"/>
      <c r="N21" s="119"/>
      <c r="O21" s="119"/>
      <c r="P21" s="119"/>
      <c r="Q21" s="119"/>
      <c r="R21" s="119"/>
      <c r="S21" s="119"/>
      <c r="T21" s="119"/>
      <c r="U21" s="119"/>
      <c r="V21" s="119"/>
      <c r="W21" s="127"/>
      <c r="X21" s="130"/>
      <c r="Y21" s="130"/>
      <c r="Z21" s="130"/>
    </row>
    <row r="22" spans="1:26" ht="23.25" customHeight="1" x14ac:dyDescent="0.2">
      <c r="A22" s="78" t="s">
        <v>11</v>
      </c>
      <c r="B22" s="82">
        <v>5383.5853999999999</v>
      </c>
      <c r="C22" s="25">
        <f t="shared" si="0"/>
        <v>5.1400000000285218E-2</v>
      </c>
      <c r="D22" s="24">
        <f t="shared" si="1"/>
        <v>246.72000000136904</v>
      </c>
      <c r="E22" s="108"/>
      <c r="F22" s="82">
        <v>2400.83</v>
      </c>
      <c r="G22" s="51">
        <f t="shared" si="4"/>
        <v>1.2899999999717693E-2</v>
      </c>
      <c r="H22" s="50">
        <f t="shared" si="2"/>
        <v>61.919999998644926</v>
      </c>
      <c r="I22" s="52">
        <f t="shared" si="3"/>
        <v>0.2509727626390294</v>
      </c>
      <c r="J22" s="26">
        <v>6.4174610000000003</v>
      </c>
      <c r="K22" s="83"/>
      <c r="L22" s="53"/>
      <c r="M22" s="9"/>
      <c r="N22" s="120"/>
      <c r="O22" s="120"/>
      <c r="P22" s="120"/>
      <c r="Q22" s="120"/>
      <c r="R22" s="120"/>
      <c r="S22" s="120"/>
      <c r="T22" s="120"/>
      <c r="U22" s="120"/>
      <c r="V22" s="120"/>
      <c r="W22" s="111"/>
      <c r="X22" s="112"/>
      <c r="Y22" s="112"/>
      <c r="Z22" s="112"/>
    </row>
    <row r="23" spans="1:26" ht="23.25" customHeight="1" x14ac:dyDescent="0.2">
      <c r="A23" s="78" t="s">
        <v>12</v>
      </c>
      <c r="B23" s="82">
        <v>5383.6347999999998</v>
      </c>
      <c r="C23" s="25">
        <f t="shared" si="0"/>
        <v>4.9399999999877764E-2</v>
      </c>
      <c r="D23" s="24">
        <f t="shared" si="1"/>
        <v>237.11999999941327</v>
      </c>
      <c r="E23" s="108"/>
      <c r="F23" s="82">
        <v>2400.8425000000002</v>
      </c>
      <c r="G23" s="51">
        <f t="shared" si="4"/>
        <v>1.2500000000272848E-2</v>
      </c>
      <c r="H23" s="50">
        <f t="shared" si="2"/>
        <v>60.000000001309672</v>
      </c>
      <c r="I23" s="52">
        <f t="shared" si="3"/>
        <v>0.25303643725311292</v>
      </c>
      <c r="J23" s="26">
        <v>6.4230850000000004</v>
      </c>
      <c r="K23" s="83"/>
      <c r="L23" s="53"/>
      <c r="M23" s="9"/>
      <c r="N23" s="120"/>
      <c r="O23" s="120"/>
      <c r="P23" s="120"/>
      <c r="Q23" s="120"/>
      <c r="R23" s="120"/>
      <c r="S23" s="120"/>
      <c r="T23" s="120"/>
      <c r="U23" s="120"/>
      <c r="V23" s="120"/>
      <c r="W23" s="111"/>
      <c r="X23" s="112"/>
      <c r="Y23" s="112"/>
      <c r="Z23" s="112"/>
    </row>
    <row r="24" spans="1:26" ht="23.25" customHeight="1" x14ac:dyDescent="0.2">
      <c r="A24" s="78" t="s">
        <v>13</v>
      </c>
      <c r="B24" s="82">
        <v>5383.6860999999999</v>
      </c>
      <c r="C24" s="25">
        <f t="shared" si="0"/>
        <v>5.1300000000082946E-2</v>
      </c>
      <c r="D24" s="24">
        <f t="shared" si="1"/>
        <v>246.24000000039814</v>
      </c>
      <c r="E24" s="108"/>
      <c r="F24" s="82">
        <v>2400.8553000000002</v>
      </c>
      <c r="G24" s="51">
        <f t="shared" si="4"/>
        <v>1.2799999999970169E-2</v>
      </c>
      <c r="H24" s="50">
        <f t="shared" si="2"/>
        <v>61.439999999856809</v>
      </c>
      <c r="I24" s="52">
        <f t="shared" si="3"/>
        <v>0.2495126705643172</v>
      </c>
      <c r="J24" s="26">
        <v>6.4165290000000006</v>
      </c>
      <c r="K24" s="83"/>
      <c r="L24" s="53"/>
      <c r="M24" s="9"/>
      <c r="N24" s="120"/>
      <c r="O24" s="120"/>
      <c r="P24" s="120"/>
      <c r="Q24" s="120"/>
      <c r="R24" s="120"/>
      <c r="S24" s="120"/>
      <c r="T24" s="120"/>
      <c r="U24" s="120"/>
      <c r="V24" s="120"/>
      <c r="W24" s="111"/>
      <c r="X24" s="112"/>
      <c r="Y24" s="112"/>
      <c r="Z24" s="112"/>
    </row>
    <row r="25" spans="1:26" ht="23.25" customHeight="1" x14ac:dyDescent="0.2">
      <c r="A25" s="78" t="s">
        <v>14</v>
      </c>
      <c r="B25" s="82">
        <v>5383.7384000000002</v>
      </c>
      <c r="C25" s="25">
        <f t="shared" si="0"/>
        <v>5.2300000000286673E-2</v>
      </c>
      <c r="D25" s="24">
        <f t="shared" si="1"/>
        <v>251.04000000137603</v>
      </c>
      <c r="E25" s="108"/>
      <c r="F25" s="82">
        <v>2400.8685</v>
      </c>
      <c r="G25" s="51">
        <f t="shared" si="4"/>
        <v>1.319999999986976E-2</v>
      </c>
      <c r="H25" s="50">
        <f t="shared" si="2"/>
        <v>63.35999999937485</v>
      </c>
      <c r="I25" s="52">
        <f t="shared" si="3"/>
        <v>0.25239005735750303</v>
      </c>
      <c r="J25" s="26">
        <v>6.3840529999999998</v>
      </c>
      <c r="K25" s="83"/>
      <c r="L25" s="53"/>
      <c r="M25" s="9"/>
      <c r="N25" s="120"/>
      <c r="O25" s="120"/>
      <c r="P25" s="120"/>
      <c r="Q25" s="120"/>
      <c r="R25" s="120"/>
      <c r="S25" s="120"/>
      <c r="T25" s="120"/>
      <c r="U25" s="120"/>
      <c r="V25" s="120"/>
      <c r="W25" s="111"/>
      <c r="X25" s="112"/>
      <c r="Y25" s="112"/>
      <c r="Z25" s="112"/>
    </row>
    <row r="26" spans="1:26" ht="23.25" customHeight="1" x14ac:dyDescent="0.2">
      <c r="A26" s="78" t="s">
        <v>15</v>
      </c>
      <c r="B26" s="82">
        <v>5383.7902000000004</v>
      </c>
      <c r="C26" s="25">
        <f t="shared" si="0"/>
        <v>5.1800000000184809E-2</v>
      </c>
      <c r="D26" s="24">
        <f t="shared" si="1"/>
        <v>248.64000000088708</v>
      </c>
      <c r="E26" s="108"/>
      <c r="F26" s="82">
        <v>2400.8807999999999</v>
      </c>
      <c r="G26" s="51">
        <f t="shared" si="4"/>
        <v>1.2299999999868305E-2</v>
      </c>
      <c r="H26" s="50">
        <f t="shared" si="2"/>
        <v>59.039999999367865</v>
      </c>
      <c r="I26" s="52">
        <f t="shared" si="3"/>
        <v>0.23745173744834791</v>
      </c>
      <c r="J26" s="26">
        <v>6.2170870000000003</v>
      </c>
      <c r="K26" s="83"/>
      <c r="L26" s="53"/>
      <c r="M26" s="9"/>
      <c r="N26" s="120"/>
      <c r="O26" s="120"/>
      <c r="P26" s="120"/>
      <c r="Q26" s="120"/>
      <c r="R26" s="120"/>
      <c r="S26" s="120"/>
      <c r="T26" s="120"/>
      <c r="U26" s="120"/>
      <c r="V26" s="120"/>
      <c r="W26" s="111"/>
      <c r="X26" s="112"/>
      <c r="Y26" s="112"/>
      <c r="Z26" s="112"/>
    </row>
    <row r="27" spans="1:26" ht="23.25" customHeight="1" x14ac:dyDescent="0.2">
      <c r="A27" s="78" t="s">
        <v>16</v>
      </c>
      <c r="B27" s="82">
        <v>5383.8432000000003</v>
      </c>
      <c r="C27" s="25">
        <f t="shared" si="0"/>
        <v>5.2999999999883585E-2</v>
      </c>
      <c r="D27" s="24">
        <f t="shared" si="1"/>
        <v>254.39999999944121</v>
      </c>
      <c r="E27" s="108"/>
      <c r="F27" s="82">
        <v>2400.8917999999999</v>
      </c>
      <c r="G27" s="51">
        <f t="shared" si="4"/>
        <v>1.0999999999967258E-2</v>
      </c>
      <c r="H27" s="50">
        <f t="shared" si="2"/>
        <v>52.799999999842839</v>
      </c>
      <c r="I27" s="52">
        <f t="shared" si="3"/>
        <v>0.20754716981115887</v>
      </c>
      <c r="J27" s="26">
        <v>6.0935459999999999</v>
      </c>
      <c r="K27" s="83"/>
      <c r="L27" s="53"/>
      <c r="M27" s="9"/>
      <c r="N27" s="120"/>
      <c r="O27" s="120"/>
      <c r="P27" s="120"/>
      <c r="Q27" s="120"/>
      <c r="R27" s="120"/>
      <c r="S27" s="120"/>
      <c r="T27" s="120"/>
      <c r="U27" s="120"/>
      <c r="V27" s="120"/>
      <c r="W27" s="111"/>
      <c r="X27" s="112"/>
      <c r="Y27" s="112"/>
      <c r="Z27" s="112"/>
    </row>
    <row r="28" spans="1:26" ht="23.25" customHeight="1" x14ac:dyDescent="0.2">
      <c r="A28" s="78" t="s">
        <v>17</v>
      </c>
      <c r="B28" s="82">
        <v>5383.9004999999997</v>
      </c>
      <c r="C28" s="25">
        <f t="shared" si="0"/>
        <v>5.7299999999486317E-2</v>
      </c>
      <c r="D28" s="24">
        <f t="shared" si="1"/>
        <v>275.03999999753432</v>
      </c>
      <c r="E28" s="108"/>
      <c r="F28" s="82">
        <v>2400.9036999999998</v>
      </c>
      <c r="G28" s="51">
        <f t="shared" si="4"/>
        <v>1.1899999999968713E-2</v>
      </c>
      <c r="H28" s="50">
        <f t="shared" si="2"/>
        <v>57.119999999849824</v>
      </c>
      <c r="I28" s="52">
        <f t="shared" si="3"/>
        <v>0.20767888307286902</v>
      </c>
      <c r="J28" s="26">
        <v>6.1457850000000001</v>
      </c>
      <c r="K28" s="83"/>
      <c r="L28" s="53"/>
      <c r="M28" s="9"/>
      <c r="N28" s="120"/>
      <c r="O28" s="120"/>
      <c r="P28" s="120"/>
      <c r="Q28" s="120"/>
      <c r="R28" s="120"/>
      <c r="S28" s="120"/>
      <c r="T28" s="120"/>
      <c r="U28" s="120"/>
      <c r="V28" s="120"/>
      <c r="W28" s="111"/>
      <c r="X28" s="112"/>
      <c r="Y28" s="112"/>
      <c r="Z28" s="112"/>
    </row>
    <row r="29" spans="1:26" ht="23.25" customHeight="1" x14ac:dyDescent="0.2">
      <c r="A29" s="78" t="s">
        <v>18</v>
      </c>
      <c r="B29" s="82">
        <v>5383.9558999999999</v>
      </c>
      <c r="C29" s="25">
        <f t="shared" si="0"/>
        <v>5.540000000019063E-2</v>
      </c>
      <c r="D29" s="24">
        <f t="shared" si="1"/>
        <v>265.92000000091502</v>
      </c>
      <c r="E29" s="108"/>
      <c r="F29" s="82">
        <v>2400.9160999999999</v>
      </c>
      <c r="G29" s="51">
        <f t="shared" si="4"/>
        <v>1.2400000000070577E-2</v>
      </c>
      <c r="H29" s="50">
        <f t="shared" si="2"/>
        <v>59.520000000338769</v>
      </c>
      <c r="I29" s="52">
        <f t="shared" si="3"/>
        <v>0.22382671480194782</v>
      </c>
      <c r="J29" s="26">
        <v>6.1034700000000006</v>
      </c>
      <c r="K29" s="83"/>
      <c r="L29" s="53"/>
      <c r="M29" s="145" t="s">
        <v>95</v>
      </c>
      <c r="N29" s="145"/>
      <c r="O29" s="145"/>
      <c r="P29" s="145"/>
      <c r="Q29" s="145"/>
      <c r="R29" s="145"/>
      <c r="S29" s="145"/>
      <c r="T29" s="145"/>
      <c r="U29" s="145"/>
      <c r="V29" s="145"/>
      <c r="W29" s="145"/>
      <c r="X29" s="145"/>
      <c r="Y29" s="145"/>
      <c r="Z29" s="145"/>
    </row>
    <row r="30" spans="1:26" ht="23.25" customHeight="1" x14ac:dyDescent="0.2">
      <c r="A30" s="78" t="s">
        <v>19</v>
      </c>
      <c r="B30" s="82">
        <v>5383.9979999999996</v>
      </c>
      <c r="C30" s="25">
        <f t="shared" si="0"/>
        <v>4.2099999999663851E-2</v>
      </c>
      <c r="D30" s="24">
        <f t="shared" si="1"/>
        <v>202.07999999838648</v>
      </c>
      <c r="E30" s="108"/>
      <c r="F30" s="82">
        <v>2400.924</v>
      </c>
      <c r="G30" s="51">
        <f t="shared" si="4"/>
        <v>7.9000000000633008E-3</v>
      </c>
      <c r="H30" s="50">
        <f t="shared" si="2"/>
        <v>37.920000000303844</v>
      </c>
      <c r="I30" s="52">
        <f t="shared" si="3"/>
        <v>0.18764845606000899</v>
      </c>
      <c r="J30" s="26">
        <v>6.3353900000000003</v>
      </c>
      <c r="K30" s="83"/>
      <c r="L30" s="53"/>
      <c r="M30" s="122" t="s">
        <v>97</v>
      </c>
      <c r="N30" s="122"/>
      <c r="O30" s="122"/>
      <c r="P30" s="122"/>
      <c r="Q30" s="122"/>
      <c r="R30" s="122"/>
      <c r="S30" s="122"/>
      <c r="T30" s="122"/>
      <c r="U30" s="122"/>
      <c r="V30" s="122"/>
      <c r="W30" s="122"/>
      <c r="X30" s="122"/>
      <c r="Y30" s="122"/>
      <c r="Z30" s="122"/>
    </row>
    <row r="31" spans="1:26" ht="23.25" customHeight="1" x14ac:dyDescent="0.2">
      <c r="A31" s="78" t="s">
        <v>20</v>
      </c>
      <c r="B31" s="82">
        <v>5384.0357000000004</v>
      </c>
      <c r="C31" s="25">
        <f t="shared" si="0"/>
        <v>3.7700000000768341E-2</v>
      </c>
      <c r="D31" s="24">
        <f t="shared" si="1"/>
        <v>180.96000000368804</v>
      </c>
      <c r="E31" s="108"/>
      <c r="F31" s="82">
        <v>2400.9306000000001</v>
      </c>
      <c r="G31" s="51">
        <f t="shared" si="4"/>
        <v>6.6000000001622539E-3</v>
      </c>
      <c r="H31" s="50">
        <f t="shared" si="2"/>
        <v>31.680000000778819</v>
      </c>
      <c r="I31" s="52">
        <f t="shared" si="3"/>
        <v>0.17506631299808337</v>
      </c>
      <c r="J31" s="26">
        <v>6.3639320000000001</v>
      </c>
      <c r="K31" s="83"/>
      <c r="L31" s="53"/>
      <c r="M31" s="123" t="s">
        <v>79</v>
      </c>
      <c r="N31" s="121" t="s">
        <v>98</v>
      </c>
      <c r="O31" s="121"/>
      <c r="P31" s="121" t="s">
        <v>100</v>
      </c>
      <c r="Q31" s="121"/>
      <c r="R31" s="121" t="s">
        <v>93</v>
      </c>
      <c r="S31" s="121"/>
      <c r="T31" s="121" t="s">
        <v>103</v>
      </c>
      <c r="U31" s="121"/>
      <c r="V31" s="121" t="s">
        <v>179</v>
      </c>
      <c r="W31" s="121"/>
      <c r="X31" s="121"/>
      <c r="Y31" s="121" t="s">
        <v>91</v>
      </c>
      <c r="Z31" s="124"/>
    </row>
    <row r="32" spans="1:26" ht="23.25" customHeight="1" x14ac:dyDescent="0.2">
      <c r="A32" s="78" t="s">
        <v>21</v>
      </c>
      <c r="B32" s="82">
        <v>5384.0751</v>
      </c>
      <c r="C32" s="25">
        <f t="shared" si="0"/>
        <v>3.9399999999659485E-2</v>
      </c>
      <c r="D32" s="24">
        <f t="shared" si="1"/>
        <v>189.11999999836553</v>
      </c>
      <c r="E32" s="108"/>
      <c r="F32" s="82">
        <v>2400.9371999999998</v>
      </c>
      <c r="G32" s="51">
        <f t="shared" si="4"/>
        <v>6.5999999997075065E-3</v>
      </c>
      <c r="H32" s="50">
        <f t="shared" si="2"/>
        <v>31.679999998596031</v>
      </c>
      <c r="I32" s="52">
        <f t="shared" si="3"/>
        <v>0.16751269034935398</v>
      </c>
      <c r="J32" s="26">
        <v>6.3328509999999998</v>
      </c>
      <c r="K32" s="83"/>
      <c r="L32" s="53"/>
      <c r="M32" s="116"/>
      <c r="N32" s="118"/>
      <c r="O32" s="118"/>
      <c r="P32" s="118" t="s">
        <v>83</v>
      </c>
      <c r="Q32" s="118"/>
      <c r="R32" s="118" t="s">
        <v>102</v>
      </c>
      <c r="S32" s="118"/>
      <c r="T32" s="118" t="s">
        <v>104</v>
      </c>
      <c r="U32" s="118"/>
      <c r="V32" s="118" t="s">
        <v>105</v>
      </c>
      <c r="W32" s="118"/>
      <c r="X32" s="118"/>
      <c r="Y32" s="118"/>
      <c r="Z32" s="125"/>
    </row>
    <row r="33" spans="1:26" ht="23.25" customHeight="1" x14ac:dyDescent="0.2">
      <c r="A33" s="78" t="s">
        <v>22</v>
      </c>
      <c r="B33" s="82">
        <v>5384.1142</v>
      </c>
      <c r="C33" s="25">
        <f t="shared" si="0"/>
        <v>3.9099999999962165E-2</v>
      </c>
      <c r="D33" s="24">
        <f t="shared" si="1"/>
        <v>187.67999999981839</v>
      </c>
      <c r="E33" s="108"/>
      <c r="F33" s="82">
        <v>2400.9438</v>
      </c>
      <c r="G33" s="51">
        <f t="shared" si="4"/>
        <v>6.6000000001622539E-3</v>
      </c>
      <c r="H33" s="50">
        <f t="shared" si="2"/>
        <v>31.680000000778819</v>
      </c>
      <c r="I33" s="52">
        <f t="shared" si="3"/>
        <v>0.16879795396850741</v>
      </c>
      <c r="J33" s="26">
        <v>6.327693</v>
      </c>
      <c r="K33" s="83"/>
      <c r="L33" s="53"/>
      <c r="M33" s="116" t="s">
        <v>80</v>
      </c>
      <c r="N33" s="118" t="s">
        <v>99</v>
      </c>
      <c r="O33" s="118"/>
      <c r="P33" s="118" t="s">
        <v>101</v>
      </c>
      <c r="Q33" s="118"/>
      <c r="R33" s="118" t="s">
        <v>69</v>
      </c>
      <c r="S33" s="118"/>
      <c r="T33" s="118" t="s">
        <v>69</v>
      </c>
      <c r="U33" s="118"/>
      <c r="V33" s="118" t="s">
        <v>106</v>
      </c>
      <c r="W33" s="118"/>
      <c r="X33" s="118"/>
      <c r="Y33" s="118"/>
      <c r="Z33" s="125"/>
    </row>
    <row r="34" spans="1:26" ht="23.25" customHeight="1" x14ac:dyDescent="0.2">
      <c r="A34" s="78" t="s">
        <v>23</v>
      </c>
      <c r="B34" s="82">
        <v>5384.1553999999996</v>
      </c>
      <c r="C34" s="25">
        <f t="shared" si="0"/>
        <v>4.1199999999662396E-2</v>
      </c>
      <c r="D34" s="24">
        <f t="shared" si="1"/>
        <v>197.7599999983795</v>
      </c>
      <c r="E34" s="108"/>
      <c r="F34" s="82">
        <v>2400.9504000000002</v>
      </c>
      <c r="G34" s="51">
        <f t="shared" si="4"/>
        <v>6.6000000001622539E-3</v>
      </c>
      <c r="H34" s="50">
        <f t="shared" si="2"/>
        <v>31.680000000778819</v>
      </c>
      <c r="I34" s="52">
        <f t="shared" si="3"/>
        <v>0.16019417476253242</v>
      </c>
      <c r="J34" s="26">
        <v>6.3415850000000002</v>
      </c>
      <c r="K34" s="83"/>
      <c r="L34" s="53"/>
      <c r="M34" s="117"/>
      <c r="N34" s="119"/>
      <c r="O34" s="119"/>
      <c r="P34" s="119"/>
      <c r="Q34" s="119"/>
      <c r="R34" s="127"/>
      <c r="S34" s="117"/>
      <c r="T34" s="127"/>
      <c r="U34" s="117"/>
      <c r="V34" s="127"/>
      <c r="W34" s="130"/>
      <c r="X34" s="117"/>
      <c r="Y34" s="119"/>
      <c r="Z34" s="127"/>
    </row>
    <row r="35" spans="1:26" ht="23.25" customHeight="1" x14ac:dyDescent="0.2">
      <c r="A35" s="78" t="s">
        <v>24</v>
      </c>
      <c r="B35" s="82">
        <v>5384.1926999999996</v>
      </c>
      <c r="C35" s="25">
        <f t="shared" si="0"/>
        <v>3.7299999999959255E-2</v>
      </c>
      <c r="D35" s="24">
        <f t="shared" si="1"/>
        <v>179.03999999980442</v>
      </c>
      <c r="E35" s="108"/>
      <c r="F35" s="82">
        <v>2400.9560000000001</v>
      </c>
      <c r="G35" s="51">
        <f t="shared" si="4"/>
        <v>5.599999999958527E-3</v>
      </c>
      <c r="H35" s="50">
        <f t="shared" si="2"/>
        <v>26.87999999980093</v>
      </c>
      <c r="I35" s="52">
        <f t="shared" si="3"/>
        <v>0.15013404825642479</v>
      </c>
      <c r="J35" s="26">
        <v>6.3318639999999995</v>
      </c>
      <c r="K35" s="83"/>
      <c r="L35" s="53"/>
      <c r="M35" s="9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11"/>
    </row>
    <row r="36" spans="1:26" ht="23.25" customHeight="1" x14ac:dyDescent="0.2">
      <c r="A36" s="78" t="s">
        <v>25</v>
      </c>
      <c r="B36" s="82">
        <v>5384.2327999999998</v>
      </c>
      <c r="C36" s="25">
        <f t="shared" si="0"/>
        <v>4.0100000000165892E-2</v>
      </c>
      <c r="D36" s="24">
        <f t="shared" si="1"/>
        <v>192.48000000079628</v>
      </c>
      <c r="E36" s="108"/>
      <c r="F36" s="82">
        <v>2400.9627</v>
      </c>
      <c r="G36" s="51">
        <f t="shared" si="4"/>
        <v>6.6999999999097781E-3</v>
      </c>
      <c r="H36" s="50">
        <f t="shared" si="2"/>
        <v>32.159999999566935</v>
      </c>
      <c r="I36" s="52">
        <f>IF(H36="","",IF(D36="","",IF(AND(H36=0,D36=0),0,H36/D36)))</f>
        <v>0.16708229426139801</v>
      </c>
      <c r="J36" s="26">
        <v>6.240767</v>
      </c>
      <c r="K36" s="83"/>
      <c r="L36" s="53"/>
      <c r="M36" s="9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11"/>
    </row>
    <row r="37" spans="1:26" ht="23.25" customHeight="1" x14ac:dyDescent="0.2">
      <c r="A37" s="78" t="s">
        <v>26</v>
      </c>
      <c r="B37" s="82">
        <v>5384.2690000000002</v>
      </c>
      <c r="C37" s="25">
        <f t="shared" si="0"/>
        <v>3.6200000000462751E-2</v>
      </c>
      <c r="D37" s="24">
        <f t="shared" si="1"/>
        <v>173.7600000022212</v>
      </c>
      <c r="E37" s="108"/>
      <c r="F37" s="82">
        <v>2400.9683</v>
      </c>
      <c r="G37" s="51">
        <f t="shared" si="4"/>
        <v>5.599999999958527E-3</v>
      </c>
      <c r="H37" s="50">
        <f t="shared" si="2"/>
        <v>26.87999999980093</v>
      </c>
      <c r="I37" s="52">
        <f t="shared" si="3"/>
        <v>0.15469613259356191</v>
      </c>
      <c r="J37" s="26">
        <v>6.2652259999999993</v>
      </c>
      <c r="K37" s="83"/>
      <c r="L37" s="53"/>
      <c r="M37" s="9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11"/>
    </row>
    <row r="38" spans="1:26" ht="23.25" customHeight="1" x14ac:dyDescent="0.2">
      <c r="A38" s="78" t="s">
        <v>27</v>
      </c>
      <c r="B38" s="82">
        <v>5384.3037000000004</v>
      </c>
      <c r="C38" s="25">
        <f t="shared" si="0"/>
        <v>3.4700000000157161E-2</v>
      </c>
      <c r="D38" s="24">
        <f t="shared" si="1"/>
        <v>166.56000000075437</v>
      </c>
      <c r="E38" s="108"/>
      <c r="F38" s="82">
        <v>2400.9731000000002</v>
      </c>
      <c r="G38" s="51">
        <f t="shared" si="4"/>
        <v>4.8000000001593435E-3</v>
      </c>
      <c r="H38" s="50">
        <f t="shared" si="2"/>
        <v>23.040000000764849</v>
      </c>
      <c r="I38" s="52">
        <f t="shared" si="3"/>
        <v>0.13832853026333153</v>
      </c>
      <c r="J38" s="26">
        <v>6.1822330000000001</v>
      </c>
      <c r="K38" s="83"/>
      <c r="L38" s="53"/>
      <c r="M38" s="9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11"/>
    </row>
    <row r="39" spans="1:26" ht="23.25" customHeight="1" x14ac:dyDescent="0.2">
      <c r="A39" s="78" t="s">
        <v>28</v>
      </c>
      <c r="B39" s="82">
        <v>5384.3377</v>
      </c>
      <c r="C39" s="25">
        <f t="shared" si="0"/>
        <v>3.3999999999650754E-2</v>
      </c>
      <c r="D39" s="24">
        <f t="shared" si="1"/>
        <v>163.19999999832362</v>
      </c>
      <c r="E39" s="108"/>
      <c r="F39" s="82">
        <v>2400.9783000000002</v>
      </c>
      <c r="G39" s="51">
        <f t="shared" si="4"/>
        <v>5.2000000000589353E-3</v>
      </c>
      <c r="H39" s="50">
        <f t="shared" si="2"/>
        <v>24.960000000282889</v>
      </c>
      <c r="I39" s="52">
        <f t="shared" si="3"/>
        <v>0.15294117647389263</v>
      </c>
      <c r="J39" s="26">
        <v>6.2344140000000001</v>
      </c>
      <c r="K39" s="83"/>
      <c r="L39" s="53"/>
      <c r="M39" s="9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11"/>
    </row>
    <row r="40" spans="1:26" ht="23.25" customHeight="1" x14ac:dyDescent="0.2">
      <c r="A40" s="78" t="s">
        <v>29</v>
      </c>
      <c r="B40" s="82">
        <v>5384.3752999999997</v>
      </c>
      <c r="C40" s="25">
        <f t="shared" si="0"/>
        <v>3.7599999999656575E-2</v>
      </c>
      <c r="D40" s="24">
        <f t="shared" si="1"/>
        <v>180.47999999835156</v>
      </c>
      <c r="E40" s="108"/>
      <c r="F40" s="82">
        <v>2400.9852999999998</v>
      </c>
      <c r="G40" s="51">
        <f t="shared" si="4"/>
        <v>6.9999999996070983E-3</v>
      </c>
      <c r="H40" s="50">
        <f t="shared" si="2"/>
        <v>33.599999998114072</v>
      </c>
      <c r="I40" s="52">
        <f t="shared" si="3"/>
        <v>0.18617021275720835</v>
      </c>
      <c r="J40" s="26">
        <v>6.1531940000000001</v>
      </c>
      <c r="K40" s="83"/>
      <c r="L40" s="53"/>
      <c r="M40" s="122" t="s">
        <v>109</v>
      </c>
      <c r="N40" s="122"/>
      <c r="O40" s="122"/>
      <c r="P40" s="122"/>
      <c r="Q40" s="122"/>
      <c r="R40" s="122"/>
      <c r="S40" s="122"/>
      <c r="T40" s="122"/>
      <c r="U40" s="122"/>
      <c r="V40" s="122"/>
      <c r="W40" s="122"/>
      <c r="X40" s="122"/>
      <c r="Y40" s="122"/>
      <c r="Z40" s="122"/>
    </row>
    <row r="41" spans="1:26" ht="23.25" customHeight="1" x14ac:dyDescent="0.2">
      <c r="A41" s="78" t="s">
        <v>30</v>
      </c>
      <c r="B41" s="82">
        <v>5384.4129999999996</v>
      </c>
      <c r="C41" s="25">
        <f t="shared" si="0"/>
        <v>3.7699999999858846E-2</v>
      </c>
      <c r="D41" s="24">
        <f t="shared" si="1"/>
        <v>180.95999999932246</v>
      </c>
      <c r="E41" s="108"/>
      <c r="F41" s="82">
        <v>2400.9917999999998</v>
      </c>
      <c r="G41" s="51">
        <f t="shared" si="4"/>
        <v>6.4999999999599822E-3</v>
      </c>
      <c r="H41" s="50">
        <f t="shared" si="2"/>
        <v>31.199999999807915</v>
      </c>
      <c r="I41" s="52">
        <f t="shared" si="3"/>
        <v>0.17241379310303234</v>
      </c>
      <c r="J41" s="26">
        <v>6.3729949999999995</v>
      </c>
      <c r="K41" s="83"/>
      <c r="L41" s="53"/>
      <c r="M41" s="123" t="s">
        <v>79</v>
      </c>
      <c r="N41" s="121" t="s">
        <v>98</v>
      </c>
      <c r="O41" s="121"/>
      <c r="P41" s="121" t="s">
        <v>93</v>
      </c>
      <c r="Q41" s="121"/>
      <c r="R41" s="121"/>
      <c r="S41" s="121" t="s">
        <v>111</v>
      </c>
      <c r="T41" s="121" t="s">
        <v>81</v>
      </c>
      <c r="U41" s="121"/>
      <c r="V41" s="121"/>
      <c r="W41" s="121"/>
      <c r="X41" s="121" t="s">
        <v>93</v>
      </c>
      <c r="Y41" s="121"/>
      <c r="Z41" s="124"/>
    </row>
    <row r="42" spans="1:26" ht="23.25" customHeight="1" x14ac:dyDescent="0.2">
      <c r="A42" s="78" t="s">
        <v>31</v>
      </c>
      <c r="B42" s="82">
        <v>5384.4513999999999</v>
      </c>
      <c r="C42" s="25">
        <f t="shared" si="0"/>
        <v>3.8400000000365253E-2</v>
      </c>
      <c r="D42" s="24">
        <f t="shared" si="1"/>
        <v>184.32000000175321</v>
      </c>
      <c r="E42" s="108"/>
      <c r="F42" s="82">
        <v>2400.9976999999999</v>
      </c>
      <c r="G42" s="51">
        <f t="shared" si="4"/>
        <v>5.9000000001105946E-3</v>
      </c>
      <c r="H42" s="50">
        <f t="shared" si="2"/>
        <v>28.320000000530854</v>
      </c>
      <c r="I42" s="52">
        <f t="shared" si="3"/>
        <v>0.15364583333475196</v>
      </c>
      <c r="J42" s="26">
        <v>6.3865259999999999</v>
      </c>
      <c r="K42" s="83"/>
      <c r="L42" s="53"/>
      <c r="M42" s="116"/>
      <c r="N42" s="118"/>
      <c r="O42" s="118"/>
      <c r="P42" s="118"/>
      <c r="Q42" s="118"/>
      <c r="R42" s="118"/>
      <c r="S42" s="118"/>
      <c r="T42" s="118"/>
      <c r="U42" s="118"/>
      <c r="V42" s="118"/>
      <c r="W42" s="118"/>
      <c r="X42" s="118"/>
      <c r="Y42" s="118"/>
      <c r="Z42" s="125"/>
    </row>
    <row r="43" spans="1:26" ht="22.5" customHeight="1" x14ac:dyDescent="0.2">
      <c r="A43" s="214" t="s">
        <v>70</v>
      </c>
      <c r="B43" s="214"/>
      <c r="C43" s="214"/>
      <c r="D43" s="50">
        <f>SUM(D18:D42)</f>
        <v>5161.439999997674</v>
      </c>
      <c r="E43" s="78"/>
      <c r="F43" s="54"/>
      <c r="G43" s="60"/>
      <c r="H43" s="50">
        <f>SUM(H18:H42)</f>
        <v>1048.3199999987846</v>
      </c>
      <c r="I43" s="52">
        <f>IF(AND(H43=0,D43=0),0,H43/D43)</f>
        <v>0.20310610992266828</v>
      </c>
      <c r="J43" s="39"/>
      <c r="K43" s="39"/>
      <c r="L43" s="53"/>
      <c r="M43" s="116" t="s">
        <v>80</v>
      </c>
      <c r="N43" s="118" t="s">
        <v>99</v>
      </c>
      <c r="O43" s="118"/>
      <c r="P43" s="118" t="s">
        <v>110</v>
      </c>
      <c r="Q43" s="118"/>
      <c r="R43" s="118"/>
      <c r="S43" s="118"/>
      <c r="T43" s="118"/>
      <c r="U43" s="118"/>
      <c r="V43" s="118"/>
      <c r="W43" s="118"/>
      <c r="X43" s="118" t="s">
        <v>110</v>
      </c>
      <c r="Y43" s="118"/>
      <c r="Z43" s="125"/>
    </row>
    <row r="44" spans="1:26" ht="22.5" customHeight="1" x14ac:dyDescent="0.2">
      <c r="A44" s="183" t="s">
        <v>71</v>
      </c>
      <c r="B44" s="183"/>
      <c r="C44" s="183"/>
      <c r="D44" s="61"/>
      <c r="E44" s="61"/>
      <c r="F44" s="62"/>
      <c r="G44" s="39"/>
      <c r="H44" s="39"/>
      <c r="I44" s="39"/>
      <c r="J44" s="39"/>
      <c r="K44" s="39"/>
      <c r="L44" s="53"/>
      <c r="M44" s="117"/>
      <c r="N44" s="119"/>
      <c r="O44" s="119"/>
      <c r="P44" s="119"/>
      <c r="Q44" s="119"/>
      <c r="R44" s="119"/>
      <c r="S44" s="119"/>
      <c r="T44" s="119"/>
      <c r="U44" s="119"/>
      <c r="V44" s="119"/>
      <c r="W44" s="119"/>
      <c r="X44" s="119"/>
      <c r="Y44" s="119"/>
      <c r="Z44" s="127"/>
    </row>
    <row r="45" spans="1:26" ht="22.5" customHeight="1" x14ac:dyDescent="0.2">
      <c r="A45" s="55"/>
      <c r="B45" s="56"/>
      <c r="C45" s="56"/>
      <c r="D45" s="56"/>
      <c r="E45" s="56"/>
      <c r="F45" s="56"/>
      <c r="G45" s="56"/>
      <c r="H45" s="56"/>
      <c r="I45" s="56"/>
      <c r="J45" s="57"/>
      <c r="K45" s="57"/>
      <c r="L45" s="57"/>
      <c r="M45" s="9"/>
      <c r="N45" s="111"/>
      <c r="O45" s="113"/>
      <c r="P45" s="111"/>
      <c r="Q45" s="112"/>
      <c r="R45" s="113"/>
      <c r="S45" s="7"/>
      <c r="T45" s="111"/>
      <c r="U45" s="112"/>
      <c r="V45" s="112"/>
      <c r="W45" s="113"/>
      <c r="X45" s="111"/>
      <c r="Y45" s="112"/>
      <c r="Z45" s="112"/>
    </row>
    <row r="46" spans="1:26" ht="22.5" customHeight="1" x14ac:dyDescent="0.2">
      <c r="A46" s="182" t="s">
        <v>72</v>
      </c>
      <c r="B46" s="182"/>
      <c r="C46" s="182"/>
      <c r="D46" s="182"/>
      <c r="E46" s="182"/>
      <c r="F46" s="182"/>
      <c r="G46" s="204" t="s">
        <v>73</v>
      </c>
      <c r="H46" s="204"/>
      <c r="I46" s="204"/>
      <c r="J46" s="204"/>
      <c r="K46" s="204"/>
      <c r="L46" s="204"/>
      <c r="M46" s="9"/>
      <c r="N46" s="111"/>
      <c r="O46" s="113"/>
      <c r="P46" s="111"/>
      <c r="Q46" s="112"/>
      <c r="R46" s="113"/>
      <c r="S46" s="7"/>
      <c r="T46" s="111"/>
      <c r="U46" s="112"/>
      <c r="V46" s="112"/>
      <c r="W46" s="113"/>
      <c r="X46" s="111"/>
      <c r="Y46" s="112"/>
      <c r="Z46" s="112"/>
    </row>
    <row r="47" spans="1:26" ht="22.5" customHeight="1" x14ac:dyDescent="0.2">
      <c r="A47" s="144" t="s">
        <v>365</v>
      </c>
      <c r="B47" s="144"/>
      <c r="C47" s="144"/>
      <c r="D47" s="135" t="s">
        <v>74</v>
      </c>
      <c r="E47" s="135"/>
      <c r="F47" s="135"/>
      <c r="G47" s="56"/>
      <c r="H47" s="56"/>
      <c r="I47" s="56"/>
      <c r="J47" s="56"/>
      <c r="K47" s="56"/>
      <c r="L47" s="56"/>
      <c r="M47" s="9"/>
      <c r="N47" s="111"/>
      <c r="O47" s="113"/>
      <c r="P47" s="111"/>
      <c r="Q47" s="112"/>
      <c r="R47" s="113"/>
      <c r="S47" s="7"/>
      <c r="T47" s="111"/>
      <c r="U47" s="112"/>
      <c r="V47" s="112"/>
      <c r="W47" s="113"/>
      <c r="X47" s="111"/>
      <c r="Y47" s="112"/>
      <c r="Z47" s="112"/>
    </row>
    <row r="48" spans="1:26" ht="22.5" customHeight="1" x14ac:dyDescent="0.2">
      <c r="A48" s="175" t="s">
        <v>75</v>
      </c>
      <c r="B48" s="175"/>
      <c r="C48" s="175"/>
      <c r="D48" s="174" t="s">
        <v>76</v>
      </c>
      <c r="E48" s="174"/>
      <c r="F48" s="174"/>
      <c r="G48" s="58"/>
      <c r="H48" s="58"/>
      <c r="I48" s="55"/>
      <c r="J48" s="55"/>
      <c r="K48" s="55"/>
      <c r="L48" s="55"/>
    </row>
    <row r="49" spans="1:23" ht="22.5" customHeight="1" x14ac:dyDescent="0.2">
      <c r="A49" s="144" t="s">
        <v>366</v>
      </c>
      <c r="B49" s="144"/>
      <c r="C49" s="144"/>
      <c r="D49" s="135" t="s">
        <v>74</v>
      </c>
      <c r="E49" s="135"/>
      <c r="F49" s="135"/>
      <c r="G49" s="55"/>
      <c r="H49" s="182" t="s">
        <v>183</v>
      </c>
      <c r="I49" s="182"/>
      <c r="J49" s="182"/>
      <c r="K49" s="182" t="s">
        <v>77</v>
      </c>
      <c r="L49" s="182"/>
      <c r="N49" s="177" t="s">
        <v>150</v>
      </c>
      <c r="O49" s="177"/>
      <c r="P49" s="177"/>
      <c r="Q49" s="176" t="s">
        <v>364</v>
      </c>
      <c r="R49" s="176"/>
      <c r="S49" s="176"/>
      <c r="T49" s="176"/>
      <c r="U49" s="176"/>
      <c r="V49" s="176"/>
      <c r="W49" s="1"/>
    </row>
    <row r="50" spans="1:23" ht="22.5" customHeight="1" x14ac:dyDescent="0.2">
      <c r="A50" s="175" t="s">
        <v>75</v>
      </c>
      <c r="B50" s="175"/>
      <c r="C50" s="175"/>
      <c r="D50" s="174" t="s">
        <v>76</v>
      </c>
      <c r="E50" s="174"/>
      <c r="F50" s="174"/>
      <c r="G50" s="58"/>
      <c r="H50" s="175" t="s">
        <v>75</v>
      </c>
      <c r="I50" s="175"/>
      <c r="J50" s="175"/>
      <c r="K50" s="175" t="s">
        <v>76</v>
      </c>
      <c r="L50" s="175"/>
      <c r="S50" s="173" t="s">
        <v>76</v>
      </c>
      <c r="T50" s="173"/>
    </row>
    <row r="51" spans="1:23" ht="20.100000000000001" customHeight="1" x14ac:dyDescent="0.2">
      <c r="A51" s="144" t="s">
        <v>367</v>
      </c>
      <c r="B51" s="144"/>
      <c r="C51" s="144"/>
      <c r="D51" s="135" t="s">
        <v>74</v>
      </c>
      <c r="E51" s="135"/>
      <c r="F51" s="135"/>
      <c r="G51" s="55"/>
      <c r="H51" s="55"/>
      <c r="I51" s="55"/>
      <c r="J51" s="55"/>
      <c r="K51" s="55"/>
      <c r="L51" s="55"/>
    </row>
    <row r="52" spans="1:23" ht="20.100000000000001" customHeight="1" x14ac:dyDescent="0.2">
      <c r="A52" s="174" t="s">
        <v>75</v>
      </c>
      <c r="B52" s="174"/>
      <c r="C52" s="174"/>
      <c r="D52" s="173" t="s">
        <v>76</v>
      </c>
      <c r="E52" s="173"/>
      <c r="F52" s="173"/>
      <c r="G52" s="59"/>
      <c r="H52" s="59"/>
      <c r="I52" s="55"/>
      <c r="J52" s="55"/>
      <c r="K52" s="55"/>
      <c r="L52" s="55"/>
    </row>
  </sheetData>
  <sheetProtection sheet="1" objects="1" scenarios="1"/>
  <mergeCells count="258">
    <mergeCell ref="G1:H2"/>
    <mergeCell ref="J16:J17"/>
    <mergeCell ref="K16:K17"/>
    <mergeCell ref="A13:A17"/>
    <mergeCell ref="E16:E17"/>
    <mergeCell ref="B15:C15"/>
    <mergeCell ref="D15:E15"/>
    <mergeCell ref="B13:C13"/>
    <mergeCell ref="D13:E13"/>
    <mergeCell ref="F14:G14"/>
    <mergeCell ref="A9:L9"/>
    <mergeCell ref="A1:F1"/>
    <mergeCell ref="A2:F2"/>
    <mergeCell ref="G3:H4"/>
    <mergeCell ref="I3:L4"/>
    <mergeCell ref="A11:D11"/>
    <mergeCell ref="E11:H11"/>
    <mergeCell ref="A10:D10"/>
    <mergeCell ref="E10:G10"/>
    <mergeCell ref="D14:E14"/>
    <mergeCell ref="A8:L8"/>
    <mergeCell ref="A43:C43"/>
    <mergeCell ref="J13:K13"/>
    <mergeCell ref="A3:F3"/>
    <mergeCell ref="A4:F4"/>
    <mergeCell ref="A5:F5"/>
    <mergeCell ref="A6:F6"/>
    <mergeCell ref="A12:L12"/>
    <mergeCell ref="H50:J50"/>
    <mergeCell ref="K50:L50"/>
    <mergeCell ref="D49:F49"/>
    <mergeCell ref="A47:C47"/>
    <mergeCell ref="D47:F47"/>
    <mergeCell ref="A46:F46"/>
    <mergeCell ref="A44:C44"/>
    <mergeCell ref="I13:I17"/>
    <mergeCell ref="J14:K14"/>
    <mergeCell ref="J15:K15"/>
    <mergeCell ref="G46:L46"/>
    <mergeCell ref="H49:J49"/>
    <mergeCell ref="K49:L49"/>
    <mergeCell ref="A7:L7"/>
    <mergeCell ref="F13:G13"/>
    <mergeCell ref="I11:L11"/>
    <mergeCell ref="B14:C14"/>
    <mergeCell ref="M20:M21"/>
    <mergeCell ref="M31:M32"/>
    <mergeCell ref="N10:O10"/>
    <mergeCell ref="N11:O11"/>
    <mergeCell ref="D48:F48"/>
    <mergeCell ref="F15:G15"/>
    <mergeCell ref="M18:M19"/>
    <mergeCell ref="P11:Q11"/>
    <mergeCell ref="P12:Q12"/>
    <mergeCell ref="N14:O14"/>
    <mergeCell ref="N15:O15"/>
    <mergeCell ref="N36:O36"/>
    <mergeCell ref="P36:Q36"/>
    <mergeCell ref="M33:M34"/>
    <mergeCell ref="M29:Z29"/>
    <mergeCell ref="M30:Z30"/>
    <mergeCell ref="V31:X31"/>
    <mergeCell ref="V32:X32"/>
    <mergeCell ref="Y31:Z34"/>
    <mergeCell ref="V33:X33"/>
    <mergeCell ref="R33:S33"/>
    <mergeCell ref="T31:U31"/>
    <mergeCell ref="T32:U32"/>
    <mergeCell ref="T14:U14"/>
    <mergeCell ref="N7:O7"/>
    <mergeCell ref="M17:Z17"/>
    <mergeCell ref="W18:Z21"/>
    <mergeCell ref="V11:W11"/>
    <mergeCell ref="V12:W12"/>
    <mergeCell ref="T7:U7"/>
    <mergeCell ref="V7:W7"/>
    <mergeCell ref="R11:S11"/>
    <mergeCell ref="R12:S12"/>
    <mergeCell ref="R13:S13"/>
    <mergeCell ref="R14:S14"/>
    <mergeCell ref="R15:S15"/>
    <mergeCell ref="R7:S7"/>
    <mergeCell ref="X7:Z7"/>
    <mergeCell ref="X8:Z8"/>
    <mergeCell ref="T11:U11"/>
    <mergeCell ref="T12:U12"/>
    <mergeCell ref="P13:Q13"/>
    <mergeCell ref="T13:U13"/>
    <mergeCell ref="N13:O13"/>
    <mergeCell ref="V8:W8"/>
    <mergeCell ref="V9:W9"/>
    <mergeCell ref="V10:W10"/>
    <mergeCell ref="N9:O9"/>
    <mergeCell ref="N3:O6"/>
    <mergeCell ref="T3:U3"/>
    <mergeCell ref="T10:U10"/>
    <mergeCell ref="T9:U9"/>
    <mergeCell ref="N8:O8"/>
    <mergeCell ref="M1:Z1"/>
    <mergeCell ref="M2:Z2"/>
    <mergeCell ref="X3:Z6"/>
    <mergeCell ref="M5:M6"/>
    <mergeCell ref="M3:M4"/>
    <mergeCell ref="R3:S3"/>
    <mergeCell ref="R4:S4"/>
    <mergeCell ref="R5:S5"/>
    <mergeCell ref="R6:S6"/>
    <mergeCell ref="T4:U4"/>
    <mergeCell ref="T5:U5"/>
    <mergeCell ref="P3:Q4"/>
    <mergeCell ref="V3:W3"/>
    <mergeCell ref="V4:W4"/>
    <mergeCell ref="V5:W5"/>
    <mergeCell ref="V6:W6"/>
    <mergeCell ref="T6:U6"/>
    <mergeCell ref="P5:Q6"/>
    <mergeCell ref="P7:Q7"/>
    <mergeCell ref="R8:S8"/>
    <mergeCell ref="R9:S9"/>
    <mergeCell ref="R10:S10"/>
    <mergeCell ref="T8:U8"/>
    <mergeCell ref="P8:Q8"/>
    <mergeCell ref="P9:Q9"/>
    <mergeCell ref="P10:Q10"/>
    <mergeCell ref="N12:O12"/>
    <mergeCell ref="N28:P28"/>
    <mergeCell ref="Q28:S28"/>
    <mergeCell ref="T28:V28"/>
    <mergeCell ref="Q26:S26"/>
    <mergeCell ref="Q25:S25"/>
    <mergeCell ref="Q22:S22"/>
    <mergeCell ref="N25:P25"/>
    <mergeCell ref="T26:V26"/>
    <mergeCell ref="T25:V25"/>
    <mergeCell ref="N27:P27"/>
    <mergeCell ref="Q27:S27"/>
    <mergeCell ref="T27:V27"/>
    <mergeCell ref="P14:Q14"/>
    <mergeCell ref="P15:Q15"/>
    <mergeCell ref="P16:Q16"/>
    <mergeCell ref="V13:W13"/>
    <mergeCell ref="N18:P19"/>
    <mergeCell ref="T20:V21"/>
    <mergeCell ref="Q21:S21"/>
    <mergeCell ref="N22:P22"/>
    <mergeCell ref="T23:V23"/>
    <mergeCell ref="N20:P21"/>
    <mergeCell ref="N16:O16"/>
    <mergeCell ref="Q20:S20"/>
    <mergeCell ref="R16:S16"/>
    <mergeCell ref="V16:W16"/>
    <mergeCell ref="T22:V22"/>
    <mergeCell ref="Q18:S18"/>
    <mergeCell ref="Q19:S19"/>
    <mergeCell ref="X9:Z9"/>
    <mergeCell ref="X10:Z10"/>
    <mergeCell ref="X11:Z11"/>
    <mergeCell ref="X12:Z12"/>
    <mergeCell ref="X13:Z13"/>
    <mergeCell ref="T33:U33"/>
    <mergeCell ref="R31:S31"/>
    <mergeCell ref="R32:S32"/>
    <mergeCell ref="T15:U15"/>
    <mergeCell ref="V15:W15"/>
    <mergeCell ref="X14:Z14"/>
    <mergeCell ref="X15:Z15"/>
    <mergeCell ref="X16:Z16"/>
    <mergeCell ref="W26:Z26"/>
    <mergeCell ref="W25:Z25"/>
    <mergeCell ref="W27:Z27"/>
    <mergeCell ref="W22:Z22"/>
    <mergeCell ref="V14:W14"/>
    <mergeCell ref="Q24:S24"/>
    <mergeCell ref="W24:Z24"/>
    <mergeCell ref="Q23:S23"/>
    <mergeCell ref="T24:V24"/>
    <mergeCell ref="T16:U16"/>
    <mergeCell ref="T18:V19"/>
    <mergeCell ref="V34:X34"/>
    <mergeCell ref="W28:Z28"/>
    <mergeCell ref="W23:Z23"/>
    <mergeCell ref="R36:S36"/>
    <mergeCell ref="T36:U36"/>
    <mergeCell ref="V36:X36"/>
    <mergeCell ref="Y36:Z36"/>
    <mergeCell ref="N35:O35"/>
    <mergeCell ref="P35:Q35"/>
    <mergeCell ref="R35:S35"/>
    <mergeCell ref="T35:U35"/>
    <mergeCell ref="V35:X35"/>
    <mergeCell ref="Y35:Z35"/>
    <mergeCell ref="N31:O32"/>
    <mergeCell ref="N33:O34"/>
    <mergeCell ref="T34:U34"/>
    <mergeCell ref="P32:Q32"/>
    <mergeCell ref="P33:Q33"/>
    <mergeCell ref="P34:Q34"/>
    <mergeCell ref="P31:Q31"/>
    <mergeCell ref="R34:S34"/>
    <mergeCell ref="N24:P24"/>
    <mergeCell ref="N23:P23"/>
    <mergeCell ref="N26:P26"/>
    <mergeCell ref="V38:X38"/>
    <mergeCell ref="Y38:Z38"/>
    <mergeCell ref="N38:O38"/>
    <mergeCell ref="P38:Q38"/>
    <mergeCell ref="R38:S38"/>
    <mergeCell ref="T38:U38"/>
    <mergeCell ref="N37:O37"/>
    <mergeCell ref="P37:Q37"/>
    <mergeCell ref="R37:S37"/>
    <mergeCell ref="T37:U37"/>
    <mergeCell ref="V37:X37"/>
    <mergeCell ref="Y37:Z37"/>
    <mergeCell ref="S50:T50"/>
    <mergeCell ref="X41:Z42"/>
    <mergeCell ref="X43:Z44"/>
    <mergeCell ref="R39:S39"/>
    <mergeCell ref="T39:U39"/>
    <mergeCell ref="V39:X39"/>
    <mergeCell ref="Y39:Z39"/>
    <mergeCell ref="S41:S44"/>
    <mergeCell ref="T41:W44"/>
    <mergeCell ref="T47:W47"/>
    <mergeCell ref="N49:P49"/>
    <mergeCell ref="P45:R45"/>
    <mergeCell ref="N43:O44"/>
    <mergeCell ref="P43:R44"/>
    <mergeCell ref="P46:R46"/>
    <mergeCell ref="P47:R47"/>
    <mergeCell ref="N45:O45"/>
    <mergeCell ref="X45:Z45"/>
    <mergeCell ref="X46:Z46"/>
    <mergeCell ref="X47:Z47"/>
    <mergeCell ref="A51:C51"/>
    <mergeCell ref="D51:F51"/>
    <mergeCell ref="N46:O46"/>
    <mergeCell ref="N47:O47"/>
    <mergeCell ref="T45:W45"/>
    <mergeCell ref="T46:W46"/>
    <mergeCell ref="A52:C52"/>
    <mergeCell ref="D52:F52"/>
    <mergeCell ref="I1:L2"/>
    <mergeCell ref="G5:H6"/>
    <mergeCell ref="I5:L6"/>
    <mergeCell ref="H10:L10"/>
    <mergeCell ref="A48:C48"/>
    <mergeCell ref="A49:C49"/>
    <mergeCell ref="A50:C50"/>
    <mergeCell ref="D50:F50"/>
    <mergeCell ref="N39:O39"/>
    <mergeCell ref="P39:Q39"/>
    <mergeCell ref="N41:O42"/>
    <mergeCell ref="P41:R42"/>
    <mergeCell ref="M40:Z40"/>
    <mergeCell ref="M43:M44"/>
    <mergeCell ref="M41:M42"/>
    <mergeCell ref="Q49:V49"/>
  </mergeCells>
  <phoneticPr fontId="0" type="noConversion"/>
  <printOptions horizontalCentered="1"/>
  <pageMargins left="0.39370078740157483" right="0.39370078740157483" top="0.19685039370078741" bottom="0.19685039370078741" header="0" footer="0"/>
  <pageSetup paperSize="9" scale="64" orientation="portrait" horizontalDpi="180" verticalDpi="180" r:id="rId1"/>
  <headerFooter alignWithMargins="0"/>
  <colBreaks count="1" manualBreakCount="1">
    <brk id="12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6"/>
  <dimension ref="A1:Z52"/>
  <sheetViews>
    <sheetView view="pageBreakPreview" topLeftCell="A9" zoomScale="75" zoomScaleNormal="100" zoomScaleSheetLayoutView="75" workbookViewId="0">
      <selection activeCell="L41" sqref="L41"/>
    </sheetView>
  </sheetViews>
  <sheetFormatPr defaultRowHeight="18.75" x14ac:dyDescent="0.2"/>
  <cols>
    <col min="1" max="1" width="11.140625" style="2" customWidth="1"/>
    <col min="2" max="2" width="15.140625" style="2" customWidth="1"/>
    <col min="3" max="3" width="13.5703125" style="2" customWidth="1"/>
    <col min="4" max="4" width="12.7109375" style="2" customWidth="1"/>
    <col min="5" max="5" width="5.42578125" style="2" customWidth="1"/>
    <col min="6" max="6" width="14.140625" style="2" customWidth="1"/>
    <col min="7" max="7" width="13.7109375" style="2" customWidth="1"/>
    <col min="8" max="8" width="18.85546875" style="2" customWidth="1"/>
    <col min="9" max="9" width="8.28515625" style="2" customWidth="1"/>
    <col min="10" max="10" width="8.85546875" style="2" customWidth="1"/>
    <col min="11" max="11" width="9.28515625" style="2" customWidth="1"/>
    <col min="12" max="12" width="18.85546875" style="2" customWidth="1"/>
    <col min="13" max="26" width="10.28515625" style="2" customWidth="1"/>
    <col min="27" max="16384" width="9.140625" style="2"/>
  </cols>
  <sheetData>
    <row r="1" spans="1:26" ht="21.75" customHeight="1" x14ac:dyDescent="0.2">
      <c r="A1" s="115" t="s">
        <v>157</v>
      </c>
      <c r="B1" s="115"/>
      <c r="C1" s="115"/>
      <c r="D1" s="115"/>
      <c r="E1" s="115"/>
      <c r="F1" s="115"/>
      <c r="G1" s="150" t="s">
        <v>154</v>
      </c>
      <c r="H1" s="150"/>
      <c r="I1" s="115" t="s">
        <v>160</v>
      </c>
      <c r="J1" s="115"/>
      <c r="K1" s="115"/>
      <c r="L1" s="115"/>
      <c r="M1" s="122" t="s">
        <v>96</v>
      </c>
      <c r="N1" s="122"/>
      <c r="O1" s="122"/>
      <c r="P1" s="122"/>
      <c r="Q1" s="122"/>
      <c r="R1" s="122"/>
      <c r="S1" s="122"/>
      <c r="T1" s="122"/>
      <c r="U1" s="122"/>
      <c r="V1" s="122"/>
      <c r="W1" s="122"/>
      <c r="X1" s="122"/>
      <c r="Y1" s="122"/>
      <c r="Z1" s="122"/>
    </row>
    <row r="2" spans="1:26" ht="21.75" customHeight="1" x14ac:dyDescent="0.2">
      <c r="A2" s="146" t="s">
        <v>45</v>
      </c>
      <c r="B2" s="146"/>
      <c r="C2" s="146"/>
      <c r="D2" s="146"/>
      <c r="E2" s="146"/>
      <c r="F2" s="146"/>
      <c r="G2" s="150"/>
      <c r="H2" s="150"/>
      <c r="I2" s="115"/>
      <c r="J2" s="115"/>
      <c r="K2" s="115"/>
      <c r="L2" s="115"/>
      <c r="M2" s="122" t="s">
        <v>78</v>
      </c>
      <c r="N2" s="122"/>
      <c r="O2" s="122"/>
      <c r="P2" s="122"/>
      <c r="Q2" s="122"/>
      <c r="R2" s="122"/>
      <c r="S2" s="122"/>
      <c r="T2" s="122"/>
      <c r="U2" s="122"/>
      <c r="V2" s="122"/>
      <c r="W2" s="122"/>
      <c r="X2" s="122"/>
      <c r="Y2" s="122"/>
      <c r="Z2" s="122"/>
    </row>
    <row r="3" spans="1:26" ht="21.75" customHeight="1" x14ac:dyDescent="0.2">
      <c r="A3" s="115" t="s">
        <v>158</v>
      </c>
      <c r="B3" s="147"/>
      <c r="C3" s="147"/>
      <c r="D3" s="147"/>
      <c r="E3" s="147"/>
      <c r="F3" s="147"/>
      <c r="G3" s="150" t="s">
        <v>155</v>
      </c>
      <c r="H3" s="150"/>
      <c r="I3" s="115" t="s">
        <v>201</v>
      </c>
      <c r="J3" s="115"/>
      <c r="K3" s="115"/>
      <c r="L3" s="115"/>
      <c r="M3" s="123" t="s">
        <v>79</v>
      </c>
      <c r="N3" s="124" t="s">
        <v>81</v>
      </c>
      <c r="O3" s="123"/>
      <c r="P3" s="124" t="s">
        <v>65</v>
      </c>
      <c r="Q3" s="123"/>
      <c r="R3" s="124" t="s">
        <v>82</v>
      </c>
      <c r="S3" s="123"/>
      <c r="T3" s="124" t="s">
        <v>85</v>
      </c>
      <c r="U3" s="123"/>
      <c r="V3" s="124" t="s">
        <v>87</v>
      </c>
      <c r="W3" s="123"/>
      <c r="X3" s="128" t="s">
        <v>91</v>
      </c>
      <c r="Y3" s="132"/>
      <c r="Z3" s="132"/>
    </row>
    <row r="4" spans="1:26" ht="29.25" customHeight="1" x14ac:dyDescent="0.2">
      <c r="A4" s="146" t="s">
        <v>46</v>
      </c>
      <c r="B4" s="146"/>
      <c r="C4" s="146"/>
      <c r="D4" s="146"/>
      <c r="E4" s="146"/>
      <c r="F4" s="146"/>
      <c r="G4" s="150"/>
      <c r="H4" s="150"/>
      <c r="I4" s="115"/>
      <c r="J4" s="115"/>
      <c r="K4" s="115"/>
      <c r="L4" s="115"/>
      <c r="M4" s="116"/>
      <c r="N4" s="125"/>
      <c r="O4" s="116"/>
      <c r="P4" s="125"/>
      <c r="Q4" s="116"/>
      <c r="R4" s="125" t="s">
        <v>83</v>
      </c>
      <c r="S4" s="116"/>
      <c r="T4" s="125" t="s">
        <v>86</v>
      </c>
      <c r="U4" s="116"/>
      <c r="V4" s="125" t="s">
        <v>88</v>
      </c>
      <c r="W4" s="116"/>
      <c r="X4" s="128"/>
      <c r="Y4" s="132"/>
      <c r="Z4" s="132"/>
    </row>
    <row r="5" spans="1:26" ht="21.75" customHeight="1" x14ac:dyDescent="0.2">
      <c r="A5" s="115" t="s">
        <v>177</v>
      </c>
      <c r="B5" s="147"/>
      <c r="C5" s="147"/>
      <c r="D5" s="147"/>
      <c r="E5" s="147"/>
      <c r="F5" s="147"/>
      <c r="G5" s="150" t="s">
        <v>156</v>
      </c>
      <c r="H5" s="150"/>
      <c r="I5" s="115" t="s">
        <v>251</v>
      </c>
      <c r="J5" s="115"/>
      <c r="K5" s="115"/>
      <c r="L5" s="115"/>
      <c r="M5" s="116" t="s">
        <v>80</v>
      </c>
      <c r="N5" s="125"/>
      <c r="O5" s="116"/>
      <c r="P5" s="125" t="s">
        <v>182</v>
      </c>
      <c r="Q5" s="116"/>
      <c r="R5" s="133" t="s">
        <v>84</v>
      </c>
      <c r="S5" s="134"/>
      <c r="T5" s="133" t="s">
        <v>84</v>
      </c>
      <c r="U5" s="134"/>
      <c r="V5" s="125" t="s">
        <v>89</v>
      </c>
      <c r="W5" s="116"/>
      <c r="X5" s="128"/>
      <c r="Y5" s="132"/>
      <c r="Z5" s="132"/>
    </row>
    <row r="6" spans="1:26" ht="21.75" customHeight="1" x14ac:dyDescent="0.2">
      <c r="A6" s="146" t="s">
        <v>47</v>
      </c>
      <c r="B6" s="146"/>
      <c r="C6" s="146"/>
      <c r="D6" s="146"/>
      <c r="E6" s="146"/>
      <c r="F6" s="146"/>
      <c r="G6" s="150"/>
      <c r="H6" s="150"/>
      <c r="I6" s="115"/>
      <c r="J6" s="115"/>
      <c r="K6" s="115"/>
      <c r="L6" s="115"/>
      <c r="M6" s="117"/>
      <c r="N6" s="127"/>
      <c r="O6" s="117"/>
      <c r="P6" s="127"/>
      <c r="Q6" s="117"/>
      <c r="R6" s="127"/>
      <c r="S6" s="117"/>
      <c r="T6" s="127"/>
      <c r="U6" s="117"/>
      <c r="V6" s="127" t="s">
        <v>90</v>
      </c>
      <c r="W6" s="117"/>
      <c r="X6" s="128"/>
      <c r="Y6" s="132"/>
      <c r="Z6" s="132"/>
    </row>
    <row r="7" spans="1:26" ht="21.75" customHeight="1" x14ac:dyDescent="0.2">
      <c r="A7" s="122"/>
      <c r="B7" s="122"/>
      <c r="C7" s="122"/>
      <c r="D7" s="122"/>
      <c r="E7" s="122"/>
      <c r="F7" s="122"/>
      <c r="G7" s="122"/>
      <c r="H7" s="122"/>
      <c r="I7" s="122"/>
      <c r="J7" s="122"/>
      <c r="K7" s="122"/>
      <c r="L7" s="122"/>
      <c r="M7" s="9"/>
      <c r="N7" s="111"/>
      <c r="O7" s="113"/>
      <c r="P7" s="111"/>
      <c r="Q7" s="113"/>
      <c r="R7" s="111"/>
      <c r="S7" s="113"/>
      <c r="T7" s="111"/>
      <c r="U7" s="113"/>
      <c r="V7" s="111"/>
      <c r="W7" s="113"/>
      <c r="X7" s="111"/>
      <c r="Y7" s="112"/>
      <c r="Z7" s="112"/>
    </row>
    <row r="8" spans="1:26" ht="22.5" customHeight="1" x14ac:dyDescent="0.2">
      <c r="A8" s="143" t="s">
        <v>48</v>
      </c>
      <c r="B8" s="143"/>
      <c r="C8" s="143"/>
      <c r="D8" s="143"/>
      <c r="E8" s="143"/>
      <c r="F8" s="143"/>
      <c r="G8" s="143"/>
      <c r="H8" s="143"/>
      <c r="I8" s="143"/>
      <c r="J8" s="143"/>
      <c r="K8" s="143"/>
      <c r="L8" s="143"/>
      <c r="M8" s="9"/>
      <c r="N8" s="111"/>
      <c r="O8" s="113"/>
      <c r="P8" s="111"/>
      <c r="Q8" s="113"/>
      <c r="R8" s="111"/>
      <c r="S8" s="113"/>
      <c r="T8" s="111"/>
      <c r="U8" s="113"/>
      <c r="V8" s="111"/>
      <c r="W8" s="113"/>
      <c r="X8" s="111"/>
      <c r="Y8" s="112"/>
      <c r="Z8" s="112"/>
    </row>
    <row r="9" spans="1:26" ht="22.5" customHeight="1" x14ac:dyDescent="0.2">
      <c r="A9" s="156" t="s">
        <v>49</v>
      </c>
      <c r="B9" s="156"/>
      <c r="C9" s="156"/>
      <c r="D9" s="156"/>
      <c r="E9" s="156"/>
      <c r="F9" s="156"/>
      <c r="G9" s="156"/>
      <c r="H9" s="156"/>
      <c r="I9" s="156"/>
      <c r="J9" s="156"/>
      <c r="K9" s="156"/>
      <c r="L9" s="156"/>
      <c r="M9" s="9"/>
      <c r="N9" s="111"/>
      <c r="O9" s="113"/>
      <c r="P9" s="111"/>
      <c r="Q9" s="113"/>
      <c r="R9" s="111"/>
      <c r="S9" s="113"/>
      <c r="T9" s="111"/>
      <c r="U9" s="113"/>
      <c r="V9" s="111"/>
      <c r="W9" s="113"/>
      <c r="X9" s="111"/>
      <c r="Y9" s="112"/>
      <c r="Z9" s="112"/>
    </row>
    <row r="10" spans="1:26" ht="22.5" customHeight="1" x14ac:dyDescent="0.2">
      <c r="A10" s="151" t="s">
        <v>112</v>
      </c>
      <c r="B10" s="151"/>
      <c r="C10" s="151"/>
      <c r="D10" s="151"/>
      <c r="E10" s="162" t="s">
        <v>407</v>
      </c>
      <c r="F10" s="163"/>
      <c r="G10" s="163"/>
      <c r="H10" s="138" t="s">
        <v>369</v>
      </c>
      <c r="I10" s="138"/>
      <c r="J10" s="138"/>
      <c r="K10" s="138"/>
      <c r="L10" s="138"/>
      <c r="M10" s="9"/>
      <c r="N10" s="111"/>
      <c r="O10" s="113"/>
      <c r="P10" s="111"/>
      <c r="Q10" s="113"/>
      <c r="R10" s="111"/>
      <c r="S10" s="113"/>
      <c r="T10" s="111"/>
      <c r="U10" s="113"/>
      <c r="V10" s="111"/>
      <c r="W10" s="113"/>
      <c r="X10" s="111"/>
      <c r="Y10" s="112"/>
      <c r="Z10" s="112"/>
    </row>
    <row r="11" spans="1:26" ht="22.5" customHeight="1" x14ac:dyDescent="0.2">
      <c r="A11" s="151" t="s">
        <v>113</v>
      </c>
      <c r="B11" s="151"/>
      <c r="C11" s="151"/>
      <c r="D11" s="151"/>
      <c r="E11" s="161" t="s">
        <v>229</v>
      </c>
      <c r="F11" s="161"/>
      <c r="G11" s="161"/>
      <c r="H11" s="161"/>
      <c r="I11" s="138" t="s">
        <v>114</v>
      </c>
      <c r="J11" s="138"/>
      <c r="K11" s="138"/>
      <c r="L11" s="138"/>
      <c r="M11" s="9"/>
      <c r="N11" s="111"/>
      <c r="O11" s="113"/>
      <c r="P11" s="111"/>
      <c r="Q11" s="113"/>
      <c r="R11" s="111"/>
      <c r="S11" s="113"/>
      <c r="T11" s="111"/>
      <c r="U11" s="113"/>
      <c r="V11" s="111"/>
      <c r="W11" s="113"/>
      <c r="X11" s="111"/>
      <c r="Y11" s="112"/>
      <c r="Z11" s="112"/>
    </row>
    <row r="12" spans="1:26" ht="21.75" customHeight="1" x14ac:dyDescent="0.2">
      <c r="A12" s="149"/>
      <c r="B12" s="149"/>
      <c r="C12" s="149"/>
      <c r="D12" s="149"/>
      <c r="E12" s="149"/>
      <c r="F12" s="149"/>
      <c r="G12" s="149"/>
      <c r="H12" s="149"/>
      <c r="I12" s="149"/>
      <c r="J12" s="149"/>
      <c r="K12" s="149"/>
      <c r="L12" s="149"/>
      <c r="M12" s="9"/>
      <c r="N12" s="111"/>
      <c r="O12" s="113"/>
      <c r="P12" s="111"/>
      <c r="Q12" s="113"/>
      <c r="R12" s="111"/>
      <c r="S12" s="113"/>
      <c r="T12" s="111"/>
      <c r="U12" s="113"/>
      <c r="V12" s="111"/>
      <c r="W12" s="113"/>
      <c r="X12" s="111"/>
      <c r="Y12" s="112"/>
      <c r="Z12" s="112"/>
    </row>
    <row r="13" spans="1:26" ht="21.75" customHeight="1" x14ac:dyDescent="0.2">
      <c r="A13" s="187" t="s">
        <v>50</v>
      </c>
      <c r="B13" s="195" t="s">
        <v>56</v>
      </c>
      <c r="C13" s="196"/>
      <c r="D13" s="185" t="s">
        <v>377</v>
      </c>
      <c r="E13" s="186"/>
      <c r="F13" s="195" t="s">
        <v>59</v>
      </c>
      <c r="G13" s="196"/>
      <c r="H13" s="40" t="s">
        <v>377</v>
      </c>
      <c r="I13" s="197" t="s">
        <v>5</v>
      </c>
      <c r="J13" s="195" t="s">
        <v>60</v>
      </c>
      <c r="K13" s="187"/>
      <c r="L13" s="41" t="s">
        <v>65</v>
      </c>
      <c r="M13" s="9"/>
      <c r="N13" s="111"/>
      <c r="O13" s="113"/>
      <c r="P13" s="111"/>
      <c r="Q13" s="113"/>
      <c r="R13" s="111"/>
      <c r="S13" s="113"/>
      <c r="T13" s="111"/>
      <c r="U13" s="113"/>
      <c r="V13" s="111"/>
      <c r="W13" s="113"/>
      <c r="X13" s="111"/>
      <c r="Y13" s="112"/>
      <c r="Z13" s="112"/>
    </row>
    <row r="14" spans="1:26" ht="21.75" customHeight="1" x14ac:dyDescent="0.2">
      <c r="A14" s="188"/>
      <c r="B14" s="200" t="s">
        <v>57</v>
      </c>
      <c r="C14" s="201"/>
      <c r="D14" s="202" t="s">
        <v>255</v>
      </c>
      <c r="E14" s="203"/>
      <c r="F14" s="200" t="s">
        <v>57</v>
      </c>
      <c r="G14" s="201"/>
      <c r="H14" s="42" t="s">
        <v>256</v>
      </c>
      <c r="I14" s="198"/>
      <c r="J14" s="200" t="s">
        <v>61</v>
      </c>
      <c r="K14" s="188"/>
      <c r="L14" s="41" t="s">
        <v>66</v>
      </c>
      <c r="M14" s="9"/>
      <c r="N14" s="111"/>
      <c r="O14" s="113"/>
      <c r="P14" s="111"/>
      <c r="Q14" s="113"/>
      <c r="R14" s="111"/>
      <c r="S14" s="113"/>
      <c r="T14" s="111"/>
      <c r="U14" s="113"/>
      <c r="V14" s="111"/>
      <c r="W14" s="113"/>
      <c r="X14" s="111"/>
      <c r="Y14" s="112"/>
      <c r="Z14" s="112"/>
    </row>
    <row r="15" spans="1:26" ht="21.75" customHeight="1" x14ac:dyDescent="0.2">
      <c r="A15" s="188"/>
      <c r="B15" s="191" t="s">
        <v>58</v>
      </c>
      <c r="C15" s="192"/>
      <c r="D15" s="193">
        <v>4800</v>
      </c>
      <c r="E15" s="194"/>
      <c r="F15" s="191" t="s">
        <v>58</v>
      </c>
      <c r="G15" s="192"/>
      <c r="H15" s="43">
        <v>4800</v>
      </c>
      <c r="I15" s="198"/>
      <c r="J15" s="191" t="s">
        <v>62</v>
      </c>
      <c r="K15" s="189"/>
      <c r="L15" s="41" t="s">
        <v>67</v>
      </c>
      <c r="M15" s="9"/>
      <c r="N15" s="111"/>
      <c r="O15" s="113"/>
      <c r="P15" s="111"/>
      <c r="Q15" s="113"/>
      <c r="R15" s="111"/>
      <c r="S15" s="113"/>
      <c r="T15" s="111"/>
      <c r="U15" s="113"/>
      <c r="V15" s="111"/>
      <c r="W15" s="113"/>
      <c r="X15" s="111"/>
      <c r="Y15" s="112"/>
      <c r="Z15" s="112"/>
    </row>
    <row r="16" spans="1:26" ht="21.75" customHeight="1" x14ac:dyDescent="0.2">
      <c r="A16" s="188"/>
      <c r="B16" s="44" t="s">
        <v>51</v>
      </c>
      <c r="C16" s="44" t="s">
        <v>53</v>
      </c>
      <c r="D16" s="44" t="s">
        <v>54</v>
      </c>
      <c r="E16" s="154"/>
      <c r="F16" s="44" t="s">
        <v>51</v>
      </c>
      <c r="G16" s="44" t="s">
        <v>53</v>
      </c>
      <c r="H16" s="45" t="s">
        <v>54</v>
      </c>
      <c r="I16" s="198"/>
      <c r="J16" s="154" t="s">
        <v>63</v>
      </c>
      <c r="K16" s="154" t="s">
        <v>64</v>
      </c>
      <c r="L16" s="41" t="s">
        <v>68</v>
      </c>
      <c r="M16" s="9"/>
      <c r="N16" s="111"/>
      <c r="O16" s="113"/>
      <c r="P16" s="111"/>
      <c r="Q16" s="113"/>
      <c r="R16" s="111"/>
      <c r="S16" s="113"/>
      <c r="T16" s="111"/>
      <c r="U16" s="113"/>
      <c r="V16" s="111"/>
      <c r="W16" s="113"/>
      <c r="X16" s="111"/>
      <c r="Y16" s="112"/>
      <c r="Z16" s="112"/>
    </row>
    <row r="17" spans="1:26" ht="21.75" customHeight="1" x14ac:dyDescent="0.2">
      <c r="A17" s="189"/>
      <c r="B17" s="46" t="s">
        <v>52</v>
      </c>
      <c r="C17" s="46" t="s">
        <v>51</v>
      </c>
      <c r="D17" s="46" t="s">
        <v>55</v>
      </c>
      <c r="E17" s="190"/>
      <c r="F17" s="46" t="s">
        <v>52</v>
      </c>
      <c r="G17" s="47" t="s">
        <v>51</v>
      </c>
      <c r="H17" s="48" t="s">
        <v>55</v>
      </c>
      <c r="I17" s="199"/>
      <c r="J17" s="155"/>
      <c r="K17" s="155"/>
      <c r="L17" s="41" t="s">
        <v>69</v>
      </c>
      <c r="M17" s="130" t="s">
        <v>92</v>
      </c>
      <c r="N17" s="130"/>
      <c r="O17" s="130"/>
      <c r="P17" s="130"/>
      <c r="Q17" s="130"/>
      <c r="R17" s="130"/>
      <c r="S17" s="130"/>
      <c r="T17" s="130"/>
      <c r="U17" s="130"/>
      <c r="V17" s="130"/>
      <c r="W17" s="130"/>
      <c r="X17" s="130"/>
      <c r="Y17" s="130"/>
      <c r="Z17" s="130"/>
    </row>
    <row r="18" spans="1:26" ht="23.25" customHeight="1" x14ac:dyDescent="0.2">
      <c r="A18" s="49" t="s">
        <v>7</v>
      </c>
      <c r="B18" s="82">
        <v>3165.5628999999999</v>
      </c>
      <c r="C18" s="25"/>
      <c r="D18" s="24"/>
      <c r="E18" s="108"/>
      <c r="F18" s="82">
        <v>391.8433</v>
      </c>
      <c r="G18" s="51"/>
      <c r="H18" s="50"/>
      <c r="I18" s="52"/>
      <c r="J18" s="39"/>
      <c r="K18" s="79"/>
      <c r="L18" s="53"/>
      <c r="M18" s="123" t="s">
        <v>79</v>
      </c>
      <c r="N18" s="121" t="s">
        <v>98</v>
      </c>
      <c r="O18" s="121"/>
      <c r="P18" s="121"/>
      <c r="Q18" s="121" t="s">
        <v>107</v>
      </c>
      <c r="R18" s="121"/>
      <c r="S18" s="121"/>
      <c r="T18" s="121" t="s">
        <v>93</v>
      </c>
      <c r="U18" s="121"/>
      <c r="V18" s="121"/>
      <c r="W18" s="124" t="s">
        <v>91</v>
      </c>
      <c r="X18" s="131"/>
      <c r="Y18" s="131"/>
      <c r="Z18" s="131"/>
    </row>
    <row r="19" spans="1:26" ht="23.25" customHeight="1" x14ac:dyDescent="0.2">
      <c r="A19" s="49" t="s">
        <v>8</v>
      </c>
      <c r="B19" s="82">
        <v>3165.5644000000002</v>
      </c>
      <c r="C19" s="25">
        <f t="shared" ref="C19:C42" si="0">IF(B19="","",IF(LEN(TRUNC(B18,0))-LEN(TRUNC(B19,0))=0,B19-B18,IF(LEN(TRUNC(B18,0))-LEN(TRUNC(B19,0))&gt;0,VALUE(LEFT(B18,LEN(TRUNC(B18,0))-LEN(TRUNC(B19,0))))*POWER(10,LEN(TRUNC(B19,0)))+B19-B18,B19-B18-VALUE(LEFT(B19,LEN(TRUNC(B19,0))-LEN(TRUNC(B18,0))))*POWER(10,LEN(TRUNC(B18,0))))))</f>
        <v>1.5000000003055902E-3</v>
      </c>
      <c r="D19" s="24">
        <f t="shared" ref="D19:D42" si="1">IF(C19="","",C19*$D$15)</f>
        <v>7.2000000014668331</v>
      </c>
      <c r="E19" s="108"/>
      <c r="F19" s="82">
        <v>391.84530000000001</v>
      </c>
      <c r="G19" s="51">
        <f>F19-ReportObject6_3</f>
        <v>2.0000000000095497E-3</v>
      </c>
      <c r="H19" s="50">
        <f t="shared" ref="H19:H42" si="2">IF(G19="","",G19*$H$15)</f>
        <v>9.6000000000458385</v>
      </c>
      <c r="I19" s="52">
        <f t="shared" ref="I19:I42" si="3">IF(H19="","",IF(D19="","",IF(AND(H19=0,D19=0),0,H19/D19)))</f>
        <v>1.3333333330680641</v>
      </c>
      <c r="J19" s="83">
        <v>6.2752619999999997</v>
      </c>
      <c r="K19" s="83"/>
      <c r="L19" s="53"/>
      <c r="M19" s="116"/>
      <c r="N19" s="118"/>
      <c r="O19" s="118"/>
      <c r="P19" s="118"/>
      <c r="Q19" s="118" t="s">
        <v>108</v>
      </c>
      <c r="R19" s="118"/>
      <c r="S19" s="118"/>
      <c r="T19" s="118"/>
      <c r="U19" s="118"/>
      <c r="V19" s="118"/>
      <c r="W19" s="125"/>
      <c r="X19" s="122"/>
      <c r="Y19" s="122"/>
      <c r="Z19" s="122"/>
    </row>
    <row r="20" spans="1:26" ht="23.25" customHeight="1" x14ac:dyDescent="0.2">
      <c r="A20" s="49" t="s">
        <v>9</v>
      </c>
      <c r="B20" s="82">
        <v>3165.5659000000001</v>
      </c>
      <c r="C20" s="25">
        <f t="shared" si="0"/>
        <v>1.4999999998508429E-3</v>
      </c>
      <c r="D20" s="24">
        <f t="shared" si="1"/>
        <v>7.1999999992840458</v>
      </c>
      <c r="E20" s="108"/>
      <c r="F20" s="82">
        <v>391.84719999999999</v>
      </c>
      <c r="G20" s="51">
        <f>F20-F19</f>
        <v>1.8999999999778083E-3</v>
      </c>
      <c r="H20" s="50">
        <f t="shared" si="2"/>
        <v>9.11999999989348</v>
      </c>
      <c r="I20" s="52">
        <f t="shared" si="3"/>
        <v>1.266666666777827</v>
      </c>
      <c r="J20" s="83">
        <v>6.4158530000000003</v>
      </c>
      <c r="K20" s="83"/>
      <c r="L20" s="53"/>
      <c r="M20" s="116" t="s">
        <v>80</v>
      </c>
      <c r="N20" s="118" t="s">
        <v>99</v>
      </c>
      <c r="O20" s="118"/>
      <c r="P20" s="118"/>
      <c r="Q20" s="118" t="s">
        <v>181</v>
      </c>
      <c r="R20" s="118"/>
      <c r="S20" s="118"/>
      <c r="T20" s="118" t="s">
        <v>94</v>
      </c>
      <c r="U20" s="118"/>
      <c r="V20" s="118"/>
      <c r="W20" s="125"/>
      <c r="X20" s="122"/>
      <c r="Y20" s="122"/>
      <c r="Z20" s="122"/>
    </row>
    <row r="21" spans="1:26" ht="23.25" customHeight="1" x14ac:dyDescent="0.2">
      <c r="A21" s="49" t="s">
        <v>10</v>
      </c>
      <c r="B21" s="82">
        <v>3165.5673999999999</v>
      </c>
      <c r="C21" s="25">
        <f t="shared" si="0"/>
        <v>1.4999999998508429E-3</v>
      </c>
      <c r="D21" s="24">
        <f t="shared" si="1"/>
        <v>7.1999999992840458</v>
      </c>
      <c r="E21" s="108"/>
      <c r="F21" s="82">
        <v>391.8492</v>
      </c>
      <c r="G21" s="51">
        <f t="shared" ref="G21:G42" si="4">F21-F20</f>
        <v>2.0000000000095497E-3</v>
      </c>
      <c r="H21" s="50">
        <f t="shared" si="2"/>
        <v>9.6000000000458385</v>
      </c>
      <c r="I21" s="52">
        <f t="shared" si="3"/>
        <v>1.3333333334722839</v>
      </c>
      <c r="J21" s="83">
        <v>6.3329520000000006</v>
      </c>
      <c r="K21" s="83"/>
      <c r="L21" s="53"/>
      <c r="M21" s="117"/>
      <c r="N21" s="119"/>
      <c r="O21" s="119"/>
      <c r="P21" s="119"/>
      <c r="Q21" s="119"/>
      <c r="R21" s="119"/>
      <c r="S21" s="119"/>
      <c r="T21" s="119"/>
      <c r="U21" s="119"/>
      <c r="V21" s="119"/>
      <c r="W21" s="127"/>
      <c r="X21" s="130"/>
      <c r="Y21" s="130"/>
      <c r="Z21" s="130"/>
    </row>
    <row r="22" spans="1:26" ht="23.25" customHeight="1" x14ac:dyDescent="0.2">
      <c r="A22" s="49" t="s">
        <v>11</v>
      </c>
      <c r="B22" s="82">
        <v>3165.5689000000002</v>
      </c>
      <c r="C22" s="25">
        <f t="shared" si="0"/>
        <v>1.5000000003055902E-3</v>
      </c>
      <c r="D22" s="24">
        <f t="shared" si="1"/>
        <v>7.2000000014668331</v>
      </c>
      <c r="E22" s="108"/>
      <c r="F22" s="82">
        <v>391.85129999999998</v>
      </c>
      <c r="G22" s="51">
        <f t="shared" si="4"/>
        <v>2.0999999999844476E-3</v>
      </c>
      <c r="H22" s="50">
        <f t="shared" si="2"/>
        <v>10.079999999925349</v>
      </c>
      <c r="I22" s="52">
        <f t="shared" si="3"/>
        <v>1.3999999997044141</v>
      </c>
      <c r="J22" s="83">
        <v>6.4355640000000003</v>
      </c>
      <c r="K22" s="83"/>
      <c r="L22" s="53"/>
      <c r="M22" s="9"/>
      <c r="N22" s="120"/>
      <c r="O22" s="120"/>
      <c r="P22" s="120"/>
      <c r="Q22" s="120"/>
      <c r="R22" s="120"/>
      <c r="S22" s="120"/>
      <c r="T22" s="120"/>
      <c r="U22" s="120"/>
      <c r="V22" s="120"/>
      <c r="W22" s="111"/>
      <c r="X22" s="112"/>
      <c r="Y22" s="112"/>
      <c r="Z22" s="112"/>
    </row>
    <row r="23" spans="1:26" ht="23.25" customHeight="1" x14ac:dyDescent="0.2">
      <c r="A23" s="49" t="s">
        <v>12</v>
      </c>
      <c r="B23" s="82">
        <v>3165.5704999999998</v>
      </c>
      <c r="C23" s="25">
        <f t="shared" si="0"/>
        <v>1.5999999995983671E-3</v>
      </c>
      <c r="D23" s="24">
        <f t="shared" si="1"/>
        <v>7.6799999980721623</v>
      </c>
      <c r="E23" s="108"/>
      <c r="F23" s="82">
        <v>391.8535</v>
      </c>
      <c r="G23" s="51">
        <f t="shared" si="4"/>
        <v>2.200000000016189E-3</v>
      </c>
      <c r="H23" s="50">
        <f t="shared" si="2"/>
        <v>10.560000000077707</v>
      </c>
      <c r="I23" s="52">
        <f t="shared" si="3"/>
        <v>1.3750000003552714</v>
      </c>
      <c r="J23" s="83">
        <v>6.4431769999999995</v>
      </c>
      <c r="K23" s="83"/>
      <c r="L23" s="53"/>
      <c r="M23" s="9"/>
      <c r="N23" s="120"/>
      <c r="O23" s="120"/>
      <c r="P23" s="120"/>
      <c r="Q23" s="120"/>
      <c r="R23" s="120"/>
      <c r="S23" s="120"/>
      <c r="T23" s="120"/>
      <c r="U23" s="120"/>
      <c r="V23" s="120"/>
      <c r="W23" s="111"/>
      <c r="X23" s="112"/>
      <c r="Y23" s="112"/>
      <c r="Z23" s="112"/>
    </row>
    <row r="24" spans="1:26" ht="23.25" customHeight="1" x14ac:dyDescent="0.2">
      <c r="A24" s="49" t="s">
        <v>13</v>
      </c>
      <c r="B24" s="82">
        <v>3165.5720000000001</v>
      </c>
      <c r="C24" s="25">
        <f t="shared" si="0"/>
        <v>1.5000000003055902E-3</v>
      </c>
      <c r="D24" s="24">
        <f t="shared" si="1"/>
        <v>7.2000000014668331</v>
      </c>
      <c r="E24" s="108"/>
      <c r="F24" s="82">
        <v>391.85559999999998</v>
      </c>
      <c r="G24" s="51">
        <f t="shared" si="4"/>
        <v>2.0999999999844476E-3</v>
      </c>
      <c r="H24" s="50">
        <f t="shared" si="2"/>
        <v>10.079999999925349</v>
      </c>
      <c r="I24" s="52">
        <f t="shared" si="3"/>
        <v>1.3999999997044141</v>
      </c>
      <c r="J24" s="83">
        <v>6.4358900000000006</v>
      </c>
      <c r="K24" s="83"/>
      <c r="L24" s="53"/>
      <c r="M24" s="9"/>
      <c r="N24" s="120"/>
      <c r="O24" s="120"/>
      <c r="P24" s="120"/>
      <c r="Q24" s="120"/>
      <c r="R24" s="120"/>
      <c r="S24" s="120"/>
      <c r="T24" s="120"/>
      <c r="U24" s="120"/>
      <c r="V24" s="120"/>
      <c r="W24" s="111"/>
      <c r="X24" s="112"/>
      <c r="Y24" s="112"/>
      <c r="Z24" s="112"/>
    </row>
    <row r="25" spans="1:26" ht="23.25" customHeight="1" x14ac:dyDescent="0.2">
      <c r="A25" s="49" t="s">
        <v>14</v>
      </c>
      <c r="B25" s="82">
        <v>3165.5735</v>
      </c>
      <c r="C25" s="25">
        <f t="shared" si="0"/>
        <v>1.4999999998508429E-3</v>
      </c>
      <c r="D25" s="24">
        <f t="shared" si="1"/>
        <v>7.1999999992840458</v>
      </c>
      <c r="E25" s="108"/>
      <c r="F25" s="82">
        <v>391.85750000000002</v>
      </c>
      <c r="G25" s="51">
        <f t="shared" si="4"/>
        <v>1.9000000000346517E-3</v>
      </c>
      <c r="H25" s="50">
        <f t="shared" si="2"/>
        <v>9.1200000001663284</v>
      </c>
      <c r="I25" s="52">
        <f t="shared" si="3"/>
        <v>1.2666666668157227</v>
      </c>
      <c r="J25" s="83">
        <v>6.3013320000000004</v>
      </c>
      <c r="K25" s="83"/>
      <c r="L25" s="53"/>
      <c r="M25" s="9"/>
      <c r="N25" s="120"/>
      <c r="O25" s="120"/>
      <c r="P25" s="120"/>
      <c r="Q25" s="120"/>
      <c r="R25" s="120"/>
      <c r="S25" s="120"/>
      <c r="T25" s="120"/>
      <c r="U25" s="120"/>
      <c r="V25" s="120"/>
      <c r="W25" s="111"/>
      <c r="X25" s="112"/>
      <c r="Y25" s="112"/>
      <c r="Z25" s="112"/>
    </row>
    <row r="26" spans="1:26" ht="23.25" customHeight="1" x14ac:dyDescent="0.2">
      <c r="A26" s="49" t="s">
        <v>15</v>
      </c>
      <c r="B26" s="82">
        <v>3165.5749000000001</v>
      </c>
      <c r="C26" s="25">
        <f t="shared" si="0"/>
        <v>1.4000000001033186E-3</v>
      </c>
      <c r="D26" s="24">
        <f t="shared" si="1"/>
        <v>6.7200000004959293</v>
      </c>
      <c r="E26" s="108"/>
      <c r="F26" s="82">
        <v>391.85930000000002</v>
      </c>
      <c r="G26" s="51">
        <f t="shared" si="4"/>
        <v>1.8000000000029104E-3</v>
      </c>
      <c r="H26" s="50">
        <f t="shared" si="2"/>
        <v>8.6400000000139698</v>
      </c>
      <c r="I26" s="52">
        <f t="shared" si="3"/>
        <v>1.28571428562148</v>
      </c>
      <c r="J26" s="83">
        <v>6.3835550000000003</v>
      </c>
      <c r="K26" s="83"/>
      <c r="L26" s="53"/>
      <c r="M26" s="9"/>
      <c r="N26" s="120"/>
      <c r="O26" s="120"/>
      <c r="P26" s="120"/>
      <c r="Q26" s="120"/>
      <c r="R26" s="120"/>
      <c r="S26" s="120"/>
      <c r="T26" s="120"/>
      <c r="U26" s="120"/>
      <c r="V26" s="120"/>
      <c r="W26" s="111"/>
      <c r="X26" s="112"/>
      <c r="Y26" s="112"/>
      <c r="Z26" s="112"/>
    </row>
    <row r="27" spans="1:26" ht="23.25" customHeight="1" x14ac:dyDescent="0.2">
      <c r="A27" s="49" t="s">
        <v>16</v>
      </c>
      <c r="B27" s="82">
        <v>3165.5763000000002</v>
      </c>
      <c r="C27" s="25">
        <f t="shared" si="0"/>
        <v>1.4000000001033186E-3</v>
      </c>
      <c r="D27" s="24">
        <f t="shared" si="1"/>
        <v>6.7200000004959293</v>
      </c>
      <c r="E27" s="108"/>
      <c r="F27" s="82">
        <v>391.86079999999998</v>
      </c>
      <c r="G27" s="51">
        <f t="shared" si="4"/>
        <v>1.4999999999645297E-3</v>
      </c>
      <c r="H27" s="50">
        <f t="shared" si="2"/>
        <v>7.1999999998297426</v>
      </c>
      <c r="I27" s="52">
        <f t="shared" si="3"/>
        <v>1.0714285713241651</v>
      </c>
      <c r="J27" s="83">
        <v>6.3139899999999995</v>
      </c>
      <c r="K27" s="83"/>
      <c r="L27" s="53"/>
      <c r="M27" s="9"/>
      <c r="N27" s="120"/>
      <c r="O27" s="120"/>
      <c r="P27" s="120"/>
      <c r="Q27" s="120"/>
      <c r="R27" s="120"/>
      <c r="S27" s="120"/>
      <c r="T27" s="120"/>
      <c r="U27" s="120"/>
      <c r="V27" s="120"/>
      <c r="W27" s="111"/>
      <c r="X27" s="112"/>
      <c r="Y27" s="112"/>
      <c r="Z27" s="112"/>
    </row>
    <row r="28" spans="1:26" ht="23.25" customHeight="1" x14ac:dyDescent="0.2">
      <c r="A28" s="49" t="s">
        <v>17</v>
      </c>
      <c r="B28" s="82">
        <v>3165.5776000000001</v>
      </c>
      <c r="C28" s="25">
        <f t="shared" si="0"/>
        <v>1.299999999901047E-3</v>
      </c>
      <c r="D28" s="24">
        <f t="shared" si="1"/>
        <v>6.2399999995250255</v>
      </c>
      <c r="E28" s="108"/>
      <c r="F28" s="82">
        <v>391.8621</v>
      </c>
      <c r="G28" s="51">
        <f t="shared" si="4"/>
        <v>1.3000000000147338E-3</v>
      </c>
      <c r="H28" s="50">
        <f t="shared" si="2"/>
        <v>6.2400000000707223</v>
      </c>
      <c r="I28" s="52">
        <f t="shared" si="3"/>
        <v>1.0000000000874514</v>
      </c>
      <c r="J28" s="83">
        <v>6.2872430000000001</v>
      </c>
      <c r="K28" s="83"/>
      <c r="L28" s="53"/>
      <c r="M28" s="9"/>
      <c r="N28" s="120"/>
      <c r="O28" s="120"/>
      <c r="P28" s="120"/>
      <c r="Q28" s="120"/>
      <c r="R28" s="120"/>
      <c r="S28" s="120"/>
      <c r="T28" s="120"/>
      <c r="U28" s="120"/>
      <c r="V28" s="120"/>
      <c r="W28" s="111"/>
      <c r="X28" s="112"/>
      <c r="Y28" s="112"/>
      <c r="Z28" s="112"/>
    </row>
    <row r="29" spans="1:26" ht="23.25" customHeight="1" x14ac:dyDescent="0.2">
      <c r="A29" s="49" t="s">
        <v>18</v>
      </c>
      <c r="B29" s="82">
        <v>3165.5789</v>
      </c>
      <c r="C29" s="25">
        <f t="shared" si="0"/>
        <v>1.299999999901047E-3</v>
      </c>
      <c r="D29" s="24">
        <f t="shared" si="1"/>
        <v>6.2399999995250255</v>
      </c>
      <c r="E29" s="108"/>
      <c r="F29" s="82">
        <v>391.86360000000002</v>
      </c>
      <c r="G29" s="51">
        <f t="shared" si="4"/>
        <v>1.5000000000213731E-3</v>
      </c>
      <c r="H29" s="50">
        <f t="shared" si="2"/>
        <v>7.200000000102591</v>
      </c>
      <c r="I29" s="52">
        <f t="shared" si="3"/>
        <v>1.1538461539504228</v>
      </c>
      <c r="J29" s="83">
        <v>6.3209369999999998</v>
      </c>
      <c r="K29" s="83"/>
      <c r="L29" s="53"/>
      <c r="M29" s="145" t="s">
        <v>95</v>
      </c>
      <c r="N29" s="145"/>
      <c r="O29" s="145"/>
      <c r="P29" s="145"/>
      <c r="Q29" s="145"/>
      <c r="R29" s="145"/>
      <c r="S29" s="145"/>
      <c r="T29" s="145"/>
      <c r="U29" s="145"/>
      <c r="V29" s="145"/>
      <c r="W29" s="145"/>
      <c r="X29" s="145"/>
      <c r="Y29" s="145"/>
      <c r="Z29" s="145"/>
    </row>
    <row r="30" spans="1:26" ht="23.25" customHeight="1" x14ac:dyDescent="0.2">
      <c r="A30" s="49" t="s">
        <v>19</v>
      </c>
      <c r="B30" s="82">
        <v>3165.5803000000001</v>
      </c>
      <c r="C30" s="25">
        <f t="shared" si="0"/>
        <v>1.4000000001033186E-3</v>
      </c>
      <c r="D30" s="24">
        <f t="shared" si="1"/>
        <v>6.7200000004959293</v>
      </c>
      <c r="E30" s="108"/>
      <c r="F30" s="82">
        <v>391.86520000000002</v>
      </c>
      <c r="G30" s="51">
        <f t="shared" si="4"/>
        <v>1.5999999999962711E-3</v>
      </c>
      <c r="H30" s="50">
        <f t="shared" si="2"/>
        <v>7.6799999999821011</v>
      </c>
      <c r="I30" s="52">
        <f t="shared" si="3"/>
        <v>1.1428571427701377</v>
      </c>
      <c r="J30" s="83">
        <v>6.3449340000000003</v>
      </c>
      <c r="K30" s="83"/>
      <c r="L30" s="53"/>
      <c r="M30" s="122" t="s">
        <v>97</v>
      </c>
      <c r="N30" s="122"/>
      <c r="O30" s="122"/>
      <c r="P30" s="122"/>
      <c r="Q30" s="122"/>
      <c r="R30" s="122"/>
      <c r="S30" s="122"/>
      <c r="T30" s="122"/>
      <c r="U30" s="122"/>
      <c r="V30" s="122"/>
      <c r="W30" s="122"/>
      <c r="X30" s="122"/>
      <c r="Y30" s="122"/>
      <c r="Z30" s="122"/>
    </row>
    <row r="31" spans="1:26" ht="23.25" customHeight="1" x14ac:dyDescent="0.2">
      <c r="A31" s="49" t="s">
        <v>20</v>
      </c>
      <c r="B31" s="82">
        <v>3165.5817999999999</v>
      </c>
      <c r="C31" s="25">
        <f t="shared" si="0"/>
        <v>1.4999999998508429E-3</v>
      </c>
      <c r="D31" s="24">
        <f t="shared" si="1"/>
        <v>7.1999999992840458</v>
      </c>
      <c r="E31" s="108"/>
      <c r="F31" s="82">
        <v>391.86700000000002</v>
      </c>
      <c r="G31" s="51">
        <f t="shared" si="4"/>
        <v>1.8000000000029104E-3</v>
      </c>
      <c r="H31" s="50">
        <f t="shared" si="2"/>
        <v>8.6400000000139698</v>
      </c>
      <c r="I31" s="52">
        <f t="shared" si="3"/>
        <v>1.2000000001212661</v>
      </c>
      <c r="J31" s="83">
        <v>6.3737180000000002</v>
      </c>
      <c r="K31" s="83"/>
      <c r="L31" s="53"/>
      <c r="M31" s="123" t="s">
        <v>79</v>
      </c>
      <c r="N31" s="121" t="s">
        <v>98</v>
      </c>
      <c r="O31" s="121"/>
      <c r="P31" s="121" t="s">
        <v>100</v>
      </c>
      <c r="Q31" s="121"/>
      <c r="R31" s="121" t="s">
        <v>93</v>
      </c>
      <c r="S31" s="121"/>
      <c r="T31" s="121" t="s">
        <v>103</v>
      </c>
      <c r="U31" s="121"/>
      <c r="V31" s="121" t="s">
        <v>179</v>
      </c>
      <c r="W31" s="121"/>
      <c r="X31" s="121"/>
      <c r="Y31" s="121" t="s">
        <v>91</v>
      </c>
      <c r="Z31" s="124"/>
    </row>
    <row r="32" spans="1:26" ht="23.25" customHeight="1" x14ac:dyDescent="0.2">
      <c r="A32" s="49" t="s">
        <v>21</v>
      </c>
      <c r="B32" s="82">
        <v>3165.5832</v>
      </c>
      <c r="C32" s="25">
        <f t="shared" si="0"/>
        <v>1.4000000001033186E-3</v>
      </c>
      <c r="D32" s="24">
        <f t="shared" si="1"/>
        <v>6.7200000004959293</v>
      </c>
      <c r="E32" s="108"/>
      <c r="F32" s="82">
        <v>391.86860000000001</v>
      </c>
      <c r="G32" s="51">
        <f t="shared" si="4"/>
        <v>1.5999999999962711E-3</v>
      </c>
      <c r="H32" s="50">
        <f t="shared" si="2"/>
        <v>7.6799999999821011</v>
      </c>
      <c r="I32" s="52">
        <f t="shared" si="3"/>
        <v>1.1428571427701377</v>
      </c>
      <c r="J32" s="83">
        <v>6.3469440000000006</v>
      </c>
      <c r="K32" s="83"/>
      <c r="L32" s="53"/>
      <c r="M32" s="116"/>
      <c r="N32" s="118"/>
      <c r="O32" s="118"/>
      <c r="P32" s="118" t="s">
        <v>83</v>
      </c>
      <c r="Q32" s="118"/>
      <c r="R32" s="118" t="s">
        <v>102</v>
      </c>
      <c r="S32" s="118"/>
      <c r="T32" s="118" t="s">
        <v>104</v>
      </c>
      <c r="U32" s="118"/>
      <c r="V32" s="118" t="s">
        <v>105</v>
      </c>
      <c r="W32" s="118"/>
      <c r="X32" s="118"/>
      <c r="Y32" s="118"/>
      <c r="Z32" s="125"/>
    </row>
    <row r="33" spans="1:26" ht="23.25" customHeight="1" x14ac:dyDescent="0.2">
      <c r="A33" s="49" t="s">
        <v>22</v>
      </c>
      <c r="B33" s="82">
        <v>3165.5846000000001</v>
      </c>
      <c r="C33" s="25">
        <f t="shared" si="0"/>
        <v>1.4000000001033186E-3</v>
      </c>
      <c r="D33" s="24">
        <f t="shared" si="1"/>
        <v>6.7200000004959293</v>
      </c>
      <c r="E33" s="108"/>
      <c r="F33" s="82">
        <v>391.87020000000001</v>
      </c>
      <c r="G33" s="51">
        <f t="shared" si="4"/>
        <v>1.5999999999962711E-3</v>
      </c>
      <c r="H33" s="50">
        <f t="shared" si="2"/>
        <v>7.6799999999821011</v>
      </c>
      <c r="I33" s="52">
        <f t="shared" si="3"/>
        <v>1.1428571427701377</v>
      </c>
      <c r="J33" s="83">
        <v>6.2324570000000001</v>
      </c>
      <c r="K33" s="83"/>
      <c r="L33" s="53"/>
      <c r="M33" s="116" t="s">
        <v>80</v>
      </c>
      <c r="N33" s="118" t="s">
        <v>99</v>
      </c>
      <c r="O33" s="118"/>
      <c r="P33" s="118" t="s">
        <v>101</v>
      </c>
      <c r="Q33" s="118"/>
      <c r="R33" s="118" t="s">
        <v>69</v>
      </c>
      <c r="S33" s="118"/>
      <c r="T33" s="118" t="s">
        <v>69</v>
      </c>
      <c r="U33" s="118"/>
      <c r="V33" s="118" t="s">
        <v>106</v>
      </c>
      <c r="W33" s="118"/>
      <c r="X33" s="118"/>
      <c r="Y33" s="118"/>
      <c r="Z33" s="125"/>
    </row>
    <row r="34" spans="1:26" ht="23.25" customHeight="1" x14ac:dyDescent="0.2">
      <c r="A34" s="49" t="s">
        <v>23</v>
      </c>
      <c r="B34" s="82">
        <v>3165.5859999999998</v>
      </c>
      <c r="C34" s="25">
        <f t="shared" si="0"/>
        <v>1.3999999996485712E-3</v>
      </c>
      <c r="D34" s="24">
        <f t="shared" si="1"/>
        <v>6.719999998313142</v>
      </c>
      <c r="E34" s="108"/>
      <c r="F34" s="82">
        <v>391.87180000000001</v>
      </c>
      <c r="G34" s="51">
        <f t="shared" si="4"/>
        <v>1.5999999999962711E-3</v>
      </c>
      <c r="H34" s="50">
        <f t="shared" si="2"/>
        <v>7.6799999999821011</v>
      </c>
      <c r="I34" s="52">
        <f t="shared" si="3"/>
        <v>1.1428571431413599</v>
      </c>
      <c r="J34" s="83">
        <v>6.3555829999999993</v>
      </c>
      <c r="K34" s="83"/>
      <c r="L34" s="53"/>
      <c r="M34" s="117"/>
      <c r="N34" s="119"/>
      <c r="O34" s="119"/>
      <c r="P34" s="119"/>
      <c r="Q34" s="119"/>
      <c r="R34" s="127"/>
      <c r="S34" s="117"/>
      <c r="T34" s="127"/>
      <c r="U34" s="117"/>
      <c r="V34" s="127"/>
      <c r="W34" s="130"/>
      <c r="X34" s="117"/>
      <c r="Y34" s="119"/>
      <c r="Z34" s="127"/>
    </row>
    <row r="35" spans="1:26" ht="23.25" customHeight="1" x14ac:dyDescent="0.2">
      <c r="A35" s="49" t="s">
        <v>24</v>
      </c>
      <c r="B35" s="82">
        <v>3165.5873999999999</v>
      </c>
      <c r="C35" s="25">
        <f t="shared" si="0"/>
        <v>1.4000000001033186E-3</v>
      </c>
      <c r="D35" s="24">
        <f t="shared" si="1"/>
        <v>6.7200000004959293</v>
      </c>
      <c r="E35" s="108"/>
      <c r="F35" s="82">
        <v>391.8734</v>
      </c>
      <c r="G35" s="51">
        <f t="shared" si="4"/>
        <v>1.5999999999962711E-3</v>
      </c>
      <c r="H35" s="50">
        <f t="shared" si="2"/>
        <v>7.6799999999821011</v>
      </c>
      <c r="I35" s="52">
        <f t="shared" si="3"/>
        <v>1.1428571427701377</v>
      </c>
      <c r="J35" s="83">
        <v>6.2777330000000005</v>
      </c>
      <c r="K35" s="83"/>
      <c r="L35" s="53"/>
      <c r="M35" s="9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11"/>
    </row>
    <row r="36" spans="1:26" ht="23.25" customHeight="1" x14ac:dyDescent="0.2">
      <c r="A36" s="49" t="s">
        <v>25</v>
      </c>
      <c r="B36" s="82">
        <v>3165.5888</v>
      </c>
      <c r="C36" s="25">
        <f t="shared" si="0"/>
        <v>1.4000000001033186E-3</v>
      </c>
      <c r="D36" s="24">
        <f t="shared" si="1"/>
        <v>6.7200000004959293</v>
      </c>
      <c r="E36" s="108"/>
      <c r="F36" s="82">
        <v>391.875</v>
      </c>
      <c r="G36" s="51">
        <f t="shared" si="4"/>
        <v>1.5999999999962711E-3</v>
      </c>
      <c r="H36" s="50">
        <f t="shared" si="2"/>
        <v>7.6799999999821011</v>
      </c>
      <c r="I36" s="52">
        <f t="shared" si="3"/>
        <v>1.1428571427701377</v>
      </c>
      <c r="J36" s="83">
        <v>6.3429009999999995</v>
      </c>
      <c r="K36" s="83"/>
      <c r="L36" s="53"/>
      <c r="M36" s="9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11"/>
    </row>
    <row r="37" spans="1:26" ht="23.25" customHeight="1" x14ac:dyDescent="0.2">
      <c r="A37" s="49" t="s">
        <v>26</v>
      </c>
      <c r="B37" s="82">
        <v>3165.5900999999999</v>
      </c>
      <c r="C37" s="25">
        <f t="shared" si="0"/>
        <v>1.299999999901047E-3</v>
      </c>
      <c r="D37" s="24">
        <f t="shared" si="1"/>
        <v>6.2399999995250255</v>
      </c>
      <c r="E37" s="108"/>
      <c r="F37" s="82">
        <v>391.87639999999999</v>
      </c>
      <c r="G37" s="51">
        <f t="shared" si="4"/>
        <v>1.3999999999896318E-3</v>
      </c>
      <c r="H37" s="50">
        <f t="shared" si="2"/>
        <v>6.7199999999502324</v>
      </c>
      <c r="I37" s="52">
        <f t="shared" si="3"/>
        <v>1.0769230769970743</v>
      </c>
      <c r="J37" s="83">
        <v>6.2913540000000001</v>
      </c>
      <c r="K37" s="83"/>
      <c r="L37" s="53"/>
      <c r="M37" s="9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11"/>
    </row>
    <row r="38" spans="1:26" ht="23.25" customHeight="1" x14ac:dyDescent="0.2">
      <c r="A38" s="49" t="s">
        <v>27</v>
      </c>
      <c r="B38" s="82">
        <v>3165.5913999999998</v>
      </c>
      <c r="C38" s="25">
        <f t="shared" si="0"/>
        <v>1.299999999901047E-3</v>
      </c>
      <c r="D38" s="24">
        <f t="shared" si="1"/>
        <v>6.2399999995250255</v>
      </c>
      <c r="E38" s="108"/>
      <c r="F38" s="82">
        <v>391.87790000000001</v>
      </c>
      <c r="G38" s="51">
        <f t="shared" si="4"/>
        <v>1.5000000000213731E-3</v>
      </c>
      <c r="H38" s="50">
        <f t="shared" si="2"/>
        <v>7.200000000102591</v>
      </c>
      <c r="I38" s="52">
        <f t="shared" si="3"/>
        <v>1.1538461539504228</v>
      </c>
      <c r="J38" s="83">
        <v>6.3212409999999997</v>
      </c>
      <c r="K38" s="83"/>
      <c r="L38" s="53"/>
      <c r="M38" s="9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11"/>
    </row>
    <row r="39" spans="1:26" ht="23.25" customHeight="1" x14ac:dyDescent="0.2">
      <c r="A39" s="49" t="s">
        <v>28</v>
      </c>
      <c r="B39" s="82">
        <v>3165.5927999999999</v>
      </c>
      <c r="C39" s="25">
        <f t="shared" si="0"/>
        <v>1.4000000001033186E-3</v>
      </c>
      <c r="D39" s="24">
        <f t="shared" si="1"/>
        <v>6.7200000004959293</v>
      </c>
      <c r="E39" s="108"/>
      <c r="F39" s="82">
        <v>391.87950000000001</v>
      </c>
      <c r="G39" s="51">
        <f t="shared" si="4"/>
        <v>1.5999999999962711E-3</v>
      </c>
      <c r="H39" s="50">
        <f t="shared" si="2"/>
        <v>7.6799999999821011</v>
      </c>
      <c r="I39" s="52">
        <f t="shared" si="3"/>
        <v>1.1428571427701377</v>
      </c>
      <c r="J39" s="83">
        <v>6.3442340000000002</v>
      </c>
      <c r="K39" s="83"/>
      <c r="L39" s="53"/>
      <c r="M39" s="9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11"/>
    </row>
    <row r="40" spans="1:26" ht="23.25" customHeight="1" x14ac:dyDescent="0.2">
      <c r="A40" s="49" t="s">
        <v>29</v>
      </c>
      <c r="B40" s="82">
        <v>3165.5943000000002</v>
      </c>
      <c r="C40" s="25">
        <f t="shared" si="0"/>
        <v>1.5000000003055902E-3</v>
      </c>
      <c r="D40" s="24">
        <f t="shared" si="1"/>
        <v>7.2000000014668331</v>
      </c>
      <c r="E40" s="108"/>
      <c r="F40" s="82">
        <v>391.88119999999998</v>
      </c>
      <c r="G40" s="51">
        <f t="shared" si="4"/>
        <v>1.699999999971169E-3</v>
      </c>
      <c r="H40" s="50">
        <f t="shared" si="2"/>
        <v>8.1599999998616113</v>
      </c>
      <c r="I40" s="52">
        <f t="shared" si="3"/>
        <v>1.1333333330832223</v>
      </c>
      <c r="J40" s="83">
        <v>6.3640060000000007</v>
      </c>
      <c r="K40" s="83"/>
      <c r="L40" s="53"/>
      <c r="M40" s="122" t="s">
        <v>109</v>
      </c>
      <c r="N40" s="122"/>
      <c r="O40" s="122"/>
      <c r="P40" s="122"/>
      <c r="Q40" s="122"/>
      <c r="R40" s="122"/>
      <c r="S40" s="122"/>
      <c r="T40" s="122"/>
      <c r="U40" s="122"/>
      <c r="V40" s="122"/>
      <c r="W40" s="122"/>
      <c r="X40" s="122"/>
      <c r="Y40" s="122"/>
      <c r="Z40" s="122"/>
    </row>
    <row r="41" spans="1:26" ht="23.25" customHeight="1" x14ac:dyDescent="0.2">
      <c r="A41" s="49" t="s">
        <v>30</v>
      </c>
      <c r="B41" s="82">
        <v>3165.5956999999999</v>
      </c>
      <c r="C41" s="25">
        <f t="shared" si="0"/>
        <v>1.3999999996485712E-3</v>
      </c>
      <c r="D41" s="24">
        <f t="shared" si="1"/>
        <v>6.719999998313142</v>
      </c>
      <c r="E41" s="108"/>
      <c r="F41" s="82">
        <v>391.88299999999998</v>
      </c>
      <c r="G41" s="51">
        <f t="shared" si="4"/>
        <v>1.8000000000029104E-3</v>
      </c>
      <c r="H41" s="50">
        <f t="shared" si="2"/>
        <v>8.6400000000139698</v>
      </c>
      <c r="I41" s="52">
        <f t="shared" si="3"/>
        <v>1.2857142860391053</v>
      </c>
      <c r="J41" s="83">
        <v>6.4005159999999997</v>
      </c>
      <c r="K41" s="83"/>
      <c r="L41" s="53"/>
      <c r="M41" s="123" t="s">
        <v>79</v>
      </c>
      <c r="N41" s="121" t="s">
        <v>98</v>
      </c>
      <c r="O41" s="121"/>
      <c r="P41" s="121" t="s">
        <v>93</v>
      </c>
      <c r="Q41" s="121"/>
      <c r="R41" s="121"/>
      <c r="S41" s="121" t="s">
        <v>111</v>
      </c>
      <c r="T41" s="121" t="s">
        <v>81</v>
      </c>
      <c r="U41" s="121"/>
      <c r="V41" s="121"/>
      <c r="W41" s="121"/>
      <c r="X41" s="121" t="s">
        <v>93</v>
      </c>
      <c r="Y41" s="121"/>
      <c r="Z41" s="124"/>
    </row>
    <row r="42" spans="1:26" ht="23.25" customHeight="1" x14ac:dyDescent="0.2">
      <c r="A42" s="49" t="s">
        <v>31</v>
      </c>
      <c r="B42" s="82">
        <v>3165.5972000000002</v>
      </c>
      <c r="C42" s="25">
        <f t="shared" si="0"/>
        <v>1.5000000003055902E-3</v>
      </c>
      <c r="D42" s="24">
        <f t="shared" si="1"/>
        <v>7.2000000014668331</v>
      </c>
      <c r="E42" s="108"/>
      <c r="F42" s="82">
        <v>391.88499999999999</v>
      </c>
      <c r="G42" s="51">
        <f t="shared" si="4"/>
        <v>2.0000000000095497E-3</v>
      </c>
      <c r="H42" s="50">
        <f t="shared" si="2"/>
        <v>9.6000000000458385</v>
      </c>
      <c r="I42" s="52">
        <f t="shared" si="3"/>
        <v>1.3333333330680641</v>
      </c>
      <c r="J42" s="83">
        <v>6.4120460000000001</v>
      </c>
      <c r="K42" s="83"/>
      <c r="L42" s="53"/>
      <c r="M42" s="116"/>
      <c r="N42" s="118"/>
      <c r="O42" s="118"/>
      <c r="P42" s="118"/>
      <c r="Q42" s="118"/>
      <c r="R42" s="118"/>
      <c r="S42" s="118"/>
      <c r="T42" s="118"/>
      <c r="U42" s="118"/>
      <c r="V42" s="118"/>
      <c r="W42" s="118"/>
      <c r="X42" s="118"/>
      <c r="Y42" s="118"/>
      <c r="Z42" s="125"/>
    </row>
    <row r="43" spans="1:26" ht="22.5" customHeight="1" x14ac:dyDescent="0.2">
      <c r="A43" s="184" t="s">
        <v>70</v>
      </c>
      <c r="B43" s="184"/>
      <c r="C43" s="184"/>
      <c r="D43" s="50">
        <f>SUM(D18:D42)</f>
        <v>164.64000000123633</v>
      </c>
      <c r="E43" s="39"/>
      <c r="F43" s="54"/>
      <c r="G43" s="39"/>
      <c r="H43" s="50">
        <f>SUM(H18:H42)</f>
        <v>200.15999999995984</v>
      </c>
      <c r="I43" s="52">
        <f>IF(AND(H43=0,D43=0),0,H43/D43)</f>
        <v>1.2157434402238629</v>
      </c>
      <c r="J43" s="39"/>
      <c r="K43" s="39"/>
      <c r="L43" s="53"/>
      <c r="M43" s="116" t="s">
        <v>80</v>
      </c>
      <c r="N43" s="118" t="s">
        <v>99</v>
      </c>
      <c r="O43" s="118"/>
      <c r="P43" s="118" t="s">
        <v>110</v>
      </c>
      <c r="Q43" s="118"/>
      <c r="R43" s="118"/>
      <c r="S43" s="118"/>
      <c r="T43" s="118"/>
      <c r="U43" s="118"/>
      <c r="V43" s="118"/>
      <c r="W43" s="118"/>
      <c r="X43" s="118" t="s">
        <v>110</v>
      </c>
      <c r="Y43" s="118"/>
      <c r="Z43" s="125"/>
    </row>
    <row r="44" spans="1:26" ht="22.5" customHeight="1" x14ac:dyDescent="0.2">
      <c r="A44" s="183" t="s">
        <v>71</v>
      </c>
      <c r="B44" s="183"/>
      <c r="C44" s="183"/>
      <c r="D44" s="39"/>
      <c r="E44" s="39"/>
      <c r="F44" s="54"/>
      <c r="G44" s="39"/>
      <c r="H44" s="39"/>
      <c r="I44" s="39"/>
      <c r="J44" s="39"/>
      <c r="K44" s="39"/>
      <c r="L44" s="53"/>
      <c r="M44" s="117"/>
      <c r="N44" s="119"/>
      <c r="O44" s="119"/>
      <c r="P44" s="119"/>
      <c r="Q44" s="119"/>
      <c r="R44" s="119"/>
      <c r="S44" s="119"/>
      <c r="T44" s="119"/>
      <c r="U44" s="119"/>
      <c r="V44" s="119"/>
      <c r="W44" s="119"/>
      <c r="X44" s="119"/>
      <c r="Y44" s="119"/>
      <c r="Z44" s="127"/>
    </row>
    <row r="45" spans="1:26" ht="22.5" customHeight="1" x14ac:dyDescent="0.2">
      <c r="A45" s="55"/>
      <c r="B45" s="56"/>
      <c r="C45" s="56"/>
      <c r="D45" s="56"/>
      <c r="E45" s="56"/>
      <c r="F45" s="56"/>
      <c r="G45" s="56"/>
      <c r="H45" s="56"/>
      <c r="I45" s="56"/>
      <c r="J45" s="57"/>
      <c r="K45" s="57"/>
      <c r="L45" s="57"/>
      <c r="M45" s="9"/>
      <c r="N45" s="111"/>
      <c r="O45" s="113"/>
      <c r="P45" s="111"/>
      <c r="Q45" s="112"/>
      <c r="R45" s="113"/>
      <c r="S45" s="7"/>
      <c r="T45" s="111"/>
      <c r="U45" s="112"/>
      <c r="V45" s="112"/>
      <c r="W45" s="113"/>
      <c r="X45" s="111"/>
      <c r="Y45" s="112"/>
      <c r="Z45" s="112"/>
    </row>
    <row r="46" spans="1:26" ht="22.5" customHeight="1" x14ac:dyDescent="0.2">
      <c r="A46" s="182" t="s">
        <v>72</v>
      </c>
      <c r="B46" s="182"/>
      <c r="C46" s="182"/>
      <c r="D46" s="182"/>
      <c r="E46" s="182"/>
      <c r="F46" s="182"/>
      <c r="G46" s="204" t="s">
        <v>73</v>
      </c>
      <c r="H46" s="204"/>
      <c r="I46" s="204"/>
      <c r="J46" s="204"/>
      <c r="K46" s="204"/>
      <c r="L46" s="204"/>
      <c r="M46" s="9"/>
      <c r="N46" s="111"/>
      <c r="O46" s="113"/>
      <c r="P46" s="111"/>
      <c r="Q46" s="112"/>
      <c r="R46" s="113"/>
      <c r="S46" s="7"/>
      <c r="T46" s="111"/>
      <c r="U46" s="112"/>
      <c r="V46" s="112"/>
      <c r="W46" s="113"/>
      <c r="X46" s="111"/>
      <c r="Y46" s="112"/>
      <c r="Z46" s="112"/>
    </row>
    <row r="47" spans="1:26" ht="22.5" customHeight="1" x14ac:dyDescent="0.2">
      <c r="A47" s="144" t="s">
        <v>365</v>
      </c>
      <c r="B47" s="144"/>
      <c r="C47" s="144"/>
      <c r="D47" s="135" t="s">
        <v>74</v>
      </c>
      <c r="E47" s="135"/>
      <c r="F47" s="135"/>
      <c r="G47" s="56"/>
      <c r="H47" s="56"/>
      <c r="I47" s="56"/>
      <c r="J47" s="56"/>
      <c r="K47" s="56"/>
      <c r="L47" s="56"/>
      <c r="M47" s="9"/>
      <c r="N47" s="111"/>
      <c r="O47" s="113"/>
      <c r="P47" s="111"/>
      <c r="Q47" s="112"/>
      <c r="R47" s="113"/>
      <c r="S47" s="7"/>
      <c r="T47" s="111"/>
      <c r="U47" s="112"/>
      <c r="V47" s="112"/>
      <c r="W47" s="113"/>
      <c r="X47" s="111"/>
      <c r="Y47" s="112"/>
      <c r="Z47" s="112"/>
    </row>
    <row r="48" spans="1:26" ht="22.5" customHeight="1" x14ac:dyDescent="0.2">
      <c r="A48" s="175" t="s">
        <v>75</v>
      </c>
      <c r="B48" s="175"/>
      <c r="C48" s="175"/>
      <c r="D48" s="174" t="s">
        <v>76</v>
      </c>
      <c r="E48" s="174"/>
      <c r="F48" s="174"/>
      <c r="G48" s="55"/>
      <c r="H48" s="55"/>
      <c r="I48" s="55"/>
      <c r="J48" s="55"/>
      <c r="K48" s="55"/>
      <c r="L48" s="55"/>
    </row>
    <row r="49" spans="1:23" ht="22.5" customHeight="1" x14ac:dyDescent="0.2">
      <c r="A49" s="144" t="s">
        <v>366</v>
      </c>
      <c r="B49" s="144"/>
      <c r="C49" s="144"/>
      <c r="D49" s="135" t="s">
        <v>74</v>
      </c>
      <c r="E49" s="135"/>
      <c r="F49" s="135"/>
      <c r="G49" s="55"/>
      <c r="H49" s="182" t="s">
        <v>183</v>
      </c>
      <c r="I49" s="182"/>
      <c r="J49" s="182"/>
      <c r="K49" s="182" t="s">
        <v>77</v>
      </c>
      <c r="L49" s="182"/>
      <c r="N49" s="177" t="s">
        <v>150</v>
      </c>
      <c r="O49" s="177"/>
      <c r="P49" s="177"/>
      <c r="Q49" s="176" t="s">
        <v>364</v>
      </c>
      <c r="R49" s="176"/>
      <c r="S49" s="176"/>
      <c r="T49" s="176"/>
      <c r="U49" s="176"/>
      <c r="V49" s="176"/>
      <c r="W49" s="1"/>
    </row>
    <row r="50" spans="1:23" ht="22.5" customHeight="1" x14ac:dyDescent="0.2">
      <c r="A50" s="175" t="s">
        <v>75</v>
      </c>
      <c r="B50" s="175"/>
      <c r="C50" s="175"/>
      <c r="D50" s="174" t="s">
        <v>76</v>
      </c>
      <c r="E50" s="174"/>
      <c r="F50" s="174"/>
      <c r="G50" s="58"/>
      <c r="H50" s="175" t="s">
        <v>75</v>
      </c>
      <c r="I50" s="175"/>
      <c r="J50" s="175"/>
      <c r="K50" s="175" t="s">
        <v>76</v>
      </c>
      <c r="L50" s="175"/>
      <c r="S50" s="173" t="s">
        <v>76</v>
      </c>
      <c r="T50" s="173"/>
    </row>
    <row r="51" spans="1:23" ht="20.100000000000001" customHeight="1" x14ac:dyDescent="0.2">
      <c r="A51" s="144" t="s">
        <v>367</v>
      </c>
      <c r="B51" s="144"/>
      <c r="C51" s="144"/>
      <c r="D51" s="135" t="s">
        <v>74</v>
      </c>
      <c r="E51" s="135"/>
      <c r="F51" s="135"/>
      <c r="G51" s="55"/>
      <c r="H51" s="55"/>
      <c r="I51" s="55"/>
      <c r="J51" s="55"/>
      <c r="K51" s="55"/>
      <c r="L51" s="55"/>
    </row>
    <row r="52" spans="1:23" ht="20.100000000000001" customHeight="1" x14ac:dyDescent="0.2">
      <c r="A52" s="174" t="s">
        <v>75</v>
      </c>
      <c r="B52" s="174"/>
      <c r="C52" s="174"/>
      <c r="D52" s="173" t="s">
        <v>76</v>
      </c>
      <c r="E52" s="173"/>
      <c r="F52" s="173"/>
      <c r="G52" s="63"/>
      <c r="H52" s="63"/>
      <c r="I52" s="64"/>
      <c r="J52" s="64"/>
      <c r="K52" s="64"/>
      <c r="L52" s="64"/>
    </row>
  </sheetData>
  <sheetProtection sheet="1" objects="1" scenarios="1"/>
  <mergeCells count="258">
    <mergeCell ref="A52:C52"/>
    <mergeCell ref="D52:F52"/>
    <mergeCell ref="I1:L2"/>
    <mergeCell ref="G5:H6"/>
    <mergeCell ref="I5:L6"/>
    <mergeCell ref="H10:L10"/>
    <mergeCell ref="F15:G15"/>
    <mergeCell ref="H50:J50"/>
    <mergeCell ref="K50:L50"/>
    <mergeCell ref="D49:F49"/>
    <mergeCell ref="A7:L7"/>
    <mergeCell ref="I11:L11"/>
    <mergeCell ref="A8:L8"/>
    <mergeCell ref="A1:F1"/>
    <mergeCell ref="A2:F2"/>
    <mergeCell ref="A3:F3"/>
    <mergeCell ref="A4:F4"/>
    <mergeCell ref="A5:F5"/>
    <mergeCell ref="A6:F6"/>
    <mergeCell ref="A9:L9"/>
    <mergeCell ref="G3:H4"/>
    <mergeCell ref="I3:L4"/>
    <mergeCell ref="A11:D11"/>
    <mergeCell ref="E11:H11"/>
    <mergeCell ref="N49:P49"/>
    <mergeCell ref="P45:R45"/>
    <mergeCell ref="A51:C51"/>
    <mergeCell ref="D51:F51"/>
    <mergeCell ref="N46:O46"/>
    <mergeCell ref="N47:O47"/>
    <mergeCell ref="T45:W45"/>
    <mergeCell ref="T46:W46"/>
    <mergeCell ref="H49:J49"/>
    <mergeCell ref="K49:L49"/>
    <mergeCell ref="A48:C48"/>
    <mergeCell ref="A49:C49"/>
    <mergeCell ref="A50:C50"/>
    <mergeCell ref="D50:F50"/>
    <mergeCell ref="D48:F48"/>
    <mergeCell ref="A47:C47"/>
    <mergeCell ref="D47:F47"/>
    <mergeCell ref="G46:L46"/>
    <mergeCell ref="X45:Z45"/>
    <mergeCell ref="X46:Z46"/>
    <mergeCell ref="X47:Z47"/>
    <mergeCell ref="S50:T50"/>
    <mergeCell ref="N39:O39"/>
    <mergeCell ref="P39:Q39"/>
    <mergeCell ref="N41:O42"/>
    <mergeCell ref="P41:R42"/>
    <mergeCell ref="M40:Z40"/>
    <mergeCell ref="M43:M44"/>
    <mergeCell ref="T47:W47"/>
    <mergeCell ref="N43:O44"/>
    <mergeCell ref="P43:R44"/>
    <mergeCell ref="P46:R46"/>
    <mergeCell ref="P47:R47"/>
    <mergeCell ref="N45:O45"/>
    <mergeCell ref="R39:S39"/>
    <mergeCell ref="T39:U39"/>
    <mergeCell ref="V39:X39"/>
    <mergeCell ref="Y39:Z39"/>
    <mergeCell ref="S41:S44"/>
    <mergeCell ref="T41:W44"/>
    <mergeCell ref="M41:M42"/>
    <mergeCell ref="Q49:V49"/>
    <mergeCell ref="V37:X37"/>
    <mergeCell ref="Y37:Z37"/>
    <mergeCell ref="V38:X38"/>
    <mergeCell ref="Y38:Z38"/>
    <mergeCell ref="X41:Z42"/>
    <mergeCell ref="X43:Z44"/>
    <mergeCell ref="N37:O37"/>
    <mergeCell ref="P37:Q37"/>
    <mergeCell ref="R37:S37"/>
    <mergeCell ref="T37:U37"/>
    <mergeCell ref="N38:O38"/>
    <mergeCell ref="P38:Q38"/>
    <mergeCell ref="R38:S38"/>
    <mergeCell ref="T38:U38"/>
    <mergeCell ref="V13:W13"/>
    <mergeCell ref="T11:U11"/>
    <mergeCell ref="T12:U12"/>
    <mergeCell ref="T13:U13"/>
    <mergeCell ref="T27:V27"/>
    <mergeCell ref="W27:Z27"/>
    <mergeCell ref="T25:V25"/>
    <mergeCell ref="Y35:Z35"/>
    <mergeCell ref="N36:O36"/>
    <mergeCell ref="P36:Q36"/>
    <mergeCell ref="R36:S36"/>
    <mergeCell ref="T36:U36"/>
    <mergeCell ref="V36:X36"/>
    <mergeCell ref="Y36:Z36"/>
    <mergeCell ref="R34:S34"/>
    <mergeCell ref="T34:U34"/>
    <mergeCell ref="V34:X34"/>
    <mergeCell ref="N35:O35"/>
    <mergeCell ref="P35:Q35"/>
    <mergeCell ref="R35:S35"/>
    <mergeCell ref="T35:U35"/>
    <mergeCell ref="V35:X35"/>
    <mergeCell ref="T23:V23"/>
    <mergeCell ref="Q26:S26"/>
    <mergeCell ref="T26:V26"/>
    <mergeCell ref="N24:P24"/>
    <mergeCell ref="Q24:S24"/>
    <mergeCell ref="T28:V28"/>
    <mergeCell ref="W28:Z28"/>
    <mergeCell ref="T24:V24"/>
    <mergeCell ref="X9:Z9"/>
    <mergeCell ref="X10:Z10"/>
    <mergeCell ref="X11:Z11"/>
    <mergeCell ref="X12:Z12"/>
    <mergeCell ref="X13:Z13"/>
    <mergeCell ref="X14:Z14"/>
    <mergeCell ref="X15:Z15"/>
    <mergeCell ref="X16:Z16"/>
    <mergeCell ref="W26:Z26"/>
    <mergeCell ref="W23:Z23"/>
    <mergeCell ref="W24:Z24"/>
    <mergeCell ref="W25:Z25"/>
    <mergeCell ref="T18:V19"/>
    <mergeCell ref="V14:W14"/>
    <mergeCell ref="V11:W11"/>
    <mergeCell ref="V12:W12"/>
    <mergeCell ref="N14:O14"/>
    <mergeCell ref="N15:O15"/>
    <mergeCell ref="N31:O32"/>
    <mergeCell ref="N33:O34"/>
    <mergeCell ref="P31:Q31"/>
    <mergeCell ref="P32:Q32"/>
    <mergeCell ref="P33:Q33"/>
    <mergeCell ref="P34:Q34"/>
    <mergeCell ref="N28:P28"/>
    <mergeCell ref="Q28:S28"/>
    <mergeCell ref="N23:P23"/>
    <mergeCell ref="N27:P27"/>
    <mergeCell ref="Q27:S27"/>
    <mergeCell ref="N26:P26"/>
    <mergeCell ref="N25:P25"/>
    <mergeCell ref="Q25:S25"/>
    <mergeCell ref="Q23:S23"/>
    <mergeCell ref="M31:M32"/>
    <mergeCell ref="T33:U33"/>
    <mergeCell ref="R31:S31"/>
    <mergeCell ref="R32:S32"/>
    <mergeCell ref="Q19:S19"/>
    <mergeCell ref="Q20:S20"/>
    <mergeCell ref="R16:S16"/>
    <mergeCell ref="V15:W15"/>
    <mergeCell ref="V16:W16"/>
    <mergeCell ref="T16:U16"/>
    <mergeCell ref="P16:Q16"/>
    <mergeCell ref="M17:Z17"/>
    <mergeCell ref="W18:Z21"/>
    <mergeCell ref="N18:P19"/>
    <mergeCell ref="W22:Z22"/>
    <mergeCell ref="T20:V21"/>
    <mergeCell ref="Q21:S21"/>
    <mergeCell ref="N22:P22"/>
    <mergeCell ref="M18:M19"/>
    <mergeCell ref="M20:M21"/>
    <mergeCell ref="Q22:S22"/>
    <mergeCell ref="T22:V22"/>
    <mergeCell ref="Q18:S18"/>
    <mergeCell ref="N20:P21"/>
    <mergeCell ref="V8:W8"/>
    <mergeCell ref="V9:W9"/>
    <mergeCell ref="V10:W10"/>
    <mergeCell ref="R7:S7"/>
    <mergeCell ref="R8:S8"/>
    <mergeCell ref="R9:S9"/>
    <mergeCell ref="R10:S10"/>
    <mergeCell ref="T8:U8"/>
    <mergeCell ref="T9:U9"/>
    <mergeCell ref="T10:U10"/>
    <mergeCell ref="N16:O16"/>
    <mergeCell ref="N12:O12"/>
    <mergeCell ref="N13:O13"/>
    <mergeCell ref="I13:I17"/>
    <mergeCell ref="J13:K13"/>
    <mergeCell ref="J14:K14"/>
    <mergeCell ref="J15:K15"/>
    <mergeCell ref="A12:L12"/>
    <mergeCell ref="F13:G13"/>
    <mergeCell ref="B14:C14"/>
    <mergeCell ref="D14:E14"/>
    <mergeCell ref="B13:C13"/>
    <mergeCell ref="F14:G14"/>
    <mergeCell ref="P12:Q12"/>
    <mergeCell ref="T14:U14"/>
    <mergeCell ref="T15:U15"/>
    <mergeCell ref="P13:Q13"/>
    <mergeCell ref="P14:Q14"/>
    <mergeCell ref="P15:Q15"/>
    <mergeCell ref="R11:S11"/>
    <mergeCell ref="R12:S12"/>
    <mergeCell ref="R13:S13"/>
    <mergeCell ref="R14:S14"/>
    <mergeCell ref="R15:S15"/>
    <mergeCell ref="M1:Z1"/>
    <mergeCell ref="M2:Z2"/>
    <mergeCell ref="X3:Z6"/>
    <mergeCell ref="M5:M6"/>
    <mergeCell ref="M3:M4"/>
    <mergeCell ref="P3:Q4"/>
    <mergeCell ref="R3:S3"/>
    <mergeCell ref="R4:S4"/>
    <mergeCell ref="R5:S5"/>
    <mergeCell ref="R6:S6"/>
    <mergeCell ref="P5:Q6"/>
    <mergeCell ref="N3:O6"/>
    <mergeCell ref="T3:U3"/>
    <mergeCell ref="T4:U4"/>
    <mergeCell ref="T5:U5"/>
    <mergeCell ref="V3:W3"/>
    <mergeCell ref="V4:W4"/>
    <mergeCell ref="V5:W5"/>
    <mergeCell ref="V6:W6"/>
    <mergeCell ref="T6:U6"/>
    <mergeCell ref="N10:O10"/>
    <mergeCell ref="N11:O11"/>
    <mergeCell ref="P7:Q7"/>
    <mergeCell ref="P8:Q8"/>
    <mergeCell ref="P9:Q9"/>
    <mergeCell ref="P10:Q10"/>
    <mergeCell ref="N8:O8"/>
    <mergeCell ref="M33:M34"/>
    <mergeCell ref="M29:Z29"/>
    <mergeCell ref="M30:Z30"/>
    <mergeCell ref="V31:X31"/>
    <mergeCell ref="V32:X32"/>
    <mergeCell ref="Y31:Z34"/>
    <mergeCell ref="V33:X33"/>
    <mergeCell ref="R33:S33"/>
    <mergeCell ref="T31:U31"/>
    <mergeCell ref="T32:U32"/>
    <mergeCell ref="X7:Z7"/>
    <mergeCell ref="X8:Z8"/>
    <mergeCell ref="N9:O9"/>
    <mergeCell ref="T7:U7"/>
    <mergeCell ref="N7:O7"/>
    <mergeCell ref="V7:W7"/>
    <mergeCell ref="P11:Q11"/>
    <mergeCell ref="A10:D10"/>
    <mergeCell ref="E10:G10"/>
    <mergeCell ref="D13:E13"/>
    <mergeCell ref="A46:F46"/>
    <mergeCell ref="A44:C44"/>
    <mergeCell ref="G1:H2"/>
    <mergeCell ref="J16:J17"/>
    <mergeCell ref="K16:K17"/>
    <mergeCell ref="A13:A17"/>
    <mergeCell ref="E16:E17"/>
    <mergeCell ref="B15:C15"/>
    <mergeCell ref="D15:E15"/>
    <mergeCell ref="A43:C43"/>
  </mergeCells>
  <phoneticPr fontId="0" type="noConversion"/>
  <printOptions horizontalCentered="1"/>
  <pageMargins left="0.39370078740157483" right="0.39370078740157483" top="0.19685039370078741" bottom="0.19685039370078741" header="0" footer="0"/>
  <pageSetup paperSize="9" scale="64" orientation="portrait" horizontalDpi="180" verticalDpi="180" r:id="rId1"/>
  <headerFooter alignWithMargins="0"/>
  <colBreaks count="1" manualBreakCount="1">
    <brk id="12" max="1048575" man="1"/>
  </col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6"/>
  <dimension ref="A1:Z52"/>
  <sheetViews>
    <sheetView view="pageBreakPreview" topLeftCell="A11" zoomScale="75" zoomScaleNormal="50" zoomScaleSheetLayoutView="75" workbookViewId="0">
      <selection activeCell="K42" sqref="K42"/>
    </sheetView>
  </sheetViews>
  <sheetFormatPr defaultRowHeight="18.75" x14ac:dyDescent="0.2"/>
  <cols>
    <col min="1" max="1" width="11.140625" style="2" customWidth="1"/>
    <col min="2" max="2" width="13.42578125" style="2" customWidth="1"/>
    <col min="3" max="3" width="12.140625" style="2" customWidth="1"/>
    <col min="4" max="4" width="14" style="2" customWidth="1"/>
    <col min="5" max="5" width="5.42578125" style="2" customWidth="1"/>
    <col min="6" max="6" width="13.85546875" style="2" customWidth="1"/>
    <col min="7" max="7" width="12.85546875" style="2" customWidth="1"/>
    <col min="8" max="8" width="18.5703125" style="2" customWidth="1"/>
    <col min="9" max="9" width="8.28515625" style="2" customWidth="1"/>
    <col min="10" max="11" width="8.85546875" style="2" customWidth="1"/>
    <col min="12" max="12" width="17" style="2" customWidth="1"/>
    <col min="13" max="26" width="10.28515625" style="2" customWidth="1"/>
    <col min="27" max="16384" width="9.140625" style="2"/>
  </cols>
  <sheetData>
    <row r="1" spans="1:26" ht="21.75" customHeight="1" x14ac:dyDescent="0.2">
      <c r="A1" s="115" t="s">
        <v>157</v>
      </c>
      <c r="B1" s="115"/>
      <c r="C1" s="115"/>
      <c r="D1" s="115"/>
      <c r="E1" s="115"/>
      <c r="F1" s="115"/>
      <c r="G1" s="150" t="s">
        <v>154</v>
      </c>
      <c r="H1" s="150"/>
      <c r="I1" s="115" t="s">
        <v>160</v>
      </c>
      <c r="J1" s="115"/>
      <c r="K1" s="115"/>
      <c r="L1" s="115"/>
      <c r="M1" s="122" t="s">
        <v>96</v>
      </c>
      <c r="N1" s="122"/>
      <c r="O1" s="122"/>
      <c r="P1" s="122"/>
      <c r="Q1" s="122"/>
      <c r="R1" s="122"/>
      <c r="S1" s="122"/>
      <c r="T1" s="122"/>
      <c r="U1" s="122"/>
      <c r="V1" s="122"/>
      <c r="W1" s="122"/>
      <c r="X1" s="122"/>
      <c r="Y1" s="122"/>
      <c r="Z1" s="122"/>
    </row>
    <row r="2" spans="1:26" ht="21.75" customHeight="1" x14ac:dyDescent="0.2">
      <c r="A2" s="146" t="s">
        <v>45</v>
      </c>
      <c r="B2" s="146"/>
      <c r="C2" s="146"/>
      <c r="D2" s="146"/>
      <c r="E2" s="146"/>
      <c r="F2" s="146"/>
      <c r="G2" s="150"/>
      <c r="H2" s="150"/>
      <c r="I2" s="115"/>
      <c r="J2" s="115"/>
      <c r="K2" s="115"/>
      <c r="L2" s="115"/>
      <c r="M2" s="122" t="s">
        <v>78</v>
      </c>
      <c r="N2" s="122"/>
      <c r="O2" s="122"/>
      <c r="P2" s="122"/>
      <c r="Q2" s="122"/>
      <c r="R2" s="122"/>
      <c r="S2" s="122"/>
      <c r="T2" s="122"/>
      <c r="U2" s="122"/>
      <c r="V2" s="122"/>
      <c r="W2" s="122"/>
      <c r="X2" s="122"/>
      <c r="Y2" s="122"/>
      <c r="Z2" s="122"/>
    </row>
    <row r="3" spans="1:26" ht="21.75" customHeight="1" x14ac:dyDescent="0.2">
      <c r="A3" s="115" t="s">
        <v>158</v>
      </c>
      <c r="B3" s="147"/>
      <c r="C3" s="147"/>
      <c r="D3" s="147"/>
      <c r="E3" s="147"/>
      <c r="F3" s="147"/>
      <c r="G3" s="150" t="s">
        <v>155</v>
      </c>
      <c r="H3" s="150"/>
      <c r="I3" s="115" t="s">
        <v>199</v>
      </c>
      <c r="J3" s="115"/>
      <c r="K3" s="115"/>
      <c r="L3" s="115"/>
      <c r="M3" s="123" t="s">
        <v>79</v>
      </c>
      <c r="N3" s="124" t="s">
        <v>81</v>
      </c>
      <c r="O3" s="123"/>
      <c r="P3" s="124" t="s">
        <v>65</v>
      </c>
      <c r="Q3" s="123"/>
      <c r="R3" s="124" t="s">
        <v>82</v>
      </c>
      <c r="S3" s="123"/>
      <c r="T3" s="124" t="s">
        <v>85</v>
      </c>
      <c r="U3" s="123"/>
      <c r="V3" s="124" t="s">
        <v>87</v>
      </c>
      <c r="W3" s="123"/>
      <c r="X3" s="128" t="s">
        <v>91</v>
      </c>
      <c r="Y3" s="132"/>
      <c r="Z3" s="132"/>
    </row>
    <row r="4" spans="1:26" ht="29.25" customHeight="1" x14ac:dyDescent="0.2">
      <c r="A4" s="146" t="s">
        <v>46</v>
      </c>
      <c r="B4" s="146"/>
      <c r="C4" s="146"/>
      <c r="D4" s="146"/>
      <c r="E4" s="146"/>
      <c r="F4" s="146"/>
      <c r="G4" s="150"/>
      <c r="H4" s="150"/>
      <c r="I4" s="115"/>
      <c r="J4" s="115"/>
      <c r="K4" s="115"/>
      <c r="L4" s="115"/>
      <c r="M4" s="116"/>
      <c r="N4" s="125"/>
      <c r="O4" s="116"/>
      <c r="P4" s="125"/>
      <c r="Q4" s="116"/>
      <c r="R4" s="125" t="s">
        <v>83</v>
      </c>
      <c r="S4" s="116"/>
      <c r="T4" s="125" t="s">
        <v>86</v>
      </c>
      <c r="U4" s="116"/>
      <c r="V4" s="125" t="s">
        <v>88</v>
      </c>
      <c r="W4" s="116"/>
      <c r="X4" s="128"/>
      <c r="Y4" s="132"/>
      <c r="Z4" s="132"/>
    </row>
    <row r="5" spans="1:26" ht="21.75" customHeight="1" x14ac:dyDescent="0.2">
      <c r="A5" s="115" t="s">
        <v>177</v>
      </c>
      <c r="B5" s="147"/>
      <c r="C5" s="147"/>
      <c r="D5" s="147"/>
      <c r="E5" s="147"/>
      <c r="F5" s="147"/>
      <c r="G5" s="150" t="s">
        <v>156</v>
      </c>
      <c r="H5" s="150"/>
      <c r="I5" s="115" t="s">
        <v>236</v>
      </c>
      <c r="J5" s="115"/>
      <c r="K5" s="115"/>
      <c r="L5" s="115"/>
      <c r="M5" s="116" t="s">
        <v>80</v>
      </c>
      <c r="N5" s="125"/>
      <c r="O5" s="116"/>
      <c r="P5" s="125" t="s">
        <v>182</v>
      </c>
      <c r="Q5" s="116"/>
      <c r="R5" s="133" t="s">
        <v>84</v>
      </c>
      <c r="S5" s="134"/>
      <c r="T5" s="133" t="s">
        <v>84</v>
      </c>
      <c r="U5" s="134"/>
      <c r="V5" s="125" t="s">
        <v>89</v>
      </c>
      <c r="W5" s="116"/>
      <c r="X5" s="128"/>
      <c r="Y5" s="132"/>
      <c r="Z5" s="132"/>
    </row>
    <row r="6" spans="1:26" ht="30" customHeight="1" x14ac:dyDescent="0.2">
      <c r="A6" s="146" t="s">
        <v>47</v>
      </c>
      <c r="B6" s="146"/>
      <c r="C6" s="146"/>
      <c r="D6" s="146"/>
      <c r="E6" s="146"/>
      <c r="F6" s="146"/>
      <c r="G6" s="150"/>
      <c r="H6" s="150"/>
      <c r="I6" s="115"/>
      <c r="J6" s="115"/>
      <c r="K6" s="115"/>
      <c r="L6" s="115"/>
      <c r="M6" s="117"/>
      <c r="N6" s="127"/>
      <c r="O6" s="117"/>
      <c r="P6" s="127"/>
      <c r="Q6" s="117"/>
      <c r="R6" s="127"/>
      <c r="S6" s="117"/>
      <c r="T6" s="127"/>
      <c r="U6" s="117"/>
      <c r="V6" s="127" t="s">
        <v>90</v>
      </c>
      <c r="W6" s="117"/>
      <c r="X6" s="128"/>
      <c r="Y6" s="132"/>
      <c r="Z6" s="132"/>
    </row>
    <row r="7" spans="1:26" ht="21.75" customHeight="1" x14ac:dyDescent="0.2">
      <c r="A7" s="122"/>
      <c r="B7" s="122"/>
      <c r="C7" s="122"/>
      <c r="D7" s="122"/>
      <c r="E7" s="122"/>
      <c r="F7" s="122"/>
      <c r="G7" s="122"/>
      <c r="H7" s="122"/>
      <c r="I7" s="122"/>
      <c r="J7" s="122"/>
      <c r="K7" s="122"/>
      <c r="L7" s="122"/>
      <c r="M7" s="9"/>
      <c r="N7" s="111"/>
      <c r="O7" s="113"/>
      <c r="P7" s="111"/>
      <c r="Q7" s="113"/>
      <c r="R7" s="111"/>
      <c r="S7" s="113"/>
      <c r="T7" s="111"/>
      <c r="U7" s="113"/>
      <c r="V7" s="111"/>
      <c r="W7" s="113"/>
      <c r="X7" s="111"/>
      <c r="Y7" s="112"/>
      <c r="Z7" s="112"/>
    </row>
    <row r="8" spans="1:26" ht="22.5" customHeight="1" x14ac:dyDescent="0.2">
      <c r="A8" s="143" t="s">
        <v>48</v>
      </c>
      <c r="B8" s="143"/>
      <c r="C8" s="143"/>
      <c r="D8" s="143"/>
      <c r="E8" s="143"/>
      <c r="F8" s="143"/>
      <c r="G8" s="143"/>
      <c r="H8" s="143"/>
      <c r="I8" s="143"/>
      <c r="J8" s="143"/>
      <c r="K8" s="143"/>
      <c r="L8" s="143"/>
      <c r="M8" s="9"/>
      <c r="N8" s="111"/>
      <c r="O8" s="113"/>
      <c r="P8" s="111"/>
      <c r="Q8" s="113"/>
      <c r="R8" s="111"/>
      <c r="S8" s="113"/>
      <c r="T8" s="111"/>
      <c r="U8" s="113"/>
      <c r="V8" s="111"/>
      <c r="W8" s="113"/>
      <c r="X8" s="111"/>
      <c r="Y8" s="112"/>
      <c r="Z8" s="112"/>
    </row>
    <row r="9" spans="1:26" ht="22.5" customHeight="1" x14ac:dyDescent="0.2">
      <c r="A9" s="156" t="s">
        <v>49</v>
      </c>
      <c r="B9" s="156"/>
      <c r="C9" s="156"/>
      <c r="D9" s="156"/>
      <c r="E9" s="156"/>
      <c r="F9" s="156"/>
      <c r="G9" s="156"/>
      <c r="H9" s="156"/>
      <c r="I9" s="156"/>
      <c r="J9" s="156"/>
      <c r="K9" s="156"/>
      <c r="L9" s="156"/>
      <c r="M9" s="9"/>
      <c r="N9" s="111"/>
      <c r="O9" s="113"/>
      <c r="P9" s="111"/>
      <c r="Q9" s="113"/>
      <c r="R9" s="111"/>
      <c r="S9" s="113"/>
      <c r="T9" s="111"/>
      <c r="U9" s="113"/>
      <c r="V9" s="111"/>
      <c r="W9" s="113"/>
      <c r="X9" s="111"/>
      <c r="Y9" s="112"/>
      <c r="Z9" s="112"/>
    </row>
    <row r="10" spans="1:26" ht="22.5" customHeight="1" x14ac:dyDescent="0.2">
      <c r="A10" s="151" t="s">
        <v>112</v>
      </c>
      <c r="B10" s="151"/>
      <c r="C10" s="151"/>
      <c r="D10" s="151"/>
      <c r="E10" s="162" t="s">
        <v>407</v>
      </c>
      <c r="F10" s="163"/>
      <c r="G10" s="163"/>
      <c r="H10" s="138" t="s">
        <v>369</v>
      </c>
      <c r="I10" s="138"/>
      <c r="J10" s="138"/>
      <c r="K10" s="138"/>
      <c r="L10" s="138"/>
      <c r="M10" s="9"/>
      <c r="N10" s="111"/>
      <c r="O10" s="113"/>
      <c r="P10" s="111"/>
      <c r="Q10" s="113"/>
      <c r="R10" s="111"/>
      <c r="S10" s="113"/>
      <c r="T10" s="111"/>
      <c r="U10" s="113"/>
      <c r="V10" s="111"/>
      <c r="W10" s="113"/>
      <c r="X10" s="111"/>
      <c r="Y10" s="112"/>
      <c r="Z10" s="112"/>
    </row>
    <row r="11" spans="1:26" ht="22.5" customHeight="1" x14ac:dyDescent="0.2">
      <c r="A11" s="151" t="s">
        <v>113</v>
      </c>
      <c r="B11" s="151"/>
      <c r="C11" s="151"/>
      <c r="D11" s="151"/>
      <c r="E11" s="161" t="s">
        <v>221</v>
      </c>
      <c r="F11" s="161"/>
      <c r="G11" s="161"/>
      <c r="H11" s="161"/>
      <c r="I11" s="138" t="s">
        <v>114</v>
      </c>
      <c r="J11" s="138"/>
      <c r="K11" s="138"/>
      <c r="L11" s="138"/>
      <c r="M11" s="9"/>
      <c r="N11" s="111"/>
      <c r="O11" s="113"/>
      <c r="P11" s="111"/>
      <c r="Q11" s="113"/>
      <c r="R11" s="111"/>
      <c r="S11" s="113"/>
      <c r="T11" s="111"/>
      <c r="U11" s="113"/>
      <c r="V11" s="111"/>
      <c r="W11" s="113"/>
      <c r="X11" s="111"/>
      <c r="Y11" s="112"/>
      <c r="Z11" s="112"/>
    </row>
    <row r="12" spans="1:26" ht="21.75" customHeight="1" x14ac:dyDescent="0.2">
      <c r="A12" s="215"/>
      <c r="B12" s="149"/>
      <c r="C12" s="149"/>
      <c r="D12" s="149"/>
      <c r="E12" s="149"/>
      <c r="F12" s="149"/>
      <c r="G12" s="149"/>
      <c r="H12" s="149"/>
      <c r="I12" s="149"/>
      <c r="J12" s="149"/>
      <c r="K12" s="149"/>
      <c r="L12" s="215"/>
      <c r="M12" s="9"/>
      <c r="N12" s="111"/>
      <c r="O12" s="113"/>
      <c r="P12" s="111"/>
      <c r="Q12" s="113"/>
      <c r="R12" s="111"/>
      <c r="S12" s="113"/>
      <c r="T12" s="111"/>
      <c r="U12" s="113"/>
      <c r="V12" s="111"/>
      <c r="W12" s="113"/>
      <c r="X12" s="111"/>
      <c r="Y12" s="112"/>
      <c r="Z12" s="112"/>
    </row>
    <row r="13" spans="1:26" ht="21.75" customHeight="1" x14ac:dyDescent="0.2">
      <c r="A13" s="187" t="s">
        <v>50</v>
      </c>
      <c r="B13" s="196" t="s">
        <v>56</v>
      </c>
      <c r="C13" s="196"/>
      <c r="D13" s="185" t="s">
        <v>375</v>
      </c>
      <c r="E13" s="186"/>
      <c r="F13" s="195" t="s">
        <v>59</v>
      </c>
      <c r="G13" s="196"/>
      <c r="H13" s="40" t="s">
        <v>375</v>
      </c>
      <c r="I13" s="197" t="s">
        <v>5</v>
      </c>
      <c r="J13" s="195" t="s">
        <v>60</v>
      </c>
      <c r="K13" s="196"/>
      <c r="L13" s="45" t="s">
        <v>65</v>
      </c>
      <c r="M13" s="9"/>
      <c r="N13" s="111"/>
      <c r="O13" s="113"/>
      <c r="P13" s="111"/>
      <c r="Q13" s="113"/>
      <c r="R13" s="111"/>
      <c r="S13" s="113"/>
      <c r="T13" s="111"/>
      <c r="U13" s="113"/>
      <c r="V13" s="111"/>
      <c r="W13" s="113"/>
      <c r="X13" s="111"/>
      <c r="Y13" s="112"/>
      <c r="Z13" s="112"/>
    </row>
    <row r="14" spans="1:26" ht="21.75" customHeight="1" x14ac:dyDescent="0.2">
      <c r="A14" s="188"/>
      <c r="B14" s="201" t="s">
        <v>57</v>
      </c>
      <c r="C14" s="201"/>
      <c r="D14" s="202" t="s">
        <v>259</v>
      </c>
      <c r="E14" s="203"/>
      <c r="F14" s="200" t="s">
        <v>57</v>
      </c>
      <c r="G14" s="201"/>
      <c r="H14" s="42" t="s">
        <v>259</v>
      </c>
      <c r="I14" s="198"/>
      <c r="J14" s="200" t="s">
        <v>61</v>
      </c>
      <c r="K14" s="201"/>
      <c r="L14" s="71" t="s">
        <v>66</v>
      </c>
      <c r="M14" s="9"/>
      <c r="N14" s="111"/>
      <c r="O14" s="113"/>
      <c r="P14" s="111"/>
      <c r="Q14" s="113"/>
      <c r="R14" s="111"/>
      <c r="S14" s="113"/>
      <c r="T14" s="111"/>
      <c r="U14" s="113"/>
      <c r="V14" s="111"/>
      <c r="W14" s="113"/>
      <c r="X14" s="111"/>
      <c r="Y14" s="112"/>
      <c r="Z14" s="112"/>
    </row>
    <row r="15" spans="1:26" ht="21.75" customHeight="1" x14ac:dyDescent="0.2">
      <c r="A15" s="188"/>
      <c r="B15" s="192" t="s">
        <v>58</v>
      </c>
      <c r="C15" s="192"/>
      <c r="D15" s="193">
        <v>7200</v>
      </c>
      <c r="E15" s="194"/>
      <c r="F15" s="191" t="s">
        <v>58</v>
      </c>
      <c r="G15" s="192"/>
      <c r="H15" s="43">
        <v>7200</v>
      </c>
      <c r="I15" s="198"/>
      <c r="J15" s="191" t="s">
        <v>62</v>
      </c>
      <c r="K15" s="192"/>
      <c r="L15" s="71" t="s">
        <v>67</v>
      </c>
      <c r="M15" s="9"/>
      <c r="N15" s="111"/>
      <c r="O15" s="113"/>
      <c r="P15" s="111"/>
      <c r="Q15" s="113"/>
      <c r="R15" s="111"/>
      <c r="S15" s="113"/>
      <c r="T15" s="111"/>
      <c r="U15" s="113"/>
      <c r="V15" s="111"/>
      <c r="W15" s="113"/>
      <c r="X15" s="111"/>
      <c r="Y15" s="112"/>
      <c r="Z15" s="112"/>
    </row>
    <row r="16" spans="1:26" ht="21.75" customHeight="1" x14ac:dyDescent="0.2">
      <c r="A16" s="188"/>
      <c r="B16" s="72" t="s">
        <v>51</v>
      </c>
      <c r="C16" s="44" t="s">
        <v>53</v>
      </c>
      <c r="D16" s="44" t="s">
        <v>54</v>
      </c>
      <c r="E16" s="154"/>
      <c r="F16" s="44" t="s">
        <v>51</v>
      </c>
      <c r="G16" s="44" t="s">
        <v>53</v>
      </c>
      <c r="H16" s="45" t="s">
        <v>54</v>
      </c>
      <c r="I16" s="198"/>
      <c r="J16" s="154" t="s">
        <v>63</v>
      </c>
      <c r="K16" s="154" t="s">
        <v>64</v>
      </c>
      <c r="L16" s="71" t="s">
        <v>68</v>
      </c>
      <c r="M16" s="9"/>
      <c r="N16" s="111"/>
      <c r="O16" s="113"/>
      <c r="P16" s="111"/>
      <c r="Q16" s="113"/>
      <c r="R16" s="111"/>
      <c r="S16" s="113"/>
      <c r="T16" s="111"/>
      <c r="U16" s="113"/>
      <c r="V16" s="111"/>
      <c r="W16" s="113"/>
      <c r="X16" s="111"/>
      <c r="Y16" s="112"/>
      <c r="Z16" s="112"/>
    </row>
    <row r="17" spans="1:26" ht="21.75" customHeight="1" x14ac:dyDescent="0.2">
      <c r="A17" s="189"/>
      <c r="B17" s="44" t="s">
        <v>52</v>
      </c>
      <c r="C17" s="46" t="s">
        <v>51</v>
      </c>
      <c r="D17" s="46" t="s">
        <v>55</v>
      </c>
      <c r="E17" s="190"/>
      <c r="F17" s="46" t="s">
        <v>52</v>
      </c>
      <c r="G17" s="47" t="s">
        <v>51</v>
      </c>
      <c r="H17" s="48" t="s">
        <v>55</v>
      </c>
      <c r="I17" s="199"/>
      <c r="J17" s="155"/>
      <c r="K17" s="155"/>
      <c r="L17" s="48" t="s">
        <v>69</v>
      </c>
      <c r="M17" s="130" t="s">
        <v>92</v>
      </c>
      <c r="N17" s="130"/>
      <c r="O17" s="130"/>
      <c r="P17" s="130"/>
      <c r="Q17" s="130"/>
      <c r="R17" s="130"/>
      <c r="S17" s="130"/>
      <c r="T17" s="130"/>
      <c r="U17" s="130"/>
      <c r="V17" s="130"/>
      <c r="W17" s="130"/>
      <c r="X17" s="130"/>
      <c r="Y17" s="130"/>
      <c r="Z17" s="130"/>
    </row>
    <row r="18" spans="1:26" ht="23.25" customHeight="1" x14ac:dyDescent="0.2">
      <c r="A18" s="49" t="s">
        <v>7</v>
      </c>
      <c r="B18" s="82">
        <v>3685.788</v>
      </c>
      <c r="C18" s="25"/>
      <c r="D18" s="24"/>
      <c r="E18" s="108"/>
      <c r="F18" s="82">
        <v>2340.4249</v>
      </c>
      <c r="G18" s="51"/>
      <c r="H18" s="50"/>
      <c r="I18" s="52"/>
      <c r="J18" s="39"/>
      <c r="K18" s="79"/>
      <c r="L18" s="73"/>
      <c r="M18" s="123" t="s">
        <v>79</v>
      </c>
      <c r="N18" s="121" t="s">
        <v>98</v>
      </c>
      <c r="O18" s="121"/>
      <c r="P18" s="121"/>
      <c r="Q18" s="121" t="s">
        <v>107</v>
      </c>
      <c r="R18" s="121"/>
      <c r="S18" s="121"/>
      <c r="T18" s="121" t="s">
        <v>93</v>
      </c>
      <c r="U18" s="121"/>
      <c r="V18" s="121"/>
      <c r="W18" s="124" t="s">
        <v>91</v>
      </c>
      <c r="X18" s="131"/>
      <c r="Y18" s="131"/>
      <c r="Z18" s="131"/>
    </row>
    <row r="19" spans="1:26" ht="23.25" customHeight="1" x14ac:dyDescent="0.2">
      <c r="A19" s="49" t="s">
        <v>8</v>
      </c>
      <c r="B19" s="82">
        <v>3685.8148000000001</v>
      </c>
      <c r="C19" s="25">
        <f t="shared" ref="C19:C42" si="0">IF(B19="","",IF(LEN(TRUNC(B18,0))-LEN(TRUNC(B19,0))=0,B19-B18,IF(LEN(TRUNC(B18,0))-LEN(TRUNC(B19,0))&gt;0,VALUE(LEFT(B18,LEN(TRUNC(B18,0))-LEN(TRUNC(B19,0))))*POWER(10,LEN(TRUNC(B19,0)))+B19-B18,B19-B18-VALUE(LEFT(B19,LEN(TRUNC(B19,0))-LEN(TRUNC(B18,0))))*POWER(10,LEN(TRUNC(B18,0))))))</f>
        <v>2.680000000009386E-2</v>
      </c>
      <c r="D19" s="24">
        <f t="shared" ref="D19:D42" si="1">IF(C19="","",C19*$D$15)</f>
        <v>192.96000000067579</v>
      </c>
      <c r="E19" s="108"/>
      <c r="F19" s="82">
        <v>2340.4418000000001</v>
      </c>
      <c r="G19" s="51">
        <f>F19-ReportObject16_3</f>
        <v>1.6900000000077853E-2</v>
      </c>
      <c r="H19" s="50">
        <f t="shared" ref="H19:H42" si="2">IF(G19="","",G19*$H$15)</f>
        <v>121.68000000056054</v>
      </c>
      <c r="I19" s="52">
        <f t="shared" ref="I19:I42" si="3">IF(H19="","",IF(D19="","",IF(AND(H19=0,D19=0),0,H19/D19)))</f>
        <v>0.63059701492606957</v>
      </c>
      <c r="J19" s="52">
        <v>6.3438500000000007</v>
      </c>
      <c r="K19" s="83"/>
      <c r="L19" s="53"/>
      <c r="M19" s="116"/>
      <c r="N19" s="118"/>
      <c r="O19" s="118"/>
      <c r="P19" s="118"/>
      <c r="Q19" s="118" t="s">
        <v>108</v>
      </c>
      <c r="R19" s="118"/>
      <c r="S19" s="118"/>
      <c r="T19" s="118"/>
      <c r="U19" s="118"/>
      <c r="V19" s="118"/>
      <c r="W19" s="125"/>
      <c r="X19" s="122"/>
      <c r="Y19" s="122"/>
      <c r="Z19" s="122"/>
    </row>
    <row r="20" spans="1:26" ht="23.25" customHeight="1" x14ac:dyDescent="0.2">
      <c r="A20" s="49" t="s">
        <v>9</v>
      </c>
      <c r="B20" s="82">
        <v>3685.84</v>
      </c>
      <c r="C20" s="25">
        <f t="shared" si="0"/>
        <v>2.5200000000040745E-2</v>
      </c>
      <c r="D20" s="24">
        <f t="shared" si="1"/>
        <v>181.44000000029337</v>
      </c>
      <c r="E20" s="108"/>
      <c r="F20" s="82">
        <v>2340.4576999999999</v>
      </c>
      <c r="G20" s="51">
        <f>F20-F19</f>
        <v>1.5899999999874126E-2</v>
      </c>
      <c r="H20" s="50">
        <f t="shared" si="2"/>
        <v>114.47999999909371</v>
      </c>
      <c r="I20" s="52">
        <f t="shared" si="3"/>
        <v>0.63095238094636574</v>
      </c>
      <c r="J20" s="52">
        <v>6.136908</v>
      </c>
      <c r="K20" s="83"/>
      <c r="L20" s="53"/>
      <c r="M20" s="116" t="s">
        <v>80</v>
      </c>
      <c r="N20" s="118" t="s">
        <v>99</v>
      </c>
      <c r="O20" s="118"/>
      <c r="P20" s="118"/>
      <c r="Q20" s="118" t="s">
        <v>181</v>
      </c>
      <c r="R20" s="118"/>
      <c r="S20" s="118"/>
      <c r="T20" s="118" t="s">
        <v>94</v>
      </c>
      <c r="U20" s="118"/>
      <c r="V20" s="118"/>
      <c r="W20" s="125"/>
      <c r="X20" s="122"/>
      <c r="Y20" s="122"/>
      <c r="Z20" s="122"/>
    </row>
    <row r="21" spans="1:26" ht="23.25" customHeight="1" x14ac:dyDescent="0.2">
      <c r="A21" s="49" t="s">
        <v>10</v>
      </c>
      <c r="B21" s="82">
        <v>3685.8665999999998</v>
      </c>
      <c r="C21" s="25">
        <f t="shared" si="0"/>
        <v>2.6599999999689317E-2</v>
      </c>
      <c r="D21" s="24">
        <f t="shared" si="1"/>
        <v>191.51999999776308</v>
      </c>
      <c r="E21" s="108"/>
      <c r="F21" s="82">
        <v>2340.4746</v>
      </c>
      <c r="G21" s="51">
        <f t="shared" ref="G21:G42" si="4">F21-F20</f>
        <v>1.6900000000077853E-2</v>
      </c>
      <c r="H21" s="50">
        <f t="shared" si="2"/>
        <v>121.68000000056054</v>
      </c>
      <c r="I21" s="52">
        <f t="shared" si="3"/>
        <v>0.63533834587500904</v>
      </c>
      <c r="J21" s="52">
        <v>6.343235</v>
      </c>
      <c r="K21" s="83"/>
      <c r="L21" s="53"/>
      <c r="M21" s="117"/>
      <c r="N21" s="119"/>
      <c r="O21" s="119"/>
      <c r="P21" s="119"/>
      <c r="Q21" s="119"/>
      <c r="R21" s="119"/>
      <c r="S21" s="119"/>
      <c r="T21" s="119"/>
      <c r="U21" s="119"/>
      <c r="V21" s="119"/>
      <c r="W21" s="127"/>
      <c r="X21" s="130"/>
      <c r="Y21" s="130"/>
      <c r="Z21" s="130"/>
    </row>
    <row r="22" spans="1:26" ht="23.25" customHeight="1" x14ac:dyDescent="0.2">
      <c r="A22" s="49" t="s">
        <v>11</v>
      </c>
      <c r="B22" s="82">
        <v>3685.8921999999998</v>
      </c>
      <c r="C22" s="25">
        <f t="shared" si="0"/>
        <v>2.5599999999940337E-2</v>
      </c>
      <c r="D22" s="24">
        <f t="shared" si="1"/>
        <v>184.31999999957043</v>
      </c>
      <c r="E22" s="108"/>
      <c r="F22" s="82">
        <v>2340.4911999999999</v>
      </c>
      <c r="G22" s="51">
        <f t="shared" si="4"/>
        <v>1.6599999999925785E-2</v>
      </c>
      <c r="H22" s="50">
        <f t="shared" si="2"/>
        <v>119.51999999946565</v>
      </c>
      <c r="I22" s="52">
        <f t="shared" si="3"/>
        <v>0.64843749999861222</v>
      </c>
      <c r="J22" s="52">
        <v>6.3585940000000001</v>
      </c>
      <c r="K22" s="83"/>
      <c r="L22" s="53"/>
      <c r="M22" s="9"/>
      <c r="N22" s="120"/>
      <c r="O22" s="120"/>
      <c r="P22" s="120"/>
      <c r="Q22" s="120"/>
      <c r="R22" s="120"/>
      <c r="S22" s="120"/>
      <c r="T22" s="120"/>
      <c r="U22" s="120"/>
      <c r="V22" s="120"/>
      <c r="W22" s="111"/>
      <c r="X22" s="112"/>
      <c r="Y22" s="112"/>
      <c r="Z22" s="112"/>
    </row>
    <row r="23" spans="1:26" ht="23.25" customHeight="1" x14ac:dyDescent="0.2">
      <c r="A23" s="49" t="s">
        <v>12</v>
      </c>
      <c r="B23" s="82">
        <v>3685.9182000000001</v>
      </c>
      <c r="C23" s="25">
        <f t="shared" si="0"/>
        <v>2.6000000000294676E-2</v>
      </c>
      <c r="D23" s="24">
        <f t="shared" si="1"/>
        <v>187.20000000212167</v>
      </c>
      <c r="E23" s="108"/>
      <c r="F23" s="82">
        <v>2340.5077999999999</v>
      </c>
      <c r="G23" s="51">
        <f t="shared" si="4"/>
        <v>1.6599999999925785E-2</v>
      </c>
      <c r="H23" s="50">
        <f t="shared" si="2"/>
        <v>119.51999999946565</v>
      </c>
      <c r="I23" s="52">
        <f t="shared" si="3"/>
        <v>0.63846153845144793</v>
      </c>
      <c r="J23" s="52">
        <v>6.3668360000000002</v>
      </c>
      <c r="K23" s="83"/>
      <c r="L23" s="53"/>
      <c r="M23" s="9"/>
      <c r="N23" s="120"/>
      <c r="O23" s="120"/>
      <c r="P23" s="120"/>
      <c r="Q23" s="120"/>
      <c r="R23" s="120"/>
      <c r="S23" s="120"/>
      <c r="T23" s="120"/>
      <c r="U23" s="120"/>
      <c r="V23" s="120"/>
      <c r="W23" s="111"/>
      <c r="X23" s="112"/>
      <c r="Y23" s="112"/>
      <c r="Z23" s="112"/>
    </row>
    <row r="24" spans="1:26" ht="23.25" customHeight="1" x14ac:dyDescent="0.2">
      <c r="A24" s="49" t="s">
        <v>13</v>
      </c>
      <c r="B24" s="82">
        <v>3685.9439000000002</v>
      </c>
      <c r="C24" s="25">
        <f t="shared" si="0"/>
        <v>2.5700000000142609E-2</v>
      </c>
      <c r="D24" s="24">
        <f t="shared" si="1"/>
        <v>185.04000000102678</v>
      </c>
      <c r="E24" s="108"/>
      <c r="F24" s="82">
        <v>2340.5243</v>
      </c>
      <c r="G24" s="51">
        <f t="shared" si="4"/>
        <v>1.6500000000178261E-2</v>
      </c>
      <c r="H24" s="50">
        <f t="shared" si="2"/>
        <v>118.80000000128348</v>
      </c>
      <c r="I24" s="52">
        <f t="shared" si="3"/>
        <v>0.64202334630687563</v>
      </c>
      <c r="J24" s="52">
        <v>6.2612619999999994</v>
      </c>
      <c r="K24" s="83"/>
      <c r="L24" s="53"/>
      <c r="M24" s="9"/>
      <c r="N24" s="120"/>
      <c r="O24" s="120"/>
      <c r="P24" s="120"/>
      <c r="Q24" s="120"/>
      <c r="R24" s="120"/>
      <c r="S24" s="120"/>
      <c r="T24" s="120"/>
      <c r="U24" s="120"/>
      <c r="V24" s="120"/>
      <c r="W24" s="111"/>
      <c r="X24" s="112"/>
      <c r="Y24" s="112"/>
      <c r="Z24" s="112"/>
    </row>
    <row r="25" spans="1:26" ht="23.25" customHeight="1" x14ac:dyDescent="0.2">
      <c r="A25" s="49" t="s">
        <v>14</v>
      </c>
      <c r="B25" s="82">
        <v>3685.971</v>
      </c>
      <c r="C25" s="25">
        <f t="shared" si="0"/>
        <v>2.709999999979118E-2</v>
      </c>
      <c r="D25" s="24">
        <f t="shared" si="1"/>
        <v>195.1199999984965</v>
      </c>
      <c r="E25" s="108"/>
      <c r="F25" s="82">
        <v>2340.5410999999999</v>
      </c>
      <c r="G25" s="51">
        <f t="shared" si="4"/>
        <v>1.6799999999875581E-2</v>
      </c>
      <c r="H25" s="50">
        <f t="shared" si="2"/>
        <v>120.95999999910418</v>
      </c>
      <c r="I25" s="52">
        <f t="shared" si="3"/>
        <v>0.6199261992621784</v>
      </c>
      <c r="J25" s="52">
        <v>6.3263249999999998</v>
      </c>
      <c r="K25" s="83"/>
      <c r="L25" s="53"/>
      <c r="M25" s="9"/>
      <c r="N25" s="120"/>
      <c r="O25" s="120"/>
      <c r="P25" s="120"/>
      <c r="Q25" s="120"/>
      <c r="R25" s="120"/>
      <c r="S25" s="120"/>
      <c r="T25" s="120"/>
      <c r="U25" s="120"/>
      <c r="V25" s="120"/>
      <c r="W25" s="111"/>
      <c r="X25" s="112"/>
      <c r="Y25" s="112"/>
      <c r="Z25" s="112"/>
    </row>
    <row r="26" spans="1:26" ht="23.25" customHeight="1" x14ac:dyDescent="0.2">
      <c r="A26" s="49" t="s">
        <v>15</v>
      </c>
      <c r="B26" s="82">
        <v>3685.9976999999999</v>
      </c>
      <c r="C26" s="25">
        <f t="shared" si="0"/>
        <v>2.6699999999891588E-2</v>
      </c>
      <c r="D26" s="24">
        <f t="shared" si="1"/>
        <v>192.23999999921944</v>
      </c>
      <c r="E26" s="108"/>
      <c r="F26" s="82">
        <v>2340.5567000000001</v>
      </c>
      <c r="G26" s="51">
        <f t="shared" si="4"/>
        <v>1.5600000000176806E-2</v>
      </c>
      <c r="H26" s="50">
        <f t="shared" si="2"/>
        <v>112.320000001273</v>
      </c>
      <c r="I26" s="52">
        <f t="shared" si="3"/>
        <v>0.58426966293034255</v>
      </c>
      <c r="J26" s="52">
        <v>6.3025209999999996</v>
      </c>
      <c r="K26" s="83"/>
      <c r="L26" s="53"/>
      <c r="M26" s="9"/>
      <c r="N26" s="120"/>
      <c r="O26" s="120"/>
      <c r="P26" s="120"/>
      <c r="Q26" s="120"/>
      <c r="R26" s="120"/>
      <c r="S26" s="120"/>
      <c r="T26" s="120"/>
      <c r="U26" s="120"/>
      <c r="V26" s="120"/>
      <c r="W26" s="111"/>
      <c r="X26" s="112"/>
      <c r="Y26" s="112"/>
      <c r="Z26" s="112"/>
    </row>
    <row r="27" spans="1:26" ht="23.25" customHeight="1" x14ac:dyDescent="0.2">
      <c r="A27" s="49" t="s">
        <v>16</v>
      </c>
      <c r="B27" s="82">
        <v>3686.0466000000001</v>
      </c>
      <c r="C27" s="25">
        <f t="shared" si="0"/>
        <v>4.8900000000230648E-2</v>
      </c>
      <c r="D27" s="24">
        <f t="shared" si="1"/>
        <v>352.08000000166066</v>
      </c>
      <c r="E27" s="108"/>
      <c r="F27" s="82">
        <v>2340.5949000000001</v>
      </c>
      <c r="G27" s="51">
        <f t="shared" si="4"/>
        <v>3.819999999996071E-2</v>
      </c>
      <c r="H27" s="50">
        <f t="shared" si="2"/>
        <v>275.03999999971711</v>
      </c>
      <c r="I27" s="52">
        <f t="shared" si="3"/>
        <v>0.78118609406504158</v>
      </c>
      <c r="J27" s="52">
        <v>6.2350029999999999</v>
      </c>
      <c r="K27" s="83"/>
      <c r="L27" s="53"/>
      <c r="M27" s="9"/>
      <c r="N27" s="120"/>
      <c r="O27" s="120"/>
      <c r="P27" s="120"/>
      <c r="Q27" s="120"/>
      <c r="R27" s="120"/>
      <c r="S27" s="120"/>
      <c r="T27" s="120"/>
      <c r="U27" s="120"/>
      <c r="V27" s="120"/>
      <c r="W27" s="111"/>
      <c r="X27" s="112"/>
      <c r="Y27" s="112"/>
      <c r="Z27" s="112"/>
    </row>
    <row r="28" spans="1:26" ht="23.25" customHeight="1" x14ac:dyDescent="0.2">
      <c r="A28" s="49" t="s">
        <v>17</v>
      </c>
      <c r="B28" s="82">
        <v>3686.0970000000002</v>
      </c>
      <c r="C28" s="25">
        <f t="shared" si="0"/>
        <v>5.0400000000081491E-2</v>
      </c>
      <c r="D28" s="24">
        <f t="shared" si="1"/>
        <v>362.88000000058673</v>
      </c>
      <c r="E28" s="108"/>
      <c r="F28" s="82">
        <v>2340.6338999999998</v>
      </c>
      <c r="G28" s="51">
        <f t="shared" si="4"/>
        <v>3.8999999999759893E-2</v>
      </c>
      <c r="H28" s="50">
        <f t="shared" si="2"/>
        <v>280.79999999827123</v>
      </c>
      <c r="I28" s="52">
        <f t="shared" si="3"/>
        <v>0.77380952380350865</v>
      </c>
      <c r="J28" s="52">
        <v>6.2125050000000002</v>
      </c>
      <c r="K28" s="83"/>
      <c r="L28" s="53"/>
      <c r="M28" s="9"/>
      <c r="N28" s="120"/>
      <c r="O28" s="120"/>
      <c r="P28" s="120"/>
      <c r="Q28" s="120"/>
      <c r="R28" s="120"/>
      <c r="S28" s="120"/>
      <c r="T28" s="120"/>
      <c r="U28" s="120"/>
      <c r="V28" s="120"/>
      <c r="W28" s="111"/>
      <c r="X28" s="112"/>
      <c r="Y28" s="112"/>
      <c r="Z28" s="112"/>
    </row>
    <row r="29" spans="1:26" ht="23.25" customHeight="1" x14ac:dyDescent="0.2">
      <c r="A29" s="49" t="s">
        <v>18</v>
      </c>
      <c r="B29" s="82">
        <v>3686.1255999999998</v>
      </c>
      <c r="C29" s="25">
        <f t="shared" si="0"/>
        <v>2.8599999999642023E-2</v>
      </c>
      <c r="D29" s="24">
        <f t="shared" si="1"/>
        <v>205.91999999742256</v>
      </c>
      <c r="E29" s="108"/>
      <c r="F29" s="82">
        <v>2340.6525000000001</v>
      </c>
      <c r="G29" s="51">
        <f t="shared" si="4"/>
        <v>1.8600000000333239E-2</v>
      </c>
      <c r="H29" s="50">
        <f t="shared" si="2"/>
        <v>133.92000000239932</v>
      </c>
      <c r="I29" s="52">
        <f t="shared" si="3"/>
        <v>0.65034965036944226</v>
      </c>
      <c r="J29" s="52">
        <v>6.2576660000000004</v>
      </c>
      <c r="K29" s="83"/>
      <c r="L29" s="53"/>
      <c r="M29" s="145" t="s">
        <v>95</v>
      </c>
      <c r="N29" s="145"/>
      <c r="O29" s="145"/>
      <c r="P29" s="145"/>
      <c r="Q29" s="145"/>
      <c r="R29" s="145"/>
      <c r="S29" s="145"/>
      <c r="T29" s="145"/>
      <c r="U29" s="145"/>
      <c r="V29" s="145"/>
      <c r="W29" s="145"/>
      <c r="X29" s="145"/>
      <c r="Y29" s="145"/>
      <c r="Z29" s="145"/>
    </row>
    <row r="30" spans="1:26" ht="23.25" customHeight="1" x14ac:dyDescent="0.2">
      <c r="A30" s="49" t="s">
        <v>19</v>
      </c>
      <c r="B30" s="82">
        <v>3686.1570999999999</v>
      </c>
      <c r="C30" s="25">
        <f t="shared" si="0"/>
        <v>3.1500000000050932E-2</v>
      </c>
      <c r="D30" s="24">
        <f t="shared" si="1"/>
        <v>226.80000000036671</v>
      </c>
      <c r="E30" s="108"/>
      <c r="F30" s="82">
        <v>2340.6729999999998</v>
      </c>
      <c r="G30" s="51">
        <f t="shared" si="4"/>
        <v>2.0499999999628926E-2</v>
      </c>
      <c r="H30" s="50">
        <f t="shared" si="2"/>
        <v>147.59999999732827</v>
      </c>
      <c r="I30" s="52">
        <f t="shared" si="3"/>
        <v>0.65079365078081841</v>
      </c>
      <c r="J30" s="52">
        <v>6.2825660000000001</v>
      </c>
      <c r="K30" s="83"/>
      <c r="L30" s="53"/>
      <c r="M30" s="122" t="s">
        <v>97</v>
      </c>
      <c r="N30" s="122"/>
      <c r="O30" s="122"/>
      <c r="P30" s="122"/>
      <c r="Q30" s="122"/>
      <c r="R30" s="122"/>
      <c r="S30" s="122"/>
      <c r="T30" s="122"/>
      <c r="U30" s="122"/>
      <c r="V30" s="122"/>
      <c r="W30" s="122"/>
      <c r="X30" s="122"/>
      <c r="Y30" s="122"/>
      <c r="Z30" s="122"/>
    </row>
    <row r="31" spans="1:26" ht="23.25" customHeight="1" x14ac:dyDescent="0.2">
      <c r="A31" s="49" t="s">
        <v>20</v>
      </c>
      <c r="B31" s="82">
        <v>3686.1907000000001</v>
      </c>
      <c r="C31" s="25">
        <f t="shared" si="0"/>
        <v>3.360000000020591E-2</v>
      </c>
      <c r="D31" s="24">
        <f t="shared" si="1"/>
        <v>241.92000000148255</v>
      </c>
      <c r="E31" s="108"/>
      <c r="F31" s="82">
        <v>2340.6983</v>
      </c>
      <c r="G31" s="51">
        <f t="shared" si="4"/>
        <v>2.5300000000243017E-2</v>
      </c>
      <c r="H31" s="50">
        <f t="shared" si="2"/>
        <v>182.16000000174972</v>
      </c>
      <c r="I31" s="52">
        <f t="shared" si="3"/>
        <v>0.7529761904788087</v>
      </c>
      <c r="J31" s="52">
        <v>6.3083159999999996</v>
      </c>
      <c r="K31" s="83"/>
      <c r="L31" s="53"/>
      <c r="M31" s="123" t="s">
        <v>79</v>
      </c>
      <c r="N31" s="121" t="s">
        <v>98</v>
      </c>
      <c r="O31" s="121"/>
      <c r="P31" s="121" t="s">
        <v>100</v>
      </c>
      <c r="Q31" s="121"/>
      <c r="R31" s="121" t="s">
        <v>93</v>
      </c>
      <c r="S31" s="121"/>
      <c r="T31" s="121" t="s">
        <v>103</v>
      </c>
      <c r="U31" s="121"/>
      <c r="V31" s="121" t="s">
        <v>179</v>
      </c>
      <c r="W31" s="121"/>
      <c r="X31" s="121"/>
      <c r="Y31" s="121" t="s">
        <v>91</v>
      </c>
      <c r="Z31" s="124"/>
    </row>
    <row r="32" spans="1:26" ht="23.25" customHeight="1" x14ac:dyDescent="0.2">
      <c r="A32" s="49" t="s">
        <v>21</v>
      </c>
      <c r="B32" s="82">
        <v>3686.2327</v>
      </c>
      <c r="C32" s="25">
        <f t="shared" si="0"/>
        <v>4.1999999999916326E-2</v>
      </c>
      <c r="D32" s="24">
        <f t="shared" si="1"/>
        <v>302.39999999939755</v>
      </c>
      <c r="E32" s="108"/>
      <c r="F32" s="82">
        <v>2340.7329</v>
      </c>
      <c r="G32" s="51">
        <f t="shared" si="4"/>
        <v>3.4599999999954889E-2</v>
      </c>
      <c r="H32" s="50">
        <f t="shared" si="2"/>
        <v>249.1199999996752</v>
      </c>
      <c r="I32" s="52">
        <f t="shared" si="3"/>
        <v>0.82380952381009098</v>
      </c>
      <c r="J32" s="52">
        <v>6.2461520000000004</v>
      </c>
      <c r="K32" s="83"/>
      <c r="L32" s="53"/>
      <c r="M32" s="116"/>
      <c r="N32" s="118"/>
      <c r="O32" s="118"/>
      <c r="P32" s="118" t="s">
        <v>83</v>
      </c>
      <c r="Q32" s="118"/>
      <c r="R32" s="118" t="s">
        <v>102</v>
      </c>
      <c r="S32" s="118"/>
      <c r="T32" s="118" t="s">
        <v>104</v>
      </c>
      <c r="U32" s="118"/>
      <c r="V32" s="118" t="s">
        <v>105</v>
      </c>
      <c r="W32" s="118"/>
      <c r="X32" s="118"/>
      <c r="Y32" s="118"/>
      <c r="Z32" s="125"/>
    </row>
    <row r="33" spans="1:26" ht="23.25" customHeight="1" x14ac:dyDescent="0.2">
      <c r="A33" s="49" t="s">
        <v>22</v>
      </c>
      <c r="B33" s="82">
        <v>3686.297</v>
      </c>
      <c r="C33" s="25">
        <f t="shared" si="0"/>
        <v>6.430000000000291E-2</v>
      </c>
      <c r="D33" s="24">
        <f t="shared" si="1"/>
        <v>462.96000000002095</v>
      </c>
      <c r="E33" s="108"/>
      <c r="F33" s="82">
        <v>2340.7883000000002</v>
      </c>
      <c r="G33" s="51">
        <f t="shared" si="4"/>
        <v>5.540000000019063E-2</v>
      </c>
      <c r="H33" s="50">
        <f t="shared" si="2"/>
        <v>398.88000000137254</v>
      </c>
      <c r="I33" s="52">
        <f t="shared" si="3"/>
        <v>0.86158631415533626</v>
      </c>
      <c r="J33" s="52">
        <v>6.2674159999999999</v>
      </c>
      <c r="K33" s="83"/>
      <c r="L33" s="53"/>
      <c r="M33" s="116" t="s">
        <v>80</v>
      </c>
      <c r="N33" s="118" t="s">
        <v>99</v>
      </c>
      <c r="O33" s="118"/>
      <c r="P33" s="118" t="s">
        <v>101</v>
      </c>
      <c r="Q33" s="118"/>
      <c r="R33" s="118" t="s">
        <v>69</v>
      </c>
      <c r="S33" s="118"/>
      <c r="T33" s="118" t="s">
        <v>69</v>
      </c>
      <c r="U33" s="118"/>
      <c r="V33" s="118" t="s">
        <v>106</v>
      </c>
      <c r="W33" s="118"/>
      <c r="X33" s="118"/>
      <c r="Y33" s="118"/>
      <c r="Z33" s="125"/>
    </row>
    <row r="34" spans="1:26" ht="23.25" customHeight="1" x14ac:dyDescent="0.2">
      <c r="A34" s="49" t="s">
        <v>23</v>
      </c>
      <c r="B34" s="82">
        <v>3686.3317999999999</v>
      </c>
      <c r="C34" s="25">
        <f t="shared" si="0"/>
        <v>3.4799999999904685E-2</v>
      </c>
      <c r="D34" s="24">
        <f t="shared" si="1"/>
        <v>250.55999999931373</v>
      </c>
      <c r="E34" s="108"/>
      <c r="F34" s="82">
        <v>2340.8130999999998</v>
      </c>
      <c r="G34" s="51">
        <f t="shared" si="4"/>
        <v>2.4799999999686406E-2</v>
      </c>
      <c r="H34" s="50">
        <f t="shared" si="2"/>
        <v>178.55999999774212</v>
      </c>
      <c r="I34" s="52">
        <f t="shared" si="3"/>
        <v>0.71264367815386009</v>
      </c>
      <c r="J34" s="52">
        <v>6.291417</v>
      </c>
      <c r="K34" s="83"/>
      <c r="L34" s="53"/>
      <c r="M34" s="117"/>
      <c r="N34" s="119"/>
      <c r="O34" s="119"/>
      <c r="P34" s="119"/>
      <c r="Q34" s="119"/>
      <c r="R34" s="127"/>
      <c r="S34" s="117"/>
      <c r="T34" s="127"/>
      <c r="U34" s="117"/>
      <c r="V34" s="127"/>
      <c r="W34" s="130"/>
      <c r="X34" s="117"/>
      <c r="Y34" s="119"/>
      <c r="Z34" s="127"/>
    </row>
    <row r="35" spans="1:26" ht="23.25" customHeight="1" x14ac:dyDescent="0.2">
      <c r="A35" s="49" t="s">
        <v>24</v>
      </c>
      <c r="B35" s="82">
        <v>3686.3609000000001</v>
      </c>
      <c r="C35" s="25">
        <f t="shared" si="0"/>
        <v>2.9100000000198634E-2</v>
      </c>
      <c r="D35" s="24">
        <f t="shared" si="1"/>
        <v>209.52000000143016</v>
      </c>
      <c r="E35" s="108"/>
      <c r="F35" s="82">
        <v>2340.8335000000002</v>
      </c>
      <c r="G35" s="51">
        <f t="shared" si="4"/>
        <v>2.0400000000336149E-2</v>
      </c>
      <c r="H35" s="50">
        <f t="shared" si="2"/>
        <v>146.88000000242027</v>
      </c>
      <c r="I35" s="52">
        <f t="shared" si="3"/>
        <v>0.70103092784181786</v>
      </c>
      <c r="J35" s="52">
        <v>6.2794210000000001</v>
      </c>
      <c r="K35" s="83"/>
      <c r="L35" s="53"/>
      <c r="M35" s="9"/>
      <c r="N35" s="120" t="s">
        <v>167</v>
      </c>
      <c r="O35" s="120"/>
      <c r="P35" s="126">
        <v>6</v>
      </c>
      <c r="Q35" s="126"/>
      <c r="R35" s="120">
        <v>250</v>
      </c>
      <c r="S35" s="120"/>
      <c r="T35" s="120"/>
      <c r="U35" s="120"/>
      <c r="V35" s="120"/>
      <c r="W35" s="120"/>
      <c r="X35" s="120"/>
      <c r="Y35" s="120"/>
      <c r="Z35" s="111"/>
    </row>
    <row r="36" spans="1:26" ht="23.25" customHeight="1" x14ac:dyDescent="0.2">
      <c r="A36" s="49" t="s">
        <v>25</v>
      </c>
      <c r="B36" s="82">
        <v>3686.3886000000002</v>
      </c>
      <c r="C36" s="25">
        <f t="shared" si="0"/>
        <v>2.7700000000095315E-2</v>
      </c>
      <c r="D36" s="24">
        <f t="shared" si="1"/>
        <v>199.44000000068627</v>
      </c>
      <c r="E36" s="108"/>
      <c r="F36" s="82">
        <v>2340.8525</v>
      </c>
      <c r="G36" s="51">
        <f t="shared" si="4"/>
        <v>1.8999999999778083E-2</v>
      </c>
      <c r="H36" s="50">
        <f t="shared" si="2"/>
        <v>136.7999999984022</v>
      </c>
      <c r="I36" s="52">
        <f t="shared" si="3"/>
        <v>0.6859205776069569</v>
      </c>
      <c r="J36" s="52">
        <v>6.2663659999999997</v>
      </c>
      <c r="K36" s="83"/>
      <c r="L36" s="53"/>
      <c r="M36" s="9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11"/>
    </row>
    <row r="37" spans="1:26" ht="23.25" customHeight="1" x14ac:dyDescent="0.2">
      <c r="A37" s="49" t="s">
        <v>26</v>
      </c>
      <c r="B37" s="82">
        <v>3686.4123</v>
      </c>
      <c r="C37" s="25">
        <f t="shared" si="0"/>
        <v>2.3699999999735155E-2</v>
      </c>
      <c r="D37" s="24">
        <f t="shared" si="1"/>
        <v>170.63999999809312</v>
      </c>
      <c r="E37" s="108"/>
      <c r="F37" s="82">
        <v>2340.8652000000002</v>
      </c>
      <c r="G37" s="51">
        <f t="shared" si="4"/>
        <v>1.2700000000222644E-2</v>
      </c>
      <c r="H37" s="50">
        <f t="shared" si="2"/>
        <v>91.440000001603039</v>
      </c>
      <c r="I37" s="52">
        <f t="shared" si="3"/>
        <v>0.53586497891833607</v>
      </c>
      <c r="J37" s="52">
        <v>6.209613</v>
      </c>
      <c r="K37" s="83"/>
      <c r="L37" s="53"/>
      <c r="M37" s="9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11"/>
    </row>
    <row r="38" spans="1:26" ht="23.25" customHeight="1" x14ac:dyDescent="0.2">
      <c r="A38" s="49" t="s">
        <v>27</v>
      </c>
      <c r="B38" s="82">
        <v>3686.4387000000002</v>
      </c>
      <c r="C38" s="25">
        <f t="shared" si="0"/>
        <v>2.6400000000194268E-2</v>
      </c>
      <c r="D38" s="24">
        <f t="shared" si="1"/>
        <v>190.08000000139873</v>
      </c>
      <c r="E38" s="108"/>
      <c r="F38" s="82">
        <v>2340.8793999999998</v>
      </c>
      <c r="G38" s="51">
        <f t="shared" si="4"/>
        <v>1.419999999961874E-2</v>
      </c>
      <c r="H38" s="50">
        <f t="shared" si="2"/>
        <v>102.23999999725493</v>
      </c>
      <c r="I38" s="52">
        <f t="shared" si="3"/>
        <v>0.53787878786038812</v>
      </c>
      <c r="J38" s="52">
        <v>6.2374579999999993</v>
      </c>
      <c r="K38" s="83"/>
      <c r="L38" s="53"/>
      <c r="M38" s="9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11"/>
    </row>
    <row r="39" spans="1:26" ht="23.25" customHeight="1" x14ac:dyDescent="0.2">
      <c r="A39" s="49" t="s">
        <v>28</v>
      </c>
      <c r="B39" s="82">
        <v>3686.4587999999999</v>
      </c>
      <c r="C39" s="25">
        <f t="shared" si="0"/>
        <v>2.0099999999729334E-2</v>
      </c>
      <c r="D39" s="24">
        <f t="shared" si="1"/>
        <v>144.71999999805121</v>
      </c>
      <c r="E39" s="108"/>
      <c r="F39" s="82">
        <v>2340.8910999999998</v>
      </c>
      <c r="G39" s="51">
        <f t="shared" si="4"/>
        <v>1.1700000000018917E-2</v>
      </c>
      <c r="H39" s="50">
        <f t="shared" si="2"/>
        <v>84.240000000136206</v>
      </c>
      <c r="I39" s="52">
        <f t="shared" si="3"/>
        <v>0.58208955224758552</v>
      </c>
      <c r="J39" s="52">
        <v>6.2622799999999996</v>
      </c>
      <c r="K39" s="83"/>
      <c r="L39" s="53"/>
      <c r="M39" s="9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11"/>
    </row>
    <row r="40" spans="1:26" ht="23.25" customHeight="1" x14ac:dyDescent="0.2">
      <c r="A40" s="49" t="s">
        <v>29</v>
      </c>
      <c r="B40" s="82">
        <v>3686.4749000000002</v>
      </c>
      <c r="C40" s="25">
        <f t="shared" si="0"/>
        <v>1.6100000000278669E-2</v>
      </c>
      <c r="D40" s="24">
        <f t="shared" si="1"/>
        <v>115.92000000200642</v>
      </c>
      <c r="E40" s="108"/>
      <c r="F40" s="82">
        <v>2340.9002999999998</v>
      </c>
      <c r="G40" s="51">
        <f t="shared" si="4"/>
        <v>9.1999999999643478E-3</v>
      </c>
      <c r="H40" s="50">
        <f t="shared" si="2"/>
        <v>66.239999999743304</v>
      </c>
      <c r="I40" s="52">
        <f t="shared" si="3"/>
        <v>0.5714285714164663</v>
      </c>
      <c r="J40" s="52">
        <v>6.2793159999999997</v>
      </c>
      <c r="K40" s="83"/>
      <c r="L40" s="53"/>
      <c r="M40" s="122" t="s">
        <v>109</v>
      </c>
      <c r="N40" s="122"/>
      <c r="O40" s="122"/>
      <c r="P40" s="122"/>
      <c r="Q40" s="122"/>
      <c r="R40" s="122"/>
      <c r="S40" s="122"/>
      <c r="T40" s="122"/>
      <c r="U40" s="122"/>
      <c r="V40" s="122"/>
      <c r="W40" s="122"/>
      <c r="X40" s="122"/>
      <c r="Y40" s="122"/>
      <c r="Z40" s="122"/>
    </row>
    <row r="41" spans="1:26" ht="23.25" customHeight="1" x14ac:dyDescent="0.2">
      <c r="A41" s="49" t="s">
        <v>30</v>
      </c>
      <c r="B41" s="82">
        <v>3686.4893000000002</v>
      </c>
      <c r="C41" s="25">
        <f t="shared" si="0"/>
        <v>1.4400000000023283E-2</v>
      </c>
      <c r="D41" s="24">
        <f t="shared" si="1"/>
        <v>103.68000000016764</v>
      </c>
      <c r="E41" s="108"/>
      <c r="F41" s="82">
        <v>2340.9088999999999</v>
      </c>
      <c r="G41" s="51">
        <f t="shared" si="4"/>
        <v>8.6000000001149601E-3</v>
      </c>
      <c r="H41" s="50">
        <f t="shared" si="2"/>
        <v>61.920000000827713</v>
      </c>
      <c r="I41" s="52">
        <f t="shared" si="3"/>
        <v>0.59722222222923993</v>
      </c>
      <c r="J41" s="52">
        <v>6.3165420000000001</v>
      </c>
      <c r="K41" s="83"/>
      <c r="L41" s="53"/>
      <c r="M41" s="123" t="s">
        <v>79</v>
      </c>
      <c r="N41" s="121" t="s">
        <v>98</v>
      </c>
      <c r="O41" s="121"/>
      <c r="P41" s="121" t="s">
        <v>93</v>
      </c>
      <c r="Q41" s="121"/>
      <c r="R41" s="121"/>
      <c r="S41" s="121" t="s">
        <v>111</v>
      </c>
      <c r="T41" s="121" t="s">
        <v>81</v>
      </c>
      <c r="U41" s="121"/>
      <c r="V41" s="121"/>
      <c r="W41" s="121"/>
      <c r="X41" s="121" t="s">
        <v>93</v>
      </c>
      <c r="Y41" s="121"/>
      <c r="Z41" s="124"/>
    </row>
    <row r="42" spans="1:26" ht="23.25" customHeight="1" x14ac:dyDescent="0.2">
      <c r="A42" s="49" t="s">
        <v>31</v>
      </c>
      <c r="B42" s="82">
        <v>3686.5059999999999</v>
      </c>
      <c r="C42" s="25">
        <f t="shared" si="0"/>
        <v>1.669999999967331E-2</v>
      </c>
      <c r="D42" s="24">
        <f t="shared" si="1"/>
        <v>120.23999999764783</v>
      </c>
      <c r="E42" s="108"/>
      <c r="F42" s="82">
        <v>2340.9187999999999</v>
      </c>
      <c r="G42" s="51">
        <f t="shared" si="4"/>
        <v>9.9000000000160071E-3</v>
      </c>
      <c r="H42" s="50">
        <f t="shared" si="2"/>
        <v>71.280000000115251</v>
      </c>
      <c r="I42" s="52">
        <f t="shared" si="3"/>
        <v>0.59281437127004033</v>
      </c>
      <c r="J42" s="52">
        <v>6.1443149999999997</v>
      </c>
      <c r="K42" s="83"/>
      <c r="L42" s="53"/>
      <c r="M42" s="116"/>
      <c r="N42" s="118"/>
      <c r="O42" s="118"/>
      <c r="P42" s="118"/>
      <c r="Q42" s="118"/>
      <c r="R42" s="118"/>
      <c r="S42" s="118"/>
      <c r="T42" s="118"/>
      <c r="U42" s="118"/>
      <c r="V42" s="118"/>
      <c r="W42" s="118"/>
      <c r="X42" s="118"/>
      <c r="Y42" s="118"/>
      <c r="Z42" s="125"/>
    </row>
    <row r="43" spans="1:26" ht="22.5" customHeight="1" x14ac:dyDescent="0.2">
      <c r="A43" s="184" t="s">
        <v>70</v>
      </c>
      <c r="B43" s="184"/>
      <c r="C43" s="184"/>
      <c r="D43" s="50">
        <f>SUM(D18:D42)</f>
        <v>5169.5999999988999</v>
      </c>
      <c r="E43" s="39"/>
      <c r="F43" s="54"/>
      <c r="G43" s="39"/>
      <c r="H43" s="50">
        <f>SUM(H18:H42)</f>
        <v>3556.0799999995652</v>
      </c>
      <c r="I43" s="52">
        <f>IF(AND(H43=0,D43=0),0,H43/D43)</f>
        <v>0.68788300835660821</v>
      </c>
      <c r="J43" s="39"/>
      <c r="K43" s="39"/>
      <c r="L43" s="53"/>
      <c r="M43" s="116" t="s">
        <v>80</v>
      </c>
      <c r="N43" s="118" t="s">
        <v>99</v>
      </c>
      <c r="O43" s="118"/>
      <c r="P43" s="118" t="s">
        <v>110</v>
      </c>
      <c r="Q43" s="118"/>
      <c r="R43" s="118"/>
      <c r="S43" s="118"/>
      <c r="T43" s="118"/>
      <c r="U43" s="118"/>
      <c r="V43" s="118"/>
      <c r="W43" s="118"/>
      <c r="X43" s="118" t="s">
        <v>110</v>
      </c>
      <c r="Y43" s="118"/>
      <c r="Z43" s="125"/>
    </row>
    <row r="44" spans="1:26" ht="22.5" customHeight="1" x14ac:dyDescent="0.2">
      <c r="A44" s="183" t="s">
        <v>71</v>
      </c>
      <c r="B44" s="183"/>
      <c r="C44" s="183"/>
      <c r="D44" s="39"/>
      <c r="E44" s="39"/>
      <c r="F44" s="54"/>
      <c r="G44" s="39"/>
      <c r="H44" s="39"/>
      <c r="I44" s="39"/>
      <c r="J44" s="39"/>
      <c r="K44" s="39"/>
      <c r="L44" s="53"/>
      <c r="M44" s="117"/>
      <c r="N44" s="119"/>
      <c r="O44" s="119"/>
      <c r="P44" s="119"/>
      <c r="Q44" s="119"/>
      <c r="R44" s="119"/>
      <c r="S44" s="119"/>
      <c r="T44" s="119"/>
      <c r="U44" s="119"/>
      <c r="V44" s="119"/>
      <c r="W44" s="119"/>
      <c r="X44" s="119"/>
      <c r="Y44" s="119"/>
      <c r="Z44" s="127"/>
    </row>
    <row r="45" spans="1:26" ht="22.5" customHeight="1" x14ac:dyDescent="0.2">
      <c r="A45" s="55"/>
      <c r="B45" s="56"/>
      <c r="C45" s="56"/>
      <c r="D45" s="56"/>
      <c r="E45" s="56"/>
      <c r="F45" s="56"/>
      <c r="G45" s="56"/>
      <c r="H45" s="56"/>
      <c r="I45" s="56"/>
      <c r="J45" s="57"/>
      <c r="K45" s="57"/>
      <c r="L45" s="57"/>
      <c r="M45" s="9"/>
      <c r="N45" s="111"/>
      <c r="O45" s="113"/>
      <c r="P45" s="111"/>
      <c r="Q45" s="112"/>
      <c r="R45" s="113"/>
      <c r="S45" s="7"/>
      <c r="T45" s="111"/>
      <c r="U45" s="112"/>
      <c r="V45" s="112"/>
      <c r="W45" s="113"/>
      <c r="X45" s="111"/>
      <c r="Y45" s="112"/>
      <c r="Z45" s="112"/>
    </row>
    <row r="46" spans="1:26" ht="22.5" customHeight="1" x14ac:dyDescent="0.2">
      <c r="A46" s="182" t="s">
        <v>72</v>
      </c>
      <c r="B46" s="182"/>
      <c r="C46" s="182"/>
      <c r="D46" s="182"/>
      <c r="E46" s="182"/>
      <c r="F46" s="182"/>
      <c r="G46" s="204" t="s">
        <v>73</v>
      </c>
      <c r="H46" s="204"/>
      <c r="I46" s="204"/>
      <c r="J46" s="204"/>
      <c r="K46" s="204"/>
      <c r="L46" s="204"/>
      <c r="M46" s="9"/>
      <c r="N46" s="111"/>
      <c r="O46" s="113"/>
      <c r="P46" s="111"/>
      <c r="Q46" s="112"/>
      <c r="R46" s="113"/>
      <c r="S46" s="7"/>
      <c r="T46" s="111"/>
      <c r="U46" s="112"/>
      <c r="V46" s="112"/>
      <c r="W46" s="113"/>
      <c r="X46" s="111"/>
      <c r="Y46" s="112"/>
      <c r="Z46" s="112"/>
    </row>
    <row r="47" spans="1:26" ht="22.5" customHeight="1" x14ac:dyDescent="0.2">
      <c r="A47" s="144" t="s">
        <v>365</v>
      </c>
      <c r="B47" s="144"/>
      <c r="C47" s="144"/>
      <c r="D47" s="135" t="s">
        <v>74</v>
      </c>
      <c r="E47" s="135"/>
      <c r="F47" s="135"/>
      <c r="G47" s="56"/>
      <c r="H47" s="56"/>
      <c r="I47" s="56"/>
      <c r="J47" s="56"/>
      <c r="K47" s="56"/>
      <c r="L47" s="56"/>
      <c r="M47" s="9"/>
      <c r="N47" s="111"/>
      <c r="O47" s="113"/>
      <c r="P47" s="111"/>
      <c r="Q47" s="112"/>
      <c r="R47" s="113"/>
      <c r="S47" s="7"/>
      <c r="T47" s="111"/>
      <c r="U47" s="112"/>
      <c r="V47" s="112"/>
      <c r="W47" s="113"/>
      <c r="X47" s="111"/>
      <c r="Y47" s="112"/>
      <c r="Z47" s="112"/>
    </row>
    <row r="48" spans="1:26" ht="22.5" customHeight="1" x14ac:dyDescent="0.2">
      <c r="A48" s="175" t="s">
        <v>75</v>
      </c>
      <c r="B48" s="175"/>
      <c r="C48" s="175"/>
      <c r="D48" s="174" t="s">
        <v>76</v>
      </c>
      <c r="E48" s="174"/>
      <c r="F48" s="174"/>
      <c r="G48" s="55"/>
      <c r="H48" s="55"/>
      <c r="I48" s="55"/>
      <c r="J48" s="55"/>
      <c r="K48" s="55"/>
      <c r="L48" s="55"/>
    </row>
    <row r="49" spans="1:23" ht="22.5" customHeight="1" x14ac:dyDescent="0.2">
      <c r="A49" s="144" t="s">
        <v>366</v>
      </c>
      <c r="B49" s="144"/>
      <c r="C49" s="144"/>
      <c r="D49" s="135" t="s">
        <v>74</v>
      </c>
      <c r="E49" s="135"/>
      <c r="F49" s="135"/>
      <c r="G49" s="55"/>
      <c r="H49" s="182" t="s">
        <v>183</v>
      </c>
      <c r="I49" s="182"/>
      <c r="J49" s="182"/>
      <c r="K49" s="182" t="s">
        <v>77</v>
      </c>
      <c r="L49" s="182"/>
      <c r="N49" s="177" t="s">
        <v>150</v>
      </c>
      <c r="O49" s="177"/>
      <c r="P49" s="177"/>
      <c r="Q49" s="176" t="s">
        <v>364</v>
      </c>
      <c r="R49" s="176"/>
      <c r="S49" s="176"/>
      <c r="T49" s="176"/>
      <c r="U49" s="176"/>
      <c r="V49" s="176"/>
      <c r="W49" s="1"/>
    </row>
    <row r="50" spans="1:23" ht="22.5" customHeight="1" x14ac:dyDescent="0.2">
      <c r="A50" s="175" t="s">
        <v>75</v>
      </c>
      <c r="B50" s="175"/>
      <c r="C50" s="175"/>
      <c r="D50" s="174" t="s">
        <v>76</v>
      </c>
      <c r="E50" s="174"/>
      <c r="F50" s="174"/>
      <c r="G50" s="58"/>
      <c r="H50" s="175" t="s">
        <v>75</v>
      </c>
      <c r="I50" s="175"/>
      <c r="J50" s="175"/>
      <c r="K50" s="175" t="s">
        <v>76</v>
      </c>
      <c r="L50" s="175"/>
      <c r="S50" s="173" t="s">
        <v>76</v>
      </c>
      <c r="T50" s="173"/>
    </row>
    <row r="51" spans="1:23" ht="20.100000000000001" customHeight="1" x14ac:dyDescent="0.2">
      <c r="A51" s="144" t="s">
        <v>367</v>
      </c>
      <c r="B51" s="144"/>
      <c r="C51" s="144"/>
      <c r="D51" s="135" t="s">
        <v>74</v>
      </c>
      <c r="E51" s="135"/>
      <c r="F51" s="135"/>
      <c r="G51" s="55"/>
      <c r="H51" s="55"/>
      <c r="I51" s="55"/>
      <c r="J51" s="55"/>
      <c r="K51" s="55"/>
      <c r="L51" s="55"/>
    </row>
    <row r="52" spans="1:23" ht="20.100000000000001" customHeight="1" x14ac:dyDescent="0.2">
      <c r="A52" s="174" t="s">
        <v>75</v>
      </c>
      <c r="B52" s="174"/>
      <c r="C52" s="174"/>
      <c r="D52" s="173" t="s">
        <v>76</v>
      </c>
      <c r="E52" s="173"/>
      <c r="F52" s="173"/>
      <c r="G52" s="63"/>
      <c r="H52" s="63"/>
      <c r="I52" s="64"/>
      <c r="J52" s="64"/>
      <c r="K52" s="64"/>
      <c r="L52" s="64"/>
    </row>
  </sheetData>
  <sheetProtection sheet="1" objects="1" scenarios="1"/>
  <mergeCells count="258">
    <mergeCell ref="A52:C52"/>
    <mergeCell ref="D52:F52"/>
    <mergeCell ref="D51:F51"/>
    <mergeCell ref="K16:K17"/>
    <mergeCell ref="A13:A17"/>
    <mergeCell ref="E16:E17"/>
    <mergeCell ref="B15:C15"/>
    <mergeCell ref="D15:E15"/>
    <mergeCell ref="B13:C13"/>
    <mergeCell ref="J16:J17"/>
    <mergeCell ref="A47:C47"/>
    <mergeCell ref="I13:I17"/>
    <mergeCell ref="J13:K13"/>
    <mergeCell ref="J14:K14"/>
    <mergeCell ref="J15:K15"/>
    <mergeCell ref="G1:H2"/>
    <mergeCell ref="G3:H4"/>
    <mergeCell ref="A1:F1"/>
    <mergeCell ref="A2:F2"/>
    <mergeCell ref="A4:F4"/>
    <mergeCell ref="A51:C51"/>
    <mergeCell ref="A6:F6"/>
    <mergeCell ref="D47:F47"/>
    <mergeCell ref="F14:G14"/>
    <mergeCell ref="A9:L9"/>
    <mergeCell ref="G46:L46"/>
    <mergeCell ref="H10:L10"/>
    <mergeCell ref="D13:E13"/>
    <mergeCell ref="E10:G10"/>
    <mergeCell ref="A43:C43"/>
    <mergeCell ref="I3:L4"/>
    <mergeCell ref="A11:D11"/>
    <mergeCell ref="E11:H11"/>
    <mergeCell ref="A10:D10"/>
    <mergeCell ref="F13:G13"/>
    <mergeCell ref="H50:J50"/>
    <mergeCell ref="K50:L50"/>
    <mergeCell ref="D49:F49"/>
    <mergeCell ref="A12:L12"/>
    <mergeCell ref="A3:F3"/>
    <mergeCell ref="A5:F5"/>
    <mergeCell ref="A48:C48"/>
    <mergeCell ref="A49:C49"/>
    <mergeCell ref="A50:C50"/>
    <mergeCell ref="D50:F50"/>
    <mergeCell ref="D48:F48"/>
    <mergeCell ref="F15:G15"/>
    <mergeCell ref="A46:F46"/>
    <mergeCell ref="A44:C44"/>
    <mergeCell ref="T15:U15"/>
    <mergeCell ref="X7:Z7"/>
    <mergeCell ref="N7:O7"/>
    <mergeCell ref="X8:Z8"/>
    <mergeCell ref="H49:J49"/>
    <mergeCell ref="K49:L49"/>
    <mergeCell ref="A7:L7"/>
    <mergeCell ref="I11:L11"/>
    <mergeCell ref="B14:C14"/>
    <mergeCell ref="D14:E14"/>
    <mergeCell ref="A8:L8"/>
    <mergeCell ref="M33:M34"/>
    <mergeCell ref="M29:Z29"/>
    <mergeCell ref="M30:Z30"/>
    <mergeCell ref="V31:X31"/>
    <mergeCell ref="V32:X32"/>
    <mergeCell ref="Y31:Z34"/>
    <mergeCell ref="N10:O10"/>
    <mergeCell ref="N11:O11"/>
    <mergeCell ref="N14:O14"/>
    <mergeCell ref="N15:O15"/>
    <mergeCell ref="R11:S11"/>
    <mergeCell ref="R12:S12"/>
    <mergeCell ref="P10:Q10"/>
    <mergeCell ref="N13:O13"/>
    <mergeCell ref="T12:U12"/>
    <mergeCell ref="R13:S13"/>
    <mergeCell ref="T9:U9"/>
    <mergeCell ref="T10:U10"/>
    <mergeCell ref="T11:U11"/>
    <mergeCell ref="R8:S8"/>
    <mergeCell ref="R9:S9"/>
    <mergeCell ref="R10:S10"/>
    <mergeCell ref="T8:U8"/>
    <mergeCell ref="P11:Q11"/>
    <mergeCell ref="N12:O12"/>
    <mergeCell ref="P7:Q7"/>
    <mergeCell ref="P8:Q8"/>
    <mergeCell ref="P9:Q9"/>
    <mergeCell ref="R7:S7"/>
    <mergeCell ref="T7:U7"/>
    <mergeCell ref="P12:Q12"/>
    <mergeCell ref="N8:O8"/>
    <mergeCell ref="N9:O9"/>
    <mergeCell ref="M1:Z1"/>
    <mergeCell ref="M2:Z2"/>
    <mergeCell ref="X3:Z6"/>
    <mergeCell ref="M5:M6"/>
    <mergeCell ref="M3:M4"/>
    <mergeCell ref="P3:Q4"/>
    <mergeCell ref="R6:S6"/>
    <mergeCell ref="T4:U4"/>
    <mergeCell ref="T5:U5"/>
    <mergeCell ref="V3:W3"/>
    <mergeCell ref="P5:Q6"/>
    <mergeCell ref="N3:O6"/>
    <mergeCell ref="T3:U3"/>
    <mergeCell ref="R3:S3"/>
    <mergeCell ref="R4:S4"/>
    <mergeCell ref="R5:S5"/>
    <mergeCell ref="T6:U6"/>
    <mergeCell ref="V8:W8"/>
    <mergeCell ref="V9:W9"/>
    <mergeCell ref="V10:W10"/>
    <mergeCell ref="V11:W11"/>
    <mergeCell ref="V12:W12"/>
    <mergeCell ref="V4:W4"/>
    <mergeCell ref="V5:W5"/>
    <mergeCell ref="V6:W6"/>
    <mergeCell ref="V7:W7"/>
    <mergeCell ref="V13:W13"/>
    <mergeCell ref="M20:M21"/>
    <mergeCell ref="Q25:S25"/>
    <mergeCell ref="V14:W14"/>
    <mergeCell ref="T16:U16"/>
    <mergeCell ref="T14:U14"/>
    <mergeCell ref="N18:P19"/>
    <mergeCell ref="W22:Z22"/>
    <mergeCell ref="T20:V21"/>
    <mergeCell ref="W25:Z25"/>
    <mergeCell ref="N24:P24"/>
    <mergeCell ref="Q24:S24"/>
    <mergeCell ref="N23:P23"/>
    <mergeCell ref="W24:Z24"/>
    <mergeCell ref="N25:P25"/>
    <mergeCell ref="Q23:S23"/>
    <mergeCell ref="T24:V24"/>
    <mergeCell ref="Q19:S19"/>
    <mergeCell ref="P13:Q13"/>
    <mergeCell ref="P14:Q14"/>
    <mergeCell ref="T13:U13"/>
    <mergeCell ref="R14:S14"/>
    <mergeCell ref="R15:S15"/>
    <mergeCell ref="P16:Q16"/>
    <mergeCell ref="Q22:S22"/>
    <mergeCell ref="W18:Z21"/>
    <mergeCell ref="Q21:S21"/>
    <mergeCell ref="P15:Q15"/>
    <mergeCell ref="Q26:S26"/>
    <mergeCell ref="Q27:S27"/>
    <mergeCell ref="T27:V27"/>
    <mergeCell ref="T33:U33"/>
    <mergeCell ref="R31:S31"/>
    <mergeCell ref="R32:S32"/>
    <mergeCell ref="W23:Z23"/>
    <mergeCell ref="R16:S16"/>
    <mergeCell ref="V15:W15"/>
    <mergeCell ref="V16:W16"/>
    <mergeCell ref="N22:P22"/>
    <mergeCell ref="T23:V23"/>
    <mergeCell ref="M17:Z17"/>
    <mergeCell ref="M18:M19"/>
    <mergeCell ref="N20:P21"/>
    <mergeCell ref="Q20:S20"/>
    <mergeCell ref="M31:M32"/>
    <mergeCell ref="N16:O16"/>
    <mergeCell ref="N28:P28"/>
    <mergeCell ref="Q28:S28"/>
    <mergeCell ref="V34:X34"/>
    <mergeCell ref="P32:Q32"/>
    <mergeCell ref="P33:Q33"/>
    <mergeCell ref="P31:Q31"/>
    <mergeCell ref="N27:P27"/>
    <mergeCell ref="W27:Z27"/>
    <mergeCell ref="N26:P26"/>
    <mergeCell ref="N31:O32"/>
    <mergeCell ref="N33:O34"/>
    <mergeCell ref="W28:Z28"/>
    <mergeCell ref="R33:S33"/>
    <mergeCell ref="T31:U31"/>
    <mergeCell ref="T32:U32"/>
    <mergeCell ref="V33:X33"/>
    <mergeCell ref="T26:V26"/>
    <mergeCell ref="N38:O38"/>
    <mergeCell ref="P38:Q38"/>
    <mergeCell ref="R38:S38"/>
    <mergeCell ref="T38:U38"/>
    <mergeCell ref="N37:O37"/>
    <mergeCell ref="P37:Q37"/>
    <mergeCell ref="R37:S37"/>
    <mergeCell ref="N35:O35"/>
    <mergeCell ref="P35:Q35"/>
    <mergeCell ref="R35:S35"/>
    <mergeCell ref="T35:U35"/>
    <mergeCell ref="T37:U37"/>
    <mergeCell ref="N36:O36"/>
    <mergeCell ref="P36:Q36"/>
    <mergeCell ref="R36:S36"/>
    <mergeCell ref="T36:U36"/>
    <mergeCell ref="T46:W46"/>
    <mergeCell ref="T47:W47"/>
    <mergeCell ref="N43:O44"/>
    <mergeCell ref="P43:R44"/>
    <mergeCell ref="M40:Z40"/>
    <mergeCell ref="M41:M42"/>
    <mergeCell ref="T41:W44"/>
    <mergeCell ref="X45:Z45"/>
    <mergeCell ref="X46:Z46"/>
    <mergeCell ref="X41:Z42"/>
    <mergeCell ref="X43:Z44"/>
    <mergeCell ref="S41:S44"/>
    <mergeCell ref="I1:L2"/>
    <mergeCell ref="G5:H6"/>
    <mergeCell ref="I5:L6"/>
    <mergeCell ref="S50:T50"/>
    <mergeCell ref="N39:O39"/>
    <mergeCell ref="P39:Q39"/>
    <mergeCell ref="N41:O42"/>
    <mergeCell ref="P41:R42"/>
    <mergeCell ref="Q49:V49"/>
    <mergeCell ref="N49:P49"/>
    <mergeCell ref="P45:R45"/>
    <mergeCell ref="P46:R46"/>
    <mergeCell ref="P47:R47"/>
    <mergeCell ref="N45:O45"/>
    <mergeCell ref="N46:O46"/>
    <mergeCell ref="V38:X38"/>
    <mergeCell ref="P34:Q34"/>
    <mergeCell ref="X9:Z9"/>
    <mergeCell ref="X10:Z10"/>
    <mergeCell ref="X47:Z47"/>
    <mergeCell ref="M43:M44"/>
    <mergeCell ref="N47:O47"/>
    <mergeCell ref="T45:W45"/>
    <mergeCell ref="X11:Z11"/>
    <mergeCell ref="X12:Z12"/>
    <mergeCell ref="X13:Z13"/>
    <mergeCell ref="X14:Z14"/>
    <mergeCell ref="X15:Z15"/>
    <mergeCell ref="R39:S39"/>
    <mergeCell ref="T39:U39"/>
    <mergeCell ref="V39:X39"/>
    <mergeCell ref="Y39:Z39"/>
    <mergeCell ref="Y38:Z38"/>
    <mergeCell ref="V35:X35"/>
    <mergeCell ref="Y35:Z35"/>
    <mergeCell ref="V36:X36"/>
    <mergeCell ref="Y36:Z36"/>
    <mergeCell ref="V37:X37"/>
    <mergeCell ref="Y37:Z37"/>
    <mergeCell ref="X16:Z16"/>
    <mergeCell ref="W26:Z26"/>
    <mergeCell ref="R34:S34"/>
    <mergeCell ref="T34:U34"/>
    <mergeCell ref="T18:V19"/>
    <mergeCell ref="T22:V22"/>
    <mergeCell ref="Q18:S18"/>
    <mergeCell ref="T25:V25"/>
    <mergeCell ref="T28:V28"/>
  </mergeCells>
  <phoneticPr fontId="0" type="noConversion"/>
  <printOptions horizontalCentered="1"/>
  <pageMargins left="0.39370078740157483" right="0.39370078740157483" top="0.19685039370078741" bottom="0.19685039370078741" header="0" footer="0"/>
  <pageSetup paperSize="9" scale="66" orientation="portrait" horizontalDpi="180" verticalDpi="180" r:id="rId1"/>
  <headerFooter alignWithMargins="0"/>
  <colBreaks count="1" manualBreakCount="1">
    <brk id="12" max="1048575" man="1"/>
  </col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7"/>
  <dimension ref="A1:Z52"/>
  <sheetViews>
    <sheetView view="pageBreakPreview" topLeftCell="A10" zoomScale="75" zoomScaleNormal="50" zoomScaleSheetLayoutView="75" workbookViewId="0">
      <selection activeCell="D24" sqref="D24"/>
    </sheetView>
  </sheetViews>
  <sheetFormatPr defaultRowHeight="18.75" x14ac:dyDescent="0.2"/>
  <cols>
    <col min="1" max="1" width="11.140625" style="2" customWidth="1"/>
    <col min="2" max="2" width="13.42578125" style="2" customWidth="1"/>
    <col min="3" max="3" width="12.140625" style="2" customWidth="1"/>
    <col min="4" max="4" width="14" style="2" customWidth="1"/>
    <col min="5" max="5" width="5.42578125" style="2" customWidth="1"/>
    <col min="6" max="6" width="13.85546875" style="2" customWidth="1"/>
    <col min="7" max="7" width="12.85546875" style="2" customWidth="1"/>
    <col min="8" max="8" width="18.42578125" style="2" customWidth="1"/>
    <col min="9" max="9" width="8.28515625" style="2" customWidth="1"/>
    <col min="10" max="11" width="8.85546875" style="2" customWidth="1"/>
    <col min="12" max="12" width="17" style="2" customWidth="1"/>
    <col min="13" max="26" width="10.28515625" style="2" customWidth="1"/>
    <col min="27" max="16384" width="9.140625" style="2"/>
  </cols>
  <sheetData>
    <row r="1" spans="1:26" ht="21.75" customHeight="1" x14ac:dyDescent="0.2">
      <c r="A1" s="115" t="s">
        <v>157</v>
      </c>
      <c r="B1" s="115"/>
      <c r="C1" s="115"/>
      <c r="D1" s="115"/>
      <c r="E1" s="115"/>
      <c r="F1" s="115"/>
      <c r="G1" s="150" t="s">
        <v>154</v>
      </c>
      <c r="H1" s="150"/>
      <c r="I1" s="115" t="s">
        <v>160</v>
      </c>
      <c r="J1" s="115"/>
      <c r="K1" s="115"/>
      <c r="L1" s="115"/>
      <c r="M1" s="122" t="s">
        <v>96</v>
      </c>
      <c r="N1" s="122"/>
      <c r="O1" s="122"/>
      <c r="P1" s="122"/>
      <c r="Q1" s="122"/>
      <c r="R1" s="122"/>
      <c r="S1" s="122"/>
      <c r="T1" s="122"/>
      <c r="U1" s="122"/>
      <c r="V1" s="122"/>
      <c r="W1" s="122"/>
      <c r="X1" s="122"/>
      <c r="Y1" s="122"/>
      <c r="Z1" s="122"/>
    </row>
    <row r="2" spans="1:26" ht="21.75" customHeight="1" x14ac:dyDescent="0.2">
      <c r="A2" s="146" t="s">
        <v>45</v>
      </c>
      <c r="B2" s="146"/>
      <c r="C2" s="146"/>
      <c r="D2" s="146"/>
      <c r="E2" s="146"/>
      <c r="F2" s="146"/>
      <c r="G2" s="150"/>
      <c r="H2" s="150"/>
      <c r="I2" s="115"/>
      <c r="J2" s="115"/>
      <c r="K2" s="115"/>
      <c r="L2" s="115"/>
      <c r="M2" s="122" t="s">
        <v>78</v>
      </c>
      <c r="N2" s="122"/>
      <c r="O2" s="122"/>
      <c r="P2" s="122"/>
      <c r="Q2" s="122"/>
      <c r="R2" s="122"/>
      <c r="S2" s="122"/>
      <c r="T2" s="122"/>
      <c r="U2" s="122"/>
      <c r="V2" s="122"/>
      <c r="W2" s="122"/>
      <c r="X2" s="122"/>
      <c r="Y2" s="122"/>
      <c r="Z2" s="122"/>
    </row>
    <row r="3" spans="1:26" ht="21.75" customHeight="1" x14ac:dyDescent="0.2">
      <c r="A3" s="115" t="s">
        <v>158</v>
      </c>
      <c r="B3" s="147"/>
      <c r="C3" s="147"/>
      <c r="D3" s="147"/>
      <c r="E3" s="147"/>
      <c r="F3" s="147"/>
      <c r="G3" s="150" t="s">
        <v>155</v>
      </c>
      <c r="H3" s="150"/>
      <c r="I3" s="115" t="s">
        <v>199</v>
      </c>
      <c r="J3" s="115"/>
      <c r="K3" s="115"/>
      <c r="L3" s="115"/>
      <c r="M3" s="123" t="s">
        <v>79</v>
      </c>
      <c r="N3" s="124" t="s">
        <v>81</v>
      </c>
      <c r="O3" s="123"/>
      <c r="P3" s="124" t="s">
        <v>65</v>
      </c>
      <c r="Q3" s="123"/>
      <c r="R3" s="124" t="s">
        <v>82</v>
      </c>
      <c r="S3" s="123"/>
      <c r="T3" s="124" t="s">
        <v>85</v>
      </c>
      <c r="U3" s="123"/>
      <c r="V3" s="124" t="s">
        <v>87</v>
      </c>
      <c r="W3" s="123"/>
      <c r="X3" s="128" t="s">
        <v>91</v>
      </c>
      <c r="Y3" s="132"/>
      <c r="Z3" s="132"/>
    </row>
    <row r="4" spans="1:26" ht="29.25" customHeight="1" x14ac:dyDescent="0.2">
      <c r="A4" s="146" t="s">
        <v>46</v>
      </c>
      <c r="B4" s="146"/>
      <c r="C4" s="146"/>
      <c r="D4" s="146"/>
      <c r="E4" s="146"/>
      <c r="F4" s="146"/>
      <c r="G4" s="150"/>
      <c r="H4" s="150"/>
      <c r="I4" s="115"/>
      <c r="J4" s="115"/>
      <c r="K4" s="115"/>
      <c r="L4" s="115"/>
      <c r="M4" s="116"/>
      <c r="N4" s="125"/>
      <c r="O4" s="116"/>
      <c r="P4" s="125"/>
      <c r="Q4" s="116"/>
      <c r="R4" s="125" t="s">
        <v>83</v>
      </c>
      <c r="S4" s="116"/>
      <c r="T4" s="125" t="s">
        <v>86</v>
      </c>
      <c r="U4" s="116"/>
      <c r="V4" s="125" t="s">
        <v>88</v>
      </c>
      <c r="W4" s="116"/>
      <c r="X4" s="128"/>
      <c r="Y4" s="132"/>
      <c r="Z4" s="132"/>
    </row>
    <row r="5" spans="1:26" ht="21.75" customHeight="1" x14ac:dyDescent="0.2">
      <c r="A5" s="115" t="s">
        <v>177</v>
      </c>
      <c r="B5" s="147"/>
      <c r="C5" s="147"/>
      <c r="D5" s="147"/>
      <c r="E5" s="147"/>
      <c r="F5" s="147"/>
      <c r="G5" s="150" t="s">
        <v>156</v>
      </c>
      <c r="H5" s="150"/>
      <c r="I5" s="115" t="s">
        <v>237</v>
      </c>
      <c r="J5" s="115"/>
      <c r="K5" s="115"/>
      <c r="L5" s="115"/>
      <c r="M5" s="116" t="s">
        <v>80</v>
      </c>
      <c r="N5" s="125"/>
      <c r="O5" s="116"/>
      <c r="P5" s="125" t="s">
        <v>182</v>
      </c>
      <c r="Q5" s="116"/>
      <c r="R5" s="133" t="s">
        <v>84</v>
      </c>
      <c r="S5" s="134"/>
      <c r="T5" s="133" t="s">
        <v>84</v>
      </c>
      <c r="U5" s="134"/>
      <c r="V5" s="125" t="s">
        <v>89</v>
      </c>
      <c r="W5" s="116"/>
      <c r="X5" s="128"/>
      <c r="Y5" s="132"/>
      <c r="Z5" s="132"/>
    </row>
    <row r="6" spans="1:26" ht="27.75" customHeight="1" x14ac:dyDescent="0.2">
      <c r="A6" s="146" t="s">
        <v>47</v>
      </c>
      <c r="B6" s="146"/>
      <c r="C6" s="146"/>
      <c r="D6" s="146"/>
      <c r="E6" s="146"/>
      <c r="F6" s="146"/>
      <c r="G6" s="150"/>
      <c r="H6" s="150"/>
      <c r="I6" s="115"/>
      <c r="J6" s="115"/>
      <c r="K6" s="115"/>
      <c r="L6" s="115"/>
      <c r="M6" s="117"/>
      <c r="N6" s="127"/>
      <c r="O6" s="117"/>
      <c r="P6" s="127"/>
      <c r="Q6" s="117"/>
      <c r="R6" s="127"/>
      <c r="S6" s="117"/>
      <c r="T6" s="127"/>
      <c r="U6" s="117"/>
      <c r="V6" s="127" t="s">
        <v>90</v>
      </c>
      <c r="W6" s="117"/>
      <c r="X6" s="128"/>
      <c r="Y6" s="132"/>
      <c r="Z6" s="132"/>
    </row>
    <row r="7" spans="1:26" ht="21.75" customHeight="1" x14ac:dyDescent="0.2">
      <c r="A7" s="122"/>
      <c r="B7" s="122"/>
      <c r="C7" s="122"/>
      <c r="D7" s="122"/>
      <c r="E7" s="122"/>
      <c r="F7" s="122"/>
      <c r="G7" s="122"/>
      <c r="H7" s="122"/>
      <c r="I7" s="122"/>
      <c r="J7" s="122"/>
      <c r="K7" s="122"/>
      <c r="L7" s="122"/>
      <c r="M7" s="9"/>
      <c r="N7" s="111"/>
      <c r="O7" s="113"/>
      <c r="P7" s="111"/>
      <c r="Q7" s="113"/>
      <c r="R7" s="111"/>
      <c r="S7" s="113"/>
      <c r="T7" s="111"/>
      <c r="U7" s="113"/>
      <c r="V7" s="111"/>
      <c r="W7" s="113"/>
      <c r="X7" s="111"/>
      <c r="Y7" s="112"/>
      <c r="Z7" s="112"/>
    </row>
    <row r="8" spans="1:26" ht="22.5" customHeight="1" x14ac:dyDescent="0.2">
      <c r="A8" s="143" t="s">
        <v>48</v>
      </c>
      <c r="B8" s="143"/>
      <c r="C8" s="143"/>
      <c r="D8" s="143"/>
      <c r="E8" s="143"/>
      <c r="F8" s="143"/>
      <c r="G8" s="143"/>
      <c r="H8" s="143"/>
      <c r="I8" s="143"/>
      <c r="J8" s="143"/>
      <c r="K8" s="143"/>
      <c r="L8" s="143"/>
      <c r="M8" s="9"/>
      <c r="N8" s="111"/>
      <c r="O8" s="113"/>
      <c r="P8" s="111"/>
      <c r="Q8" s="113"/>
      <c r="R8" s="111"/>
      <c r="S8" s="113"/>
      <c r="T8" s="111"/>
      <c r="U8" s="113"/>
      <c r="V8" s="111"/>
      <c r="W8" s="113"/>
      <c r="X8" s="111"/>
      <c r="Y8" s="112"/>
      <c r="Z8" s="112"/>
    </row>
    <row r="9" spans="1:26" ht="22.5" customHeight="1" x14ac:dyDescent="0.2">
      <c r="A9" s="156" t="s">
        <v>49</v>
      </c>
      <c r="B9" s="156"/>
      <c r="C9" s="156"/>
      <c r="D9" s="156"/>
      <c r="E9" s="156"/>
      <c r="F9" s="156"/>
      <c r="G9" s="156"/>
      <c r="H9" s="156"/>
      <c r="I9" s="156"/>
      <c r="J9" s="156"/>
      <c r="K9" s="156"/>
      <c r="L9" s="156"/>
      <c r="M9" s="9"/>
      <c r="N9" s="111"/>
      <c r="O9" s="113"/>
      <c r="P9" s="111"/>
      <c r="Q9" s="113"/>
      <c r="R9" s="111"/>
      <c r="S9" s="113"/>
      <c r="T9" s="111"/>
      <c r="U9" s="113"/>
      <c r="V9" s="111"/>
      <c r="W9" s="113"/>
      <c r="X9" s="111"/>
      <c r="Y9" s="112"/>
      <c r="Z9" s="112"/>
    </row>
    <row r="10" spans="1:26" ht="22.5" customHeight="1" x14ac:dyDescent="0.2">
      <c r="A10" s="151" t="s">
        <v>112</v>
      </c>
      <c r="B10" s="151"/>
      <c r="C10" s="151"/>
      <c r="D10" s="151"/>
      <c r="E10" s="162" t="s">
        <v>407</v>
      </c>
      <c r="F10" s="163"/>
      <c r="G10" s="163"/>
      <c r="H10" s="138" t="s">
        <v>369</v>
      </c>
      <c r="I10" s="138"/>
      <c r="J10" s="138"/>
      <c r="K10" s="138"/>
      <c r="L10" s="138"/>
      <c r="M10" s="9"/>
      <c r="N10" s="111"/>
      <c r="O10" s="113"/>
      <c r="P10" s="111"/>
      <c r="Q10" s="113"/>
      <c r="R10" s="111"/>
      <c r="S10" s="113"/>
      <c r="T10" s="111"/>
      <c r="U10" s="113"/>
      <c r="V10" s="111"/>
      <c r="W10" s="113"/>
      <c r="X10" s="111"/>
      <c r="Y10" s="112"/>
      <c r="Z10" s="112"/>
    </row>
    <row r="11" spans="1:26" ht="22.5" customHeight="1" x14ac:dyDescent="0.2">
      <c r="A11" s="151" t="s">
        <v>113</v>
      </c>
      <c r="B11" s="151"/>
      <c r="C11" s="151"/>
      <c r="D11" s="151"/>
      <c r="E11" s="161" t="s">
        <v>221</v>
      </c>
      <c r="F11" s="161"/>
      <c r="G11" s="161"/>
      <c r="H11" s="161"/>
      <c r="I11" s="138" t="s">
        <v>114</v>
      </c>
      <c r="J11" s="138"/>
      <c r="K11" s="138"/>
      <c r="L11" s="138"/>
      <c r="M11" s="9"/>
      <c r="N11" s="111"/>
      <c r="O11" s="113"/>
      <c r="P11" s="111"/>
      <c r="Q11" s="113"/>
      <c r="R11" s="111"/>
      <c r="S11" s="113"/>
      <c r="T11" s="111"/>
      <c r="U11" s="113"/>
      <c r="V11" s="111"/>
      <c r="W11" s="113"/>
      <c r="X11" s="111"/>
      <c r="Y11" s="112"/>
      <c r="Z11" s="112"/>
    </row>
    <row r="12" spans="1:26" ht="21.75" customHeight="1" x14ac:dyDescent="0.2">
      <c r="A12" s="215"/>
      <c r="B12" s="149"/>
      <c r="C12" s="149"/>
      <c r="D12" s="149"/>
      <c r="E12" s="149"/>
      <c r="F12" s="149"/>
      <c r="G12" s="149"/>
      <c r="H12" s="149"/>
      <c r="I12" s="149"/>
      <c r="J12" s="149"/>
      <c r="K12" s="149"/>
      <c r="L12" s="215"/>
      <c r="M12" s="9"/>
      <c r="N12" s="111"/>
      <c r="O12" s="113"/>
      <c r="P12" s="111"/>
      <c r="Q12" s="113"/>
      <c r="R12" s="111"/>
      <c r="S12" s="113"/>
      <c r="T12" s="111"/>
      <c r="U12" s="113"/>
      <c r="V12" s="111"/>
      <c r="W12" s="113"/>
      <c r="X12" s="111"/>
      <c r="Y12" s="112"/>
      <c r="Z12" s="112"/>
    </row>
    <row r="13" spans="1:26" ht="21.75" customHeight="1" x14ac:dyDescent="0.2">
      <c r="A13" s="187" t="s">
        <v>50</v>
      </c>
      <c r="B13" s="196" t="s">
        <v>56</v>
      </c>
      <c r="C13" s="196"/>
      <c r="D13" s="185" t="s">
        <v>375</v>
      </c>
      <c r="E13" s="186"/>
      <c r="F13" s="195" t="s">
        <v>59</v>
      </c>
      <c r="G13" s="196"/>
      <c r="H13" s="40" t="s">
        <v>375</v>
      </c>
      <c r="I13" s="197" t="s">
        <v>5</v>
      </c>
      <c r="J13" s="195" t="s">
        <v>60</v>
      </c>
      <c r="K13" s="196"/>
      <c r="L13" s="45" t="s">
        <v>65</v>
      </c>
      <c r="M13" s="9"/>
      <c r="N13" s="111"/>
      <c r="O13" s="113"/>
      <c r="P13" s="111"/>
      <c r="Q13" s="113"/>
      <c r="R13" s="111"/>
      <c r="S13" s="113"/>
      <c r="T13" s="111"/>
      <c r="U13" s="113"/>
      <c r="V13" s="111"/>
      <c r="W13" s="113"/>
      <c r="X13" s="111"/>
      <c r="Y13" s="112"/>
      <c r="Z13" s="112"/>
    </row>
    <row r="14" spans="1:26" ht="21.75" customHeight="1" x14ac:dyDescent="0.2">
      <c r="A14" s="188"/>
      <c r="B14" s="201" t="s">
        <v>57</v>
      </c>
      <c r="C14" s="201"/>
      <c r="D14" s="202" t="s">
        <v>376</v>
      </c>
      <c r="E14" s="203"/>
      <c r="F14" s="200" t="s">
        <v>57</v>
      </c>
      <c r="G14" s="201"/>
      <c r="H14" s="42" t="s">
        <v>376</v>
      </c>
      <c r="I14" s="198"/>
      <c r="J14" s="200" t="s">
        <v>61</v>
      </c>
      <c r="K14" s="201"/>
      <c r="L14" s="71" t="s">
        <v>66</v>
      </c>
      <c r="M14" s="9"/>
      <c r="N14" s="111"/>
      <c r="O14" s="113"/>
      <c r="P14" s="111"/>
      <c r="Q14" s="113"/>
      <c r="R14" s="111"/>
      <c r="S14" s="113"/>
      <c r="T14" s="111"/>
      <c r="U14" s="113"/>
      <c r="V14" s="111"/>
      <c r="W14" s="113"/>
      <c r="X14" s="111"/>
      <c r="Y14" s="112"/>
      <c r="Z14" s="112"/>
    </row>
    <row r="15" spans="1:26" ht="21.75" customHeight="1" x14ac:dyDescent="0.2">
      <c r="A15" s="188"/>
      <c r="B15" s="192" t="s">
        <v>58</v>
      </c>
      <c r="C15" s="192"/>
      <c r="D15" s="193">
        <v>7200</v>
      </c>
      <c r="E15" s="194"/>
      <c r="F15" s="191" t="s">
        <v>58</v>
      </c>
      <c r="G15" s="192"/>
      <c r="H15" s="43">
        <v>7200</v>
      </c>
      <c r="I15" s="198"/>
      <c r="J15" s="191" t="s">
        <v>62</v>
      </c>
      <c r="K15" s="192"/>
      <c r="L15" s="71" t="s">
        <v>67</v>
      </c>
      <c r="M15" s="9"/>
      <c r="N15" s="111"/>
      <c r="O15" s="113"/>
      <c r="P15" s="111"/>
      <c r="Q15" s="113"/>
      <c r="R15" s="111"/>
      <c r="S15" s="113"/>
      <c r="T15" s="111"/>
      <c r="U15" s="113"/>
      <c r="V15" s="111"/>
      <c r="W15" s="113"/>
      <c r="X15" s="111"/>
      <c r="Y15" s="112"/>
      <c r="Z15" s="112"/>
    </row>
    <row r="16" spans="1:26" ht="21.75" customHeight="1" x14ac:dyDescent="0.2">
      <c r="A16" s="188"/>
      <c r="B16" s="72" t="s">
        <v>51</v>
      </c>
      <c r="C16" s="44" t="s">
        <v>53</v>
      </c>
      <c r="D16" s="44" t="s">
        <v>54</v>
      </c>
      <c r="E16" s="154"/>
      <c r="F16" s="44" t="s">
        <v>51</v>
      </c>
      <c r="G16" s="44" t="s">
        <v>53</v>
      </c>
      <c r="H16" s="45" t="s">
        <v>54</v>
      </c>
      <c r="I16" s="198"/>
      <c r="J16" s="154" t="s">
        <v>63</v>
      </c>
      <c r="K16" s="154" t="s">
        <v>64</v>
      </c>
      <c r="L16" s="71" t="s">
        <v>68</v>
      </c>
      <c r="M16" s="9"/>
      <c r="N16" s="111"/>
      <c r="O16" s="113"/>
      <c r="P16" s="111"/>
      <c r="Q16" s="113"/>
      <c r="R16" s="111"/>
      <c r="S16" s="113"/>
      <c r="T16" s="111"/>
      <c r="U16" s="113"/>
      <c r="V16" s="111"/>
      <c r="W16" s="113"/>
      <c r="X16" s="111"/>
      <c r="Y16" s="112"/>
      <c r="Z16" s="112"/>
    </row>
    <row r="17" spans="1:26" ht="21.75" customHeight="1" x14ac:dyDescent="0.2">
      <c r="A17" s="188"/>
      <c r="B17" s="44" t="s">
        <v>52</v>
      </c>
      <c r="C17" s="46" t="s">
        <v>51</v>
      </c>
      <c r="D17" s="46" t="s">
        <v>55</v>
      </c>
      <c r="E17" s="190"/>
      <c r="F17" s="46" t="s">
        <v>52</v>
      </c>
      <c r="G17" s="47" t="s">
        <v>51</v>
      </c>
      <c r="H17" s="48" t="s">
        <v>55</v>
      </c>
      <c r="I17" s="199"/>
      <c r="J17" s="155"/>
      <c r="K17" s="155"/>
      <c r="L17" s="48" t="s">
        <v>69</v>
      </c>
      <c r="M17" s="130" t="s">
        <v>92</v>
      </c>
      <c r="N17" s="130"/>
      <c r="O17" s="130"/>
      <c r="P17" s="130"/>
      <c r="Q17" s="130"/>
      <c r="R17" s="130"/>
      <c r="S17" s="130"/>
      <c r="T17" s="130"/>
      <c r="U17" s="130"/>
      <c r="V17" s="130"/>
      <c r="W17" s="130"/>
      <c r="X17" s="130"/>
      <c r="Y17" s="130"/>
      <c r="Z17" s="130"/>
    </row>
    <row r="18" spans="1:26" ht="23.25" customHeight="1" x14ac:dyDescent="0.2">
      <c r="A18" s="39" t="s">
        <v>7</v>
      </c>
      <c r="B18" s="82">
        <v>5382.7906000000003</v>
      </c>
      <c r="C18" s="25"/>
      <c r="D18" s="24"/>
      <c r="E18" s="108"/>
      <c r="F18" s="82">
        <v>2978.4389000000001</v>
      </c>
      <c r="G18" s="22"/>
      <c r="H18" s="50"/>
      <c r="I18" s="52"/>
      <c r="J18" s="39"/>
      <c r="K18" s="79"/>
      <c r="L18" s="74"/>
      <c r="M18" s="123" t="s">
        <v>79</v>
      </c>
      <c r="N18" s="121" t="s">
        <v>98</v>
      </c>
      <c r="O18" s="121"/>
      <c r="P18" s="121"/>
      <c r="Q18" s="121" t="s">
        <v>107</v>
      </c>
      <c r="R18" s="121"/>
      <c r="S18" s="121"/>
      <c r="T18" s="121" t="s">
        <v>93</v>
      </c>
      <c r="U18" s="121"/>
      <c r="V18" s="121"/>
      <c r="W18" s="124" t="s">
        <v>91</v>
      </c>
      <c r="X18" s="131"/>
      <c r="Y18" s="131"/>
      <c r="Z18" s="131"/>
    </row>
    <row r="19" spans="1:26" ht="23.25" customHeight="1" x14ac:dyDescent="0.2">
      <c r="A19" s="39" t="s">
        <v>8</v>
      </c>
      <c r="B19" s="82">
        <v>5382.8648999999996</v>
      </c>
      <c r="C19" s="25">
        <f t="shared" ref="C19:C42" si="0">IF(B19="","",IF(LEN(TRUNC(B18,0))-LEN(TRUNC(B19,0))=0,B19-B18,IF(LEN(TRUNC(B18,0))-LEN(TRUNC(B19,0))&gt;0,VALUE(LEFT(B18,LEN(TRUNC(B18,0))-LEN(TRUNC(B19,0))))*POWER(10,LEN(TRUNC(B19,0)))+B19-B18,B19-B18-VALUE(LEFT(B19,LEN(TRUNC(B19,0))-LEN(TRUNC(B18,0))))*POWER(10,LEN(TRUNC(B18,0))))))</f>
        <v>7.4299999999311694E-2</v>
      </c>
      <c r="D19" s="24">
        <f t="shared" ref="D19:D42" si="1">IF(C19="","",C19*$D$15)</f>
        <v>534.9599999950442</v>
      </c>
      <c r="E19" s="108"/>
      <c r="F19" s="82">
        <v>2978.4874</v>
      </c>
      <c r="G19" s="22">
        <f t="shared" ref="G19:G42" si="2">IF(F19="","",IF(LEN(TRUNC(F18,0))-LEN(TRUNC(F19,0))=0,F19-F18,IF(LEN(TRUNC(F18,0))-LEN(TRUNC(F19,0))&gt;0,VALUE(LEFT(F18,LEN(TRUNC(F18,0))-LEN(TRUNC(F19,0))))*POWER(10,LEN(TRUNC(F19,0)))+F19-F18,F19-F18-VALUE(LEFT(F19,LEN(TRUNC(F19,0))-LEN(TRUNC(F18,0))))*POWER(10,LEN(TRUNC(F18,0))))))</f>
        <v>4.8499999999876309E-2</v>
      </c>
      <c r="H19" s="50">
        <f t="shared" ref="H19:H42" si="3">IF(G19="","",G19*$H$15)</f>
        <v>349.19999999910942</v>
      </c>
      <c r="I19" s="52">
        <f t="shared" ref="I19:I42" si="4">IF(H19="","",IF(D19="","",IF(AND(H19=0,D19=0),0,H19/D19)))</f>
        <v>0.65275908479576861</v>
      </c>
      <c r="J19" s="52">
        <v>6.3117969999999994</v>
      </c>
      <c r="K19" s="83"/>
      <c r="L19" s="66"/>
      <c r="M19" s="116"/>
      <c r="N19" s="118"/>
      <c r="O19" s="118"/>
      <c r="P19" s="118"/>
      <c r="Q19" s="118" t="s">
        <v>108</v>
      </c>
      <c r="R19" s="118"/>
      <c r="S19" s="118"/>
      <c r="T19" s="118"/>
      <c r="U19" s="118"/>
      <c r="V19" s="118"/>
      <c r="W19" s="125"/>
      <c r="X19" s="122"/>
      <c r="Y19" s="122"/>
      <c r="Z19" s="122"/>
    </row>
    <row r="20" spans="1:26" ht="23.25" customHeight="1" x14ac:dyDescent="0.2">
      <c r="A20" s="39" t="s">
        <v>9</v>
      </c>
      <c r="B20" s="82">
        <v>5382.9396999999999</v>
      </c>
      <c r="C20" s="25">
        <f t="shared" si="0"/>
        <v>7.4800000000323053E-2</v>
      </c>
      <c r="D20" s="24">
        <f t="shared" si="1"/>
        <v>538.56000000232598</v>
      </c>
      <c r="E20" s="108"/>
      <c r="F20" s="82">
        <v>2978.5360000000001</v>
      </c>
      <c r="G20" s="22">
        <f t="shared" si="2"/>
        <v>4.860000000007858E-2</v>
      </c>
      <c r="H20" s="50">
        <f t="shared" si="3"/>
        <v>349.92000000056578</v>
      </c>
      <c r="I20" s="52">
        <f t="shared" si="4"/>
        <v>0.64973262031910006</v>
      </c>
      <c r="J20" s="52">
        <v>6.3112810000000001</v>
      </c>
      <c r="K20" s="83"/>
      <c r="L20" s="66"/>
      <c r="M20" s="116" t="s">
        <v>80</v>
      </c>
      <c r="N20" s="118" t="s">
        <v>99</v>
      </c>
      <c r="O20" s="118"/>
      <c r="P20" s="118"/>
      <c r="Q20" s="118" t="s">
        <v>181</v>
      </c>
      <c r="R20" s="118"/>
      <c r="S20" s="118"/>
      <c r="T20" s="118" t="s">
        <v>94</v>
      </c>
      <c r="U20" s="118"/>
      <c r="V20" s="118"/>
      <c r="W20" s="125"/>
      <c r="X20" s="122"/>
      <c r="Y20" s="122"/>
      <c r="Z20" s="122"/>
    </row>
    <row r="21" spans="1:26" ht="23.25" customHeight="1" x14ac:dyDescent="0.2">
      <c r="A21" s="39" t="s">
        <v>10</v>
      </c>
      <c r="B21" s="82">
        <v>5383.0140000000001</v>
      </c>
      <c r="C21" s="25">
        <f t="shared" si="0"/>
        <v>7.4300000000221189E-2</v>
      </c>
      <c r="D21" s="24">
        <f t="shared" si="1"/>
        <v>534.96000000159256</v>
      </c>
      <c r="E21" s="108"/>
      <c r="F21" s="82">
        <v>2978.5844999999999</v>
      </c>
      <c r="G21" s="22">
        <f t="shared" si="2"/>
        <v>4.8499999999876309E-2</v>
      </c>
      <c r="H21" s="50">
        <f t="shared" si="3"/>
        <v>349.19999999910942</v>
      </c>
      <c r="I21" s="52">
        <f t="shared" si="4"/>
        <v>0.65275908478777822</v>
      </c>
      <c r="J21" s="52">
        <v>6.3157909999999999</v>
      </c>
      <c r="K21" s="83"/>
      <c r="L21" s="66"/>
      <c r="M21" s="117"/>
      <c r="N21" s="119"/>
      <c r="O21" s="119"/>
      <c r="P21" s="119"/>
      <c r="Q21" s="119"/>
      <c r="R21" s="119"/>
      <c r="S21" s="119"/>
      <c r="T21" s="119"/>
      <c r="U21" s="119"/>
      <c r="V21" s="119"/>
      <c r="W21" s="127"/>
      <c r="X21" s="130"/>
      <c r="Y21" s="130"/>
      <c r="Z21" s="130"/>
    </row>
    <row r="22" spans="1:26" ht="23.25" customHeight="1" x14ac:dyDescent="0.2">
      <c r="A22" s="39" t="s">
        <v>11</v>
      </c>
      <c r="B22" s="82">
        <v>5383.0888000000004</v>
      </c>
      <c r="C22" s="25">
        <f t="shared" si="0"/>
        <v>7.4800000000323053E-2</v>
      </c>
      <c r="D22" s="24">
        <f t="shared" si="1"/>
        <v>538.56000000232598</v>
      </c>
      <c r="E22" s="108"/>
      <c r="F22" s="82">
        <v>2978.6334000000002</v>
      </c>
      <c r="G22" s="22">
        <f t="shared" si="2"/>
        <v>4.8900000000230648E-2</v>
      </c>
      <c r="H22" s="50">
        <f t="shared" si="3"/>
        <v>352.08000000166066</v>
      </c>
      <c r="I22" s="52">
        <f t="shared" si="4"/>
        <v>0.65374331550828146</v>
      </c>
      <c r="J22" s="52">
        <v>6.3320400000000001</v>
      </c>
      <c r="K22" s="83"/>
      <c r="L22" s="66"/>
      <c r="M22" s="9"/>
      <c r="N22" s="120"/>
      <c r="O22" s="120"/>
      <c r="P22" s="120"/>
      <c r="Q22" s="120"/>
      <c r="R22" s="120"/>
      <c r="S22" s="120"/>
      <c r="T22" s="120"/>
      <c r="U22" s="120"/>
      <c r="V22" s="120"/>
      <c r="W22" s="111"/>
      <c r="X22" s="112"/>
      <c r="Y22" s="112"/>
      <c r="Z22" s="112"/>
    </row>
    <row r="23" spans="1:26" ht="23.25" customHeight="1" x14ac:dyDescent="0.2">
      <c r="A23" s="39" t="s">
        <v>12</v>
      </c>
      <c r="B23" s="82">
        <v>5383.1642000000002</v>
      </c>
      <c r="C23" s="25">
        <f t="shared" si="0"/>
        <v>7.5399999999717693E-2</v>
      </c>
      <c r="D23" s="24">
        <f t="shared" si="1"/>
        <v>542.87999999796739</v>
      </c>
      <c r="E23" s="108"/>
      <c r="F23" s="82">
        <v>2978.6822999999999</v>
      </c>
      <c r="G23" s="22">
        <f t="shared" si="2"/>
        <v>4.8899999999775901E-2</v>
      </c>
      <c r="H23" s="50">
        <f t="shared" si="3"/>
        <v>352.07999999838648</v>
      </c>
      <c r="I23" s="52">
        <f t="shared" si="4"/>
        <v>0.64854111405781156</v>
      </c>
      <c r="J23" s="52">
        <v>6.2726220000000001</v>
      </c>
      <c r="K23" s="83"/>
      <c r="L23" s="66"/>
      <c r="M23" s="9"/>
      <c r="N23" s="120"/>
      <c r="O23" s="120"/>
      <c r="P23" s="120"/>
      <c r="Q23" s="120"/>
      <c r="R23" s="120"/>
      <c r="S23" s="120"/>
      <c r="T23" s="120"/>
      <c r="U23" s="120"/>
      <c r="V23" s="120"/>
      <c r="W23" s="111"/>
      <c r="X23" s="112"/>
      <c r="Y23" s="112"/>
      <c r="Z23" s="112"/>
    </row>
    <row r="24" spans="1:26" ht="23.25" customHeight="1" x14ac:dyDescent="0.2">
      <c r="A24" s="39" t="s">
        <v>13</v>
      </c>
      <c r="B24" s="82">
        <v>5383.2398000000003</v>
      </c>
      <c r="C24" s="25">
        <f t="shared" si="0"/>
        <v>7.5600000000122236E-2</v>
      </c>
      <c r="D24" s="24">
        <f t="shared" si="1"/>
        <v>544.3200000008801</v>
      </c>
      <c r="E24" s="108"/>
      <c r="F24" s="82">
        <v>2978.7307999999998</v>
      </c>
      <c r="G24" s="22">
        <f t="shared" si="2"/>
        <v>4.8499999999876309E-2</v>
      </c>
      <c r="H24" s="50">
        <f t="shared" si="3"/>
        <v>349.19999999910942</v>
      </c>
      <c r="I24" s="52">
        <f t="shared" si="4"/>
        <v>0.6415343915317181</v>
      </c>
      <c r="J24" s="52">
        <v>6.3285530000000003</v>
      </c>
      <c r="K24" s="83"/>
      <c r="L24" s="66"/>
      <c r="M24" s="9"/>
      <c r="N24" s="120"/>
      <c r="O24" s="120"/>
      <c r="P24" s="120"/>
      <c r="Q24" s="120"/>
      <c r="R24" s="120"/>
      <c r="S24" s="120"/>
      <c r="T24" s="120"/>
      <c r="U24" s="120"/>
      <c r="V24" s="120"/>
      <c r="W24" s="111"/>
      <c r="X24" s="112"/>
      <c r="Y24" s="112"/>
      <c r="Z24" s="112"/>
    </row>
    <row r="25" spans="1:26" ht="23.25" customHeight="1" x14ac:dyDescent="0.2">
      <c r="A25" s="39" t="s">
        <v>14</v>
      </c>
      <c r="B25" s="82">
        <v>5383.3152</v>
      </c>
      <c r="C25" s="25">
        <f t="shared" si="0"/>
        <v>7.5399999999717693E-2</v>
      </c>
      <c r="D25" s="24">
        <f t="shared" si="1"/>
        <v>542.87999999796739</v>
      </c>
      <c r="E25" s="108"/>
      <c r="F25" s="82">
        <v>2978.7788</v>
      </c>
      <c r="G25" s="22">
        <f t="shared" si="2"/>
        <v>4.8000000000229193E-2</v>
      </c>
      <c r="H25" s="50">
        <f t="shared" si="3"/>
        <v>345.60000000165019</v>
      </c>
      <c r="I25" s="52">
        <f t="shared" si="4"/>
        <v>0.63660477454123221</v>
      </c>
      <c r="J25" s="52">
        <v>6.2951859999999993</v>
      </c>
      <c r="K25" s="83"/>
      <c r="L25" s="66"/>
      <c r="M25" s="9"/>
      <c r="N25" s="120"/>
      <c r="O25" s="120"/>
      <c r="P25" s="120"/>
      <c r="Q25" s="120"/>
      <c r="R25" s="120"/>
      <c r="S25" s="120"/>
      <c r="T25" s="120"/>
      <c r="U25" s="120"/>
      <c r="V25" s="120"/>
      <c r="W25" s="111"/>
      <c r="X25" s="112"/>
      <c r="Y25" s="112"/>
      <c r="Z25" s="112"/>
    </row>
    <row r="26" spans="1:26" ht="23.25" customHeight="1" x14ac:dyDescent="0.2">
      <c r="A26" s="39" t="s">
        <v>15</v>
      </c>
      <c r="B26" s="82">
        <v>5383.3899000000001</v>
      </c>
      <c r="C26" s="25">
        <f t="shared" si="0"/>
        <v>7.4700000000120781E-2</v>
      </c>
      <c r="D26" s="24">
        <f t="shared" si="1"/>
        <v>537.84000000086962</v>
      </c>
      <c r="E26" s="108"/>
      <c r="F26" s="82">
        <v>2978.8269</v>
      </c>
      <c r="G26" s="22">
        <f t="shared" si="2"/>
        <v>4.8099999999976717E-2</v>
      </c>
      <c r="H26" s="50">
        <f t="shared" si="3"/>
        <v>346.31999999983236</v>
      </c>
      <c r="I26" s="52">
        <f t="shared" si="4"/>
        <v>0.64390896920882124</v>
      </c>
      <c r="J26" s="52">
        <v>6.2709289999999998</v>
      </c>
      <c r="K26" s="83"/>
      <c r="L26" s="66"/>
      <c r="M26" s="9"/>
      <c r="N26" s="120"/>
      <c r="O26" s="120"/>
      <c r="P26" s="120"/>
      <c r="Q26" s="120"/>
      <c r="R26" s="120"/>
      <c r="S26" s="120"/>
      <c r="T26" s="120"/>
      <c r="U26" s="120"/>
      <c r="V26" s="120"/>
      <c r="W26" s="111"/>
      <c r="X26" s="112"/>
      <c r="Y26" s="112"/>
      <c r="Z26" s="112"/>
    </row>
    <row r="27" spans="1:26" ht="23.25" customHeight="1" x14ac:dyDescent="0.2">
      <c r="A27" s="39" t="s">
        <v>16</v>
      </c>
      <c r="B27" s="82">
        <v>5383.4645</v>
      </c>
      <c r="C27" s="25">
        <f t="shared" si="0"/>
        <v>7.4599999999918509E-2</v>
      </c>
      <c r="D27" s="24">
        <f t="shared" si="1"/>
        <v>537.11999999941327</v>
      </c>
      <c r="E27" s="108"/>
      <c r="F27" s="82">
        <v>2978.8744999999999</v>
      </c>
      <c r="G27" s="22">
        <f t="shared" si="2"/>
        <v>4.7599999999874854E-2</v>
      </c>
      <c r="H27" s="50">
        <f t="shared" si="3"/>
        <v>342.71999999909895</v>
      </c>
      <c r="I27" s="52">
        <f t="shared" si="4"/>
        <v>0.63806970509285321</v>
      </c>
      <c r="J27" s="52">
        <v>6.207516</v>
      </c>
      <c r="K27" s="83"/>
      <c r="L27" s="66"/>
      <c r="M27" s="9"/>
      <c r="N27" s="120"/>
      <c r="O27" s="120"/>
      <c r="P27" s="120"/>
      <c r="Q27" s="120"/>
      <c r="R27" s="120"/>
      <c r="S27" s="120"/>
      <c r="T27" s="120"/>
      <c r="U27" s="120"/>
      <c r="V27" s="120"/>
      <c r="W27" s="111"/>
      <c r="X27" s="112"/>
      <c r="Y27" s="112"/>
      <c r="Z27" s="112"/>
    </row>
    <row r="28" spans="1:26" ht="23.25" customHeight="1" x14ac:dyDescent="0.2">
      <c r="A28" s="39" t="s">
        <v>17</v>
      </c>
      <c r="B28" s="82">
        <v>5383.5388999999996</v>
      </c>
      <c r="C28" s="25">
        <f t="shared" si="0"/>
        <v>7.4399999999513966E-2</v>
      </c>
      <c r="D28" s="24">
        <f t="shared" si="1"/>
        <v>535.67999999650056</v>
      </c>
      <c r="E28" s="108"/>
      <c r="F28" s="82">
        <v>2978.9218999999998</v>
      </c>
      <c r="G28" s="22">
        <f t="shared" si="2"/>
        <v>4.7399999999925058E-2</v>
      </c>
      <c r="H28" s="50">
        <f t="shared" si="3"/>
        <v>341.27999999946041</v>
      </c>
      <c r="I28" s="52">
        <f t="shared" si="4"/>
        <v>0.63709677419670308</v>
      </c>
      <c r="J28" s="52">
        <v>6.1837439999999999</v>
      </c>
      <c r="K28" s="83"/>
      <c r="L28" s="66"/>
      <c r="M28" s="9"/>
      <c r="N28" s="120"/>
      <c r="O28" s="120"/>
      <c r="P28" s="120"/>
      <c r="Q28" s="120"/>
      <c r="R28" s="120"/>
      <c r="S28" s="120"/>
      <c r="T28" s="120"/>
      <c r="U28" s="120"/>
      <c r="V28" s="120"/>
      <c r="W28" s="111"/>
      <c r="X28" s="112"/>
      <c r="Y28" s="112"/>
      <c r="Z28" s="112"/>
    </row>
    <row r="29" spans="1:26" ht="23.25" customHeight="1" x14ac:dyDescent="0.2">
      <c r="A29" s="39" t="s">
        <v>18</v>
      </c>
      <c r="B29" s="82">
        <v>5383.6138000000001</v>
      </c>
      <c r="C29" s="25">
        <f t="shared" si="0"/>
        <v>7.4900000000525324E-2</v>
      </c>
      <c r="D29" s="24">
        <f t="shared" si="1"/>
        <v>539.28000000378233</v>
      </c>
      <c r="E29" s="108"/>
      <c r="F29" s="82">
        <v>2978.9695000000002</v>
      </c>
      <c r="G29" s="22">
        <f t="shared" si="2"/>
        <v>4.7600000000329601E-2</v>
      </c>
      <c r="H29" s="50">
        <f t="shared" si="3"/>
        <v>342.72000000237313</v>
      </c>
      <c r="I29" s="52">
        <f t="shared" si="4"/>
        <v>0.63551401869153201</v>
      </c>
      <c r="J29" s="52">
        <v>6.2108509999999999</v>
      </c>
      <c r="K29" s="83"/>
      <c r="L29" s="66"/>
      <c r="M29" s="145" t="s">
        <v>95</v>
      </c>
      <c r="N29" s="145"/>
      <c r="O29" s="145"/>
      <c r="P29" s="145"/>
      <c r="Q29" s="145"/>
      <c r="R29" s="145"/>
      <c r="S29" s="145"/>
      <c r="T29" s="145"/>
      <c r="U29" s="145"/>
      <c r="V29" s="145"/>
      <c r="W29" s="145"/>
      <c r="X29" s="145"/>
      <c r="Y29" s="145"/>
      <c r="Z29" s="145"/>
    </row>
    <row r="30" spans="1:26" ht="23.25" customHeight="1" x14ac:dyDescent="0.2">
      <c r="A30" s="39" t="s">
        <v>19</v>
      </c>
      <c r="B30" s="82">
        <v>5383.6884</v>
      </c>
      <c r="C30" s="25">
        <f t="shared" si="0"/>
        <v>7.4599999999918509E-2</v>
      </c>
      <c r="D30" s="24">
        <f t="shared" si="1"/>
        <v>537.11999999941327</v>
      </c>
      <c r="E30" s="108"/>
      <c r="F30" s="82">
        <v>2979.0174999999999</v>
      </c>
      <c r="G30" s="22">
        <f t="shared" si="2"/>
        <v>4.7999999999774445E-2</v>
      </c>
      <c r="H30" s="50">
        <f t="shared" si="3"/>
        <v>345.59999999837601</v>
      </c>
      <c r="I30" s="52">
        <f t="shared" si="4"/>
        <v>0.64343163538641934</v>
      </c>
      <c r="J30" s="52">
        <v>6.2406139999999999</v>
      </c>
      <c r="K30" s="83"/>
      <c r="L30" s="66"/>
      <c r="M30" s="122" t="s">
        <v>97</v>
      </c>
      <c r="N30" s="122"/>
      <c r="O30" s="122"/>
      <c r="P30" s="122"/>
      <c r="Q30" s="122"/>
      <c r="R30" s="122"/>
      <c r="S30" s="122"/>
      <c r="T30" s="122"/>
      <c r="U30" s="122"/>
      <c r="V30" s="122"/>
      <c r="W30" s="122"/>
      <c r="X30" s="122"/>
      <c r="Y30" s="122"/>
      <c r="Z30" s="122"/>
    </row>
    <row r="31" spans="1:26" ht="23.25" customHeight="1" x14ac:dyDescent="0.2">
      <c r="A31" s="39" t="s">
        <v>20</v>
      </c>
      <c r="B31" s="82">
        <v>5383.7631000000001</v>
      </c>
      <c r="C31" s="25">
        <f t="shared" si="0"/>
        <v>7.4700000000120781E-2</v>
      </c>
      <c r="D31" s="24">
        <f t="shared" si="1"/>
        <v>537.84000000086962</v>
      </c>
      <c r="E31" s="108"/>
      <c r="F31" s="82">
        <v>2979.0659999999998</v>
      </c>
      <c r="G31" s="22">
        <f t="shared" si="2"/>
        <v>4.8499999999876309E-2</v>
      </c>
      <c r="H31" s="50">
        <f t="shared" si="3"/>
        <v>349.19999999910942</v>
      </c>
      <c r="I31" s="52">
        <f t="shared" si="4"/>
        <v>0.64926372155017253</v>
      </c>
      <c r="J31" s="52">
        <v>6.2685050000000002</v>
      </c>
      <c r="K31" s="83"/>
      <c r="L31" s="66"/>
      <c r="M31" s="123" t="s">
        <v>79</v>
      </c>
      <c r="N31" s="121" t="s">
        <v>98</v>
      </c>
      <c r="O31" s="121"/>
      <c r="P31" s="121" t="s">
        <v>100</v>
      </c>
      <c r="Q31" s="121"/>
      <c r="R31" s="121" t="s">
        <v>93</v>
      </c>
      <c r="S31" s="121"/>
      <c r="T31" s="121" t="s">
        <v>103</v>
      </c>
      <c r="U31" s="121"/>
      <c r="V31" s="121" t="s">
        <v>179</v>
      </c>
      <c r="W31" s="121"/>
      <c r="X31" s="121"/>
      <c r="Y31" s="121" t="s">
        <v>91</v>
      </c>
      <c r="Z31" s="124"/>
    </row>
    <row r="32" spans="1:26" ht="23.25" customHeight="1" x14ac:dyDescent="0.2">
      <c r="A32" s="39" t="s">
        <v>21</v>
      </c>
      <c r="B32" s="82">
        <v>5383.8388000000004</v>
      </c>
      <c r="C32" s="25">
        <f t="shared" si="0"/>
        <v>7.5700000000324508E-2</v>
      </c>
      <c r="D32" s="24">
        <f t="shared" si="1"/>
        <v>545.04000000233646</v>
      </c>
      <c r="E32" s="108"/>
      <c r="F32" s="82">
        <v>2979.1147999999998</v>
      </c>
      <c r="G32" s="22">
        <f t="shared" si="2"/>
        <v>4.8800000000028376E-2</v>
      </c>
      <c r="H32" s="50">
        <f t="shared" si="3"/>
        <v>351.36000000020431</v>
      </c>
      <c r="I32" s="52">
        <f t="shared" si="4"/>
        <v>0.64464993394741321</v>
      </c>
      <c r="J32" s="52">
        <v>6.2457969999999996</v>
      </c>
      <c r="K32" s="83"/>
      <c r="L32" s="66"/>
      <c r="M32" s="116"/>
      <c r="N32" s="118"/>
      <c r="O32" s="118"/>
      <c r="P32" s="118" t="s">
        <v>83</v>
      </c>
      <c r="Q32" s="118"/>
      <c r="R32" s="118" t="s">
        <v>102</v>
      </c>
      <c r="S32" s="118"/>
      <c r="T32" s="118" t="s">
        <v>104</v>
      </c>
      <c r="U32" s="118"/>
      <c r="V32" s="118" t="s">
        <v>105</v>
      </c>
      <c r="W32" s="118"/>
      <c r="X32" s="118"/>
      <c r="Y32" s="118"/>
      <c r="Z32" s="125"/>
    </row>
    <row r="33" spans="1:26" ht="23.25" customHeight="1" x14ac:dyDescent="0.2">
      <c r="A33" s="39" t="s">
        <v>22</v>
      </c>
      <c r="B33" s="82">
        <v>5383.9144999999999</v>
      </c>
      <c r="C33" s="25">
        <f t="shared" si="0"/>
        <v>7.5699999999415013E-2</v>
      </c>
      <c r="D33" s="24">
        <f t="shared" si="1"/>
        <v>545.03999999578809</v>
      </c>
      <c r="E33" s="108"/>
      <c r="F33" s="82">
        <v>2979.163</v>
      </c>
      <c r="G33" s="22">
        <f t="shared" si="2"/>
        <v>4.8200000000178989E-2</v>
      </c>
      <c r="H33" s="50">
        <f t="shared" si="3"/>
        <v>347.04000000128872</v>
      </c>
      <c r="I33" s="52">
        <f t="shared" si="4"/>
        <v>0.63672391017901542</v>
      </c>
      <c r="J33" s="52">
        <v>6.2404359999999999</v>
      </c>
      <c r="K33" s="83"/>
      <c r="L33" s="66"/>
      <c r="M33" s="116" t="s">
        <v>80</v>
      </c>
      <c r="N33" s="118" t="s">
        <v>99</v>
      </c>
      <c r="O33" s="118"/>
      <c r="P33" s="118" t="s">
        <v>101</v>
      </c>
      <c r="Q33" s="118"/>
      <c r="R33" s="118" t="s">
        <v>69</v>
      </c>
      <c r="S33" s="118"/>
      <c r="T33" s="118" t="s">
        <v>69</v>
      </c>
      <c r="U33" s="118"/>
      <c r="V33" s="118" t="s">
        <v>106</v>
      </c>
      <c r="W33" s="118"/>
      <c r="X33" s="118"/>
      <c r="Y33" s="118"/>
      <c r="Z33" s="125"/>
    </row>
    <row r="34" spans="1:26" ht="23.25" customHeight="1" x14ac:dyDescent="0.2">
      <c r="A34" s="39" t="s">
        <v>23</v>
      </c>
      <c r="B34" s="82">
        <v>5383.9894000000004</v>
      </c>
      <c r="C34" s="25">
        <f t="shared" si="0"/>
        <v>7.4900000000525324E-2</v>
      </c>
      <c r="D34" s="24">
        <f t="shared" si="1"/>
        <v>539.28000000378233</v>
      </c>
      <c r="E34" s="108"/>
      <c r="F34" s="82">
        <v>2979.2114000000001</v>
      </c>
      <c r="G34" s="22">
        <f t="shared" si="2"/>
        <v>4.8400000000128784E-2</v>
      </c>
      <c r="H34" s="50">
        <f t="shared" si="3"/>
        <v>348.48000000092725</v>
      </c>
      <c r="I34" s="52">
        <f t="shared" si="4"/>
        <v>0.64619492656594557</v>
      </c>
      <c r="J34" s="52">
        <v>6.2530000000000001</v>
      </c>
      <c r="K34" s="83"/>
      <c r="L34" s="66"/>
      <c r="M34" s="117"/>
      <c r="N34" s="119"/>
      <c r="O34" s="119"/>
      <c r="P34" s="119"/>
      <c r="Q34" s="119"/>
      <c r="R34" s="127"/>
      <c r="S34" s="117"/>
      <c r="T34" s="127"/>
      <c r="U34" s="117"/>
      <c r="V34" s="127"/>
      <c r="W34" s="130"/>
      <c r="X34" s="117"/>
      <c r="Y34" s="119"/>
      <c r="Z34" s="127"/>
    </row>
    <row r="35" spans="1:26" ht="23.25" customHeight="1" x14ac:dyDescent="0.2">
      <c r="A35" s="39" t="s">
        <v>24</v>
      </c>
      <c r="B35" s="82">
        <v>5384.0646999999999</v>
      </c>
      <c r="C35" s="25">
        <f t="shared" si="0"/>
        <v>7.5299999999515421E-2</v>
      </c>
      <c r="D35" s="24">
        <f t="shared" si="1"/>
        <v>542.15999999651103</v>
      </c>
      <c r="E35" s="108"/>
      <c r="F35" s="82">
        <v>2979.2595000000001</v>
      </c>
      <c r="G35" s="22">
        <f t="shared" si="2"/>
        <v>4.8099999999976717E-2</v>
      </c>
      <c r="H35" s="50">
        <f t="shared" si="3"/>
        <v>346.31999999983236</v>
      </c>
      <c r="I35" s="52">
        <f t="shared" si="4"/>
        <v>0.63877822045532873</v>
      </c>
      <c r="J35" s="52">
        <v>6.2354799999999999</v>
      </c>
      <c r="K35" s="83"/>
      <c r="L35" s="66"/>
      <c r="M35" s="9"/>
      <c r="N35" s="120" t="s">
        <v>168</v>
      </c>
      <c r="O35" s="120"/>
      <c r="P35" s="126">
        <v>6</v>
      </c>
      <c r="Q35" s="126"/>
      <c r="R35" s="120">
        <v>250</v>
      </c>
      <c r="S35" s="120"/>
      <c r="T35" s="120"/>
      <c r="U35" s="120"/>
      <c r="V35" s="120"/>
      <c r="W35" s="120"/>
      <c r="X35" s="120"/>
      <c r="Y35" s="120"/>
      <c r="Z35" s="111"/>
    </row>
    <row r="36" spans="1:26" ht="23.25" customHeight="1" x14ac:dyDescent="0.2">
      <c r="A36" s="39" t="s">
        <v>25</v>
      </c>
      <c r="B36" s="82">
        <v>5384.1409000000003</v>
      </c>
      <c r="C36" s="25">
        <f t="shared" si="0"/>
        <v>7.6200000000426371E-2</v>
      </c>
      <c r="D36" s="24">
        <f t="shared" si="1"/>
        <v>548.64000000306987</v>
      </c>
      <c r="E36" s="108"/>
      <c r="F36" s="82">
        <v>2979.3072000000002</v>
      </c>
      <c r="G36" s="22">
        <f t="shared" si="2"/>
        <v>4.7700000000077125E-2</v>
      </c>
      <c r="H36" s="50">
        <f t="shared" si="3"/>
        <v>343.4400000005553</v>
      </c>
      <c r="I36" s="52">
        <f t="shared" si="4"/>
        <v>0.62598425196601348</v>
      </c>
      <c r="J36" s="52">
        <v>6.2213539999999998</v>
      </c>
      <c r="K36" s="83"/>
      <c r="L36" s="66"/>
      <c r="M36" s="9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11"/>
    </row>
    <row r="37" spans="1:26" ht="23.25" customHeight="1" x14ac:dyDescent="0.2">
      <c r="A37" s="39" t="s">
        <v>26</v>
      </c>
      <c r="B37" s="82">
        <v>5384.2169000000004</v>
      </c>
      <c r="C37" s="25">
        <f t="shared" si="0"/>
        <v>7.6000000000021828E-2</v>
      </c>
      <c r="D37" s="24">
        <f t="shared" si="1"/>
        <v>547.20000000015716</v>
      </c>
      <c r="E37" s="108"/>
      <c r="F37" s="82">
        <v>2979.3544999999999</v>
      </c>
      <c r="G37" s="22">
        <f t="shared" si="2"/>
        <v>4.7299999999722786E-2</v>
      </c>
      <c r="H37" s="50">
        <f t="shared" si="3"/>
        <v>340.55999999800406</v>
      </c>
      <c r="I37" s="52">
        <f t="shared" si="4"/>
        <v>0.6223684210488053</v>
      </c>
      <c r="J37" s="52">
        <v>6.1610240000000003</v>
      </c>
      <c r="K37" s="83"/>
      <c r="L37" s="66"/>
      <c r="M37" s="9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11"/>
    </row>
    <row r="38" spans="1:26" ht="23.25" customHeight="1" x14ac:dyDescent="0.2">
      <c r="A38" s="39" t="s">
        <v>27</v>
      </c>
      <c r="B38" s="82">
        <v>5384.2937000000002</v>
      </c>
      <c r="C38" s="25">
        <f t="shared" si="0"/>
        <v>7.6799999999821011E-2</v>
      </c>
      <c r="D38" s="24">
        <f t="shared" si="1"/>
        <v>552.95999999871128</v>
      </c>
      <c r="E38" s="108"/>
      <c r="F38" s="82">
        <v>2979.4027000000001</v>
      </c>
      <c r="G38" s="22">
        <f t="shared" si="2"/>
        <v>4.8200000000178989E-2</v>
      </c>
      <c r="H38" s="50">
        <f t="shared" si="3"/>
        <v>347.04000000128872</v>
      </c>
      <c r="I38" s="52">
        <f t="shared" si="4"/>
        <v>0.62760416667045993</v>
      </c>
      <c r="J38" s="52">
        <v>6.1886629999999991</v>
      </c>
      <c r="K38" s="83"/>
      <c r="L38" s="66"/>
      <c r="M38" s="9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11"/>
    </row>
    <row r="39" spans="1:26" ht="23.25" customHeight="1" x14ac:dyDescent="0.2">
      <c r="A39" s="39" t="s">
        <v>28</v>
      </c>
      <c r="B39" s="82">
        <v>5384.3706000000002</v>
      </c>
      <c r="C39" s="25">
        <f t="shared" si="0"/>
        <v>7.6900000000023283E-2</v>
      </c>
      <c r="D39" s="24">
        <f t="shared" si="1"/>
        <v>553.68000000016764</v>
      </c>
      <c r="E39" s="108"/>
      <c r="F39" s="82">
        <v>2979.4522000000002</v>
      </c>
      <c r="G39" s="22">
        <f t="shared" si="2"/>
        <v>4.9500000000080036E-2</v>
      </c>
      <c r="H39" s="50">
        <f t="shared" si="3"/>
        <v>356.40000000057626</v>
      </c>
      <c r="I39" s="52">
        <f t="shared" si="4"/>
        <v>0.64369310793322565</v>
      </c>
      <c r="J39" s="52">
        <v>6.2143999999999995</v>
      </c>
      <c r="K39" s="83"/>
      <c r="L39" s="66"/>
      <c r="M39" s="9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11"/>
    </row>
    <row r="40" spans="1:26" ht="23.25" customHeight="1" x14ac:dyDescent="0.2">
      <c r="A40" s="39" t="s">
        <v>29</v>
      </c>
      <c r="B40" s="82">
        <v>5384.4508999999998</v>
      </c>
      <c r="C40" s="25">
        <f t="shared" si="0"/>
        <v>8.0299999999624561E-2</v>
      </c>
      <c r="D40" s="24">
        <f t="shared" si="1"/>
        <v>578.15999999729684</v>
      </c>
      <c r="E40" s="108"/>
      <c r="F40" s="82">
        <v>2979.5064000000002</v>
      </c>
      <c r="G40" s="22">
        <f t="shared" si="2"/>
        <v>5.4200000000037107E-2</v>
      </c>
      <c r="H40" s="50">
        <f t="shared" si="3"/>
        <v>390.24000000026717</v>
      </c>
      <c r="I40" s="52">
        <f t="shared" si="4"/>
        <v>0.67496886675330658</v>
      </c>
      <c r="J40" s="52">
        <v>6.2127110000000005</v>
      </c>
      <c r="K40" s="83"/>
      <c r="L40" s="66"/>
      <c r="M40" s="122" t="s">
        <v>109</v>
      </c>
      <c r="N40" s="122"/>
      <c r="O40" s="122"/>
      <c r="P40" s="122"/>
      <c r="Q40" s="122"/>
      <c r="R40" s="122"/>
      <c r="S40" s="122"/>
      <c r="T40" s="122"/>
      <c r="U40" s="122"/>
      <c r="V40" s="122"/>
      <c r="W40" s="122"/>
      <c r="X40" s="122"/>
      <c r="Y40" s="122"/>
      <c r="Z40" s="122"/>
    </row>
    <row r="41" spans="1:26" ht="23.25" customHeight="1" x14ac:dyDescent="0.2">
      <c r="A41" s="39" t="s">
        <v>30</v>
      </c>
      <c r="B41" s="82">
        <v>5384.5315000000001</v>
      </c>
      <c r="C41" s="25">
        <f t="shared" si="0"/>
        <v>8.0600000000231375E-2</v>
      </c>
      <c r="D41" s="24">
        <f t="shared" si="1"/>
        <v>580.3200000016659</v>
      </c>
      <c r="E41" s="108"/>
      <c r="F41" s="82">
        <v>2979.5612000000001</v>
      </c>
      <c r="G41" s="22">
        <f t="shared" si="2"/>
        <v>5.4799999999886495E-2</v>
      </c>
      <c r="H41" s="50">
        <f t="shared" si="3"/>
        <v>394.55999999918276</v>
      </c>
      <c r="I41" s="52">
        <f t="shared" si="4"/>
        <v>0.67990074441351345</v>
      </c>
      <c r="J41" s="52">
        <v>6.2751679999999999</v>
      </c>
      <c r="K41" s="83"/>
      <c r="L41" s="66"/>
      <c r="M41" s="123" t="s">
        <v>79</v>
      </c>
      <c r="N41" s="121" t="s">
        <v>98</v>
      </c>
      <c r="O41" s="121"/>
      <c r="P41" s="121" t="s">
        <v>93</v>
      </c>
      <c r="Q41" s="121"/>
      <c r="R41" s="121"/>
      <c r="S41" s="121" t="s">
        <v>111</v>
      </c>
      <c r="T41" s="121" t="s">
        <v>81</v>
      </c>
      <c r="U41" s="121"/>
      <c r="V41" s="121"/>
      <c r="W41" s="121"/>
      <c r="X41" s="121" t="s">
        <v>93</v>
      </c>
      <c r="Y41" s="121"/>
      <c r="Z41" s="124"/>
    </row>
    <row r="42" spans="1:26" ht="23.25" customHeight="1" x14ac:dyDescent="0.2">
      <c r="A42" s="39" t="s">
        <v>31</v>
      </c>
      <c r="B42" s="82">
        <v>5384.6121999999996</v>
      </c>
      <c r="C42" s="25">
        <f t="shared" si="0"/>
        <v>8.0699999999524152E-2</v>
      </c>
      <c r="D42" s="24">
        <f t="shared" si="1"/>
        <v>581.0399999965739</v>
      </c>
      <c r="E42" s="108"/>
      <c r="F42" s="82">
        <v>2979.6161000000002</v>
      </c>
      <c r="G42" s="22">
        <f t="shared" si="2"/>
        <v>5.4900000000088767E-2</v>
      </c>
      <c r="H42" s="50">
        <f t="shared" si="3"/>
        <v>395.28000000063912</v>
      </c>
      <c r="I42" s="52">
        <f t="shared" si="4"/>
        <v>0.68029739777462805</v>
      </c>
      <c r="J42" s="52">
        <v>6.2045729999999999</v>
      </c>
      <c r="K42" s="83"/>
      <c r="L42" s="66"/>
      <c r="M42" s="116"/>
      <c r="N42" s="118"/>
      <c r="O42" s="118"/>
      <c r="P42" s="118"/>
      <c r="Q42" s="118"/>
      <c r="R42" s="118"/>
      <c r="S42" s="118"/>
      <c r="T42" s="118"/>
      <c r="U42" s="118"/>
      <c r="V42" s="118"/>
      <c r="W42" s="118"/>
      <c r="X42" s="118"/>
      <c r="Y42" s="118"/>
      <c r="Z42" s="125"/>
    </row>
    <row r="43" spans="1:26" ht="22.5" customHeight="1" x14ac:dyDescent="0.2">
      <c r="A43" s="214" t="s">
        <v>70</v>
      </c>
      <c r="B43" s="214"/>
      <c r="C43" s="214"/>
      <c r="D43" s="50">
        <f>SUM(D18:D42)</f>
        <v>13115.519999995013</v>
      </c>
      <c r="E43" s="39"/>
      <c r="F43" s="54"/>
      <c r="G43" s="60"/>
      <c r="H43" s="50">
        <f>SUM(H18:H42)</f>
        <v>8475.8400000006077</v>
      </c>
      <c r="I43" s="52">
        <f>IF(AND(H43=0,D43=0),0,H43/D43)</f>
        <v>0.64624505928882958</v>
      </c>
      <c r="J43" s="39"/>
      <c r="K43" s="69"/>
      <c r="L43" s="66"/>
      <c r="M43" s="116" t="s">
        <v>80</v>
      </c>
      <c r="N43" s="118" t="s">
        <v>99</v>
      </c>
      <c r="O43" s="118"/>
      <c r="P43" s="118" t="s">
        <v>110</v>
      </c>
      <c r="Q43" s="118"/>
      <c r="R43" s="118"/>
      <c r="S43" s="118"/>
      <c r="T43" s="118"/>
      <c r="U43" s="118"/>
      <c r="V43" s="118"/>
      <c r="W43" s="118"/>
      <c r="X43" s="118" t="s">
        <v>110</v>
      </c>
      <c r="Y43" s="118"/>
      <c r="Z43" s="125"/>
    </row>
    <row r="44" spans="1:26" ht="22.5" customHeight="1" x14ac:dyDescent="0.2">
      <c r="A44" s="183" t="s">
        <v>71</v>
      </c>
      <c r="B44" s="183"/>
      <c r="C44" s="183"/>
      <c r="D44" s="61"/>
      <c r="E44" s="61"/>
      <c r="F44" s="62"/>
      <c r="G44" s="39"/>
      <c r="H44" s="39"/>
      <c r="I44" s="39"/>
      <c r="J44" s="39"/>
      <c r="K44" s="69"/>
      <c r="L44" s="66"/>
      <c r="M44" s="117"/>
      <c r="N44" s="119"/>
      <c r="O44" s="119"/>
      <c r="P44" s="119"/>
      <c r="Q44" s="119"/>
      <c r="R44" s="119"/>
      <c r="S44" s="119"/>
      <c r="T44" s="119"/>
      <c r="U44" s="119"/>
      <c r="V44" s="119"/>
      <c r="W44" s="119"/>
      <c r="X44" s="119"/>
      <c r="Y44" s="119"/>
      <c r="Z44" s="127"/>
    </row>
    <row r="45" spans="1:26" ht="22.5" customHeight="1" x14ac:dyDescent="0.2">
      <c r="A45" s="64"/>
      <c r="B45" s="67"/>
      <c r="C45" s="67"/>
      <c r="D45" s="67"/>
      <c r="E45" s="67"/>
      <c r="F45" s="67"/>
      <c r="G45" s="67"/>
      <c r="H45" s="67"/>
      <c r="I45" s="67"/>
      <c r="J45" s="68"/>
      <c r="K45" s="68"/>
      <c r="L45" s="68"/>
      <c r="M45" s="9"/>
      <c r="N45" s="111"/>
      <c r="O45" s="113"/>
      <c r="P45" s="111"/>
      <c r="Q45" s="112"/>
      <c r="R45" s="113"/>
      <c r="S45" s="7"/>
      <c r="T45" s="111"/>
      <c r="U45" s="112"/>
      <c r="V45" s="112"/>
      <c r="W45" s="113"/>
      <c r="X45" s="111"/>
      <c r="Y45" s="112"/>
      <c r="Z45" s="112"/>
    </row>
    <row r="46" spans="1:26" ht="22.5" customHeight="1" x14ac:dyDescent="0.2">
      <c r="A46" s="209" t="s">
        <v>72</v>
      </c>
      <c r="B46" s="209"/>
      <c r="C46" s="209"/>
      <c r="D46" s="209"/>
      <c r="E46" s="209"/>
      <c r="F46" s="209"/>
      <c r="G46" s="210" t="s">
        <v>73</v>
      </c>
      <c r="H46" s="210"/>
      <c r="I46" s="210"/>
      <c r="J46" s="210"/>
      <c r="K46" s="210"/>
      <c r="L46" s="210"/>
      <c r="M46" s="9"/>
      <c r="N46" s="111"/>
      <c r="O46" s="113"/>
      <c r="P46" s="111"/>
      <c r="Q46" s="112"/>
      <c r="R46" s="113"/>
      <c r="S46" s="7"/>
      <c r="T46" s="111"/>
      <c r="U46" s="112"/>
      <c r="V46" s="112"/>
      <c r="W46" s="113"/>
      <c r="X46" s="111"/>
      <c r="Y46" s="112"/>
      <c r="Z46" s="112"/>
    </row>
    <row r="47" spans="1:26" ht="22.5" customHeight="1" x14ac:dyDescent="0.2">
      <c r="A47" s="144" t="s">
        <v>365</v>
      </c>
      <c r="B47" s="144"/>
      <c r="C47" s="144"/>
      <c r="D47" s="135" t="s">
        <v>74</v>
      </c>
      <c r="E47" s="135"/>
      <c r="F47" s="135"/>
      <c r="G47" s="67"/>
      <c r="H47" s="67"/>
      <c r="I47" s="67"/>
      <c r="J47" s="67"/>
      <c r="K47" s="67"/>
      <c r="L47" s="67"/>
      <c r="M47" s="9"/>
      <c r="N47" s="111"/>
      <c r="O47" s="113"/>
      <c r="P47" s="111"/>
      <c r="Q47" s="112"/>
      <c r="R47" s="113"/>
      <c r="S47" s="7"/>
      <c r="T47" s="111"/>
      <c r="U47" s="112"/>
      <c r="V47" s="112"/>
      <c r="W47" s="113"/>
      <c r="X47" s="111"/>
      <c r="Y47" s="112"/>
      <c r="Z47" s="112"/>
    </row>
    <row r="48" spans="1:26" ht="22.5" customHeight="1" x14ac:dyDescent="0.2">
      <c r="A48" s="175" t="s">
        <v>75</v>
      </c>
      <c r="B48" s="175"/>
      <c r="C48" s="175"/>
      <c r="D48" s="174" t="s">
        <v>76</v>
      </c>
      <c r="E48" s="174"/>
      <c r="F48" s="174"/>
      <c r="G48" s="64"/>
      <c r="H48" s="64"/>
      <c r="I48" s="64"/>
      <c r="J48" s="64"/>
      <c r="K48" s="64"/>
      <c r="L48" s="64"/>
    </row>
    <row r="49" spans="1:23" ht="22.5" customHeight="1" x14ac:dyDescent="0.2">
      <c r="A49" s="144" t="s">
        <v>366</v>
      </c>
      <c r="B49" s="144"/>
      <c r="C49" s="144"/>
      <c r="D49" s="135" t="s">
        <v>74</v>
      </c>
      <c r="E49" s="135"/>
      <c r="F49" s="135"/>
      <c r="G49" s="64"/>
      <c r="H49" s="182" t="s">
        <v>183</v>
      </c>
      <c r="I49" s="182"/>
      <c r="J49" s="182"/>
      <c r="K49" s="209" t="s">
        <v>77</v>
      </c>
      <c r="L49" s="209"/>
      <c r="N49" s="177" t="s">
        <v>150</v>
      </c>
      <c r="O49" s="177"/>
      <c r="P49" s="177"/>
      <c r="Q49" s="176" t="s">
        <v>364</v>
      </c>
      <c r="R49" s="176"/>
      <c r="S49" s="176"/>
      <c r="T49" s="176"/>
      <c r="U49" s="176"/>
      <c r="V49" s="176"/>
      <c r="W49" s="1"/>
    </row>
    <row r="50" spans="1:23" ht="22.5" customHeight="1" x14ac:dyDescent="0.2">
      <c r="A50" s="175" t="s">
        <v>75</v>
      </c>
      <c r="B50" s="175"/>
      <c r="C50" s="175"/>
      <c r="D50" s="174" t="s">
        <v>76</v>
      </c>
      <c r="E50" s="174"/>
      <c r="F50" s="174"/>
      <c r="G50" s="75"/>
      <c r="H50" s="211" t="s">
        <v>75</v>
      </c>
      <c r="I50" s="211"/>
      <c r="J50" s="211"/>
      <c r="K50" s="211" t="s">
        <v>76</v>
      </c>
      <c r="L50" s="211"/>
      <c r="S50" s="173" t="s">
        <v>76</v>
      </c>
      <c r="T50" s="173"/>
    </row>
    <row r="51" spans="1:23" ht="20.100000000000001" customHeight="1" x14ac:dyDescent="0.2">
      <c r="A51" s="144" t="s">
        <v>367</v>
      </c>
      <c r="B51" s="144"/>
      <c r="C51" s="144"/>
      <c r="D51" s="135" t="s">
        <v>74</v>
      </c>
      <c r="E51" s="135"/>
      <c r="F51" s="135"/>
      <c r="G51" s="64"/>
      <c r="H51" s="64"/>
      <c r="I51" s="64"/>
      <c r="J51" s="64"/>
      <c r="K51" s="64"/>
      <c r="L51" s="64"/>
    </row>
    <row r="52" spans="1:23" ht="20.100000000000001" customHeight="1" x14ac:dyDescent="0.2">
      <c r="A52" s="174" t="s">
        <v>75</v>
      </c>
      <c r="B52" s="174"/>
      <c r="C52" s="174"/>
      <c r="D52" s="173" t="s">
        <v>76</v>
      </c>
      <c r="E52" s="173"/>
      <c r="F52" s="173"/>
      <c r="G52" s="63"/>
      <c r="H52" s="63"/>
      <c r="I52" s="64"/>
      <c r="J52" s="64"/>
      <c r="K52" s="64"/>
      <c r="L52" s="64"/>
    </row>
  </sheetData>
  <sheetProtection sheet="1" objects="1" scenarios="1"/>
  <mergeCells count="258">
    <mergeCell ref="I1:L2"/>
    <mergeCell ref="G5:H6"/>
    <mergeCell ref="I5:L6"/>
    <mergeCell ref="S50:T50"/>
    <mergeCell ref="N39:O39"/>
    <mergeCell ref="P39:Q39"/>
    <mergeCell ref="N41:O42"/>
    <mergeCell ref="P41:R42"/>
    <mergeCell ref="M40:Z40"/>
    <mergeCell ref="M41:M42"/>
    <mergeCell ref="Q49:V49"/>
    <mergeCell ref="N49:P49"/>
    <mergeCell ref="P45:R45"/>
    <mergeCell ref="P46:R46"/>
    <mergeCell ref="P47:R47"/>
    <mergeCell ref="N45:O45"/>
    <mergeCell ref="N46:O46"/>
    <mergeCell ref="X45:Z45"/>
    <mergeCell ref="X46:Z46"/>
    <mergeCell ref="X47:Z47"/>
    <mergeCell ref="M43:M44"/>
    <mergeCell ref="N47:O47"/>
    <mergeCell ref="T45:W45"/>
    <mergeCell ref="T46:W46"/>
    <mergeCell ref="T47:W47"/>
    <mergeCell ref="N43:O44"/>
    <mergeCell ref="P43:R44"/>
    <mergeCell ref="R39:S39"/>
    <mergeCell ref="T39:U39"/>
    <mergeCell ref="V39:X39"/>
    <mergeCell ref="Y39:Z39"/>
    <mergeCell ref="S41:S44"/>
    <mergeCell ref="T41:W44"/>
    <mergeCell ref="X41:Z42"/>
    <mergeCell ref="X43:Z44"/>
    <mergeCell ref="Y37:Z37"/>
    <mergeCell ref="V38:X38"/>
    <mergeCell ref="Y38:Z38"/>
    <mergeCell ref="Y35:Z35"/>
    <mergeCell ref="N36:O36"/>
    <mergeCell ref="P36:Q36"/>
    <mergeCell ref="R36:S36"/>
    <mergeCell ref="T36:U36"/>
    <mergeCell ref="V36:X36"/>
    <mergeCell ref="Y36:Z36"/>
    <mergeCell ref="N35:O35"/>
    <mergeCell ref="P35:Q35"/>
    <mergeCell ref="R35:S35"/>
    <mergeCell ref="T35:U35"/>
    <mergeCell ref="V35:X35"/>
    <mergeCell ref="N37:O37"/>
    <mergeCell ref="P37:Q37"/>
    <mergeCell ref="R37:S37"/>
    <mergeCell ref="T37:U37"/>
    <mergeCell ref="N38:O38"/>
    <mergeCell ref="P38:Q38"/>
    <mergeCell ref="R38:S38"/>
    <mergeCell ref="T38:U38"/>
    <mergeCell ref="T11:U11"/>
    <mergeCell ref="T12:U12"/>
    <mergeCell ref="T13:U13"/>
    <mergeCell ref="N18:P19"/>
    <mergeCell ref="N23:P23"/>
    <mergeCell ref="N27:P27"/>
    <mergeCell ref="Q27:S27"/>
    <mergeCell ref="T27:V27"/>
    <mergeCell ref="V37:X37"/>
    <mergeCell ref="R34:S34"/>
    <mergeCell ref="T34:U34"/>
    <mergeCell ref="V34:X34"/>
    <mergeCell ref="Q26:S26"/>
    <mergeCell ref="N28:P28"/>
    <mergeCell ref="Q28:S28"/>
    <mergeCell ref="T28:V28"/>
    <mergeCell ref="N26:P26"/>
    <mergeCell ref="N25:P25"/>
    <mergeCell ref="Q25:S25"/>
    <mergeCell ref="T25:V25"/>
    <mergeCell ref="W25:Z25"/>
    <mergeCell ref="Q23:S23"/>
    <mergeCell ref="T23:V23"/>
    <mergeCell ref="W18:Z21"/>
    <mergeCell ref="T26:V26"/>
    <mergeCell ref="N24:P24"/>
    <mergeCell ref="Q24:S24"/>
    <mergeCell ref="W26:Z26"/>
    <mergeCell ref="W23:Z23"/>
    <mergeCell ref="W24:Z24"/>
    <mergeCell ref="N22:P22"/>
    <mergeCell ref="M18:M19"/>
    <mergeCell ref="M20:M21"/>
    <mergeCell ref="Q22:S22"/>
    <mergeCell ref="T22:V22"/>
    <mergeCell ref="Q18:S18"/>
    <mergeCell ref="N20:P21"/>
    <mergeCell ref="T18:V19"/>
    <mergeCell ref="Q19:S19"/>
    <mergeCell ref="Q20:S20"/>
    <mergeCell ref="V9:W9"/>
    <mergeCell ref="R10:S10"/>
    <mergeCell ref="T8:U8"/>
    <mergeCell ref="T9:U9"/>
    <mergeCell ref="T10:U10"/>
    <mergeCell ref="W28:Z28"/>
    <mergeCell ref="T24:V24"/>
    <mergeCell ref="W22:Z22"/>
    <mergeCell ref="T20:V21"/>
    <mergeCell ref="Q21:S21"/>
    <mergeCell ref="W27:Z27"/>
    <mergeCell ref="X9:Z9"/>
    <mergeCell ref="X10:Z10"/>
    <mergeCell ref="X11:Z11"/>
    <mergeCell ref="X12:Z12"/>
    <mergeCell ref="X13:Z13"/>
    <mergeCell ref="X14:Z14"/>
    <mergeCell ref="X15:Z15"/>
    <mergeCell ref="X16:Z16"/>
    <mergeCell ref="V14:W14"/>
    <mergeCell ref="V11:W11"/>
    <mergeCell ref="V12:W12"/>
    <mergeCell ref="V13:W13"/>
    <mergeCell ref="V10:W10"/>
    <mergeCell ref="X8:Z8"/>
    <mergeCell ref="R16:S16"/>
    <mergeCell ref="V15:W15"/>
    <mergeCell ref="V16:W16"/>
    <mergeCell ref="T16:U16"/>
    <mergeCell ref="T7:U7"/>
    <mergeCell ref="N7:O7"/>
    <mergeCell ref="V7:W7"/>
    <mergeCell ref="P11:Q11"/>
    <mergeCell ref="R7:S7"/>
    <mergeCell ref="R8:S8"/>
    <mergeCell ref="R9:S9"/>
    <mergeCell ref="P12:Q12"/>
    <mergeCell ref="T14:U14"/>
    <mergeCell ref="T15:U15"/>
    <mergeCell ref="P13:Q13"/>
    <mergeCell ref="P14:Q14"/>
    <mergeCell ref="P15:Q15"/>
    <mergeCell ref="R11:S11"/>
    <mergeCell ref="R12:S12"/>
    <mergeCell ref="R13:S13"/>
    <mergeCell ref="R14:S14"/>
    <mergeCell ref="R15:S15"/>
    <mergeCell ref="V8:W8"/>
    <mergeCell ref="M1:Z1"/>
    <mergeCell ref="M2:Z2"/>
    <mergeCell ref="X3:Z6"/>
    <mergeCell ref="M5:M6"/>
    <mergeCell ref="M3:M4"/>
    <mergeCell ref="P3:Q4"/>
    <mergeCell ref="R3:S3"/>
    <mergeCell ref="R4:S4"/>
    <mergeCell ref="R5:S5"/>
    <mergeCell ref="R6:S6"/>
    <mergeCell ref="P5:Q6"/>
    <mergeCell ref="N3:O6"/>
    <mergeCell ref="T3:U3"/>
    <mergeCell ref="T4:U4"/>
    <mergeCell ref="T5:U5"/>
    <mergeCell ref="V3:W3"/>
    <mergeCell ref="V4:W4"/>
    <mergeCell ref="V5:W5"/>
    <mergeCell ref="V6:W6"/>
    <mergeCell ref="T6:U6"/>
    <mergeCell ref="M33:M34"/>
    <mergeCell ref="M29:Z29"/>
    <mergeCell ref="M30:Z30"/>
    <mergeCell ref="V31:X31"/>
    <mergeCell ref="V32:X32"/>
    <mergeCell ref="Y31:Z34"/>
    <mergeCell ref="V33:X33"/>
    <mergeCell ref="R33:S33"/>
    <mergeCell ref="T31:U31"/>
    <mergeCell ref="T32:U32"/>
    <mergeCell ref="M31:M32"/>
    <mergeCell ref="T33:U33"/>
    <mergeCell ref="R31:S31"/>
    <mergeCell ref="R32:S32"/>
    <mergeCell ref="N31:O32"/>
    <mergeCell ref="N33:O34"/>
    <mergeCell ref="P31:Q31"/>
    <mergeCell ref="P32:Q32"/>
    <mergeCell ref="P33:Q33"/>
    <mergeCell ref="P34:Q34"/>
    <mergeCell ref="H10:L10"/>
    <mergeCell ref="J16:J17"/>
    <mergeCell ref="K16:K17"/>
    <mergeCell ref="A13:A17"/>
    <mergeCell ref="N10:O10"/>
    <mergeCell ref="N11:O11"/>
    <mergeCell ref="P7:Q7"/>
    <mergeCell ref="P8:Q8"/>
    <mergeCell ref="P9:Q9"/>
    <mergeCell ref="P10:Q10"/>
    <mergeCell ref="N8:O8"/>
    <mergeCell ref="N14:O14"/>
    <mergeCell ref="N15:O15"/>
    <mergeCell ref="N16:O16"/>
    <mergeCell ref="N12:O12"/>
    <mergeCell ref="N13:O13"/>
    <mergeCell ref="I13:I17"/>
    <mergeCell ref="J13:K13"/>
    <mergeCell ref="J14:K14"/>
    <mergeCell ref="J15:K15"/>
    <mergeCell ref="N9:O9"/>
    <mergeCell ref="P16:Q16"/>
    <mergeCell ref="M17:Z17"/>
    <mergeCell ref="X7:Z7"/>
    <mergeCell ref="A51:C51"/>
    <mergeCell ref="A52:C52"/>
    <mergeCell ref="D52:F52"/>
    <mergeCell ref="D51:F51"/>
    <mergeCell ref="A44:C44"/>
    <mergeCell ref="D47:F47"/>
    <mergeCell ref="H49:J49"/>
    <mergeCell ref="K49:L49"/>
    <mergeCell ref="A7:L7"/>
    <mergeCell ref="F13:G13"/>
    <mergeCell ref="I11:L11"/>
    <mergeCell ref="B14:C14"/>
    <mergeCell ref="D14:E14"/>
    <mergeCell ref="A8:L8"/>
    <mergeCell ref="H50:J50"/>
    <mergeCell ref="K50:L50"/>
    <mergeCell ref="D49:F49"/>
    <mergeCell ref="A48:C48"/>
    <mergeCell ref="A49:C49"/>
    <mergeCell ref="A50:C50"/>
    <mergeCell ref="D50:F50"/>
    <mergeCell ref="D48:F48"/>
    <mergeCell ref="A47:C47"/>
    <mergeCell ref="D13:E13"/>
    <mergeCell ref="G1:H2"/>
    <mergeCell ref="A9:L9"/>
    <mergeCell ref="G46:L46"/>
    <mergeCell ref="G3:H4"/>
    <mergeCell ref="I3:L4"/>
    <mergeCell ref="A1:F1"/>
    <mergeCell ref="A2:F2"/>
    <mergeCell ref="A3:F3"/>
    <mergeCell ref="A4:F4"/>
    <mergeCell ref="A5:F5"/>
    <mergeCell ref="A6:F6"/>
    <mergeCell ref="F14:G14"/>
    <mergeCell ref="F15:G15"/>
    <mergeCell ref="A11:D11"/>
    <mergeCell ref="E11:H11"/>
    <mergeCell ref="A10:D10"/>
    <mergeCell ref="E10:G10"/>
    <mergeCell ref="A43:C43"/>
    <mergeCell ref="E16:E17"/>
    <mergeCell ref="B15:C15"/>
    <mergeCell ref="D15:E15"/>
    <mergeCell ref="B13:C13"/>
    <mergeCell ref="A46:F46"/>
    <mergeCell ref="A12:L12"/>
  </mergeCells>
  <phoneticPr fontId="0" type="noConversion"/>
  <printOptions horizontalCentered="1"/>
  <pageMargins left="0.39370078740157483" right="0.39370078740157483" top="0.19685039370078741" bottom="0.19685039370078741" header="0" footer="0"/>
  <pageSetup paperSize="9" scale="66" orientation="portrait" horizontalDpi="180" verticalDpi="180" r:id="rId1"/>
  <headerFooter alignWithMargins="0"/>
  <colBreaks count="1" manualBreakCount="1">
    <brk id="12" max="1048575" man="1"/>
  </col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8"/>
  <dimension ref="A1:Z52"/>
  <sheetViews>
    <sheetView view="pageBreakPreview" topLeftCell="A5" zoomScale="75" zoomScaleNormal="50" zoomScaleSheetLayoutView="75" workbookViewId="0">
      <selection activeCell="L35" sqref="L35"/>
    </sheetView>
  </sheetViews>
  <sheetFormatPr defaultRowHeight="18.75" x14ac:dyDescent="0.2"/>
  <cols>
    <col min="1" max="1" width="11.140625" style="2" customWidth="1"/>
    <col min="2" max="2" width="15.85546875" style="2" customWidth="1"/>
    <col min="3" max="3" width="12.140625" style="2" customWidth="1"/>
    <col min="4" max="4" width="14" style="2" customWidth="1"/>
    <col min="5" max="5" width="5.42578125" style="2" customWidth="1"/>
    <col min="6" max="6" width="13.85546875" style="2" customWidth="1"/>
    <col min="7" max="7" width="12.85546875" style="2" customWidth="1"/>
    <col min="8" max="8" width="19" style="2" customWidth="1"/>
    <col min="9" max="9" width="8.28515625" style="2" customWidth="1"/>
    <col min="10" max="11" width="8.85546875" style="2" customWidth="1"/>
    <col min="12" max="12" width="17" style="2" customWidth="1"/>
    <col min="13" max="26" width="10.28515625" style="2" customWidth="1"/>
    <col min="27" max="16384" width="9.140625" style="2"/>
  </cols>
  <sheetData>
    <row r="1" spans="1:26" ht="21.75" customHeight="1" x14ac:dyDescent="0.2">
      <c r="A1" s="115" t="s">
        <v>157</v>
      </c>
      <c r="B1" s="115"/>
      <c r="C1" s="115"/>
      <c r="D1" s="115"/>
      <c r="E1" s="115"/>
      <c r="F1" s="115"/>
      <c r="G1" s="150" t="s">
        <v>154</v>
      </c>
      <c r="H1" s="150"/>
      <c r="I1" s="115" t="s">
        <v>160</v>
      </c>
      <c r="J1" s="115"/>
      <c r="K1" s="115"/>
      <c r="L1" s="115"/>
      <c r="M1" s="122" t="s">
        <v>96</v>
      </c>
      <c r="N1" s="122"/>
      <c r="O1" s="122"/>
      <c r="P1" s="122"/>
      <c r="Q1" s="122"/>
      <c r="R1" s="122"/>
      <c r="S1" s="122"/>
      <c r="T1" s="122"/>
      <c r="U1" s="122"/>
      <c r="V1" s="122"/>
      <c r="W1" s="122"/>
      <c r="X1" s="122"/>
      <c r="Y1" s="122"/>
      <c r="Z1" s="122"/>
    </row>
    <row r="2" spans="1:26" ht="21.75" customHeight="1" x14ac:dyDescent="0.2">
      <c r="A2" s="146" t="s">
        <v>45</v>
      </c>
      <c r="B2" s="146"/>
      <c r="C2" s="146"/>
      <c r="D2" s="146"/>
      <c r="E2" s="146"/>
      <c r="F2" s="146"/>
      <c r="G2" s="150"/>
      <c r="H2" s="150"/>
      <c r="I2" s="115"/>
      <c r="J2" s="115"/>
      <c r="K2" s="115"/>
      <c r="L2" s="115"/>
      <c r="M2" s="122" t="s">
        <v>78</v>
      </c>
      <c r="N2" s="122"/>
      <c r="O2" s="122"/>
      <c r="P2" s="122"/>
      <c r="Q2" s="122"/>
      <c r="R2" s="122"/>
      <c r="S2" s="122"/>
      <c r="T2" s="122"/>
      <c r="U2" s="122"/>
      <c r="V2" s="122"/>
      <c r="W2" s="122"/>
      <c r="X2" s="122"/>
      <c r="Y2" s="122"/>
      <c r="Z2" s="122"/>
    </row>
    <row r="3" spans="1:26" ht="21.75" customHeight="1" x14ac:dyDescent="0.2">
      <c r="A3" s="115" t="s">
        <v>158</v>
      </c>
      <c r="B3" s="147"/>
      <c r="C3" s="147"/>
      <c r="D3" s="147"/>
      <c r="E3" s="147"/>
      <c r="F3" s="147"/>
      <c r="G3" s="150" t="s">
        <v>155</v>
      </c>
      <c r="H3" s="150"/>
      <c r="I3" s="115" t="s">
        <v>199</v>
      </c>
      <c r="J3" s="115"/>
      <c r="K3" s="115"/>
      <c r="L3" s="115"/>
      <c r="M3" s="123" t="s">
        <v>79</v>
      </c>
      <c r="N3" s="124" t="s">
        <v>81</v>
      </c>
      <c r="O3" s="123"/>
      <c r="P3" s="124" t="s">
        <v>65</v>
      </c>
      <c r="Q3" s="123"/>
      <c r="R3" s="124" t="s">
        <v>82</v>
      </c>
      <c r="S3" s="123"/>
      <c r="T3" s="124" t="s">
        <v>85</v>
      </c>
      <c r="U3" s="123"/>
      <c r="V3" s="124" t="s">
        <v>87</v>
      </c>
      <c r="W3" s="123"/>
      <c r="X3" s="128" t="s">
        <v>91</v>
      </c>
      <c r="Y3" s="132"/>
      <c r="Z3" s="132"/>
    </row>
    <row r="4" spans="1:26" ht="29.25" customHeight="1" x14ac:dyDescent="0.2">
      <c r="A4" s="146" t="s">
        <v>46</v>
      </c>
      <c r="B4" s="146"/>
      <c r="C4" s="146"/>
      <c r="D4" s="146"/>
      <c r="E4" s="146"/>
      <c r="F4" s="146"/>
      <c r="G4" s="150"/>
      <c r="H4" s="150"/>
      <c r="I4" s="115"/>
      <c r="J4" s="115"/>
      <c r="K4" s="115"/>
      <c r="L4" s="115"/>
      <c r="M4" s="116"/>
      <c r="N4" s="125"/>
      <c r="O4" s="116"/>
      <c r="P4" s="125"/>
      <c r="Q4" s="116"/>
      <c r="R4" s="125" t="s">
        <v>83</v>
      </c>
      <c r="S4" s="116"/>
      <c r="T4" s="125" t="s">
        <v>86</v>
      </c>
      <c r="U4" s="116"/>
      <c r="V4" s="125" t="s">
        <v>88</v>
      </c>
      <c r="W4" s="116"/>
      <c r="X4" s="128"/>
      <c r="Y4" s="132"/>
      <c r="Z4" s="132"/>
    </row>
    <row r="5" spans="1:26" ht="21.75" customHeight="1" x14ac:dyDescent="0.2">
      <c r="A5" s="115" t="s">
        <v>177</v>
      </c>
      <c r="B5" s="147"/>
      <c r="C5" s="147"/>
      <c r="D5" s="147"/>
      <c r="E5" s="147"/>
      <c r="F5" s="147"/>
      <c r="G5" s="150" t="s">
        <v>156</v>
      </c>
      <c r="H5" s="150"/>
      <c r="I5" s="115" t="s">
        <v>235</v>
      </c>
      <c r="J5" s="115"/>
      <c r="K5" s="115"/>
      <c r="L5" s="115"/>
      <c r="M5" s="116" t="s">
        <v>80</v>
      </c>
      <c r="N5" s="125"/>
      <c r="O5" s="116"/>
      <c r="P5" s="125" t="s">
        <v>182</v>
      </c>
      <c r="Q5" s="116"/>
      <c r="R5" s="133" t="s">
        <v>84</v>
      </c>
      <c r="S5" s="134"/>
      <c r="T5" s="133" t="s">
        <v>84</v>
      </c>
      <c r="U5" s="134"/>
      <c r="V5" s="125" t="s">
        <v>89</v>
      </c>
      <c r="W5" s="116"/>
      <c r="X5" s="128"/>
      <c r="Y5" s="132"/>
      <c r="Z5" s="132"/>
    </row>
    <row r="6" spans="1:26" ht="21.75" customHeight="1" x14ac:dyDescent="0.2">
      <c r="A6" s="146" t="s">
        <v>47</v>
      </c>
      <c r="B6" s="146"/>
      <c r="C6" s="146"/>
      <c r="D6" s="146"/>
      <c r="E6" s="146"/>
      <c r="F6" s="146"/>
      <c r="G6" s="150"/>
      <c r="H6" s="150"/>
      <c r="I6" s="115"/>
      <c r="J6" s="115"/>
      <c r="K6" s="115"/>
      <c r="L6" s="115"/>
      <c r="M6" s="117"/>
      <c r="N6" s="127"/>
      <c r="O6" s="117"/>
      <c r="P6" s="127"/>
      <c r="Q6" s="117"/>
      <c r="R6" s="127"/>
      <c r="S6" s="117"/>
      <c r="T6" s="127"/>
      <c r="U6" s="117"/>
      <c r="V6" s="127" t="s">
        <v>90</v>
      </c>
      <c r="W6" s="117"/>
      <c r="X6" s="128"/>
      <c r="Y6" s="132"/>
      <c r="Z6" s="132"/>
    </row>
    <row r="7" spans="1:26" ht="21.75" customHeight="1" x14ac:dyDescent="0.2">
      <c r="A7" s="122"/>
      <c r="B7" s="122"/>
      <c r="C7" s="122"/>
      <c r="D7" s="122"/>
      <c r="E7" s="122"/>
      <c r="F7" s="122"/>
      <c r="G7" s="122"/>
      <c r="H7" s="122"/>
      <c r="I7" s="122"/>
      <c r="J7" s="122"/>
      <c r="K7" s="122"/>
      <c r="L7" s="122"/>
      <c r="M7" s="9"/>
      <c r="N7" s="111"/>
      <c r="O7" s="113"/>
      <c r="P7" s="111"/>
      <c r="Q7" s="113"/>
      <c r="R7" s="111"/>
      <c r="S7" s="113"/>
      <c r="T7" s="111"/>
      <c r="U7" s="113"/>
      <c r="V7" s="111"/>
      <c r="W7" s="113"/>
      <c r="X7" s="111"/>
      <c r="Y7" s="112"/>
      <c r="Z7" s="112"/>
    </row>
    <row r="8" spans="1:26" ht="22.5" customHeight="1" x14ac:dyDescent="0.2">
      <c r="A8" s="143" t="s">
        <v>48</v>
      </c>
      <c r="B8" s="143"/>
      <c r="C8" s="143"/>
      <c r="D8" s="143"/>
      <c r="E8" s="143"/>
      <c r="F8" s="143"/>
      <c r="G8" s="143"/>
      <c r="H8" s="143"/>
      <c r="I8" s="143"/>
      <c r="J8" s="143"/>
      <c r="K8" s="143"/>
      <c r="L8" s="143"/>
      <c r="M8" s="9"/>
      <c r="N8" s="111"/>
      <c r="O8" s="113"/>
      <c r="P8" s="111"/>
      <c r="Q8" s="113"/>
      <c r="R8" s="111"/>
      <c r="S8" s="113"/>
      <c r="T8" s="111"/>
      <c r="U8" s="113"/>
      <c r="V8" s="111"/>
      <c r="W8" s="113"/>
      <c r="X8" s="111"/>
      <c r="Y8" s="112"/>
      <c r="Z8" s="112"/>
    </row>
    <row r="9" spans="1:26" ht="22.5" customHeight="1" x14ac:dyDescent="0.2">
      <c r="A9" s="156" t="s">
        <v>49</v>
      </c>
      <c r="B9" s="156"/>
      <c r="C9" s="156"/>
      <c r="D9" s="156"/>
      <c r="E9" s="156"/>
      <c r="F9" s="156"/>
      <c r="G9" s="156"/>
      <c r="H9" s="156"/>
      <c r="I9" s="156"/>
      <c r="J9" s="156"/>
      <c r="K9" s="156"/>
      <c r="L9" s="156"/>
      <c r="M9" s="9"/>
      <c r="N9" s="111"/>
      <c r="O9" s="113"/>
      <c r="P9" s="111"/>
      <c r="Q9" s="113"/>
      <c r="R9" s="111"/>
      <c r="S9" s="113"/>
      <c r="T9" s="111"/>
      <c r="U9" s="113"/>
      <c r="V9" s="111"/>
      <c r="W9" s="113"/>
      <c r="X9" s="111"/>
      <c r="Y9" s="112"/>
      <c r="Z9" s="112"/>
    </row>
    <row r="10" spans="1:26" ht="22.5" customHeight="1" x14ac:dyDescent="0.2">
      <c r="A10" s="151" t="s">
        <v>112</v>
      </c>
      <c r="B10" s="151"/>
      <c r="C10" s="151"/>
      <c r="D10" s="151"/>
      <c r="E10" s="162" t="s">
        <v>407</v>
      </c>
      <c r="F10" s="163"/>
      <c r="G10" s="163"/>
      <c r="H10" s="138" t="s">
        <v>369</v>
      </c>
      <c r="I10" s="138"/>
      <c r="J10" s="138"/>
      <c r="K10" s="138"/>
      <c r="L10" s="138"/>
      <c r="M10" s="9"/>
      <c r="N10" s="111"/>
      <c r="O10" s="113"/>
      <c r="P10" s="111"/>
      <c r="Q10" s="113"/>
      <c r="R10" s="111"/>
      <c r="S10" s="113"/>
      <c r="T10" s="111"/>
      <c r="U10" s="113"/>
      <c r="V10" s="111"/>
      <c r="W10" s="113"/>
      <c r="X10" s="111"/>
      <c r="Y10" s="112"/>
      <c r="Z10" s="112"/>
    </row>
    <row r="11" spans="1:26" ht="22.5" customHeight="1" x14ac:dyDescent="0.2">
      <c r="A11" s="151" t="s">
        <v>113</v>
      </c>
      <c r="B11" s="151"/>
      <c r="C11" s="151"/>
      <c r="D11" s="151"/>
      <c r="E11" s="161" t="s">
        <v>221</v>
      </c>
      <c r="F11" s="161"/>
      <c r="G11" s="161"/>
      <c r="H11" s="161"/>
      <c r="I11" s="138" t="s">
        <v>114</v>
      </c>
      <c r="J11" s="138"/>
      <c r="K11" s="138"/>
      <c r="L11" s="138"/>
      <c r="M11" s="9"/>
      <c r="N11" s="111"/>
      <c r="O11" s="113"/>
      <c r="P11" s="111"/>
      <c r="Q11" s="113"/>
      <c r="R11" s="111"/>
      <c r="S11" s="113"/>
      <c r="T11" s="111"/>
      <c r="U11" s="113"/>
      <c r="V11" s="111"/>
      <c r="W11" s="113"/>
      <c r="X11" s="111"/>
      <c r="Y11" s="112"/>
      <c r="Z11" s="112"/>
    </row>
    <row r="12" spans="1:26" ht="21.75" customHeight="1" x14ac:dyDescent="0.2">
      <c r="A12" s="215"/>
      <c r="B12" s="149"/>
      <c r="C12" s="149"/>
      <c r="D12" s="149"/>
      <c r="E12" s="149"/>
      <c r="F12" s="149"/>
      <c r="G12" s="149"/>
      <c r="H12" s="149"/>
      <c r="I12" s="149"/>
      <c r="J12" s="149"/>
      <c r="K12" s="149"/>
      <c r="L12" s="215"/>
      <c r="M12" s="9"/>
      <c r="N12" s="111"/>
      <c r="O12" s="113"/>
      <c r="P12" s="111"/>
      <c r="Q12" s="113"/>
      <c r="R12" s="111"/>
      <c r="S12" s="113"/>
      <c r="T12" s="111"/>
      <c r="U12" s="113"/>
      <c r="V12" s="111"/>
      <c r="W12" s="113"/>
      <c r="X12" s="111"/>
      <c r="Y12" s="112"/>
      <c r="Z12" s="112"/>
    </row>
    <row r="13" spans="1:26" ht="21.75" customHeight="1" x14ac:dyDescent="0.2">
      <c r="A13" s="187" t="s">
        <v>50</v>
      </c>
      <c r="B13" s="196" t="s">
        <v>56</v>
      </c>
      <c r="C13" s="196"/>
      <c r="D13" s="185" t="s">
        <v>375</v>
      </c>
      <c r="E13" s="186"/>
      <c r="F13" s="195" t="s">
        <v>59</v>
      </c>
      <c r="G13" s="196"/>
      <c r="H13" s="40" t="s">
        <v>375</v>
      </c>
      <c r="I13" s="197" t="s">
        <v>5</v>
      </c>
      <c r="J13" s="195" t="s">
        <v>60</v>
      </c>
      <c r="K13" s="196"/>
      <c r="L13" s="45" t="s">
        <v>65</v>
      </c>
      <c r="M13" s="9"/>
      <c r="N13" s="111"/>
      <c r="O13" s="113"/>
      <c r="P13" s="111"/>
      <c r="Q13" s="113"/>
      <c r="R13" s="111"/>
      <c r="S13" s="113"/>
      <c r="T13" s="111"/>
      <c r="U13" s="113"/>
      <c r="V13" s="111"/>
      <c r="W13" s="113"/>
      <c r="X13" s="111"/>
      <c r="Y13" s="112"/>
      <c r="Z13" s="112"/>
    </row>
    <row r="14" spans="1:26" ht="21.75" customHeight="1" x14ac:dyDescent="0.2">
      <c r="A14" s="188"/>
      <c r="B14" s="201" t="s">
        <v>57</v>
      </c>
      <c r="C14" s="201"/>
      <c r="D14" s="202" t="s">
        <v>260</v>
      </c>
      <c r="E14" s="203"/>
      <c r="F14" s="200" t="s">
        <v>57</v>
      </c>
      <c r="G14" s="201"/>
      <c r="H14" s="42" t="s">
        <v>260</v>
      </c>
      <c r="I14" s="198"/>
      <c r="J14" s="200" t="s">
        <v>61</v>
      </c>
      <c r="K14" s="201"/>
      <c r="L14" s="71" t="s">
        <v>66</v>
      </c>
      <c r="M14" s="9"/>
      <c r="N14" s="111"/>
      <c r="O14" s="113"/>
      <c r="P14" s="111"/>
      <c r="Q14" s="113"/>
      <c r="R14" s="111"/>
      <c r="S14" s="113"/>
      <c r="T14" s="111"/>
      <c r="U14" s="113"/>
      <c r="V14" s="111"/>
      <c r="W14" s="113"/>
      <c r="X14" s="111"/>
      <c r="Y14" s="112"/>
      <c r="Z14" s="112"/>
    </row>
    <row r="15" spans="1:26" ht="21.75" customHeight="1" x14ac:dyDescent="0.2">
      <c r="A15" s="188"/>
      <c r="B15" s="192" t="s">
        <v>58</v>
      </c>
      <c r="C15" s="192"/>
      <c r="D15" s="193">
        <v>2400</v>
      </c>
      <c r="E15" s="194"/>
      <c r="F15" s="191" t="s">
        <v>58</v>
      </c>
      <c r="G15" s="192"/>
      <c r="H15" s="43">
        <v>2400</v>
      </c>
      <c r="I15" s="198"/>
      <c r="J15" s="191" t="s">
        <v>62</v>
      </c>
      <c r="K15" s="192"/>
      <c r="L15" s="71" t="s">
        <v>67</v>
      </c>
      <c r="M15" s="9"/>
      <c r="N15" s="111"/>
      <c r="O15" s="113"/>
      <c r="P15" s="111"/>
      <c r="Q15" s="113"/>
      <c r="R15" s="111"/>
      <c r="S15" s="113"/>
      <c r="T15" s="111"/>
      <c r="U15" s="113"/>
      <c r="V15" s="111"/>
      <c r="W15" s="113"/>
      <c r="X15" s="111"/>
      <c r="Y15" s="112"/>
      <c r="Z15" s="112"/>
    </row>
    <row r="16" spans="1:26" ht="21.75" customHeight="1" x14ac:dyDescent="0.2">
      <c r="A16" s="188"/>
      <c r="B16" s="72" t="s">
        <v>51</v>
      </c>
      <c r="C16" s="44" t="s">
        <v>53</v>
      </c>
      <c r="D16" s="44" t="s">
        <v>54</v>
      </c>
      <c r="E16" s="154"/>
      <c r="F16" s="44" t="s">
        <v>51</v>
      </c>
      <c r="G16" s="44" t="s">
        <v>53</v>
      </c>
      <c r="H16" s="45" t="s">
        <v>54</v>
      </c>
      <c r="I16" s="198"/>
      <c r="J16" s="154" t="s">
        <v>63</v>
      </c>
      <c r="K16" s="154" t="s">
        <v>64</v>
      </c>
      <c r="L16" s="71" t="s">
        <v>68</v>
      </c>
      <c r="M16" s="9"/>
      <c r="N16" s="111"/>
      <c r="O16" s="113"/>
      <c r="P16" s="111"/>
      <c r="Q16" s="113"/>
      <c r="R16" s="111"/>
      <c r="S16" s="113"/>
      <c r="T16" s="111"/>
      <c r="U16" s="113"/>
      <c r="V16" s="111"/>
      <c r="W16" s="113"/>
      <c r="X16" s="111"/>
      <c r="Y16" s="112"/>
      <c r="Z16" s="112"/>
    </row>
    <row r="17" spans="1:26" ht="21.75" customHeight="1" x14ac:dyDescent="0.2">
      <c r="A17" s="189"/>
      <c r="B17" s="44" t="s">
        <v>52</v>
      </c>
      <c r="C17" s="46" t="s">
        <v>51</v>
      </c>
      <c r="D17" s="46" t="s">
        <v>55</v>
      </c>
      <c r="E17" s="190"/>
      <c r="F17" s="46" t="s">
        <v>52</v>
      </c>
      <c r="G17" s="47" t="s">
        <v>51</v>
      </c>
      <c r="H17" s="48" t="s">
        <v>55</v>
      </c>
      <c r="I17" s="199"/>
      <c r="J17" s="155"/>
      <c r="K17" s="155"/>
      <c r="L17" s="48" t="s">
        <v>69</v>
      </c>
      <c r="M17" s="130" t="s">
        <v>92</v>
      </c>
      <c r="N17" s="130"/>
      <c r="O17" s="130"/>
      <c r="P17" s="130"/>
      <c r="Q17" s="130"/>
      <c r="R17" s="130"/>
      <c r="S17" s="130"/>
      <c r="T17" s="130"/>
      <c r="U17" s="130"/>
      <c r="V17" s="130"/>
      <c r="W17" s="130"/>
      <c r="X17" s="130"/>
      <c r="Y17" s="130"/>
      <c r="Z17" s="130"/>
    </row>
    <row r="18" spans="1:26" ht="23.25" customHeight="1" x14ac:dyDescent="0.2">
      <c r="A18" s="49" t="s">
        <v>7</v>
      </c>
      <c r="B18" s="82">
        <v>12607.3904</v>
      </c>
      <c r="C18" s="25"/>
      <c r="D18" s="24"/>
      <c r="E18" s="108"/>
      <c r="F18" s="82">
        <v>10389.3449</v>
      </c>
      <c r="G18" s="51"/>
      <c r="H18" s="50"/>
      <c r="I18" s="52"/>
      <c r="J18" s="39"/>
      <c r="K18" s="79"/>
      <c r="L18" s="73"/>
      <c r="M18" s="123" t="s">
        <v>79</v>
      </c>
      <c r="N18" s="121" t="s">
        <v>98</v>
      </c>
      <c r="O18" s="121"/>
      <c r="P18" s="121"/>
      <c r="Q18" s="121" t="s">
        <v>107</v>
      </c>
      <c r="R18" s="121"/>
      <c r="S18" s="121"/>
      <c r="T18" s="121" t="s">
        <v>93</v>
      </c>
      <c r="U18" s="121"/>
      <c r="V18" s="121"/>
      <c r="W18" s="124" t="s">
        <v>91</v>
      </c>
      <c r="X18" s="131"/>
      <c r="Y18" s="131"/>
      <c r="Z18" s="131"/>
    </row>
    <row r="19" spans="1:26" ht="23.25" customHeight="1" x14ac:dyDescent="0.2">
      <c r="A19" s="49" t="s">
        <v>8</v>
      </c>
      <c r="B19" s="82">
        <v>12607.5638</v>
      </c>
      <c r="C19" s="25">
        <f t="shared" ref="C19:C42" si="0">IF(B19="","",IF(LEN(TRUNC(B18,0))-LEN(TRUNC(B19,0))=0,B19-B18,IF(LEN(TRUNC(B18,0))-LEN(TRUNC(B19,0))&gt;0,VALUE(LEFT(B18,LEN(TRUNC(B18,0))-LEN(TRUNC(B19,0))))*POWER(10,LEN(TRUNC(B19,0)))+B19-B18,B19-B18-VALUE(LEFT(B19,LEN(TRUNC(B19,0))-LEN(TRUNC(B18,0))))*POWER(10,LEN(TRUNC(B18,0))))))</f>
        <v>0.17339999999967404</v>
      </c>
      <c r="D19" s="24">
        <f t="shared" ref="D19:D42" si="1">IF(C19="","",C19*$D$15)</f>
        <v>416.15999999921769</v>
      </c>
      <c r="E19" s="108"/>
      <c r="F19" s="82">
        <v>10389.4769</v>
      </c>
      <c r="G19" s="51">
        <f>F19-ReportObject18_3</f>
        <v>0.1319999999996071</v>
      </c>
      <c r="H19" s="50">
        <f t="shared" ref="H19:H42" si="2">IF(G19="","",G19*$H$15)</f>
        <v>316.79999999905704</v>
      </c>
      <c r="I19" s="52">
        <f t="shared" ref="I19:I42" si="3">IF(H19="","",IF(D19="","",IF(AND(H19=0,D19=0),0,H19/D19)))</f>
        <v>0.76124567473964955</v>
      </c>
      <c r="J19" s="52">
        <v>6.2610200000000003</v>
      </c>
      <c r="K19" s="83"/>
      <c r="L19" s="53"/>
      <c r="M19" s="116"/>
      <c r="N19" s="118"/>
      <c r="O19" s="118"/>
      <c r="P19" s="118"/>
      <c r="Q19" s="118" t="s">
        <v>108</v>
      </c>
      <c r="R19" s="118"/>
      <c r="S19" s="118"/>
      <c r="T19" s="118"/>
      <c r="U19" s="118"/>
      <c r="V19" s="118"/>
      <c r="W19" s="125"/>
      <c r="X19" s="122"/>
      <c r="Y19" s="122"/>
      <c r="Z19" s="122"/>
    </row>
    <row r="20" spans="1:26" ht="23.25" customHeight="1" x14ac:dyDescent="0.2">
      <c r="A20" s="49" t="s">
        <v>9</v>
      </c>
      <c r="B20" s="82">
        <v>12607.739799999999</v>
      </c>
      <c r="C20" s="25">
        <f t="shared" si="0"/>
        <v>0.17599999999947613</v>
      </c>
      <c r="D20" s="24">
        <f t="shared" si="1"/>
        <v>422.39999999874271</v>
      </c>
      <c r="E20" s="108"/>
      <c r="F20" s="82">
        <v>10389.6088</v>
      </c>
      <c r="G20" s="51">
        <f>F20-F19</f>
        <v>0.13190000000031432</v>
      </c>
      <c r="H20" s="50">
        <f t="shared" si="2"/>
        <v>316.56000000075437</v>
      </c>
      <c r="I20" s="52">
        <f t="shared" si="3"/>
        <v>0.74943181818583482</v>
      </c>
      <c r="J20" s="52">
        <v>6.1878869999999999</v>
      </c>
      <c r="K20" s="83"/>
      <c r="L20" s="53"/>
      <c r="M20" s="116" t="s">
        <v>80</v>
      </c>
      <c r="N20" s="118" t="s">
        <v>99</v>
      </c>
      <c r="O20" s="118"/>
      <c r="P20" s="118"/>
      <c r="Q20" s="118" t="s">
        <v>181</v>
      </c>
      <c r="R20" s="118"/>
      <c r="S20" s="118"/>
      <c r="T20" s="118" t="s">
        <v>94</v>
      </c>
      <c r="U20" s="118"/>
      <c r="V20" s="118"/>
      <c r="W20" s="125"/>
      <c r="X20" s="122"/>
      <c r="Y20" s="122"/>
      <c r="Z20" s="122"/>
    </row>
    <row r="21" spans="1:26" ht="23.25" customHeight="1" x14ac:dyDescent="0.2">
      <c r="A21" s="49" t="s">
        <v>10</v>
      </c>
      <c r="B21" s="82">
        <v>12607.9125</v>
      </c>
      <c r="C21" s="25">
        <f t="shared" si="0"/>
        <v>0.17270000000098662</v>
      </c>
      <c r="D21" s="24">
        <f t="shared" si="1"/>
        <v>414.48000000236789</v>
      </c>
      <c r="E21" s="108"/>
      <c r="F21" s="82">
        <v>10389.740900000001</v>
      </c>
      <c r="G21" s="51">
        <f t="shared" ref="G21:G42" si="4">F21-F20</f>
        <v>0.13210000000071886</v>
      </c>
      <c r="H21" s="50">
        <f t="shared" si="2"/>
        <v>317.04000000172528</v>
      </c>
      <c r="I21" s="52">
        <f t="shared" si="3"/>
        <v>0.76491024898647475</v>
      </c>
      <c r="J21" s="52">
        <v>6.265873</v>
      </c>
      <c r="K21" s="83"/>
      <c r="L21" s="53"/>
      <c r="M21" s="117"/>
      <c r="N21" s="119"/>
      <c r="O21" s="119"/>
      <c r="P21" s="119"/>
      <c r="Q21" s="119"/>
      <c r="R21" s="119"/>
      <c r="S21" s="119"/>
      <c r="T21" s="119"/>
      <c r="U21" s="119"/>
      <c r="V21" s="119"/>
      <c r="W21" s="127"/>
      <c r="X21" s="130"/>
      <c r="Y21" s="130"/>
      <c r="Z21" s="130"/>
    </row>
    <row r="22" spans="1:26" ht="23.25" customHeight="1" x14ac:dyDescent="0.2">
      <c r="A22" s="49" t="s">
        <v>11</v>
      </c>
      <c r="B22" s="82">
        <v>12608.087600000001</v>
      </c>
      <c r="C22" s="25">
        <f t="shared" si="0"/>
        <v>0.17510000000038417</v>
      </c>
      <c r="D22" s="24">
        <f t="shared" si="1"/>
        <v>420.24000000092201</v>
      </c>
      <c r="E22" s="108"/>
      <c r="F22" s="82">
        <v>10389.8737</v>
      </c>
      <c r="G22" s="51">
        <f t="shared" si="4"/>
        <v>0.13279999999940628</v>
      </c>
      <c r="H22" s="50">
        <f t="shared" si="2"/>
        <v>318.71999999857508</v>
      </c>
      <c r="I22" s="52">
        <f t="shared" si="3"/>
        <v>0.75842375784760085</v>
      </c>
      <c r="J22" s="52">
        <v>6.2816960000000002</v>
      </c>
      <c r="K22" s="83"/>
      <c r="L22" s="53"/>
      <c r="M22" s="9"/>
      <c r="N22" s="120"/>
      <c r="O22" s="120"/>
      <c r="P22" s="120"/>
      <c r="Q22" s="120"/>
      <c r="R22" s="120"/>
      <c r="S22" s="120"/>
      <c r="T22" s="120"/>
      <c r="U22" s="120"/>
      <c r="V22" s="120"/>
      <c r="W22" s="111"/>
      <c r="X22" s="112"/>
      <c r="Y22" s="112"/>
      <c r="Z22" s="112"/>
    </row>
    <row r="23" spans="1:26" ht="23.25" customHeight="1" x14ac:dyDescent="0.2">
      <c r="A23" s="49" t="s">
        <v>12</v>
      </c>
      <c r="B23" s="82">
        <v>12608.2637</v>
      </c>
      <c r="C23" s="25">
        <f t="shared" si="0"/>
        <v>0.17609999999876891</v>
      </c>
      <c r="D23" s="24">
        <f t="shared" si="1"/>
        <v>422.63999999704538</v>
      </c>
      <c r="E23" s="108"/>
      <c r="F23" s="82">
        <v>10390.006799999999</v>
      </c>
      <c r="G23" s="51">
        <f t="shared" si="4"/>
        <v>0.1330999999991036</v>
      </c>
      <c r="H23" s="50">
        <f t="shared" si="2"/>
        <v>319.43999999784864</v>
      </c>
      <c r="I23" s="52">
        <f t="shared" si="3"/>
        <v>0.75582055650218105</v>
      </c>
      <c r="J23" s="52">
        <v>6.2873359999999998</v>
      </c>
      <c r="K23" s="83"/>
      <c r="L23" s="53"/>
      <c r="M23" s="9"/>
      <c r="N23" s="120"/>
      <c r="O23" s="120"/>
      <c r="P23" s="120"/>
      <c r="Q23" s="120"/>
      <c r="R23" s="120"/>
      <c r="S23" s="120"/>
      <c r="T23" s="120"/>
      <c r="U23" s="120"/>
      <c r="V23" s="120"/>
      <c r="W23" s="111"/>
      <c r="X23" s="112"/>
      <c r="Y23" s="112"/>
      <c r="Z23" s="112"/>
    </row>
    <row r="24" spans="1:26" ht="23.25" customHeight="1" x14ac:dyDescent="0.2">
      <c r="A24" s="49" t="s">
        <v>13</v>
      </c>
      <c r="B24" s="82">
        <v>12608.439399999999</v>
      </c>
      <c r="C24" s="25">
        <f t="shared" si="0"/>
        <v>0.17569999999977881</v>
      </c>
      <c r="D24" s="24">
        <f t="shared" si="1"/>
        <v>421.67999999946915</v>
      </c>
      <c r="E24" s="108"/>
      <c r="F24" s="82">
        <v>10390.1394</v>
      </c>
      <c r="G24" s="51">
        <f t="shared" si="4"/>
        <v>0.13260000000082073</v>
      </c>
      <c r="H24" s="50">
        <f t="shared" si="2"/>
        <v>318.24000000196975</v>
      </c>
      <c r="I24" s="52">
        <f t="shared" si="3"/>
        <v>0.75469550370510907</v>
      </c>
      <c r="J24" s="52">
        <v>6.2776959999999997</v>
      </c>
      <c r="K24" s="83"/>
      <c r="L24" s="53"/>
      <c r="M24" s="9"/>
      <c r="N24" s="120"/>
      <c r="O24" s="120"/>
      <c r="P24" s="120"/>
      <c r="Q24" s="120"/>
      <c r="R24" s="120"/>
      <c r="S24" s="120"/>
      <c r="T24" s="120"/>
      <c r="U24" s="120"/>
      <c r="V24" s="120"/>
      <c r="W24" s="111"/>
      <c r="X24" s="112"/>
      <c r="Y24" s="112"/>
      <c r="Z24" s="112"/>
    </row>
    <row r="25" spans="1:26" ht="23.25" customHeight="1" x14ac:dyDescent="0.2">
      <c r="A25" s="49" t="s">
        <v>14</v>
      </c>
      <c r="B25" s="82">
        <v>12608.617399999999</v>
      </c>
      <c r="C25" s="25">
        <f t="shared" si="0"/>
        <v>0.17799999999988358</v>
      </c>
      <c r="D25" s="24">
        <f t="shared" si="1"/>
        <v>427.1999999997206</v>
      </c>
      <c r="E25" s="108"/>
      <c r="F25" s="82">
        <v>10390.2706</v>
      </c>
      <c r="G25" s="51">
        <f t="shared" si="4"/>
        <v>0.13119999999980791</v>
      </c>
      <c r="H25" s="50">
        <f t="shared" si="2"/>
        <v>314.879999999539</v>
      </c>
      <c r="I25" s="52">
        <f t="shared" si="3"/>
        <v>0.73707865168479614</v>
      </c>
      <c r="J25" s="52">
        <v>6.2441059999999995</v>
      </c>
      <c r="K25" s="83"/>
      <c r="L25" s="53"/>
      <c r="M25" s="9"/>
      <c r="N25" s="120"/>
      <c r="O25" s="120"/>
      <c r="P25" s="120"/>
      <c r="Q25" s="120"/>
      <c r="R25" s="120"/>
      <c r="S25" s="120"/>
      <c r="T25" s="120"/>
      <c r="U25" s="120"/>
      <c r="V25" s="120"/>
      <c r="W25" s="111"/>
      <c r="X25" s="112"/>
      <c r="Y25" s="112"/>
      <c r="Z25" s="112"/>
    </row>
    <row r="26" spans="1:26" ht="23.25" customHeight="1" x14ac:dyDescent="0.2">
      <c r="A26" s="49" t="s">
        <v>15</v>
      </c>
      <c r="B26" s="82">
        <v>12608.787899999999</v>
      </c>
      <c r="C26" s="25">
        <f t="shared" si="0"/>
        <v>0.17050000000017462</v>
      </c>
      <c r="D26" s="24">
        <f t="shared" si="1"/>
        <v>409.2000000004191</v>
      </c>
      <c r="E26" s="108"/>
      <c r="F26" s="82">
        <v>10390.400600000001</v>
      </c>
      <c r="G26" s="51">
        <f t="shared" si="4"/>
        <v>0.13000000000101863</v>
      </c>
      <c r="H26" s="50">
        <f t="shared" si="2"/>
        <v>312.00000000244472</v>
      </c>
      <c r="I26" s="52">
        <f t="shared" si="3"/>
        <v>0.7624633431136979</v>
      </c>
      <c r="J26" s="52">
        <v>6.1818080000000002</v>
      </c>
      <c r="K26" s="83"/>
      <c r="L26" s="53"/>
      <c r="M26" s="9"/>
      <c r="N26" s="120"/>
      <c r="O26" s="120"/>
      <c r="P26" s="120"/>
      <c r="Q26" s="120"/>
      <c r="R26" s="120"/>
      <c r="S26" s="120"/>
      <c r="T26" s="120"/>
      <c r="U26" s="120"/>
      <c r="V26" s="120"/>
      <c r="W26" s="111"/>
      <c r="X26" s="112"/>
      <c r="Y26" s="112"/>
      <c r="Z26" s="112"/>
    </row>
    <row r="27" spans="1:26" ht="23.25" customHeight="1" x14ac:dyDescent="0.2">
      <c r="A27" s="49" t="s">
        <v>16</v>
      </c>
      <c r="B27" s="82">
        <v>12608.953100000001</v>
      </c>
      <c r="C27" s="25">
        <f t="shared" si="0"/>
        <v>0.16520000000127766</v>
      </c>
      <c r="D27" s="24">
        <f t="shared" si="1"/>
        <v>396.48000000306638</v>
      </c>
      <c r="E27" s="108"/>
      <c r="F27" s="82">
        <v>10390.5278</v>
      </c>
      <c r="G27" s="51">
        <f t="shared" si="4"/>
        <v>0.12719999999899301</v>
      </c>
      <c r="H27" s="50">
        <f t="shared" si="2"/>
        <v>305.27999999758322</v>
      </c>
      <c r="I27" s="52">
        <f t="shared" si="3"/>
        <v>0.76997578691288893</v>
      </c>
      <c r="J27" s="52">
        <v>6.035825</v>
      </c>
      <c r="K27" s="83"/>
      <c r="L27" s="53"/>
      <c r="M27" s="9"/>
      <c r="N27" s="120"/>
      <c r="O27" s="120"/>
      <c r="P27" s="120"/>
      <c r="Q27" s="120"/>
      <c r="R27" s="120"/>
      <c r="S27" s="120"/>
      <c r="T27" s="120"/>
      <c r="U27" s="120"/>
      <c r="V27" s="120"/>
      <c r="W27" s="111"/>
      <c r="X27" s="112"/>
      <c r="Y27" s="112"/>
      <c r="Z27" s="112"/>
    </row>
    <row r="28" spans="1:26" ht="23.25" customHeight="1" x14ac:dyDescent="0.2">
      <c r="A28" s="49" t="s">
        <v>17</v>
      </c>
      <c r="B28" s="82">
        <v>12609.1216</v>
      </c>
      <c r="C28" s="25">
        <f t="shared" si="0"/>
        <v>0.16849999999976717</v>
      </c>
      <c r="D28" s="24">
        <f t="shared" si="1"/>
        <v>404.39999999944121</v>
      </c>
      <c r="E28" s="108"/>
      <c r="F28" s="82">
        <v>10390.654</v>
      </c>
      <c r="G28" s="51">
        <f t="shared" si="4"/>
        <v>0.12620000000060827</v>
      </c>
      <c r="H28" s="50">
        <f t="shared" si="2"/>
        <v>302.88000000145985</v>
      </c>
      <c r="I28" s="52">
        <f t="shared" si="3"/>
        <v>0.74896142433698898</v>
      </c>
      <c r="J28" s="52">
        <v>6.1332380000000004</v>
      </c>
      <c r="K28" s="83"/>
      <c r="L28" s="53"/>
      <c r="M28" s="9"/>
      <c r="N28" s="120"/>
      <c r="O28" s="120"/>
      <c r="P28" s="120"/>
      <c r="Q28" s="120"/>
      <c r="R28" s="120"/>
      <c r="S28" s="120"/>
      <c r="T28" s="120"/>
      <c r="U28" s="120"/>
      <c r="V28" s="120"/>
      <c r="W28" s="111"/>
      <c r="X28" s="112"/>
      <c r="Y28" s="112"/>
      <c r="Z28" s="112"/>
    </row>
    <row r="29" spans="1:26" ht="23.25" customHeight="1" x14ac:dyDescent="0.2">
      <c r="A29" s="49" t="s">
        <v>18</v>
      </c>
      <c r="B29" s="82">
        <v>12609.314899999999</v>
      </c>
      <c r="C29" s="25">
        <f t="shared" si="0"/>
        <v>0.19329999999899883</v>
      </c>
      <c r="D29" s="24">
        <f t="shared" si="1"/>
        <v>463.91999999759719</v>
      </c>
      <c r="E29" s="108"/>
      <c r="F29" s="82">
        <v>10390.788699999999</v>
      </c>
      <c r="G29" s="51">
        <f t="shared" si="4"/>
        <v>0.13469999999870197</v>
      </c>
      <c r="H29" s="50">
        <f t="shared" si="2"/>
        <v>323.27999999688473</v>
      </c>
      <c r="I29" s="52">
        <f t="shared" si="3"/>
        <v>0.69684428349404881</v>
      </c>
      <c r="J29" s="52">
        <v>6.158995</v>
      </c>
      <c r="K29" s="83"/>
      <c r="L29" s="53"/>
      <c r="M29" s="145" t="s">
        <v>95</v>
      </c>
      <c r="N29" s="145"/>
      <c r="O29" s="145"/>
      <c r="P29" s="145"/>
      <c r="Q29" s="145"/>
      <c r="R29" s="145"/>
      <c r="S29" s="145"/>
      <c r="T29" s="145"/>
      <c r="U29" s="145"/>
      <c r="V29" s="145"/>
      <c r="W29" s="145"/>
      <c r="X29" s="145"/>
      <c r="Y29" s="145"/>
      <c r="Z29" s="145"/>
    </row>
    <row r="30" spans="1:26" ht="23.25" customHeight="1" x14ac:dyDescent="0.2">
      <c r="A30" s="49" t="s">
        <v>19</v>
      </c>
      <c r="B30" s="82">
        <v>12609.513800000001</v>
      </c>
      <c r="C30" s="25">
        <f t="shared" si="0"/>
        <v>0.19890000000123109</v>
      </c>
      <c r="D30" s="24">
        <f t="shared" si="1"/>
        <v>477.36000000295462</v>
      </c>
      <c r="E30" s="108"/>
      <c r="F30" s="82">
        <v>10390.926299999999</v>
      </c>
      <c r="G30" s="51">
        <f t="shared" si="4"/>
        <v>0.13760000000002037</v>
      </c>
      <c r="H30" s="50">
        <f t="shared" si="2"/>
        <v>330.24000000004889</v>
      </c>
      <c r="I30" s="52">
        <f t="shared" si="3"/>
        <v>0.6918049270948653</v>
      </c>
      <c r="J30" s="52">
        <v>6.1885709999999996</v>
      </c>
      <c r="K30" s="83"/>
      <c r="L30" s="53"/>
      <c r="M30" s="122" t="s">
        <v>97</v>
      </c>
      <c r="N30" s="122"/>
      <c r="O30" s="122"/>
      <c r="P30" s="122"/>
      <c r="Q30" s="122"/>
      <c r="R30" s="122"/>
      <c r="S30" s="122"/>
      <c r="T30" s="122"/>
      <c r="U30" s="122"/>
      <c r="V30" s="122"/>
      <c r="W30" s="122"/>
      <c r="X30" s="122"/>
      <c r="Y30" s="122"/>
      <c r="Z30" s="122"/>
    </row>
    <row r="31" spans="1:26" ht="23.25" customHeight="1" x14ac:dyDescent="0.2">
      <c r="A31" s="49" t="s">
        <v>20</v>
      </c>
      <c r="B31" s="82">
        <v>12609.7137</v>
      </c>
      <c r="C31" s="25">
        <f t="shared" si="0"/>
        <v>0.19989999999961583</v>
      </c>
      <c r="D31" s="24">
        <f t="shared" si="1"/>
        <v>479.75999999907799</v>
      </c>
      <c r="E31" s="108"/>
      <c r="F31" s="82">
        <v>10391.065000000001</v>
      </c>
      <c r="G31" s="51">
        <f t="shared" si="4"/>
        <v>0.13870000000133587</v>
      </c>
      <c r="H31" s="50">
        <f t="shared" si="2"/>
        <v>332.88000000320608</v>
      </c>
      <c r="I31" s="52">
        <f t="shared" si="3"/>
        <v>0.69384692346974697</v>
      </c>
      <c r="J31" s="52">
        <v>6.0619339999999999</v>
      </c>
      <c r="K31" s="83"/>
      <c r="L31" s="53"/>
      <c r="M31" s="123" t="s">
        <v>79</v>
      </c>
      <c r="N31" s="121" t="s">
        <v>98</v>
      </c>
      <c r="O31" s="121"/>
      <c r="P31" s="121" t="s">
        <v>100</v>
      </c>
      <c r="Q31" s="121"/>
      <c r="R31" s="121" t="s">
        <v>93</v>
      </c>
      <c r="S31" s="121"/>
      <c r="T31" s="121" t="s">
        <v>103</v>
      </c>
      <c r="U31" s="121"/>
      <c r="V31" s="121" t="s">
        <v>179</v>
      </c>
      <c r="W31" s="121"/>
      <c r="X31" s="121"/>
      <c r="Y31" s="121" t="s">
        <v>91</v>
      </c>
      <c r="Z31" s="124"/>
    </row>
    <row r="32" spans="1:26" ht="23.25" customHeight="1" x14ac:dyDescent="0.2">
      <c r="A32" s="49" t="s">
        <v>21</v>
      </c>
      <c r="B32" s="82">
        <v>12609.9126</v>
      </c>
      <c r="C32" s="25">
        <f t="shared" si="0"/>
        <v>0.1988999999994121</v>
      </c>
      <c r="D32" s="24">
        <f t="shared" si="1"/>
        <v>477.35999999858905</v>
      </c>
      <c r="E32" s="108"/>
      <c r="F32" s="82">
        <v>10391.203100000001</v>
      </c>
      <c r="G32" s="51">
        <f t="shared" si="4"/>
        <v>0.13810000000012224</v>
      </c>
      <c r="H32" s="50">
        <f t="shared" si="2"/>
        <v>331.44000000029337</v>
      </c>
      <c r="I32" s="52">
        <f t="shared" si="3"/>
        <v>0.6943187531449494</v>
      </c>
      <c r="J32" s="52">
        <v>6.1952359999999995</v>
      </c>
      <c r="K32" s="83"/>
      <c r="L32" s="53"/>
      <c r="M32" s="116"/>
      <c r="N32" s="118"/>
      <c r="O32" s="118"/>
      <c r="P32" s="118" t="s">
        <v>83</v>
      </c>
      <c r="Q32" s="118"/>
      <c r="R32" s="118" t="s">
        <v>102</v>
      </c>
      <c r="S32" s="118"/>
      <c r="T32" s="118" t="s">
        <v>104</v>
      </c>
      <c r="U32" s="118"/>
      <c r="V32" s="118" t="s">
        <v>105</v>
      </c>
      <c r="W32" s="118"/>
      <c r="X32" s="118"/>
      <c r="Y32" s="118"/>
      <c r="Z32" s="125"/>
    </row>
    <row r="33" spans="1:26" ht="23.25" customHeight="1" x14ac:dyDescent="0.2">
      <c r="A33" s="49" t="s">
        <v>22</v>
      </c>
      <c r="B33" s="82">
        <v>12610.1191</v>
      </c>
      <c r="C33" s="25">
        <f t="shared" si="0"/>
        <v>0.20650000000023283</v>
      </c>
      <c r="D33" s="24">
        <f t="shared" si="1"/>
        <v>495.60000000055879</v>
      </c>
      <c r="E33" s="108"/>
      <c r="F33" s="82">
        <v>10391.342199999999</v>
      </c>
      <c r="G33" s="51">
        <f t="shared" si="4"/>
        <v>0.13909999999850697</v>
      </c>
      <c r="H33" s="50">
        <f t="shared" si="2"/>
        <v>333.83999999641674</v>
      </c>
      <c r="I33" s="52">
        <f t="shared" si="3"/>
        <v>0.67360774817602975</v>
      </c>
      <c r="J33" s="52">
        <v>6.1893149999999997</v>
      </c>
      <c r="K33" s="83"/>
      <c r="L33" s="53"/>
      <c r="M33" s="116" t="s">
        <v>80</v>
      </c>
      <c r="N33" s="118" t="s">
        <v>99</v>
      </c>
      <c r="O33" s="118"/>
      <c r="P33" s="118" t="s">
        <v>101</v>
      </c>
      <c r="Q33" s="118"/>
      <c r="R33" s="118" t="s">
        <v>69</v>
      </c>
      <c r="S33" s="118"/>
      <c r="T33" s="118" t="s">
        <v>69</v>
      </c>
      <c r="U33" s="118"/>
      <c r="V33" s="118" t="s">
        <v>106</v>
      </c>
      <c r="W33" s="118"/>
      <c r="X33" s="118"/>
      <c r="Y33" s="118"/>
      <c r="Z33" s="125"/>
    </row>
    <row r="34" spans="1:26" ht="23.25" customHeight="1" x14ac:dyDescent="0.2">
      <c r="A34" s="49" t="s">
        <v>23</v>
      </c>
      <c r="B34" s="82">
        <v>12610.313700000001</v>
      </c>
      <c r="C34" s="25">
        <f t="shared" si="0"/>
        <v>0.19460000000071886</v>
      </c>
      <c r="D34" s="24">
        <f t="shared" si="1"/>
        <v>467.04000000172528</v>
      </c>
      <c r="E34" s="108"/>
      <c r="F34" s="82">
        <v>10391.4779</v>
      </c>
      <c r="G34" s="51">
        <f t="shared" si="4"/>
        <v>0.13570000000072469</v>
      </c>
      <c r="H34" s="50">
        <f t="shared" si="2"/>
        <v>325.68000000173924</v>
      </c>
      <c r="I34" s="52">
        <f t="shared" si="3"/>
        <v>0.69732785200525904</v>
      </c>
      <c r="J34" s="52">
        <v>6.2009219999999994</v>
      </c>
      <c r="K34" s="83"/>
      <c r="L34" s="53"/>
      <c r="M34" s="117"/>
      <c r="N34" s="119"/>
      <c r="O34" s="119"/>
      <c r="P34" s="119"/>
      <c r="Q34" s="119"/>
      <c r="R34" s="127"/>
      <c r="S34" s="117"/>
      <c r="T34" s="127"/>
      <c r="U34" s="117"/>
      <c r="V34" s="127"/>
      <c r="W34" s="130"/>
      <c r="X34" s="117"/>
      <c r="Y34" s="119"/>
      <c r="Z34" s="127"/>
    </row>
    <row r="35" spans="1:26" ht="23.25" customHeight="1" x14ac:dyDescent="0.2">
      <c r="A35" s="49" t="s">
        <v>24</v>
      </c>
      <c r="B35" s="82">
        <v>12610.5196</v>
      </c>
      <c r="C35" s="25">
        <f t="shared" si="0"/>
        <v>0.2058999999990192</v>
      </c>
      <c r="D35" s="24">
        <f t="shared" si="1"/>
        <v>494.15999999764608</v>
      </c>
      <c r="E35" s="108"/>
      <c r="F35" s="82">
        <v>10391.617</v>
      </c>
      <c r="G35" s="51">
        <f t="shared" si="4"/>
        <v>0.13910000000032596</v>
      </c>
      <c r="H35" s="50">
        <f t="shared" si="2"/>
        <v>333.84000000078231</v>
      </c>
      <c r="I35" s="52">
        <f t="shared" si="3"/>
        <v>0.67557066537634081</v>
      </c>
      <c r="J35" s="52">
        <v>6.1838999999999995</v>
      </c>
      <c r="K35" s="83"/>
      <c r="L35" s="53"/>
      <c r="M35" s="9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11"/>
    </row>
    <row r="36" spans="1:26" ht="23.25" customHeight="1" x14ac:dyDescent="0.2">
      <c r="A36" s="49" t="s">
        <v>25</v>
      </c>
      <c r="B36" s="82">
        <v>12610.722900000001</v>
      </c>
      <c r="C36" s="25">
        <f t="shared" si="0"/>
        <v>0.2033000000010361</v>
      </c>
      <c r="D36" s="24">
        <f t="shared" si="1"/>
        <v>487.92000000248663</v>
      </c>
      <c r="E36" s="108"/>
      <c r="F36" s="82">
        <v>10391.754199999999</v>
      </c>
      <c r="G36" s="51">
        <f t="shared" si="4"/>
        <v>0.13719999999921129</v>
      </c>
      <c r="H36" s="50">
        <f t="shared" si="2"/>
        <v>329.27999999810709</v>
      </c>
      <c r="I36" s="52">
        <f t="shared" si="3"/>
        <v>0.6748647319159472</v>
      </c>
      <c r="J36" s="52">
        <v>6.1691319999999994</v>
      </c>
      <c r="K36" s="83"/>
      <c r="L36" s="53"/>
      <c r="M36" s="9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11"/>
    </row>
    <row r="37" spans="1:26" ht="23.25" customHeight="1" x14ac:dyDescent="0.2">
      <c r="A37" s="49" t="s">
        <v>26</v>
      </c>
      <c r="B37" s="82">
        <v>12610.918600000001</v>
      </c>
      <c r="C37" s="25">
        <f t="shared" si="0"/>
        <v>0.19570000000021537</v>
      </c>
      <c r="D37" s="24">
        <f t="shared" si="1"/>
        <v>469.68000000051688</v>
      </c>
      <c r="E37" s="108"/>
      <c r="F37" s="82">
        <v>10391.8863</v>
      </c>
      <c r="G37" s="51">
        <f t="shared" si="4"/>
        <v>0.13210000000071886</v>
      </c>
      <c r="H37" s="50">
        <f t="shared" si="2"/>
        <v>317.04000000172528</v>
      </c>
      <c r="I37" s="52">
        <f t="shared" si="3"/>
        <v>0.67501277465801479</v>
      </c>
      <c r="J37" s="52">
        <v>6.1104669999999999</v>
      </c>
      <c r="K37" s="83"/>
      <c r="L37" s="53"/>
      <c r="M37" s="9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11"/>
    </row>
    <row r="38" spans="1:26" ht="23.25" customHeight="1" x14ac:dyDescent="0.2">
      <c r="A38" s="49" t="s">
        <v>27</v>
      </c>
      <c r="B38" s="82">
        <v>12611.123600000001</v>
      </c>
      <c r="C38" s="25">
        <f t="shared" si="0"/>
        <v>0.20499999999992724</v>
      </c>
      <c r="D38" s="24">
        <f t="shared" si="1"/>
        <v>491.99999999982538</v>
      </c>
      <c r="E38" s="108"/>
      <c r="F38" s="82">
        <v>10392.022300000001</v>
      </c>
      <c r="G38" s="51">
        <f t="shared" si="4"/>
        <v>0.13600000000042201</v>
      </c>
      <c r="H38" s="50">
        <f t="shared" si="2"/>
        <v>326.40000000101281</v>
      </c>
      <c r="I38" s="52">
        <f t="shared" si="3"/>
        <v>0.66341463414863544</v>
      </c>
      <c r="J38" s="52">
        <v>6.1377709999999999</v>
      </c>
      <c r="K38" s="83"/>
      <c r="L38" s="53"/>
      <c r="M38" s="9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11"/>
    </row>
    <row r="39" spans="1:26" ht="23.25" customHeight="1" x14ac:dyDescent="0.2">
      <c r="A39" s="49" t="s">
        <v>28</v>
      </c>
      <c r="B39" s="82">
        <v>12611.322399999999</v>
      </c>
      <c r="C39" s="25">
        <f t="shared" si="0"/>
        <v>0.19879999999830034</v>
      </c>
      <c r="D39" s="24">
        <f t="shared" si="1"/>
        <v>477.11999999592081</v>
      </c>
      <c r="E39" s="108"/>
      <c r="F39" s="82">
        <v>10392.1584</v>
      </c>
      <c r="G39" s="51">
        <f t="shared" si="4"/>
        <v>0.13609999999971478</v>
      </c>
      <c r="H39" s="50">
        <f t="shared" si="2"/>
        <v>326.63999999931548</v>
      </c>
      <c r="I39" s="52">
        <f t="shared" si="3"/>
        <v>0.68460764587966993</v>
      </c>
      <c r="J39" s="52">
        <v>6.1636360000000003</v>
      </c>
      <c r="K39" s="83"/>
      <c r="L39" s="53"/>
      <c r="M39" s="9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11"/>
    </row>
    <row r="40" spans="1:26" ht="23.25" customHeight="1" x14ac:dyDescent="0.2">
      <c r="A40" s="49" t="s">
        <v>29</v>
      </c>
      <c r="B40" s="82">
        <v>12611.523999999999</v>
      </c>
      <c r="C40" s="25">
        <f t="shared" si="0"/>
        <v>0.20160000000032596</v>
      </c>
      <c r="D40" s="24">
        <f t="shared" si="1"/>
        <v>483.84000000078231</v>
      </c>
      <c r="E40" s="108"/>
      <c r="F40" s="82">
        <v>10392.2965</v>
      </c>
      <c r="G40" s="51">
        <f t="shared" si="4"/>
        <v>0.13810000000012224</v>
      </c>
      <c r="H40" s="50">
        <f t="shared" si="2"/>
        <v>331.44000000029337</v>
      </c>
      <c r="I40" s="52">
        <f t="shared" si="3"/>
        <v>0.68501984126934001</v>
      </c>
      <c r="J40" s="52">
        <v>6.1840780000000004</v>
      </c>
      <c r="K40" s="83"/>
      <c r="L40" s="53"/>
      <c r="M40" s="122" t="s">
        <v>109</v>
      </c>
      <c r="N40" s="122"/>
      <c r="O40" s="122"/>
      <c r="P40" s="122"/>
      <c r="Q40" s="122"/>
      <c r="R40" s="122"/>
      <c r="S40" s="122"/>
      <c r="T40" s="122"/>
      <c r="U40" s="122"/>
      <c r="V40" s="122"/>
      <c r="W40" s="122"/>
      <c r="X40" s="122"/>
      <c r="Y40" s="122"/>
      <c r="Z40" s="122"/>
    </row>
    <row r="41" spans="1:26" ht="23.25" customHeight="1" x14ac:dyDescent="0.2">
      <c r="A41" s="49" t="s">
        <v>30</v>
      </c>
      <c r="B41" s="82">
        <v>12611.726500000001</v>
      </c>
      <c r="C41" s="25">
        <f t="shared" si="0"/>
        <v>0.20250000000123691</v>
      </c>
      <c r="D41" s="24">
        <f t="shared" si="1"/>
        <v>486.00000000296859</v>
      </c>
      <c r="E41" s="108"/>
      <c r="F41" s="82">
        <v>10392.4362</v>
      </c>
      <c r="G41" s="51">
        <f t="shared" si="4"/>
        <v>0.1396999999997206</v>
      </c>
      <c r="H41" s="50">
        <f t="shared" si="2"/>
        <v>335.27999999932945</v>
      </c>
      <c r="I41" s="52">
        <f t="shared" si="3"/>
        <v>0.68987654320428293</v>
      </c>
      <c r="J41" s="52">
        <v>5.9977140000000002</v>
      </c>
      <c r="K41" s="83"/>
      <c r="L41" s="53"/>
      <c r="M41" s="123" t="s">
        <v>79</v>
      </c>
      <c r="N41" s="121" t="s">
        <v>98</v>
      </c>
      <c r="O41" s="121"/>
      <c r="P41" s="121" t="s">
        <v>93</v>
      </c>
      <c r="Q41" s="121"/>
      <c r="R41" s="121"/>
      <c r="S41" s="121" t="s">
        <v>111</v>
      </c>
      <c r="T41" s="121" t="s">
        <v>81</v>
      </c>
      <c r="U41" s="121"/>
      <c r="V41" s="121"/>
      <c r="W41" s="121"/>
      <c r="X41" s="121" t="s">
        <v>93</v>
      </c>
      <c r="Y41" s="121"/>
      <c r="Z41" s="124"/>
    </row>
    <row r="42" spans="1:26" ht="23.25" customHeight="1" x14ac:dyDescent="0.2">
      <c r="A42" s="49" t="s">
        <v>31</v>
      </c>
      <c r="B42" s="82">
        <v>12611.927799999999</v>
      </c>
      <c r="C42" s="25">
        <f t="shared" si="0"/>
        <v>0.20129999999880965</v>
      </c>
      <c r="D42" s="24">
        <f t="shared" si="1"/>
        <v>483.11999999714317</v>
      </c>
      <c r="E42" s="108"/>
      <c r="F42" s="82">
        <v>10392.5761</v>
      </c>
      <c r="G42" s="51">
        <f t="shared" si="4"/>
        <v>0.13990000000012515</v>
      </c>
      <c r="H42" s="50">
        <f t="shared" si="2"/>
        <v>335.76000000030035</v>
      </c>
      <c r="I42" s="52">
        <f t="shared" si="3"/>
        <v>0.6949826130201312</v>
      </c>
      <c r="J42" s="52">
        <v>6.2398449999999999</v>
      </c>
      <c r="K42" s="83"/>
      <c r="L42" s="53"/>
      <c r="M42" s="116"/>
      <c r="N42" s="118"/>
      <c r="O42" s="118"/>
      <c r="P42" s="118"/>
      <c r="Q42" s="118"/>
      <c r="R42" s="118"/>
      <c r="S42" s="118"/>
      <c r="T42" s="118"/>
      <c r="U42" s="118"/>
      <c r="V42" s="118"/>
      <c r="W42" s="118"/>
      <c r="X42" s="118"/>
      <c r="Y42" s="118"/>
      <c r="Z42" s="125"/>
    </row>
    <row r="43" spans="1:26" ht="22.5" customHeight="1" x14ac:dyDescent="0.2">
      <c r="A43" s="184" t="s">
        <v>70</v>
      </c>
      <c r="B43" s="184"/>
      <c r="C43" s="184"/>
      <c r="D43" s="50">
        <f>SUM(D18:D42)</f>
        <v>10889.759999998205</v>
      </c>
      <c r="E43" s="39"/>
      <c r="F43" s="54"/>
      <c r="G43" s="39"/>
      <c r="H43" s="50">
        <f>SUM(H18:H42)</f>
        <v>7754.8800000004121</v>
      </c>
      <c r="I43" s="52">
        <f>IF(AND(H43=0,D43=0),0,H43/D43)</f>
        <v>0.7121258870720466</v>
      </c>
      <c r="J43" s="39"/>
      <c r="K43" s="39"/>
      <c r="L43" s="53"/>
      <c r="M43" s="116" t="s">
        <v>80</v>
      </c>
      <c r="N43" s="118" t="s">
        <v>99</v>
      </c>
      <c r="O43" s="118"/>
      <c r="P43" s="118" t="s">
        <v>110</v>
      </c>
      <c r="Q43" s="118"/>
      <c r="R43" s="118"/>
      <c r="S43" s="118"/>
      <c r="T43" s="118"/>
      <c r="U43" s="118"/>
      <c r="V43" s="118"/>
      <c r="W43" s="118"/>
      <c r="X43" s="118" t="s">
        <v>110</v>
      </c>
      <c r="Y43" s="118"/>
      <c r="Z43" s="125"/>
    </row>
    <row r="44" spans="1:26" ht="22.5" customHeight="1" x14ac:dyDescent="0.2">
      <c r="A44" s="183" t="s">
        <v>71</v>
      </c>
      <c r="B44" s="183"/>
      <c r="C44" s="183"/>
      <c r="D44" s="39"/>
      <c r="E44" s="39"/>
      <c r="F44" s="54"/>
      <c r="G44" s="39"/>
      <c r="H44" s="39"/>
      <c r="I44" s="39"/>
      <c r="J44" s="39"/>
      <c r="K44" s="39"/>
      <c r="L44" s="53"/>
      <c r="M44" s="117"/>
      <c r="N44" s="119"/>
      <c r="O44" s="119"/>
      <c r="P44" s="119"/>
      <c r="Q44" s="119"/>
      <c r="R44" s="119"/>
      <c r="S44" s="119"/>
      <c r="T44" s="119"/>
      <c r="U44" s="119"/>
      <c r="V44" s="119"/>
      <c r="W44" s="119"/>
      <c r="X44" s="119"/>
      <c r="Y44" s="119"/>
      <c r="Z44" s="127"/>
    </row>
    <row r="45" spans="1:26" ht="22.5" customHeight="1" x14ac:dyDescent="0.2">
      <c r="A45" s="55"/>
      <c r="B45" s="56"/>
      <c r="C45" s="56"/>
      <c r="D45" s="56"/>
      <c r="E45" s="56"/>
      <c r="F45" s="56"/>
      <c r="G45" s="56"/>
      <c r="H45" s="56"/>
      <c r="I45" s="56"/>
      <c r="J45" s="57"/>
      <c r="K45" s="57"/>
      <c r="L45" s="57"/>
      <c r="M45" s="9"/>
      <c r="N45" s="111"/>
      <c r="O45" s="113"/>
      <c r="P45" s="111"/>
      <c r="Q45" s="112"/>
      <c r="R45" s="113"/>
      <c r="S45" s="7"/>
      <c r="T45" s="111"/>
      <c r="U45" s="112"/>
      <c r="V45" s="112"/>
      <c r="W45" s="113"/>
      <c r="X45" s="111"/>
      <c r="Y45" s="112"/>
      <c r="Z45" s="112"/>
    </row>
    <row r="46" spans="1:26" ht="22.5" customHeight="1" x14ac:dyDescent="0.2">
      <c r="A46" s="182" t="s">
        <v>72</v>
      </c>
      <c r="B46" s="182"/>
      <c r="C46" s="182"/>
      <c r="D46" s="182"/>
      <c r="E46" s="182"/>
      <c r="F46" s="182"/>
      <c r="G46" s="204" t="s">
        <v>73</v>
      </c>
      <c r="H46" s="204"/>
      <c r="I46" s="204"/>
      <c r="J46" s="204"/>
      <c r="K46" s="204"/>
      <c r="L46" s="204"/>
      <c r="M46" s="9"/>
      <c r="N46" s="111"/>
      <c r="O46" s="113"/>
      <c r="P46" s="111"/>
      <c r="Q46" s="112"/>
      <c r="R46" s="113"/>
      <c r="S46" s="7"/>
      <c r="T46" s="111"/>
      <c r="U46" s="112"/>
      <c r="V46" s="112"/>
      <c r="W46" s="113"/>
      <c r="X46" s="111"/>
      <c r="Y46" s="112"/>
      <c r="Z46" s="112"/>
    </row>
    <row r="47" spans="1:26" ht="22.5" customHeight="1" x14ac:dyDescent="0.2">
      <c r="A47" s="144" t="s">
        <v>365</v>
      </c>
      <c r="B47" s="144"/>
      <c r="C47" s="144"/>
      <c r="D47" s="135" t="s">
        <v>74</v>
      </c>
      <c r="E47" s="135"/>
      <c r="F47" s="135"/>
      <c r="G47" s="56"/>
      <c r="H47" s="56"/>
      <c r="I47" s="56"/>
      <c r="J47" s="56"/>
      <c r="K47" s="56"/>
      <c r="L47" s="56"/>
      <c r="M47" s="9"/>
      <c r="N47" s="111"/>
      <c r="O47" s="113"/>
      <c r="P47" s="111"/>
      <c r="Q47" s="112"/>
      <c r="R47" s="113"/>
      <c r="S47" s="7"/>
      <c r="T47" s="111"/>
      <c r="U47" s="112"/>
      <c r="V47" s="112"/>
      <c r="W47" s="113"/>
      <c r="X47" s="111"/>
      <c r="Y47" s="112"/>
      <c r="Z47" s="112"/>
    </row>
    <row r="48" spans="1:26" ht="22.5" customHeight="1" x14ac:dyDescent="0.2">
      <c r="A48" s="175" t="s">
        <v>75</v>
      </c>
      <c r="B48" s="175"/>
      <c r="C48" s="175"/>
      <c r="D48" s="174" t="s">
        <v>76</v>
      </c>
      <c r="E48" s="174"/>
      <c r="F48" s="174"/>
      <c r="G48" s="55"/>
      <c r="H48" s="55"/>
      <c r="I48" s="55"/>
      <c r="J48" s="55"/>
      <c r="K48" s="55"/>
      <c r="L48" s="55"/>
    </row>
    <row r="49" spans="1:23" ht="22.5" customHeight="1" x14ac:dyDescent="0.2">
      <c r="A49" s="144" t="s">
        <v>366</v>
      </c>
      <c r="B49" s="144"/>
      <c r="C49" s="144"/>
      <c r="D49" s="135" t="s">
        <v>74</v>
      </c>
      <c r="E49" s="135"/>
      <c r="F49" s="135"/>
      <c r="G49" s="55"/>
      <c r="H49" s="182" t="s">
        <v>183</v>
      </c>
      <c r="I49" s="182"/>
      <c r="J49" s="182"/>
      <c r="K49" s="182" t="s">
        <v>77</v>
      </c>
      <c r="L49" s="182"/>
      <c r="N49" s="177" t="s">
        <v>150</v>
      </c>
      <c r="O49" s="177"/>
      <c r="P49" s="177"/>
      <c r="Q49" s="176" t="s">
        <v>364</v>
      </c>
      <c r="R49" s="176"/>
      <c r="S49" s="176"/>
      <c r="T49" s="176"/>
      <c r="U49" s="176"/>
      <c r="V49" s="176"/>
      <c r="W49" s="1"/>
    </row>
    <row r="50" spans="1:23" ht="22.5" customHeight="1" x14ac:dyDescent="0.2">
      <c r="A50" s="175" t="s">
        <v>75</v>
      </c>
      <c r="B50" s="175"/>
      <c r="C50" s="175"/>
      <c r="D50" s="174" t="s">
        <v>76</v>
      </c>
      <c r="E50" s="174"/>
      <c r="F50" s="174"/>
      <c r="G50" s="58"/>
      <c r="H50" s="175" t="s">
        <v>75</v>
      </c>
      <c r="I50" s="175"/>
      <c r="J50" s="175"/>
      <c r="K50" s="175" t="s">
        <v>76</v>
      </c>
      <c r="L50" s="175"/>
      <c r="S50" s="173" t="s">
        <v>76</v>
      </c>
      <c r="T50" s="173"/>
    </row>
    <row r="51" spans="1:23" ht="20.100000000000001" customHeight="1" x14ac:dyDescent="0.2">
      <c r="A51" s="144" t="s">
        <v>367</v>
      </c>
      <c r="B51" s="144"/>
      <c r="C51" s="144"/>
      <c r="D51" s="135" t="s">
        <v>74</v>
      </c>
      <c r="E51" s="135"/>
      <c r="F51" s="135"/>
      <c r="G51" s="55"/>
      <c r="H51" s="55"/>
      <c r="I51" s="55"/>
      <c r="J51" s="55"/>
      <c r="K51" s="55"/>
      <c r="L51" s="55"/>
    </row>
    <row r="52" spans="1:23" ht="20.100000000000001" customHeight="1" x14ac:dyDescent="0.2">
      <c r="A52" s="174" t="s">
        <v>75</v>
      </c>
      <c r="B52" s="174"/>
      <c r="C52" s="174"/>
      <c r="D52" s="173" t="s">
        <v>76</v>
      </c>
      <c r="E52" s="173"/>
      <c r="F52" s="173"/>
      <c r="G52" s="63"/>
      <c r="H52" s="63"/>
      <c r="I52" s="64"/>
      <c r="J52" s="64"/>
      <c r="K52" s="64"/>
      <c r="L52" s="64"/>
    </row>
  </sheetData>
  <sheetProtection sheet="1" objects="1" scenarios="1"/>
  <mergeCells count="258">
    <mergeCell ref="A52:C52"/>
    <mergeCell ref="D52:F52"/>
    <mergeCell ref="D51:F51"/>
    <mergeCell ref="K16:K17"/>
    <mergeCell ref="A13:A17"/>
    <mergeCell ref="E16:E17"/>
    <mergeCell ref="B15:C15"/>
    <mergeCell ref="D15:E15"/>
    <mergeCell ref="B13:C13"/>
    <mergeCell ref="J16:J17"/>
    <mergeCell ref="A47:C47"/>
    <mergeCell ref="I13:I17"/>
    <mergeCell ref="J13:K13"/>
    <mergeCell ref="J14:K14"/>
    <mergeCell ref="J15:K15"/>
    <mergeCell ref="G1:H2"/>
    <mergeCell ref="G3:H4"/>
    <mergeCell ref="A1:F1"/>
    <mergeCell ref="A2:F2"/>
    <mergeCell ref="A4:F4"/>
    <mergeCell ref="A51:C51"/>
    <mergeCell ref="A6:F6"/>
    <mergeCell ref="D47:F47"/>
    <mergeCell ref="F14:G14"/>
    <mergeCell ref="A9:L9"/>
    <mergeCell ref="G46:L46"/>
    <mergeCell ref="H10:L10"/>
    <mergeCell ref="D13:E13"/>
    <mergeCell ref="E10:G10"/>
    <mergeCell ref="A43:C43"/>
    <mergeCell ref="I3:L4"/>
    <mergeCell ref="A11:D11"/>
    <mergeCell ref="E11:H11"/>
    <mergeCell ref="A10:D10"/>
    <mergeCell ref="F13:G13"/>
    <mergeCell ref="H50:J50"/>
    <mergeCell ref="K50:L50"/>
    <mergeCell ref="D49:F49"/>
    <mergeCell ref="A12:L12"/>
    <mergeCell ref="A3:F3"/>
    <mergeCell ref="A5:F5"/>
    <mergeCell ref="A48:C48"/>
    <mergeCell ref="A49:C49"/>
    <mergeCell ref="A50:C50"/>
    <mergeCell ref="D50:F50"/>
    <mergeCell ref="D48:F48"/>
    <mergeCell ref="F15:G15"/>
    <mergeCell ref="A46:F46"/>
    <mergeCell ref="A44:C44"/>
    <mergeCell ref="T15:U15"/>
    <mergeCell ref="X7:Z7"/>
    <mergeCell ref="N7:O7"/>
    <mergeCell ref="X8:Z8"/>
    <mergeCell ref="H49:J49"/>
    <mergeCell ref="K49:L49"/>
    <mergeCell ref="A7:L7"/>
    <mergeCell ref="I11:L11"/>
    <mergeCell ref="B14:C14"/>
    <mergeCell ref="D14:E14"/>
    <mergeCell ref="A8:L8"/>
    <mergeCell ref="M33:M34"/>
    <mergeCell ref="M29:Z29"/>
    <mergeCell ref="M30:Z30"/>
    <mergeCell ref="V31:X31"/>
    <mergeCell ref="V32:X32"/>
    <mergeCell ref="Y31:Z34"/>
    <mergeCell ref="N10:O10"/>
    <mergeCell ref="N11:O11"/>
    <mergeCell ref="N14:O14"/>
    <mergeCell ref="N15:O15"/>
    <mergeCell ref="R11:S11"/>
    <mergeCell ref="R12:S12"/>
    <mergeCell ref="P10:Q10"/>
    <mergeCell ref="N13:O13"/>
    <mergeCell ref="T12:U12"/>
    <mergeCell ref="R13:S13"/>
    <mergeCell ref="T9:U9"/>
    <mergeCell ref="T10:U10"/>
    <mergeCell ref="T11:U11"/>
    <mergeCell ref="R8:S8"/>
    <mergeCell ref="R9:S9"/>
    <mergeCell ref="R10:S10"/>
    <mergeCell ref="T8:U8"/>
    <mergeCell ref="P11:Q11"/>
    <mergeCell ref="N12:O12"/>
    <mergeCell ref="P7:Q7"/>
    <mergeCell ref="P8:Q8"/>
    <mergeCell ref="P9:Q9"/>
    <mergeCell ref="R7:S7"/>
    <mergeCell ref="T7:U7"/>
    <mergeCell ref="P12:Q12"/>
    <mergeCell ref="N8:O8"/>
    <mergeCell ref="N9:O9"/>
    <mergeCell ref="M1:Z1"/>
    <mergeCell ref="M2:Z2"/>
    <mergeCell ref="X3:Z6"/>
    <mergeCell ref="M5:M6"/>
    <mergeCell ref="M3:M4"/>
    <mergeCell ref="P3:Q4"/>
    <mergeCell ref="R6:S6"/>
    <mergeCell ref="T4:U4"/>
    <mergeCell ref="T5:U5"/>
    <mergeCell ref="V3:W3"/>
    <mergeCell ref="P5:Q6"/>
    <mergeCell ref="N3:O6"/>
    <mergeCell ref="T3:U3"/>
    <mergeCell ref="R3:S3"/>
    <mergeCell ref="R4:S4"/>
    <mergeCell ref="R5:S5"/>
    <mergeCell ref="T6:U6"/>
    <mergeCell ref="V8:W8"/>
    <mergeCell ref="V9:W9"/>
    <mergeCell ref="V10:W10"/>
    <mergeCell ref="V11:W11"/>
    <mergeCell ref="V12:W12"/>
    <mergeCell ref="V4:W4"/>
    <mergeCell ref="V5:W5"/>
    <mergeCell ref="V6:W6"/>
    <mergeCell ref="V7:W7"/>
    <mergeCell ref="V13:W13"/>
    <mergeCell ref="M20:M21"/>
    <mergeCell ref="Q25:S25"/>
    <mergeCell ref="V14:W14"/>
    <mergeCell ref="T16:U16"/>
    <mergeCell ref="T14:U14"/>
    <mergeCell ref="N18:P19"/>
    <mergeCell ref="W22:Z22"/>
    <mergeCell ref="T20:V21"/>
    <mergeCell ref="W25:Z25"/>
    <mergeCell ref="N24:P24"/>
    <mergeCell ref="Q24:S24"/>
    <mergeCell ref="N23:P23"/>
    <mergeCell ref="W24:Z24"/>
    <mergeCell ref="N25:P25"/>
    <mergeCell ref="Q23:S23"/>
    <mergeCell ref="T24:V24"/>
    <mergeCell ref="Q19:S19"/>
    <mergeCell ref="P13:Q13"/>
    <mergeCell ref="P14:Q14"/>
    <mergeCell ref="T13:U13"/>
    <mergeCell ref="R14:S14"/>
    <mergeCell ref="R15:S15"/>
    <mergeCell ref="P16:Q16"/>
    <mergeCell ref="Q22:S22"/>
    <mergeCell ref="W18:Z21"/>
    <mergeCell ref="Q21:S21"/>
    <mergeCell ref="P15:Q15"/>
    <mergeCell ref="Q26:S26"/>
    <mergeCell ref="Q27:S27"/>
    <mergeCell ref="T27:V27"/>
    <mergeCell ref="T33:U33"/>
    <mergeCell ref="R31:S31"/>
    <mergeCell ref="R32:S32"/>
    <mergeCell ref="W23:Z23"/>
    <mergeCell ref="R16:S16"/>
    <mergeCell ref="V15:W15"/>
    <mergeCell ref="V16:W16"/>
    <mergeCell ref="N22:P22"/>
    <mergeCell ref="T23:V23"/>
    <mergeCell ref="M17:Z17"/>
    <mergeCell ref="M18:M19"/>
    <mergeCell ref="N20:P21"/>
    <mergeCell ref="Q20:S20"/>
    <mergeCell ref="M31:M32"/>
    <mergeCell ref="N16:O16"/>
    <mergeCell ref="N28:P28"/>
    <mergeCell ref="Q28:S28"/>
    <mergeCell ref="V34:X34"/>
    <mergeCell ref="P32:Q32"/>
    <mergeCell ref="P33:Q33"/>
    <mergeCell ref="P31:Q31"/>
    <mergeCell ref="N27:P27"/>
    <mergeCell ref="W27:Z27"/>
    <mergeCell ref="N26:P26"/>
    <mergeCell ref="N31:O32"/>
    <mergeCell ref="N33:O34"/>
    <mergeCell ref="W28:Z28"/>
    <mergeCell ref="R33:S33"/>
    <mergeCell ref="T31:U31"/>
    <mergeCell ref="T32:U32"/>
    <mergeCell ref="V33:X33"/>
    <mergeCell ref="T26:V26"/>
    <mergeCell ref="N38:O38"/>
    <mergeCell ref="P38:Q38"/>
    <mergeCell ref="R38:S38"/>
    <mergeCell ref="T38:U38"/>
    <mergeCell ref="N37:O37"/>
    <mergeCell ref="P37:Q37"/>
    <mergeCell ref="R37:S37"/>
    <mergeCell ref="N35:O35"/>
    <mergeCell ref="P35:Q35"/>
    <mergeCell ref="R35:S35"/>
    <mergeCell ref="T35:U35"/>
    <mergeCell ref="T37:U37"/>
    <mergeCell ref="N36:O36"/>
    <mergeCell ref="P36:Q36"/>
    <mergeCell ref="R36:S36"/>
    <mergeCell ref="T36:U36"/>
    <mergeCell ref="T46:W46"/>
    <mergeCell ref="T47:W47"/>
    <mergeCell ref="N43:O44"/>
    <mergeCell ref="P43:R44"/>
    <mergeCell ref="M40:Z40"/>
    <mergeCell ref="M41:M42"/>
    <mergeCell ref="T41:W44"/>
    <mergeCell ref="X45:Z45"/>
    <mergeCell ref="X46:Z46"/>
    <mergeCell ref="X41:Z42"/>
    <mergeCell ref="X43:Z44"/>
    <mergeCell ref="S41:S44"/>
    <mergeCell ref="I1:L2"/>
    <mergeCell ref="G5:H6"/>
    <mergeCell ref="I5:L6"/>
    <mergeCell ref="S50:T50"/>
    <mergeCell ref="N39:O39"/>
    <mergeCell ref="P39:Q39"/>
    <mergeCell ref="N41:O42"/>
    <mergeCell ref="P41:R42"/>
    <mergeCell ref="Q49:V49"/>
    <mergeCell ref="N49:P49"/>
    <mergeCell ref="P45:R45"/>
    <mergeCell ref="P46:R46"/>
    <mergeCell ref="P47:R47"/>
    <mergeCell ref="N45:O45"/>
    <mergeCell ref="N46:O46"/>
    <mergeCell ref="V38:X38"/>
    <mergeCell ref="P34:Q34"/>
    <mergeCell ref="X9:Z9"/>
    <mergeCell ref="X10:Z10"/>
    <mergeCell ref="X47:Z47"/>
    <mergeCell ref="M43:M44"/>
    <mergeCell ref="N47:O47"/>
    <mergeCell ref="T45:W45"/>
    <mergeCell ref="X11:Z11"/>
    <mergeCell ref="X12:Z12"/>
    <mergeCell ref="X13:Z13"/>
    <mergeCell ref="X14:Z14"/>
    <mergeCell ref="X15:Z15"/>
    <mergeCell ref="R39:S39"/>
    <mergeCell ref="T39:U39"/>
    <mergeCell ref="V39:X39"/>
    <mergeCell ref="Y39:Z39"/>
    <mergeCell ref="Y38:Z38"/>
    <mergeCell ref="V35:X35"/>
    <mergeCell ref="Y35:Z35"/>
    <mergeCell ref="V36:X36"/>
    <mergeCell ref="Y36:Z36"/>
    <mergeCell ref="V37:X37"/>
    <mergeCell ref="Y37:Z37"/>
    <mergeCell ref="X16:Z16"/>
    <mergeCell ref="W26:Z26"/>
    <mergeCell ref="R34:S34"/>
    <mergeCell ref="T34:U34"/>
    <mergeCell ref="T18:V19"/>
    <mergeCell ref="T22:V22"/>
    <mergeCell ref="Q18:S18"/>
    <mergeCell ref="T25:V25"/>
    <mergeCell ref="T28:V28"/>
  </mergeCells>
  <phoneticPr fontId="0" type="noConversion"/>
  <printOptions horizontalCentered="1"/>
  <pageMargins left="0.39370078740157483" right="0.39370078740157483" top="0.19685039370078741" bottom="0.19685039370078741" header="0" footer="0"/>
  <pageSetup paperSize="9" scale="66" orientation="portrait" horizontalDpi="180" verticalDpi="180" r:id="rId1"/>
  <headerFooter alignWithMargins="0"/>
  <colBreaks count="1" manualBreakCount="1">
    <brk id="12" max="1048575" man="1"/>
  </col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52"/>
  <sheetViews>
    <sheetView view="pageBreakPreview" topLeftCell="A17" zoomScale="75" zoomScaleNormal="50" zoomScaleSheetLayoutView="75" workbookViewId="0">
      <selection activeCell="L41" sqref="L41"/>
    </sheetView>
  </sheetViews>
  <sheetFormatPr defaultRowHeight="18.75" x14ac:dyDescent="0.2"/>
  <cols>
    <col min="1" max="1" width="11.140625" style="88" customWidth="1"/>
    <col min="2" max="2" width="15.85546875" style="88" customWidth="1"/>
    <col min="3" max="3" width="12.140625" style="88" customWidth="1"/>
    <col min="4" max="4" width="14" style="88" customWidth="1"/>
    <col min="5" max="5" width="7.85546875" style="88" customWidth="1"/>
    <col min="6" max="6" width="13.85546875" style="88" customWidth="1"/>
    <col min="7" max="7" width="12.85546875" style="88" customWidth="1"/>
    <col min="8" max="8" width="20.85546875" style="88" customWidth="1"/>
    <col min="9" max="9" width="8.28515625" style="88" customWidth="1"/>
    <col min="10" max="11" width="8.85546875" style="88" customWidth="1"/>
    <col min="12" max="12" width="17" style="88" customWidth="1"/>
    <col min="13" max="26" width="10.28515625" style="88" customWidth="1"/>
    <col min="27" max="16384" width="9.140625" style="88"/>
  </cols>
  <sheetData>
    <row r="1" spans="1:26" ht="21.75" customHeight="1" x14ac:dyDescent="0.2">
      <c r="A1" s="115" t="s">
        <v>157</v>
      </c>
      <c r="B1" s="115"/>
      <c r="C1" s="115"/>
      <c r="D1" s="115"/>
      <c r="E1" s="115"/>
      <c r="F1" s="115"/>
      <c r="G1" s="150" t="s">
        <v>154</v>
      </c>
      <c r="H1" s="150"/>
      <c r="I1" s="115" t="s">
        <v>160</v>
      </c>
      <c r="J1" s="115"/>
      <c r="K1" s="115"/>
      <c r="L1" s="115"/>
      <c r="M1" s="122" t="s">
        <v>96</v>
      </c>
      <c r="N1" s="122"/>
      <c r="O1" s="122"/>
      <c r="P1" s="122"/>
      <c r="Q1" s="122"/>
      <c r="R1" s="122"/>
      <c r="S1" s="122"/>
      <c r="T1" s="122"/>
      <c r="U1" s="122"/>
      <c r="V1" s="122"/>
      <c r="W1" s="122"/>
      <c r="X1" s="122"/>
      <c r="Y1" s="122"/>
      <c r="Z1" s="122"/>
    </row>
    <row r="2" spans="1:26" ht="21.75" customHeight="1" x14ac:dyDescent="0.2">
      <c r="A2" s="146" t="s">
        <v>45</v>
      </c>
      <c r="B2" s="146"/>
      <c r="C2" s="146"/>
      <c r="D2" s="146"/>
      <c r="E2" s="146"/>
      <c r="F2" s="146"/>
      <c r="G2" s="150"/>
      <c r="H2" s="150"/>
      <c r="I2" s="115"/>
      <c r="J2" s="115"/>
      <c r="K2" s="115"/>
      <c r="L2" s="115"/>
      <c r="M2" s="122" t="s">
        <v>78</v>
      </c>
      <c r="N2" s="122"/>
      <c r="O2" s="122"/>
      <c r="P2" s="122"/>
      <c r="Q2" s="122"/>
      <c r="R2" s="122"/>
      <c r="S2" s="122"/>
      <c r="T2" s="122"/>
      <c r="U2" s="122"/>
      <c r="V2" s="122"/>
      <c r="W2" s="122"/>
      <c r="X2" s="122"/>
      <c r="Y2" s="122"/>
      <c r="Z2" s="122"/>
    </row>
    <row r="3" spans="1:26" ht="21.75" customHeight="1" x14ac:dyDescent="0.2">
      <c r="A3" s="115" t="s">
        <v>158</v>
      </c>
      <c r="B3" s="147"/>
      <c r="C3" s="147"/>
      <c r="D3" s="147"/>
      <c r="E3" s="147"/>
      <c r="F3" s="147"/>
      <c r="G3" s="150" t="s">
        <v>155</v>
      </c>
      <c r="H3" s="150"/>
      <c r="I3" s="115" t="s">
        <v>372</v>
      </c>
      <c r="J3" s="115"/>
      <c r="K3" s="115"/>
      <c r="L3" s="115"/>
      <c r="M3" s="123" t="s">
        <v>79</v>
      </c>
      <c r="N3" s="124" t="s">
        <v>81</v>
      </c>
      <c r="O3" s="123"/>
      <c r="P3" s="124" t="s">
        <v>65</v>
      </c>
      <c r="Q3" s="123"/>
      <c r="R3" s="124" t="s">
        <v>82</v>
      </c>
      <c r="S3" s="123"/>
      <c r="T3" s="124" t="s">
        <v>85</v>
      </c>
      <c r="U3" s="123"/>
      <c r="V3" s="124" t="s">
        <v>87</v>
      </c>
      <c r="W3" s="123"/>
      <c r="X3" s="128" t="s">
        <v>91</v>
      </c>
      <c r="Y3" s="132"/>
      <c r="Z3" s="132"/>
    </row>
    <row r="4" spans="1:26" ht="29.25" customHeight="1" x14ac:dyDescent="0.2">
      <c r="A4" s="146" t="s">
        <v>46</v>
      </c>
      <c r="B4" s="146"/>
      <c r="C4" s="146"/>
      <c r="D4" s="146"/>
      <c r="E4" s="146"/>
      <c r="F4" s="146"/>
      <c r="G4" s="150"/>
      <c r="H4" s="150"/>
      <c r="I4" s="115"/>
      <c r="J4" s="115"/>
      <c r="K4" s="115"/>
      <c r="L4" s="115"/>
      <c r="M4" s="116"/>
      <c r="N4" s="125"/>
      <c r="O4" s="116"/>
      <c r="P4" s="125"/>
      <c r="Q4" s="116"/>
      <c r="R4" s="125" t="s">
        <v>83</v>
      </c>
      <c r="S4" s="116"/>
      <c r="T4" s="125" t="s">
        <v>86</v>
      </c>
      <c r="U4" s="116"/>
      <c r="V4" s="125" t="s">
        <v>88</v>
      </c>
      <c r="W4" s="116"/>
      <c r="X4" s="128"/>
      <c r="Y4" s="132"/>
      <c r="Z4" s="132"/>
    </row>
    <row r="5" spans="1:26" ht="21.75" customHeight="1" x14ac:dyDescent="0.2">
      <c r="A5" s="115" t="s">
        <v>177</v>
      </c>
      <c r="B5" s="147"/>
      <c r="C5" s="147"/>
      <c r="D5" s="147"/>
      <c r="E5" s="147"/>
      <c r="F5" s="147"/>
      <c r="G5" s="150" t="s">
        <v>156</v>
      </c>
      <c r="H5" s="150"/>
      <c r="I5" s="115" t="s">
        <v>373</v>
      </c>
      <c r="J5" s="115"/>
      <c r="K5" s="115"/>
      <c r="L5" s="115"/>
      <c r="M5" s="116" t="s">
        <v>80</v>
      </c>
      <c r="N5" s="125"/>
      <c r="O5" s="116"/>
      <c r="P5" s="125" t="s">
        <v>182</v>
      </c>
      <c r="Q5" s="116"/>
      <c r="R5" s="133" t="s">
        <v>84</v>
      </c>
      <c r="S5" s="134"/>
      <c r="T5" s="133" t="s">
        <v>84</v>
      </c>
      <c r="U5" s="134"/>
      <c r="V5" s="125" t="s">
        <v>89</v>
      </c>
      <c r="W5" s="116"/>
      <c r="X5" s="128"/>
      <c r="Y5" s="132"/>
      <c r="Z5" s="132"/>
    </row>
    <row r="6" spans="1:26" ht="21.75" customHeight="1" x14ac:dyDescent="0.2">
      <c r="A6" s="146" t="s">
        <v>47</v>
      </c>
      <c r="B6" s="146"/>
      <c r="C6" s="146"/>
      <c r="D6" s="146"/>
      <c r="E6" s="146"/>
      <c r="F6" s="146"/>
      <c r="G6" s="150"/>
      <c r="H6" s="150"/>
      <c r="I6" s="115"/>
      <c r="J6" s="115"/>
      <c r="K6" s="115"/>
      <c r="L6" s="115"/>
      <c r="M6" s="117"/>
      <c r="N6" s="127"/>
      <c r="O6" s="117"/>
      <c r="P6" s="127"/>
      <c r="Q6" s="117"/>
      <c r="R6" s="127"/>
      <c r="S6" s="117"/>
      <c r="T6" s="127"/>
      <c r="U6" s="117"/>
      <c r="V6" s="127" t="s">
        <v>90</v>
      </c>
      <c r="W6" s="117"/>
      <c r="X6" s="128"/>
      <c r="Y6" s="132"/>
      <c r="Z6" s="132"/>
    </row>
    <row r="7" spans="1:26" ht="21.75" customHeight="1" x14ac:dyDescent="0.2">
      <c r="A7" s="122"/>
      <c r="B7" s="122"/>
      <c r="C7" s="122"/>
      <c r="D7" s="122"/>
      <c r="E7" s="122"/>
      <c r="F7" s="122"/>
      <c r="G7" s="122"/>
      <c r="H7" s="122"/>
      <c r="I7" s="122"/>
      <c r="J7" s="122"/>
      <c r="K7" s="122"/>
      <c r="L7" s="122"/>
      <c r="M7" s="85"/>
      <c r="N7" s="111"/>
      <c r="O7" s="113"/>
      <c r="P7" s="111"/>
      <c r="Q7" s="113"/>
      <c r="R7" s="111"/>
      <c r="S7" s="113"/>
      <c r="T7" s="111"/>
      <c r="U7" s="113"/>
      <c r="V7" s="111"/>
      <c r="W7" s="113"/>
      <c r="X7" s="111"/>
      <c r="Y7" s="112"/>
      <c r="Z7" s="112"/>
    </row>
    <row r="8" spans="1:26" ht="22.5" customHeight="1" x14ac:dyDescent="0.2">
      <c r="A8" s="143" t="s">
        <v>48</v>
      </c>
      <c r="B8" s="143"/>
      <c r="C8" s="143"/>
      <c r="D8" s="143"/>
      <c r="E8" s="143"/>
      <c r="F8" s="143"/>
      <c r="G8" s="143"/>
      <c r="H8" s="143"/>
      <c r="I8" s="143"/>
      <c r="J8" s="143"/>
      <c r="K8" s="143"/>
      <c r="L8" s="143"/>
      <c r="M8" s="85"/>
      <c r="N8" s="111"/>
      <c r="O8" s="113"/>
      <c r="P8" s="111"/>
      <c r="Q8" s="113"/>
      <c r="R8" s="111"/>
      <c r="S8" s="113"/>
      <c r="T8" s="111"/>
      <c r="U8" s="113"/>
      <c r="V8" s="111"/>
      <c r="W8" s="113"/>
      <c r="X8" s="111"/>
      <c r="Y8" s="112"/>
      <c r="Z8" s="112"/>
    </row>
    <row r="9" spans="1:26" ht="22.5" customHeight="1" x14ac:dyDescent="0.2">
      <c r="A9" s="156" t="s">
        <v>49</v>
      </c>
      <c r="B9" s="156"/>
      <c r="C9" s="156"/>
      <c r="D9" s="156"/>
      <c r="E9" s="156"/>
      <c r="F9" s="156"/>
      <c r="G9" s="156"/>
      <c r="H9" s="156"/>
      <c r="I9" s="156"/>
      <c r="J9" s="156"/>
      <c r="K9" s="156"/>
      <c r="L9" s="156"/>
      <c r="M9" s="85"/>
      <c r="N9" s="111"/>
      <c r="O9" s="113"/>
      <c r="P9" s="111"/>
      <c r="Q9" s="113"/>
      <c r="R9" s="111"/>
      <c r="S9" s="113"/>
      <c r="T9" s="111"/>
      <c r="U9" s="113"/>
      <c r="V9" s="111"/>
      <c r="W9" s="113"/>
      <c r="X9" s="111"/>
      <c r="Y9" s="112"/>
      <c r="Z9" s="112"/>
    </row>
    <row r="10" spans="1:26" ht="22.5" customHeight="1" x14ac:dyDescent="0.2">
      <c r="A10" s="151" t="s">
        <v>112</v>
      </c>
      <c r="B10" s="151"/>
      <c r="C10" s="151"/>
      <c r="D10" s="151"/>
      <c r="E10" s="162" t="s">
        <v>407</v>
      </c>
      <c r="F10" s="163"/>
      <c r="G10" s="163"/>
      <c r="H10" s="138" t="s">
        <v>369</v>
      </c>
      <c r="I10" s="138"/>
      <c r="J10" s="138"/>
      <c r="K10" s="138"/>
      <c r="L10" s="138"/>
      <c r="M10" s="85"/>
      <c r="N10" s="111"/>
      <c r="O10" s="113"/>
      <c r="P10" s="111"/>
      <c r="Q10" s="113"/>
      <c r="R10" s="111"/>
      <c r="S10" s="113"/>
      <c r="T10" s="111"/>
      <c r="U10" s="113"/>
      <c r="V10" s="111"/>
      <c r="W10" s="113"/>
      <c r="X10" s="111"/>
      <c r="Y10" s="112"/>
      <c r="Z10" s="112"/>
    </row>
    <row r="11" spans="1:26" ht="22.5" customHeight="1" x14ac:dyDescent="0.2">
      <c r="A11" s="151" t="s">
        <v>113</v>
      </c>
      <c r="B11" s="151"/>
      <c r="C11" s="151"/>
      <c r="D11" s="151"/>
      <c r="E11" s="161" t="s">
        <v>378</v>
      </c>
      <c r="F11" s="161"/>
      <c r="G11" s="161"/>
      <c r="H11" s="161"/>
      <c r="I11" s="138" t="s">
        <v>114</v>
      </c>
      <c r="J11" s="138"/>
      <c r="K11" s="138"/>
      <c r="L11" s="138"/>
      <c r="M11" s="85"/>
      <c r="N11" s="111"/>
      <c r="O11" s="113"/>
      <c r="P11" s="111"/>
      <c r="Q11" s="113"/>
      <c r="R11" s="111"/>
      <c r="S11" s="113"/>
      <c r="T11" s="111"/>
      <c r="U11" s="113"/>
      <c r="V11" s="111"/>
      <c r="W11" s="113"/>
      <c r="X11" s="111"/>
      <c r="Y11" s="112"/>
      <c r="Z11" s="112"/>
    </row>
    <row r="12" spans="1:26" ht="21.75" customHeight="1" x14ac:dyDescent="0.2">
      <c r="A12" s="215"/>
      <c r="B12" s="149"/>
      <c r="C12" s="149"/>
      <c r="D12" s="149"/>
      <c r="E12" s="149"/>
      <c r="F12" s="149"/>
      <c r="G12" s="149"/>
      <c r="H12" s="149"/>
      <c r="I12" s="149"/>
      <c r="J12" s="149"/>
      <c r="K12" s="149"/>
      <c r="L12" s="215"/>
      <c r="M12" s="85"/>
      <c r="N12" s="111"/>
      <c r="O12" s="113"/>
      <c r="P12" s="111"/>
      <c r="Q12" s="113"/>
      <c r="R12" s="111"/>
      <c r="S12" s="113"/>
      <c r="T12" s="111"/>
      <c r="U12" s="113"/>
      <c r="V12" s="111"/>
      <c r="W12" s="113"/>
      <c r="X12" s="111"/>
      <c r="Y12" s="112"/>
      <c r="Z12" s="112"/>
    </row>
    <row r="13" spans="1:26" ht="21.75" customHeight="1" x14ac:dyDescent="0.2">
      <c r="A13" s="187" t="s">
        <v>50</v>
      </c>
      <c r="B13" s="196" t="s">
        <v>56</v>
      </c>
      <c r="C13" s="196"/>
      <c r="D13" s="185" t="s">
        <v>374</v>
      </c>
      <c r="E13" s="186"/>
      <c r="F13" s="195" t="s">
        <v>59</v>
      </c>
      <c r="G13" s="196"/>
      <c r="H13" s="99" t="s">
        <v>374</v>
      </c>
      <c r="I13" s="197" t="s">
        <v>5</v>
      </c>
      <c r="J13" s="195" t="s">
        <v>60</v>
      </c>
      <c r="K13" s="196"/>
      <c r="L13" s="95" t="s">
        <v>65</v>
      </c>
      <c r="M13" s="85"/>
      <c r="N13" s="111"/>
      <c r="O13" s="113"/>
      <c r="P13" s="111"/>
      <c r="Q13" s="113"/>
      <c r="R13" s="111"/>
      <c r="S13" s="113"/>
      <c r="T13" s="111"/>
      <c r="U13" s="113"/>
      <c r="V13" s="111"/>
      <c r="W13" s="113"/>
      <c r="X13" s="111"/>
      <c r="Y13" s="112"/>
      <c r="Z13" s="112"/>
    </row>
    <row r="14" spans="1:26" ht="21.75" customHeight="1" x14ac:dyDescent="0.2">
      <c r="A14" s="188"/>
      <c r="B14" s="201" t="s">
        <v>57</v>
      </c>
      <c r="C14" s="201"/>
      <c r="D14" s="202" t="s">
        <v>379</v>
      </c>
      <c r="E14" s="203"/>
      <c r="F14" s="200" t="s">
        <v>57</v>
      </c>
      <c r="G14" s="201"/>
      <c r="H14" s="97" t="s">
        <v>379</v>
      </c>
      <c r="I14" s="198"/>
      <c r="J14" s="200" t="s">
        <v>61</v>
      </c>
      <c r="K14" s="201"/>
      <c r="L14" s="96" t="s">
        <v>66</v>
      </c>
      <c r="M14" s="85"/>
      <c r="N14" s="111"/>
      <c r="O14" s="113"/>
      <c r="P14" s="111"/>
      <c r="Q14" s="113"/>
      <c r="R14" s="111"/>
      <c r="S14" s="113"/>
      <c r="T14" s="111"/>
      <c r="U14" s="113"/>
      <c r="V14" s="111"/>
      <c r="W14" s="113"/>
      <c r="X14" s="111"/>
      <c r="Y14" s="112"/>
      <c r="Z14" s="112"/>
    </row>
    <row r="15" spans="1:26" ht="21.75" customHeight="1" x14ac:dyDescent="0.2">
      <c r="A15" s="188"/>
      <c r="B15" s="192" t="s">
        <v>58</v>
      </c>
      <c r="C15" s="192"/>
      <c r="D15" s="193">
        <v>80</v>
      </c>
      <c r="E15" s="194"/>
      <c r="F15" s="191" t="s">
        <v>58</v>
      </c>
      <c r="G15" s="192"/>
      <c r="H15" s="102">
        <v>80</v>
      </c>
      <c r="I15" s="198"/>
      <c r="J15" s="191" t="s">
        <v>62</v>
      </c>
      <c r="K15" s="192"/>
      <c r="L15" s="96" t="s">
        <v>67</v>
      </c>
      <c r="M15" s="85"/>
      <c r="N15" s="111"/>
      <c r="O15" s="113"/>
      <c r="P15" s="111"/>
      <c r="Q15" s="113"/>
      <c r="R15" s="111"/>
      <c r="S15" s="113"/>
      <c r="T15" s="111"/>
      <c r="U15" s="113"/>
      <c r="V15" s="111"/>
      <c r="W15" s="113"/>
      <c r="X15" s="111"/>
      <c r="Y15" s="112"/>
      <c r="Z15" s="112"/>
    </row>
    <row r="16" spans="1:26" ht="21.75" customHeight="1" x14ac:dyDescent="0.2">
      <c r="A16" s="188"/>
      <c r="B16" s="100" t="s">
        <v>51</v>
      </c>
      <c r="C16" s="91" t="s">
        <v>53</v>
      </c>
      <c r="D16" s="91" t="s">
        <v>54</v>
      </c>
      <c r="E16" s="154"/>
      <c r="F16" s="91" t="s">
        <v>51</v>
      </c>
      <c r="G16" s="91" t="s">
        <v>53</v>
      </c>
      <c r="H16" s="95" t="s">
        <v>54</v>
      </c>
      <c r="I16" s="198"/>
      <c r="J16" s="154" t="s">
        <v>63</v>
      </c>
      <c r="K16" s="154" t="s">
        <v>64</v>
      </c>
      <c r="L16" s="96" t="s">
        <v>68</v>
      </c>
      <c r="M16" s="85"/>
      <c r="N16" s="111"/>
      <c r="O16" s="113"/>
      <c r="P16" s="111"/>
      <c r="Q16" s="113"/>
      <c r="R16" s="111"/>
      <c r="S16" s="113"/>
      <c r="T16" s="111"/>
      <c r="U16" s="113"/>
      <c r="V16" s="111"/>
      <c r="W16" s="113"/>
      <c r="X16" s="111"/>
      <c r="Y16" s="112"/>
      <c r="Z16" s="112"/>
    </row>
    <row r="17" spans="1:26" ht="21.75" customHeight="1" x14ac:dyDescent="0.2">
      <c r="A17" s="189"/>
      <c r="B17" s="91" t="s">
        <v>52</v>
      </c>
      <c r="C17" s="101" t="s">
        <v>51</v>
      </c>
      <c r="D17" s="101" t="s">
        <v>55</v>
      </c>
      <c r="E17" s="190"/>
      <c r="F17" s="101" t="s">
        <v>52</v>
      </c>
      <c r="G17" s="92" t="s">
        <v>51</v>
      </c>
      <c r="H17" s="98" t="s">
        <v>55</v>
      </c>
      <c r="I17" s="199"/>
      <c r="J17" s="155"/>
      <c r="K17" s="155"/>
      <c r="L17" s="98" t="s">
        <v>69</v>
      </c>
      <c r="M17" s="130" t="s">
        <v>92</v>
      </c>
      <c r="N17" s="130"/>
      <c r="O17" s="130"/>
      <c r="P17" s="130"/>
      <c r="Q17" s="130"/>
      <c r="R17" s="130"/>
      <c r="S17" s="130"/>
      <c r="T17" s="130"/>
      <c r="U17" s="130"/>
      <c r="V17" s="130"/>
      <c r="W17" s="130"/>
      <c r="X17" s="130"/>
      <c r="Y17" s="130"/>
      <c r="Z17" s="130"/>
    </row>
    <row r="18" spans="1:26" ht="23.25" customHeight="1" x14ac:dyDescent="0.2">
      <c r="A18" s="49" t="s">
        <v>7</v>
      </c>
      <c r="B18" s="82">
        <v>511.00439999999998</v>
      </c>
      <c r="C18" s="25"/>
      <c r="D18" s="24"/>
      <c r="E18" s="90"/>
      <c r="F18" s="82">
        <v>410.72280000000001</v>
      </c>
      <c r="G18" s="51"/>
      <c r="H18" s="50"/>
      <c r="I18" s="52"/>
      <c r="J18" s="104"/>
      <c r="K18" s="104"/>
      <c r="L18" s="73"/>
      <c r="M18" s="123" t="s">
        <v>79</v>
      </c>
      <c r="N18" s="121" t="s">
        <v>98</v>
      </c>
      <c r="O18" s="121"/>
      <c r="P18" s="121"/>
      <c r="Q18" s="121" t="s">
        <v>107</v>
      </c>
      <c r="R18" s="121"/>
      <c r="S18" s="121"/>
      <c r="T18" s="121" t="s">
        <v>93</v>
      </c>
      <c r="U18" s="121"/>
      <c r="V18" s="121"/>
      <c r="W18" s="124" t="s">
        <v>91</v>
      </c>
      <c r="X18" s="131"/>
      <c r="Y18" s="131"/>
      <c r="Z18" s="131"/>
    </row>
    <row r="19" spans="1:26" ht="23.25" customHeight="1" x14ac:dyDescent="0.2">
      <c r="A19" s="49" t="s">
        <v>8</v>
      </c>
      <c r="B19" s="82">
        <v>511.0052</v>
      </c>
      <c r="C19" s="25">
        <f t="shared" ref="C19:C42" si="0">IF(B19="","",IF(LEN(TRUNC(B18,0))-LEN(TRUNC(B19,0))=0,B19-B18,IF(LEN(TRUNC(B18,0))-LEN(TRUNC(B19,0))&gt;0,VALUE(LEFT(B18,LEN(TRUNC(B18,0))-LEN(TRUNC(B19,0))))*POWER(10,LEN(TRUNC(B19,0)))+B19-B18,B19-B18-VALUE(LEFT(B19,LEN(TRUNC(B19,0))-LEN(TRUNC(B18,0))))*POWER(10,LEN(TRUNC(B18,0))))))</f>
        <v>8.0000000002655725E-4</v>
      </c>
      <c r="D19" s="24">
        <f t="shared" ref="D19:D42" si="1">IF(C19="","",C19*$D$15)</f>
        <v>6.400000000212458E-2</v>
      </c>
      <c r="E19" s="90"/>
      <c r="F19" s="82">
        <v>410.7244</v>
      </c>
      <c r="G19" s="51">
        <f>F19-ReportObject18_3</f>
        <v>1.5999999999962711E-3</v>
      </c>
      <c r="H19" s="50">
        <f t="shared" ref="H19:H42" si="2">IF(G19="","",G19*$H$15)</f>
        <v>0.12799999999970169</v>
      </c>
      <c r="I19" s="52">
        <f t="shared" ref="I19:I42" si="3">IF(H19="","",IF(D19="","",IF(AND(H19=0,D19=0),0,H19/D19)))</f>
        <v>1.9999999999289457</v>
      </c>
      <c r="J19" s="104"/>
      <c r="K19" s="83"/>
      <c r="L19" s="53"/>
      <c r="M19" s="116"/>
      <c r="N19" s="118"/>
      <c r="O19" s="118"/>
      <c r="P19" s="118"/>
      <c r="Q19" s="118" t="s">
        <v>108</v>
      </c>
      <c r="R19" s="118"/>
      <c r="S19" s="118"/>
      <c r="T19" s="118"/>
      <c r="U19" s="118"/>
      <c r="V19" s="118"/>
      <c r="W19" s="125"/>
      <c r="X19" s="122"/>
      <c r="Y19" s="122"/>
      <c r="Z19" s="122"/>
    </row>
    <row r="20" spans="1:26" ht="23.25" customHeight="1" x14ac:dyDescent="0.2">
      <c r="A20" s="49" t="s">
        <v>9</v>
      </c>
      <c r="B20" s="82">
        <v>511.00560000000002</v>
      </c>
      <c r="C20" s="25">
        <f t="shared" si="0"/>
        <v>4.0000000001327862E-4</v>
      </c>
      <c r="D20" s="24">
        <f t="shared" si="1"/>
        <v>3.200000000106229E-2</v>
      </c>
      <c r="E20" s="90"/>
      <c r="F20" s="82">
        <v>410.726</v>
      </c>
      <c r="G20" s="51">
        <f>F20-F19</f>
        <v>1.5999999999962711E-3</v>
      </c>
      <c r="H20" s="50">
        <f t="shared" si="2"/>
        <v>0.12799999999970169</v>
      </c>
      <c r="I20" s="52">
        <f t="shared" si="3"/>
        <v>3.9999999998578915</v>
      </c>
      <c r="J20" s="104"/>
      <c r="K20" s="83"/>
      <c r="L20" s="53"/>
      <c r="M20" s="116" t="s">
        <v>80</v>
      </c>
      <c r="N20" s="118" t="s">
        <v>99</v>
      </c>
      <c r="O20" s="118"/>
      <c r="P20" s="118"/>
      <c r="Q20" s="118" t="s">
        <v>181</v>
      </c>
      <c r="R20" s="118"/>
      <c r="S20" s="118"/>
      <c r="T20" s="118" t="s">
        <v>94</v>
      </c>
      <c r="U20" s="118"/>
      <c r="V20" s="118"/>
      <c r="W20" s="125"/>
      <c r="X20" s="122"/>
      <c r="Y20" s="122"/>
      <c r="Z20" s="122"/>
    </row>
    <row r="21" spans="1:26" ht="23.25" customHeight="1" x14ac:dyDescent="0.2">
      <c r="A21" s="49" t="s">
        <v>10</v>
      </c>
      <c r="B21" s="82">
        <v>511.00599999999997</v>
      </c>
      <c r="C21" s="25">
        <f t="shared" si="0"/>
        <v>3.999999999564352E-4</v>
      </c>
      <c r="D21" s="24">
        <f t="shared" si="1"/>
        <v>3.1999999996514816E-2</v>
      </c>
      <c r="E21" s="90"/>
      <c r="F21" s="82">
        <v>410.7276</v>
      </c>
      <c r="G21" s="51">
        <f t="shared" ref="G21:G42" si="4">F21-F20</f>
        <v>1.5999999999962711E-3</v>
      </c>
      <c r="H21" s="50">
        <f t="shared" si="2"/>
        <v>0.12799999999970169</v>
      </c>
      <c r="I21" s="52">
        <f t="shared" si="3"/>
        <v>4.0000000004263256</v>
      </c>
      <c r="J21" s="104"/>
      <c r="K21" s="83"/>
      <c r="L21" s="53"/>
      <c r="M21" s="117"/>
      <c r="N21" s="119"/>
      <c r="O21" s="119"/>
      <c r="P21" s="119"/>
      <c r="Q21" s="119"/>
      <c r="R21" s="119"/>
      <c r="S21" s="119"/>
      <c r="T21" s="119"/>
      <c r="U21" s="119"/>
      <c r="V21" s="119"/>
      <c r="W21" s="127"/>
      <c r="X21" s="130"/>
      <c r="Y21" s="130"/>
      <c r="Z21" s="130"/>
    </row>
    <row r="22" spans="1:26" ht="23.25" customHeight="1" x14ac:dyDescent="0.2">
      <c r="A22" s="49" t="s">
        <v>11</v>
      </c>
      <c r="B22" s="82">
        <v>511.00639999999999</v>
      </c>
      <c r="C22" s="25">
        <f t="shared" si="0"/>
        <v>4.0000000001327862E-4</v>
      </c>
      <c r="D22" s="24">
        <f t="shared" si="1"/>
        <v>3.200000000106229E-2</v>
      </c>
      <c r="E22" s="90"/>
      <c r="F22" s="82">
        <v>410.72879999999998</v>
      </c>
      <c r="G22" s="51">
        <f t="shared" si="4"/>
        <v>1.1999999999829924E-3</v>
      </c>
      <c r="H22" s="50">
        <f t="shared" si="2"/>
        <v>9.5999999998639396E-2</v>
      </c>
      <c r="I22" s="52">
        <f t="shared" si="3"/>
        <v>2.9999999998578915</v>
      </c>
      <c r="J22" s="104"/>
      <c r="K22" s="83"/>
      <c r="L22" s="53"/>
      <c r="M22" s="85"/>
      <c r="N22" s="120"/>
      <c r="O22" s="120"/>
      <c r="P22" s="120"/>
      <c r="Q22" s="120"/>
      <c r="R22" s="120"/>
      <c r="S22" s="120"/>
      <c r="T22" s="120"/>
      <c r="U22" s="120"/>
      <c r="V22" s="120"/>
      <c r="W22" s="111"/>
      <c r="X22" s="112"/>
      <c r="Y22" s="112"/>
      <c r="Z22" s="112"/>
    </row>
    <row r="23" spans="1:26" ht="23.25" customHeight="1" x14ac:dyDescent="0.2">
      <c r="A23" s="49" t="s">
        <v>12</v>
      </c>
      <c r="B23" s="82">
        <v>511.00720000000001</v>
      </c>
      <c r="C23" s="25">
        <f t="shared" si="0"/>
        <v>8.0000000002655725E-4</v>
      </c>
      <c r="D23" s="24">
        <f t="shared" si="1"/>
        <v>6.400000000212458E-2</v>
      </c>
      <c r="E23" s="90"/>
      <c r="F23" s="82">
        <v>410.73039999999997</v>
      </c>
      <c r="G23" s="51">
        <f t="shared" si="4"/>
        <v>1.5999999999962711E-3</v>
      </c>
      <c r="H23" s="50">
        <f t="shared" si="2"/>
        <v>0.12799999999970169</v>
      </c>
      <c r="I23" s="52">
        <f t="shared" si="3"/>
        <v>1.9999999999289457</v>
      </c>
      <c r="J23" s="104"/>
      <c r="K23" s="83"/>
      <c r="L23" s="53"/>
      <c r="M23" s="85"/>
      <c r="N23" s="120"/>
      <c r="O23" s="120"/>
      <c r="P23" s="120"/>
      <c r="Q23" s="120"/>
      <c r="R23" s="120"/>
      <c r="S23" s="120"/>
      <c r="T23" s="120"/>
      <c r="U23" s="120"/>
      <c r="V23" s="120"/>
      <c r="W23" s="111"/>
      <c r="X23" s="112"/>
      <c r="Y23" s="112"/>
      <c r="Z23" s="112"/>
    </row>
    <row r="24" spans="1:26" ht="23.25" customHeight="1" x14ac:dyDescent="0.2">
      <c r="A24" s="49" t="s">
        <v>13</v>
      </c>
      <c r="B24" s="82">
        <v>511.00760000000002</v>
      </c>
      <c r="C24" s="25">
        <f t="shared" si="0"/>
        <v>4.0000000001327862E-4</v>
      </c>
      <c r="D24" s="24">
        <f t="shared" si="1"/>
        <v>3.200000000106229E-2</v>
      </c>
      <c r="E24" s="90"/>
      <c r="F24" s="82">
        <v>410.73200000000003</v>
      </c>
      <c r="G24" s="51">
        <f t="shared" si="4"/>
        <v>1.6000000000531145E-3</v>
      </c>
      <c r="H24" s="50">
        <f t="shared" si="2"/>
        <v>0.12800000000424916</v>
      </c>
      <c r="I24" s="52">
        <f t="shared" si="3"/>
        <v>4</v>
      </c>
      <c r="J24" s="104"/>
      <c r="K24" s="83"/>
      <c r="L24" s="53"/>
      <c r="M24" s="85"/>
      <c r="N24" s="120"/>
      <c r="O24" s="120"/>
      <c r="P24" s="120"/>
      <c r="Q24" s="120"/>
      <c r="R24" s="120"/>
      <c r="S24" s="120"/>
      <c r="T24" s="120"/>
      <c r="U24" s="120"/>
      <c r="V24" s="120"/>
      <c r="W24" s="111"/>
      <c r="X24" s="112"/>
      <c r="Y24" s="112"/>
      <c r="Z24" s="112"/>
    </row>
    <row r="25" spans="1:26" ht="23.25" customHeight="1" x14ac:dyDescent="0.2">
      <c r="A25" s="49" t="s">
        <v>14</v>
      </c>
      <c r="B25" s="82">
        <v>511.00799999999998</v>
      </c>
      <c r="C25" s="25">
        <f t="shared" si="0"/>
        <v>3.999999999564352E-4</v>
      </c>
      <c r="D25" s="24">
        <f t="shared" si="1"/>
        <v>3.1999999996514816E-2</v>
      </c>
      <c r="E25" s="90"/>
      <c r="F25" s="82">
        <v>410.73320000000001</v>
      </c>
      <c r="G25" s="51">
        <f t="shared" si="4"/>
        <v>1.1999999999829924E-3</v>
      </c>
      <c r="H25" s="50">
        <f t="shared" si="2"/>
        <v>9.5999999998639396E-2</v>
      </c>
      <c r="I25" s="52">
        <f t="shared" si="3"/>
        <v>3.0000000002842171</v>
      </c>
      <c r="J25" s="104"/>
      <c r="K25" s="83"/>
      <c r="L25" s="53"/>
      <c r="M25" s="85"/>
      <c r="N25" s="120"/>
      <c r="O25" s="120"/>
      <c r="P25" s="120"/>
      <c r="Q25" s="120"/>
      <c r="R25" s="120"/>
      <c r="S25" s="120"/>
      <c r="T25" s="120"/>
      <c r="U25" s="120"/>
      <c r="V25" s="120"/>
      <c r="W25" s="111"/>
      <c r="X25" s="112"/>
      <c r="Y25" s="112"/>
      <c r="Z25" s="112"/>
    </row>
    <row r="26" spans="1:26" ht="23.25" customHeight="1" x14ac:dyDescent="0.2">
      <c r="A26" s="49" t="s">
        <v>15</v>
      </c>
      <c r="B26" s="82">
        <v>511.10879999999997</v>
      </c>
      <c r="C26" s="25">
        <f t="shared" si="0"/>
        <v>0.10079999999999245</v>
      </c>
      <c r="D26" s="24">
        <f t="shared" si="1"/>
        <v>8.0639999999993961</v>
      </c>
      <c r="E26" s="90"/>
      <c r="F26" s="82">
        <v>410.79719999999998</v>
      </c>
      <c r="G26" s="51">
        <f t="shared" si="4"/>
        <v>6.399999999996453E-2</v>
      </c>
      <c r="H26" s="50">
        <f t="shared" si="2"/>
        <v>5.1199999999971624</v>
      </c>
      <c r="I26" s="52">
        <f t="shared" si="3"/>
        <v>0.63492063492033057</v>
      </c>
      <c r="J26" s="104"/>
      <c r="K26" s="83"/>
      <c r="L26" s="53"/>
      <c r="M26" s="85"/>
      <c r="N26" s="120"/>
      <c r="O26" s="120"/>
      <c r="P26" s="120"/>
      <c r="Q26" s="120"/>
      <c r="R26" s="120"/>
      <c r="S26" s="120"/>
      <c r="T26" s="120"/>
      <c r="U26" s="120"/>
      <c r="V26" s="120"/>
      <c r="W26" s="111"/>
      <c r="X26" s="112"/>
      <c r="Y26" s="112"/>
      <c r="Z26" s="112"/>
    </row>
    <row r="27" spans="1:26" ht="23.25" customHeight="1" x14ac:dyDescent="0.2">
      <c r="A27" s="49" t="s">
        <v>16</v>
      </c>
      <c r="B27" s="82">
        <v>511.21039999999999</v>
      </c>
      <c r="C27" s="25">
        <f t="shared" si="0"/>
        <v>0.10160000000001901</v>
      </c>
      <c r="D27" s="24">
        <f t="shared" si="1"/>
        <v>8.1280000000015207</v>
      </c>
      <c r="E27" s="90"/>
      <c r="F27" s="82">
        <v>410.87040000000002</v>
      </c>
      <c r="G27" s="51">
        <f t="shared" si="4"/>
        <v>7.3200000000042564E-2</v>
      </c>
      <c r="H27" s="50">
        <f t="shared" si="2"/>
        <v>5.8560000000034051</v>
      </c>
      <c r="I27" s="52">
        <f t="shared" si="3"/>
        <v>0.72047244094516605</v>
      </c>
      <c r="J27" s="104"/>
      <c r="K27" s="83"/>
      <c r="L27" s="53"/>
      <c r="M27" s="85"/>
      <c r="N27" s="120"/>
      <c r="O27" s="120"/>
      <c r="P27" s="120"/>
      <c r="Q27" s="120"/>
      <c r="R27" s="120"/>
      <c r="S27" s="120"/>
      <c r="T27" s="120"/>
      <c r="U27" s="120"/>
      <c r="V27" s="120"/>
      <c r="W27" s="111"/>
      <c r="X27" s="112"/>
      <c r="Y27" s="112"/>
      <c r="Z27" s="112"/>
    </row>
    <row r="28" spans="1:26" ht="23.25" customHeight="1" x14ac:dyDescent="0.2">
      <c r="A28" s="49" t="s">
        <v>17</v>
      </c>
      <c r="B28" s="82">
        <v>511.32679999999999</v>
      </c>
      <c r="C28" s="25">
        <f t="shared" si="0"/>
        <v>0.11639999999999873</v>
      </c>
      <c r="D28" s="24">
        <f t="shared" si="1"/>
        <v>9.3119999999998981</v>
      </c>
      <c r="E28" s="90"/>
      <c r="F28" s="82">
        <v>410.9556</v>
      </c>
      <c r="G28" s="51">
        <f t="shared" si="4"/>
        <v>8.5199999999986176E-2</v>
      </c>
      <c r="H28" s="50">
        <f t="shared" si="2"/>
        <v>6.8159999999988941</v>
      </c>
      <c r="I28" s="52">
        <f t="shared" si="3"/>
        <v>0.7319587628864872</v>
      </c>
      <c r="J28" s="104"/>
      <c r="K28" s="83"/>
      <c r="L28" s="53"/>
      <c r="M28" s="85"/>
      <c r="N28" s="120"/>
      <c r="O28" s="120"/>
      <c r="P28" s="120"/>
      <c r="Q28" s="120"/>
      <c r="R28" s="120"/>
      <c r="S28" s="120"/>
      <c r="T28" s="120"/>
      <c r="U28" s="120"/>
      <c r="V28" s="120"/>
      <c r="W28" s="111"/>
      <c r="X28" s="112"/>
      <c r="Y28" s="112"/>
      <c r="Z28" s="112"/>
    </row>
    <row r="29" spans="1:26" ht="23.25" customHeight="1" x14ac:dyDescent="0.2">
      <c r="A29" s="49" t="s">
        <v>18</v>
      </c>
      <c r="B29" s="82">
        <v>511.49279999999999</v>
      </c>
      <c r="C29" s="25">
        <f t="shared" si="0"/>
        <v>0.16599999999999682</v>
      </c>
      <c r="D29" s="24">
        <f t="shared" si="1"/>
        <v>13.279999999999745</v>
      </c>
      <c r="E29" s="90"/>
      <c r="F29" s="82">
        <v>411.07839999999999</v>
      </c>
      <c r="G29" s="51">
        <f t="shared" si="4"/>
        <v>0.12279999999998381</v>
      </c>
      <c r="H29" s="50">
        <f t="shared" si="2"/>
        <v>9.8239999999987049</v>
      </c>
      <c r="I29" s="52">
        <f t="shared" si="3"/>
        <v>0.73975903614449501</v>
      </c>
      <c r="J29" s="104"/>
      <c r="K29" s="83"/>
      <c r="L29" s="53"/>
      <c r="M29" s="145" t="s">
        <v>95</v>
      </c>
      <c r="N29" s="145"/>
      <c r="O29" s="145"/>
      <c r="P29" s="145"/>
      <c r="Q29" s="145"/>
      <c r="R29" s="145"/>
      <c r="S29" s="145"/>
      <c r="T29" s="145"/>
      <c r="U29" s="145"/>
      <c r="V29" s="145"/>
      <c r="W29" s="145"/>
      <c r="X29" s="145"/>
      <c r="Y29" s="145"/>
      <c r="Z29" s="145"/>
    </row>
    <row r="30" spans="1:26" ht="23.25" customHeight="1" x14ac:dyDescent="0.2">
      <c r="A30" s="49" t="s">
        <v>19</v>
      </c>
      <c r="B30" s="82">
        <v>511.74639999999999</v>
      </c>
      <c r="C30" s="25">
        <f t="shared" si="0"/>
        <v>0.25360000000000582</v>
      </c>
      <c r="D30" s="24">
        <f t="shared" si="1"/>
        <v>20.288000000000466</v>
      </c>
      <c r="E30" s="90"/>
      <c r="F30" s="82">
        <v>411.26080000000002</v>
      </c>
      <c r="G30" s="51">
        <f t="shared" si="4"/>
        <v>0.18240000000002965</v>
      </c>
      <c r="H30" s="50">
        <f t="shared" si="2"/>
        <v>14.592000000002372</v>
      </c>
      <c r="I30" s="52">
        <f t="shared" si="3"/>
        <v>0.71924290220830234</v>
      </c>
      <c r="J30" s="104"/>
      <c r="K30" s="83"/>
      <c r="L30" s="53"/>
      <c r="M30" s="122" t="s">
        <v>97</v>
      </c>
      <c r="N30" s="122"/>
      <c r="O30" s="122"/>
      <c r="P30" s="122"/>
      <c r="Q30" s="122"/>
      <c r="R30" s="122"/>
      <c r="S30" s="122"/>
      <c r="T30" s="122"/>
      <c r="U30" s="122"/>
      <c r="V30" s="122"/>
      <c r="W30" s="122"/>
      <c r="X30" s="122"/>
      <c r="Y30" s="122"/>
      <c r="Z30" s="122"/>
    </row>
    <row r="31" spans="1:26" ht="23.25" customHeight="1" x14ac:dyDescent="0.2">
      <c r="A31" s="49" t="s">
        <v>20</v>
      </c>
      <c r="B31" s="82">
        <v>511.92559999999997</v>
      </c>
      <c r="C31" s="25">
        <f t="shared" si="0"/>
        <v>0.17919999999998026</v>
      </c>
      <c r="D31" s="24">
        <f t="shared" si="1"/>
        <v>14.335999999998421</v>
      </c>
      <c r="E31" s="90"/>
      <c r="F31" s="82">
        <v>411.40640000000002</v>
      </c>
      <c r="G31" s="51">
        <f t="shared" si="4"/>
        <v>0.14560000000000173</v>
      </c>
      <c r="H31" s="50">
        <f t="shared" si="2"/>
        <v>11.648000000000138</v>
      </c>
      <c r="I31" s="52">
        <f t="shared" si="3"/>
        <v>0.81250000000009914</v>
      </c>
      <c r="J31" s="104"/>
      <c r="K31" s="83"/>
      <c r="L31" s="53"/>
      <c r="M31" s="123" t="s">
        <v>79</v>
      </c>
      <c r="N31" s="121" t="s">
        <v>98</v>
      </c>
      <c r="O31" s="121"/>
      <c r="P31" s="121" t="s">
        <v>100</v>
      </c>
      <c r="Q31" s="121"/>
      <c r="R31" s="121" t="s">
        <v>93</v>
      </c>
      <c r="S31" s="121"/>
      <c r="T31" s="121" t="s">
        <v>103</v>
      </c>
      <c r="U31" s="121"/>
      <c r="V31" s="121" t="s">
        <v>179</v>
      </c>
      <c r="W31" s="121"/>
      <c r="X31" s="121"/>
      <c r="Y31" s="121" t="s">
        <v>91</v>
      </c>
      <c r="Z31" s="124"/>
    </row>
    <row r="32" spans="1:26" ht="23.25" customHeight="1" x14ac:dyDescent="0.2">
      <c r="A32" s="49" t="s">
        <v>21</v>
      </c>
      <c r="B32" s="82">
        <v>512.15880000000004</v>
      </c>
      <c r="C32" s="25">
        <f t="shared" si="0"/>
        <v>0.23320000000006758</v>
      </c>
      <c r="D32" s="24">
        <f t="shared" si="1"/>
        <v>18.656000000005406</v>
      </c>
      <c r="E32" s="90"/>
      <c r="F32" s="82">
        <v>411.58359999999999</v>
      </c>
      <c r="G32" s="51">
        <f t="shared" si="4"/>
        <v>0.17719999999997071</v>
      </c>
      <c r="H32" s="50">
        <f t="shared" si="2"/>
        <v>14.175999999997657</v>
      </c>
      <c r="I32" s="52">
        <f t="shared" si="3"/>
        <v>0.75986277873035746</v>
      </c>
      <c r="J32" s="104"/>
      <c r="K32" s="83"/>
      <c r="L32" s="53"/>
      <c r="M32" s="116"/>
      <c r="N32" s="118"/>
      <c r="O32" s="118"/>
      <c r="P32" s="118" t="s">
        <v>83</v>
      </c>
      <c r="Q32" s="118"/>
      <c r="R32" s="118" t="s">
        <v>102</v>
      </c>
      <c r="S32" s="118"/>
      <c r="T32" s="118" t="s">
        <v>104</v>
      </c>
      <c r="U32" s="118"/>
      <c r="V32" s="118" t="s">
        <v>105</v>
      </c>
      <c r="W32" s="118"/>
      <c r="X32" s="118"/>
      <c r="Y32" s="118"/>
      <c r="Z32" s="125"/>
    </row>
    <row r="33" spans="1:26" ht="23.25" customHeight="1" x14ac:dyDescent="0.2">
      <c r="A33" s="49" t="s">
        <v>22</v>
      </c>
      <c r="B33" s="82">
        <v>512.36</v>
      </c>
      <c r="C33" s="25">
        <f t="shared" si="0"/>
        <v>0.20119999999997162</v>
      </c>
      <c r="D33" s="24">
        <f t="shared" si="1"/>
        <v>16.09599999999773</v>
      </c>
      <c r="E33" s="90"/>
      <c r="F33" s="82">
        <v>411.7088</v>
      </c>
      <c r="G33" s="51">
        <f t="shared" si="4"/>
        <v>0.12520000000000664</v>
      </c>
      <c r="H33" s="50">
        <f t="shared" si="2"/>
        <v>10.016000000000531</v>
      </c>
      <c r="I33" s="52">
        <f t="shared" si="3"/>
        <v>0.622266401590578</v>
      </c>
      <c r="J33" s="104"/>
      <c r="K33" s="83"/>
      <c r="L33" s="53"/>
      <c r="M33" s="116" t="s">
        <v>80</v>
      </c>
      <c r="N33" s="118" t="s">
        <v>99</v>
      </c>
      <c r="O33" s="118"/>
      <c r="P33" s="118" t="s">
        <v>101</v>
      </c>
      <c r="Q33" s="118"/>
      <c r="R33" s="118" t="s">
        <v>69</v>
      </c>
      <c r="S33" s="118"/>
      <c r="T33" s="118" t="s">
        <v>69</v>
      </c>
      <c r="U33" s="118"/>
      <c r="V33" s="118" t="s">
        <v>106</v>
      </c>
      <c r="W33" s="118"/>
      <c r="X33" s="118"/>
      <c r="Y33" s="118"/>
      <c r="Z33" s="125"/>
    </row>
    <row r="34" spans="1:26" ht="23.25" customHeight="1" x14ac:dyDescent="0.2">
      <c r="A34" s="49" t="s">
        <v>23</v>
      </c>
      <c r="B34" s="82">
        <v>512.49760000000003</v>
      </c>
      <c r="C34" s="25">
        <f t="shared" si="0"/>
        <v>0.13760000000002037</v>
      </c>
      <c r="D34" s="24">
        <f t="shared" si="1"/>
        <v>11.00800000000163</v>
      </c>
      <c r="E34" s="90"/>
      <c r="F34" s="82">
        <v>411.80239999999998</v>
      </c>
      <c r="G34" s="51">
        <f t="shared" si="4"/>
        <v>9.359999999998081E-2</v>
      </c>
      <c r="H34" s="50">
        <f t="shared" si="2"/>
        <v>7.4879999999984648</v>
      </c>
      <c r="I34" s="52">
        <f t="shared" si="3"/>
        <v>0.68023255813929473</v>
      </c>
      <c r="J34" s="104"/>
      <c r="K34" s="83"/>
      <c r="L34" s="53"/>
      <c r="M34" s="117"/>
      <c r="N34" s="119"/>
      <c r="O34" s="119"/>
      <c r="P34" s="119"/>
      <c r="Q34" s="119"/>
      <c r="R34" s="127"/>
      <c r="S34" s="117"/>
      <c r="T34" s="127"/>
      <c r="U34" s="117"/>
      <c r="V34" s="127"/>
      <c r="W34" s="130"/>
      <c r="X34" s="117"/>
      <c r="Y34" s="119"/>
      <c r="Z34" s="127"/>
    </row>
    <row r="35" spans="1:26" ht="23.25" customHeight="1" x14ac:dyDescent="0.2">
      <c r="A35" s="49" t="s">
        <v>24</v>
      </c>
      <c r="B35" s="82">
        <v>512.50720000000001</v>
      </c>
      <c r="C35" s="25">
        <f t="shared" si="0"/>
        <v>9.5999999999776264E-3</v>
      </c>
      <c r="D35" s="24">
        <f t="shared" si="1"/>
        <v>0.76799999999821011</v>
      </c>
      <c r="E35" s="90"/>
      <c r="F35" s="82">
        <v>411.80959999999999</v>
      </c>
      <c r="G35" s="51">
        <f t="shared" si="4"/>
        <v>7.2000000000116415E-3</v>
      </c>
      <c r="H35" s="50">
        <f t="shared" si="2"/>
        <v>0.57600000000093132</v>
      </c>
      <c r="I35" s="52">
        <f t="shared" si="3"/>
        <v>0.75000000000296063</v>
      </c>
      <c r="J35" s="104"/>
      <c r="K35" s="83"/>
      <c r="L35" s="53"/>
      <c r="M35" s="85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11"/>
    </row>
    <row r="36" spans="1:26" ht="23.25" customHeight="1" x14ac:dyDescent="0.2">
      <c r="A36" s="49" t="s">
        <v>25</v>
      </c>
      <c r="B36" s="82">
        <v>512.50760000000002</v>
      </c>
      <c r="C36" s="25">
        <f t="shared" si="0"/>
        <v>4.0000000001327862E-4</v>
      </c>
      <c r="D36" s="24">
        <f t="shared" si="1"/>
        <v>3.200000000106229E-2</v>
      </c>
      <c r="E36" s="90"/>
      <c r="F36" s="82">
        <v>411.81119999999999</v>
      </c>
      <c r="G36" s="51">
        <f t="shared" si="4"/>
        <v>1.5999999999962711E-3</v>
      </c>
      <c r="H36" s="50">
        <f t="shared" si="2"/>
        <v>0.12799999999970169</v>
      </c>
      <c r="I36" s="52">
        <f t="shared" si="3"/>
        <v>3.9999999998578915</v>
      </c>
      <c r="J36" s="104"/>
      <c r="K36" s="83"/>
      <c r="L36" s="53"/>
      <c r="M36" s="85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11"/>
    </row>
    <row r="37" spans="1:26" ht="23.25" customHeight="1" x14ac:dyDescent="0.2">
      <c r="A37" s="49" t="s">
        <v>26</v>
      </c>
      <c r="B37" s="82">
        <v>512.50840000000005</v>
      </c>
      <c r="C37" s="25">
        <f t="shared" si="0"/>
        <v>8.0000000002655725E-4</v>
      </c>
      <c r="D37" s="24">
        <f t="shared" si="1"/>
        <v>6.400000000212458E-2</v>
      </c>
      <c r="E37" s="90"/>
      <c r="F37" s="82">
        <v>411.81240000000003</v>
      </c>
      <c r="G37" s="51">
        <f t="shared" si="4"/>
        <v>1.2000000000398359E-3</v>
      </c>
      <c r="H37" s="50">
        <f t="shared" si="2"/>
        <v>9.6000000003186869E-2</v>
      </c>
      <c r="I37" s="52">
        <f t="shared" si="3"/>
        <v>1.5</v>
      </c>
      <c r="J37" s="104"/>
      <c r="K37" s="83"/>
      <c r="L37" s="53"/>
      <c r="M37" s="85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11"/>
    </row>
    <row r="38" spans="1:26" ht="23.25" customHeight="1" x14ac:dyDescent="0.2">
      <c r="A38" s="49" t="s">
        <v>27</v>
      </c>
      <c r="B38" s="82">
        <v>512.50879999999995</v>
      </c>
      <c r="C38" s="25">
        <f t="shared" si="0"/>
        <v>3.9999999989959178E-4</v>
      </c>
      <c r="D38" s="24">
        <f t="shared" si="1"/>
        <v>3.1999999991967343E-2</v>
      </c>
      <c r="E38" s="90"/>
      <c r="F38" s="82">
        <v>411.81400000000002</v>
      </c>
      <c r="G38" s="51">
        <f t="shared" si="4"/>
        <v>1.5999999999962711E-3</v>
      </c>
      <c r="H38" s="50">
        <f t="shared" si="2"/>
        <v>0.12799999999970169</v>
      </c>
      <c r="I38" s="52">
        <f t="shared" si="3"/>
        <v>4.0000000009947598</v>
      </c>
      <c r="J38" s="104"/>
      <c r="K38" s="83"/>
      <c r="L38" s="53"/>
      <c r="M38" s="85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11"/>
    </row>
    <row r="39" spans="1:26" ht="23.25" customHeight="1" x14ac:dyDescent="0.2">
      <c r="A39" s="49" t="s">
        <v>28</v>
      </c>
      <c r="B39" s="82">
        <v>512.50919999999996</v>
      </c>
      <c r="C39" s="25">
        <f t="shared" si="0"/>
        <v>4.0000000001327862E-4</v>
      </c>
      <c r="D39" s="24">
        <f t="shared" si="1"/>
        <v>3.200000000106229E-2</v>
      </c>
      <c r="E39" s="90"/>
      <c r="F39" s="82">
        <v>411.8152</v>
      </c>
      <c r="G39" s="51">
        <f t="shared" si="4"/>
        <v>1.1999999999829924E-3</v>
      </c>
      <c r="H39" s="50">
        <f t="shared" si="2"/>
        <v>9.5999999998639396E-2</v>
      </c>
      <c r="I39" s="52">
        <f t="shared" si="3"/>
        <v>2.9999999998578915</v>
      </c>
      <c r="J39" s="104"/>
      <c r="K39" s="83"/>
      <c r="L39" s="53"/>
      <c r="M39" s="85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11"/>
    </row>
    <row r="40" spans="1:26" ht="23.25" customHeight="1" x14ac:dyDescent="0.2">
      <c r="A40" s="49" t="s">
        <v>29</v>
      </c>
      <c r="B40" s="82">
        <v>512.50959999999998</v>
      </c>
      <c r="C40" s="25">
        <f t="shared" si="0"/>
        <v>4.0000000001327862E-4</v>
      </c>
      <c r="D40" s="24">
        <f t="shared" si="1"/>
        <v>3.200000000106229E-2</v>
      </c>
      <c r="E40" s="90"/>
      <c r="F40" s="82">
        <v>411.81639999999999</v>
      </c>
      <c r="G40" s="51">
        <f t="shared" si="4"/>
        <v>1.1999999999829924E-3</v>
      </c>
      <c r="H40" s="50">
        <f t="shared" si="2"/>
        <v>9.5999999998639396E-2</v>
      </c>
      <c r="I40" s="52">
        <f t="shared" si="3"/>
        <v>2.9999999998578915</v>
      </c>
      <c r="J40" s="104"/>
      <c r="K40" s="83"/>
      <c r="L40" s="53"/>
      <c r="M40" s="122" t="s">
        <v>109</v>
      </c>
      <c r="N40" s="122"/>
      <c r="O40" s="122"/>
      <c r="P40" s="122"/>
      <c r="Q40" s="122"/>
      <c r="R40" s="122"/>
      <c r="S40" s="122"/>
      <c r="T40" s="122"/>
      <c r="U40" s="122"/>
      <c r="V40" s="122"/>
      <c r="W40" s="122"/>
      <c r="X40" s="122"/>
      <c r="Y40" s="122"/>
      <c r="Z40" s="122"/>
    </row>
    <row r="41" spans="1:26" ht="23.25" customHeight="1" x14ac:dyDescent="0.2">
      <c r="A41" s="49" t="s">
        <v>30</v>
      </c>
      <c r="B41" s="82">
        <v>512.51</v>
      </c>
      <c r="C41" s="25">
        <f t="shared" si="0"/>
        <v>4.0000000001327862E-4</v>
      </c>
      <c r="D41" s="24">
        <f t="shared" si="1"/>
        <v>3.200000000106229E-2</v>
      </c>
      <c r="E41" s="90"/>
      <c r="F41" s="82">
        <v>411.81799999999998</v>
      </c>
      <c r="G41" s="51">
        <f t="shared" si="4"/>
        <v>1.5999999999962711E-3</v>
      </c>
      <c r="H41" s="50">
        <f t="shared" si="2"/>
        <v>0.12799999999970169</v>
      </c>
      <c r="I41" s="52">
        <f t="shared" si="3"/>
        <v>3.9999999998578915</v>
      </c>
      <c r="J41" s="104"/>
      <c r="K41" s="83"/>
      <c r="L41" s="53"/>
      <c r="M41" s="123" t="s">
        <v>79</v>
      </c>
      <c r="N41" s="121" t="s">
        <v>98</v>
      </c>
      <c r="O41" s="121"/>
      <c r="P41" s="121" t="s">
        <v>93</v>
      </c>
      <c r="Q41" s="121"/>
      <c r="R41" s="121"/>
      <c r="S41" s="121" t="s">
        <v>111</v>
      </c>
      <c r="T41" s="121" t="s">
        <v>81</v>
      </c>
      <c r="U41" s="121"/>
      <c r="V41" s="121"/>
      <c r="W41" s="121"/>
      <c r="X41" s="121" t="s">
        <v>93</v>
      </c>
      <c r="Y41" s="121"/>
      <c r="Z41" s="124"/>
    </row>
    <row r="42" spans="1:26" ht="23.25" customHeight="1" x14ac:dyDescent="0.2">
      <c r="A42" s="49" t="s">
        <v>31</v>
      </c>
      <c r="B42" s="82">
        <v>512.51080000000002</v>
      </c>
      <c r="C42" s="25">
        <f t="shared" si="0"/>
        <v>8.0000000002655725E-4</v>
      </c>
      <c r="D42" s="24">
        <f t="shared" si="1"/>
        <v>6.400000000212458E-2</v>
      </c>
      <c r="E42" s="90"/>
      <c r="F42" s="82">
        <v>411.81959999999998</v>
      </c>
      <c r="G42" s="51">
        <f t="shared" si="4"/>
        <v>1.5999999999962711E-3</v>
      </c>
      <c r="H42" s="50">
        <f t="shared" si="2"/>
        <v>0.12799999999970169</v>
      </c>
      <c r="I42" s="52">
        <f t="shared" si="3"/>
        <v>1.9999999999289457</v>
      </c>
      <c r="J42" s="104"/>
      <c r="K42" s="83"/>
      <c r="L42" s="53"/>
      <c r="M42" s="116"/>
      <c r="N42" s="118"/>
      <c r="O42" s="118"/>
      <c r="P42" s="118"/>
      <c r="Q42" s="118"/>
      <c r="R42" s="118"/>
      <c r="S42" s="118"/>
      <c r="T42" s="118"/>
      <c r="U42" s="118"/>
      <c r="V42" s="118"/>
      <c r="W42" s="118"/>
      <c r="X42" s="118"/>
      <c r="Y42" s="118"/>
      <c r="Z42" s="125"/>
    </row>
    <row r="43" spans="1:26" ht="22.5" customHeight="1" x14ac:dyDescent="0.2">
      <c r="A43" s="184" t="s">
        <v>70</v>
      </c>
      <c r="B43" s="184"/>
      <c r="C43" s="184"/>
      <c r="D43" s="50">
        <f>SUM(D18:D42)</f>
        <v>120.51200000000335</v>
      </c>
      <c r="E43" s="104"/>
      <c r="F43" s="54"/>
      <c r="G43" s="104"/>
      <c r="H43" s="50">
        <f>SUM(H18:H42)</f>
        <v>87.743999999997868</v>
      </c>
      <c r="I43" s="52">
        <f>IF(AND(H43=0,D43=0),0,H43/D43)</f>
        <v>0.72809346787038154</v>
      </c>
      <c r="J43" s="104"/>
      <c r="K43" s="104"/>
      <c r="L43" s="53"/>
      <c r="M43" s="116" t="s">
        <v>80</v>
      </c>
      <c r="N43" s="118" t="s">
        <v>99</v>
      </c>
      <c r="O43" s="118"/>
      <c r="P43" s="118" t="s">
        <v>110</v>
      </c>
      <c r="Q43" s="118"/>
      <c r="R43" s="118"/>
      <c r="S43" s="118"/>
      <c r="T43" s="118"/>
      <c r="U43" s="118"/>
      <c r="V43" s="118"/>
      <c r="W43" s="118"/>
      <c r="X43" s="118" t="s">
        <v>110</v>
      </c>
      <c r="Y43" s="118"/>
      <c r="Z43" s="125"/>
    </row>
    <row r="44" spans="1:26" ht="22.5" customHeight="1" x14ac:dyDescent="0.2">
      <c r="A44" s="183" t="s">
        <v>71</v>
      </c>
      <c r="B44" s="183"/>
      <c r="C44" s="183"/>
      <c r="D44" s="104"/>
      <c r="E44" s="104"/>
      <c r="F44" s="54"/>
      <c r="G44" s="104"/>
      <c r="H44" s="104"/>
      <c r="I44" s="104"/>
      <c r="J44" s="104"/>
      <c r="K44" s="104"/>
      <c r="L44" s="53"/>
      <c r="M44" s="117"/>
      <c r="N44" s="119"/>
      <c r="O44" s="119"/>
      <c r="P44" s="119"/>
      <c r="Q44" s="119"/>
      <c r="R44" s="119"/>
      <c r="S44" s="119"/>
      <c r="T44" s="119"/>
      <c r="U44" s="119"/>
      <c r="V44" s="119"/>
      <c r="W44" s="119"/>
      <c r="X44" s="119"/>
      <c r="Y44" s="119"/>
      <c r="Z44" s="127"/>
    </row>
    <row r="45" spans="1:26" ht="22.5" customHeight="1" x14ac:dyDescent="0.2">
      <c r="A45" s="94"/>
      <c r="B45" s="103"/>
      <c r="C45" s="103"/>
      <c r="D45" s="103"/>
      <c r="E45" s="103"/>
      <c r="F45" s="103"/>
      <c r="G45" s="103"/>
      <c r="H45" s="103"/>
      <c r="I45" s="103"/>
      <c r="J45" s="57"/>
      <c r="K45" s="57"/>
      <c r="L45" s="57"/>
      <c r="M45" s="85"/>
      <c r="N45" s="111"/>
      <c r="O45" s="113"/>
      <c r="P45" s="111"/>
      <c r="Q45" s="112"/>
      <c r="R45" s="113"/>
      <c r="S45" s="87"/>
      <c r="T45" s="111"/>
      <c r="U45" s="112"/>
      <c r="V45" s="112"/>
      <c r="W45" s="113"/>
      <c r="X45" s="111"/>
      <c r="Y45" s="112"/>
      <c r="Z45" s="112"/>
    </row>
    <row r="46" spans="1:26" ht="22.5" customHeight="1" x14ac:dyDescent="0.2">
      <c r="A46" s="182" t="s">
        <v>72</v>
      </c>
      <c r="B46" s="182"/>
      <c r="C46" s="182"/>
      <c r="D46" s="182"/>
      <c r="E46" s="182"/>
      <c r="F46" s="182"/>
      <c r="G46" s="204" t="s">
        <v>73</v>
      </c>
      <c r="H46" s="204"/>
      <c r="I46" s="204"/>
      <c r="J46" s="204"/>
      <c r="K46" s="204"/>
      <c r="L46" s="204"/>
      <c r="M46" s="85"/>
      <c r="N46" s="111"/>
      <c r="O46" s="113"/>
      <c r="P46" s="111"/>
      <c r="Q46" s="112"/>
      <c r="R46" s="113"/>
      <c r="S46" s="87"/>
      <c r="T46" s="111"/>
      <c r="U46" s="112"/>
      <c r="V46" s="112"/>
      <c r="W46" s="113"/>
      <c r="X46" s="111"/>
      <c r="Y46" s="112"/>
      <c r="Z46" s="112"/>
    </row>
    <row r="47" spans="1:26" ht="22.5" customHeight="1" x14ac:dyDescent="0.2">
      <c r="A47" s="144" t="s">
        <v>365</v>
      </c>
      <c r="B47" s="144"/>
      <c r="C47" s="144"/>
      <c r="D47" s="135" t="s">
        <v>74</v>
      </c>
      <c r="E47" s="135"/>
      <c r="F47" s="135"/>
      <c r="G47" s="103"/>
      <c r="H47" s="103"/>
      <c r="I47" s="103"/>
      <c r="J47" s="103"/>
      <c r="K47" s="103"/>
      <c r="L47" s="103"/>
      <c r="M47" s="85"/>
      <c r="N47" s="111"/>
      <c r="O47" s="113"/>
      <c r="P47" s="111"/>
      <c r="Q47" s="112"/>
      <c r="R47" s="113"/>
      <c r="S47" s="87"/>
      <c r="T47" s="111"/>
      <c r="U47" s="112"/>
      <c r="V47" s="112"/>
      <c r="W47" s="113"/>
      <c r="X47" s="111"/>
      <c r="Y47" s="112"/>
      <c r="Z47" s="112"/>
    </row>
    <row r="48" spans="1:26" ht="22.5" customHeight="1" x14ac:dyDescent="0.2">
      <c r="A48" s="175" t="s">
        <v>75</v>
      </c>
      <c r="B48" s="175"/>
      <c r="C48" s="175"/>
      <c r="D48" s="174" t="s">
        <v>76</v>
      </c>
      <c r="E48" s="174"/>
      <c r="F48" s="174"/>
      <c r="G48" s="94"/>
      <c r="H48" s="94"/>
      <c r="I48" s="94"/>
      <c r="J48" s="94"/>
      <c r="K48" s="94"/>
      <c r="L48" s="94"/>
    </row>
    <row r="49" spans="1:23" ht="22.5" customHeight="1" x14ac:dyDescent="0.2">
      <c r="A49" s="144" t="s">
        <v>366</v>
      </c>
      <c r="B49" s="144"/>
      <c r="C49" s="144"/>
      <c r="D49" s="135" t="s">
        <v>74</v>
      </c>
      <c r="E49" s="135"/>
      <c r="F49" s="135"/>
      <c r="G49" s="94"/>
      <c r="H49" s="182" t="s">
        <v>183</v>
      </c>
      <c r="I49" s="182"/>
      <c r="J49" s="182"/>
      <c r="K49" s="182" t="s">
        <v>77</v>
      </c>
      <c r="L49" s="182"/>
      <c r="N49" s="177" t="s">
        <v>150</v>
      </c>
      <c r="O49" s="177"/>
      <c r="P49" s="177"/>
      <c r="Q49" s="176" t="s">
        <v>364</v>
      </c>
      <c r="R49" s="176"/>
      <c r="S49" s="176"/>
      <c r="T49" s="176"/>
      <c r="U49" s="176"/>
      <c r="V49" s="176"/>
      <c r="W49" s="89"/>
    </row>
    <row r="50" spans="1:23" ht="22.5" customHeight="1" x14ac:dyDescent="0.2">
      <c r="A50" s="175" t="s">
        <v>75</v>
      </c>
      <c r="B50" s="175"/>
      <c r="C50" s="175"/>
      <c r="D50" s="174" t="s">
        <v>76</v>
      </c>
      <c r="E50" s="174"/>
      <c r="F50" s="174"/>
      <c r="G50" s="58"/>
      <c r="H50" s="175" t="s">
        <v>75</v>
      </c>
      <c r="I50" s="175"/>
      <c r="J50" s="175"/>
      <c r="K50" s="175" t="s">
        <v>76</v>
      </c>
      <c r="L50" s="175"/>
      <c r="S50" s="173" t="s">
        <v>76</v>
      </c>
      <c r="T50" s="173"/>
    </row>
    <row r="51" spans="1:23" ht="20.100000000000001" customHeight="1" x14ac:dyDescent="0.2">
      <c r="A51" s="144" t="s">
        <v>367</v>
      </c>
      <c r="B51" s="144"/>
      <c r="C51" s="144"/>
      <c r="D51" s="135" t="s">
        <v>74</v>
      </c>
      <c r="E51" s="135"/>
      <c r="F51" s="135"/>
      <c r="G51" s="94"/>
      <c r="H51" s="94"/>
      <c r="I51" s="94"/>
      <c r="J51" s="94"/>
      <c r="K51" s="94"/>
      <c r="L51" s="94"/>
    </row>
    <row r="52" spans="1:23" ht="20.100000000000001" customHeight="1" x14ac:dyDescent="0.2">
      <c r="A52" s="174" t="s">
        <v>75</v>
      </c>
      <c r="B52" s="174"/>
      <c r="C52" s="174"/>
      <c r="D52" s="173" t="s">
        <v>76</v>
      </c>
      <c r="E52" s="173"/>
      <c r="F52" s="173"/>
      <c r="G52" s="63"/>
      <c r="H52" s="63"/>
      <c r="I52" s="105"/>
      <c r="J52" s="105"/>
      <c r="K52" s="105"/>
      <c r="L52" s="105"/>
    </row>
  </sheetData>
  <sheetProtection sheet="1" objects="1" scenarios="1"/>
  <mergeCells count="258">
    <mergeCell ref="A1:F1"/>
    <mergeCell ref="G1:H2"/>
    <mergeCell ref="I1:L2"/>
    <mergeCell ref="M1:Z1"/>
    <mergeCell ref="A2:F2"/>
    <mergeCell ref="M2:Z2"/>
    <mergeCell ref="X3:Z6"/>
    <mergeCell ref="A4:F4"/>
    <mergeCell ref="R4:S4"/>
    <mergeCell ref="T4:U4"/>
    <mergeCell ref="V4:W4"/>
    <mergeCell ref="A5:F5"/>
    <mergeCell ref="G5:H6"/>
    <mergeCell ref="A3:F3"/>
    <mergeCell ref="G3:H4"/>
    <mergeCell ref="I3:L4"/>
    <mergeCell ref="M3:M4"/>
    <mergeCell ref="N3:O6"/>
    <mergeCell ref="P3:Q4"/>
    <mergeCell ref="I5:L6"/>
    <mergeCell ref="M5:M6"/>
    <mergeCell ref="P5:Q6"/>
    <mergeCell ref="R5:S5"/>
    <mergeCell ref="T5:U5"/>
    <mergeCell ref="V5:W5"/>
    <mergeCell ref="A6:F6"/>
    <mergeCell ref="R6:S6"/>
    <mergeCell ref="T6:U6"/>
    <mergeCell ref="V6:W6"/>
    <mergeCell ref="R3:S3"/>
    <mergeCell ref="T3:U3"/>
    <mergeCell ref="V3:W3"/>
    <mergeCell ref="X7:Z7"/>
    <mergeCell ref="A8:L8"/>
    <mergeCell ref="N8:O8"/>
    <mergeCell ref="P8:Q8"/>
    <mergeCell ref="R8:S8"/>
    <mergeCell ref="T8:U8"/>
    <mergeCell ref="V8:W8"/>
    <mergeCell ref="X8:Z8"/>
    <mergeCell ref="A7:L7"/>
    <mergeCell ref="N7:O7"/>
    <mergeCell ref="P7:Q7"/>
    <mergeCell ref="R7:S7"/>
    <mergeCell ref="T7:U7"/>
    <mergeCell ref="V7:W7"/>
    <mergeCell ref="X9:Z9"/>
    <mergeCell ref="A10:D10"/>
    <mergeCell ref="E10:G10"/>
    <mergeCell ref="H10:L10"/>
    <mergeCell ref="N10:O10"/>
    <mergeCell ref="P10:Q10"/>
    <mergeCell ref="R10:S10"/>
    <mergeCell ref="T10:U10"/>
    <mergeCell ref="V10:W10"/>
    <mergeCell ref="X10:Z10"/>
    <mergeCell ref="A9:L9"/>
    <mergeCell ref="N9:O9"/>
    <mergeCell ref="P9:Q9"/>
    <mergeCell ref="R9:S9"/>
    <mergeCell ref="T9:U9"/>
    <mergeCell ref="V9:W9"/>
    <mergeCell ref="T11:U11"/>
    <mergeCell ref="V11:W11"/>
    <mergeCell ref="X11:Z11"/>
    <mergeCell ref="A12:L12"/>
    <mergeCell ref="N12:O12"/>
    <mergeCell ref="P12:Q12"/>
    <mergeCell ref="R12:S12"/>
    <mergeCell ref="T12:U12"/>
    <mergeCell ref="V12:W12"/>
    <mergeCell ref="X12:Z12"/>
    <mergeCell ref="A11:D11"/>
    <mergeCell ref="E11:H11"/>
    <mergeCell ref="I11:L11"/>
    <mergeCell ref="N11:O11"/>
    <mergeCell ref="P11:Q11"/>
    <mergeCell ref="R11:S11"/>
    <mergeCell ref="N13:O13"/>
    <mergeCell ref="P13:Q13"/>
    <mergeCell ref="R13:S13"/>
    <mergeCell ref="T13:U13"/>
    <mergeCell ref="V13:W13"/>
    <mergeCell ref="X13:Z13"/>
    <mergeCell ref="A13:A17"/>
    <mergeCell ref="B13:C13"/>
    <mergeCell ref="D13:E13"/>
    <mergeCell ref="F13:G13"/>
    <mergeCell ref="I13:I17"/>
    <mergeCell ref="J13:K13"/>
    <mergeCell ref="B14:C14"/>
    <mergeCell ref="D14:E14"/>
    <mergeCell ref="F14:G14"/>
    <mergeCell ref="J14:K14"/>
    <mergeCell ref="E16:E17"/>
    <mergeCell ref="J16:J17"/>
    <mergeCell ref="K16:K17"/>
    <mergeCell ref="B15:C15"/>
    <mergeCell ref="D15:E15"/>
    <mergeCell ref="F15:G15"/>
    <mergeCell ref="J15:K15"/>
    <mergeCell ref="V16:W16"/>
    <mergeCell ref="W22:Z22"/>
    <mergeCell ref="N15:O15"/>
    <mergeCell ref="P15:Q15"/>
    <mergeCell ref="N14:O14"/>
    <mergeCell ref="P14:Q14"/>
    <mergeCell ref="R14:S14"/>
    <mergeCell ref="R15:S15"/>
    <mergeCell ref="T15:U15"/>
    <mergeCell ref="V15:W15"/>
    <mergeCell ref="X15:Z15"/>
    <mergeCell ref="T14:U14"/>
    <mergeCell ref="V14:W14"/>
    <mergeCell ref="X14:Z14"/>
    <mergeCell ref="N23:P23"/>
    <mergeCell ref="Q23:S23"/>
    <mergeCell ref="T23:V23"/>
    <mergeCell ref="W23:Z23"/>
    <mergeCell ref="X16:Z16"/>
    <mergeCell ref="M17:Z17"/>
    <mergeCell ref="M18:M19"/>
    <mergeCell ref="N18:P19"/>
    <mergeCell ref="Q18:S18"/>
    <mergeCell ref="T18:V19"/>
    <mergeCell ref="W18:Z21"/>
    <mergeCell ref="Q19:S19"/>
    <mergeCell ref="M20:M21"/>
    <mergeCell ref="N20:P21"/>
    <mergeCell ref="Q20:S20"/>
    <mergeCell ref="T20:V21"/>
    <mergeCell ref="Q21:S21"/>
    <mergeCell ref="N16:O16"/>
    <mergeCell ref="P16:Q16"/>
    <mergeCell ref="R16:S16"/>
    <mergeCell ref="N22:P22"/>
    <mergeCell ref="Q22:S22"/>
    <mergeCell ref="T22:V22"/>
    <mergeCell ref="T16:U16"/>
    <mergeCell ref="N24:P24"/>
    <mergeCell ref="Q24:S24"/>
    <mergeCell ref="T24:V24"/>
    <mergeCell ref="W24:Z24"/>
    <mergeCell ref="N27:P27"/>
    <mergeCell ref="Q27:S27"/>
    <mergeCell ref="T27:V27"/>
    <mergeCell ref="W27:Z27"/>
    <mergeCell ref="N28:P28"/>
    <mergeCell ref="Q28:S28"/>
    <mergeCell ref="T28:V28"/>
    <mergeCell ref="W28:Z28"/>
    <mergeCell ref="N25:P25"/>
    <mergeCell ref="Q25:S25"/>
    <mergeCell ref="T25:V25"/>
    <mergeCell ref="W25:Z25"/>
    <mergeCell ref="N26:P26"/>
    <mergeCell ref="Q26:S26"/>
    <mergeCell ref="T26:V26"/>
    <mergeCell ref="W26:Z26"/>
    <mergeCell ref="M33:M34"/>
    <mergeCell ref="N33:O34"/>
    <mergeCell ref="P33:Q33"/>
    <mergeCell ref="R33:S33"/>
    <mergeCell ref="T33:U33"/>
    <mergeCell ref="V33:X33"/>
    <mergeCell ref="P34:Q34"/>
    <mergeCell ref="M29:Z29"/>
    <mergeCell ref="M30:Z30"/>
    <mergeCell ref="M31:M32"/>
    <mergeCell ref="N31:O32"/>
    <mergeCell ref="P31:Q31"/>
    <mergeCell ref="R31:S31"/>
    <mergeCell ref="T31:U31"/>
    <mergeCell ref="V31:X31"/>
    <mergeCell ref="Y31:Z34"/>
    <mergeCell ref="P32:Q32"/>
    <mergeCell ref="R34:S34"/>
    <mergeCell ref="T34:U34"/>
    <mergeCell ref="V34:X34"/>
    <mergeCell ref="V35:X35"/>
    <mergeCell ref="R32:S32"/>
    <mergeCell ref="T32:U32"/>
    <mergeCell ref="V32:X32"/>
    <mergeCell ref="N37:O37"/>
    <mergeCell ref="P37:Q37"/>
    <mergeCell ref="R37:S37"/>
    <mergeCell ref="T37:U37"/>
    <mergeCell ref="V37:X37"/>
    <mergeCell ref="Y37:Z37"/>
    <mergeCell ref="Y35:Z35"/>
    <mergeCell ref="N36:O36"/>
    <mergeCell ref="P36:Q36"/>
    <mergeCell ref="R36:S36"/>
    <mergeCell ref="T36:U36"/>
    <mergeCell ref="V36:X36"/>
    <mergeCell ref="Y36:Z36"/>
    <mergeCell ref="N39:O39"/>
    <mergeCell ref="P39:Q39"/>
    <mergeCell ref="R39:S39"/>
    <mergeCell ref="T39:U39"/>
    <mergeCell ref="V39:X39"/>
    <mergeCell ref="Y39:Z39"/>
    <mergeCell ref="N38:O38"/>
    <mergeCell ref="P38:Q38"/>
    <mergeCell ref="R38:S38"/>
    <mergeCell ref="T38:U38"/>
    <mergeCell ref="V38:X38"/>
    <mergeCell ref="Y38:Z38"/>
    <mergeCell ref="N35:O35"/>
    <mergeCell ref="P35:Q35"/>
    <mergeCell ref="R35:S35"/>
    <mergeCell ref="T35:U35"/>
    <mergeCell ref="A43:C43"/>
    <mergeCell ref="M43:M44"/>
    <mergeCell ref="N43:O44"/>
    <mergeCell ref="P43:R44"/>
    <mergeCell ref="X43:Z44"/>
    <mergeCell ref="A44:C44"/>
    <mergeCell ref="M40:Z40"/>
    <mergeCell ref="M41:M42"/>
    <mergeCell ref="N41:O42"/>
    <mergeCell ref="P41:R42"/>
    <mergeCell ref="S41:S44"/>
    <mergeCell ref="T41:W44"/>
    <mergeCell ref="X41:Z42"/>
    <mergeCell ref="P47:R47"/>
    <mergeCell ref="T47:W47"/>
    <mergeCell ref="X47:Z47"/>
    <mergeCell ref="N45:O45"/>
    <mergeCell ref="P45:R45"/>
    <mergeCell ref="T45:W45"/>
    <mergeCell ref="X45:Z45"/>
    <mergeCell ref="A46:F46"/>
    <mergeCell ref="G46:L46"/>
    <mergeCell ref="N46:O46"/>
    <mergeCell ref="P46:R46"/>
    <mergeCell ref="T46:W46"/>
    <mergeCell ref="X46:Z46"/>
    <mergeCell ref="A48:C48"/>
    <mergeCell ref="D48:F48"/>
    <mergeCell ref="A49:C49"/>
    <mergeCell ref="D49:F49"/>
    <mergeCell ref="H49:J49"/>
    <mergeCell ref="K49:L49"/>
    <mergeCell ref="A47:C47"/>
    <mergeCell ref="D47:F47"/>
    <mergeCell ref="N47:O47"/>
    <mergeCell ref="A51:C51"/>
    <mergeCell ref="D51:F51"/>
    <mergeCell ref="A52:C52"/>
    <mergeCell ref="D52:F52"/>
    <mergeCell ref="N49:P49"/>
    <mergeCell ref="Q49:V49"/>
    <mergeCell ref="A50:C50"/>
    <mergeCell ref="D50:F50"/>
    <mergeCell ref="H50:J50"/>
    <mergeCell ref="K50:L50"/>
    <mergeCell ref="S50:T50"/>
  </mergeCells>
  <printOptions horizontalCentered="1"/>
  <pageMargins left="0.39370078740157483" right="0.39370078740157483" top="0.19685039370078741" bottom="0.19685039370078741" header="0" footer="0"/>
  <pageSetup paperSize="9" scale="64" orientation="portrait" horizontalDpi="180" verticalDpi="180" r:id="rId1"/>
  <headerFooter alignWithMargins="0"/>
  <colBreaks count="1" manualBreakCount="1">
    <brk id="12" max="1048575" man="1"/>
  </col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52"/>
  <sheetViews>
    <sheetView view="pageBreakPreview" topLeftCell="A14" zoomScale="75" zoomScaleNormal="50" zoomScaleSheetLayoutView="75" workbookViewId="0">
      <selection activeCell="K37" sqref="K37"/>
    </sheetView>
  </sheetViews>
  <sheetFormatPr defaultRowHeight="18.75" x14ac:dyDescent="0.2"/>
  <cols>
    <col min="1" max="1" width="11.140625" style="88" customWidth="1"/>
    <col min="2" max="2" width="15.85546875" style="88" customWidth="1"/>
    <col min="3" max="3" width="12.140625" style="88" customWidth="1"/>
    <col min="4" max="4" width="14" style="88" customWidth="1"/>
    <col min="5" max="5" width="7.85546875" style="88" customWidth="1"/>
    <col min="6" max="6" width="13.85546875" style="88" customWidth="1"/>
    <col min="7" max="7" width="12.85546875" style="88" customWidth="1"/>
    <col min="8" max="8" width="20.85546875" style="88" customWidth="1"/>
    <col min="9" max="9" width="8.28515625" style="88" customWidth="1"/>
    <col min="10" max="11" width="8.85546875" style="88" customWidth="1"/>
    <col min="12" max="12" width="17" style="88" customWidth="1"/>
    <col min="13" max="26" width="10.28515625" style="88" customWidth="1"/>
    <col min="27" max="16384" width="9.140625" style="88"/>
  </cols>
  <sheetData>
    <row r="1" spans="1:26" ht="21.75" customHeight="1" x14ac:dyDescent="0.2">
      <c r="A1" s="115" t="s">
        <v>157</v>
      </c>
      <c r="B1" s="115"/>
      <c r="C1" s="115"/>
      <c r="D1" s="115"/>
      <c r="E1" s="115"/>
      <c r="F1" s="115"/>
      <c r="G1" s="150" t="s">
        <v>154</v>
      </c>
      <c r="H1" s="150"/>
      <c r="I1" s="115" t="s">
        <v>160</v>
      </c>
      <c r="J1" s="115"/>
      <c r="K1" s="115"/>
      <c r="L1" s="115"/>
      <c r="M1" s="122" t="s">
        <v>96</v>
      </c>
      <c r="N1" s="122"/>
      <c r="O1" s="122"/>
      <c r="P1" s="122"/>
      <c r="Q1" s="122"/>
      <c r="R1" s="122"/>
      <c r="S1" s="122"/>
      <c r="T1" s="122"/>
      <c r="U1" s="122"/>
      <c r="V1" s="122"/>
      <c r="W1" s="122"/>
      <c r="X1" s="122"/>
      <c r="Y1" s="122"/>
      <c r="Z1" s="122"/>
    </row>
    <row r="2" spans="1:26" ht="21.75" customHeight="1" x14ac:dyDescent="0.2">
      <c r="A2" s="146" t="s">
        <v>45</v>
      </c>
      <c r="B2" s="146"/>
      <c r="C2" s="146"/>
      <c r="D2" s="146"/>
      <c r="E2" s="146"/>
      <c r="F2" s="146"/>
      <c r="G2" s="150"/>
      <c r="H2" s="150"/>
      <c r="I2" s="115"/>
      <c r="J2" s="115"/>
      <c r="K2" s="115"/>
      <c r="L2" s="115"/>
      <c r="M2" s="122" t="s">
        <v>78</v>
      </c>
      <c r="N2" s="122"/>
      <c r="O2" s="122"/>
      <c r="P2" s="122"/>
      <c r="Q2" s="122"/>
      <c r="R2" s="122"/>
      <c r="S2" s="122"/>
      <c r="T2" s="122"/>
      <c r="U2" s="122"/>
      <c r="V2" s="122"/>
      <c r="W2" s="122"/>
      <c r="X2" s="122"/>
      <c r="Y2" s="122"/>
      <c r="Z2" s="122"/>
    </row>
    <row r="3" spans="1:26" ht="21.75" customHeight="1" x14ac:dyDescent="0.2">
      <c r="A3" s="115" t="s">
        <v>158</v>
      </c>
      <c r="B3" s="147"/>
      <c r="C3" s="147"/>
      <c r="D3" s="147"/>
      <c r="E3" s="147"/>
      <c r="F3" s="147"/>
      <c r="G3" s="150" t="s">
        <v>155</v>
      </c>
      <c r="H3" s="150"/>
      <c r="I3" s="115" t="s">
        <v>372</v>
      </c>
      <c r="J3" s="115"/>
      <c r="K3" s="115"/>
      <c r="L3" s="115"/>
      <c r="M3" s="123" t="s">
        <v>79</v>
      </c>
      <c r="N3" s="124" t="s">
        <v>81</v>
      </c>
      <c r="O3" s="123"/>
      <c r="P3" s="124" t="s">
        <v>65</v>
      </c>
      <c r="Q3" s="123"/>
      <c r="R3" s="124" t="s">
        <v>82</v>
      </c>
      <c r="S3" s="123"/>
      <c r="T3" s="124" t="s">
        <v>85</v>
      </c>
      <c r="U3" s="123"/>
      <c r="V3" s="124" t="s">
        <v>87</v>
      </c>
      <c r="W3" s="123"/>
      <c r="X3" s="128" t="s">
        <v>91</v>
      </c>
      <c r="Y3" s="132"/>
      <c r="Z3" s="132"/>
    </row>
    <row r="4" spans="1:26" ht="29.25" customHeight="1" x14ac:dyDescent="0.2">
      <c r="A4" s="146" t="s">
        <v>46</v>
      </c>
      <c r="B4" s="146"/>
      <c r="C4" s="146"/>
      <c r="D4" s="146"/>
      <c r="E4" s="146"/>
      <c r="F4" s="146"/>
      <c r="G4" s="150"/>
      <c r="H4" s="150"/>
      <c r="I4" s="115"/>
      <c r="J4" s="115"/>
      <c r="K4" s="115"/>
      <c r="L4" s="115"/>
      <c r="M4" s="116"/>
      <c r="N4" s="125"/>
      <c r="O4" s="116"/>
      <c r="P4" s="125"/>
      <c r="Q4" s="116"/>
      <c r="R4" s="125" t="s">
        <v>83</v>
      </c>
      <c r="S4" s="116"/>
      <c r="T4" s="125" t="s">
        <v>86</v>
      </c>
      <c r="U4" s="116"/>
      <c r="V4" s="125" t="s">
        <v>88</v>
      </c>
      <c r="W4" s="116"/>
      <c r="X4" s="128"/>
      <c r="Y4" s="132"/>
      <c r="Z4" s="132"/>
    </row>
    <row r="5" spans="1:26" ht="21.75" customHeight="1" x14ac:dyDescent="0.2">
      <c r="A5" s="115" t="s">
        <v>177</v>
      </c>
      <c r="B5" s="147"/>
      <c r="C5" s="147"/>
      <c r="D5" s="147"/>
      <c r="E5" s="147"/>
      <c r="F5" s="147"/>
      <c r="G5" s="150" t="s">
        <v>156</v>
      </c>
      <c r="H5" s="150"/>
      <c r="I5" s="115" t="s">
        <v>381</v>
      </c>
      <c r="J5" s="115"/>
      <c r="K5" s="115"/>
      <c r="L5" s="115"/>
      <c r="M5" s="116" t="s">
        <v>80</v>
      </c>
      <c r="N5" s="125"/>
      <c r="O5" s="116"/>
      <c r="P5" s="125" t="s">
        <v>182</v>
      </c>
      <c r="Q5" s="116"/>
      <c r="R5" s="133" t="s">
        <v>84</v>
      </c>
      <c r="S5" s="134"/>
      <c r="T5" s="133" t="s">
        <v>84</v>
      </c>
      <c r="U5" s="134"/>
      <c r="V5" s="125" t="s">
        <v>89</v>
      </c>
      <c r="W5" s="116"/>
      <c r="X5" s="128"/>
      <c r="Y5" s="132"/>
      <c r="Z5" s="132"/>
    </row>
    <row r="6" spans="1:26" ht="21.75" customHeight="1" x14ac:dyDescent="0.2">
      <c r="A6" s="146" t="s">
        <v>47</v>
      </c>
      <c r="B6" s="146"/>
      <c r="C6" s="146"/>
      <c r="D6" s="146"/>
      <c r="E6" s="146"/>
      <c r="F6" s="146"/>
      <c r="G6" s="150"/>
      <c r="H6" s="150"/>
      <c r="I6" s="115"/>
      <c r="J6" s="115"/>
      <c r="K6" s="115"/>
      <c r="L6" s="115"/>
      <c r="M6" s="117"/>
      <c r="N6" s="127"/>
      <c r="O6" s="117"/>
      <c r="P6" s="127"/>
      <c r="Q6" s="117"/>
      <c r="R6" s="127"/>
      <c r="S6" s="117"/>
      <c r="T6" s="127"/>
      <c r="U6" s="117"/>
      <c r="V6" s="127" t="s">
        <v>90</v>
      </c>
      <c r="W6" s="117"/>
      <c r="X6" s="128"/>
      <c r="Y6" s="132"/>
      <c r="Z6" s="132"/>
    </row>
    <row r="7" spans="1:26" ht="21.75" customHeight="1" x14ac:dyDescent="0.2">
      <c r="A7" s="122"/>
      <c r="B7" s="122"/>
      <c r="C7" s="122"/>
      <c r="D7" s="122"/>
      <c r="E7" s="122"/>
      <c r="F7" s="122"/>
      <c r="G7" s="122"/>
      <c r="H7" s="122"/>
      <c r="I7" s="122"/>
      <c r="J7" s="122"/>
      <c r="K7" s="122"/>
      <c r="L7" s="122"/>
      <c r="M7" s="85"/>
      <c r="N7" s="111"/>
      <c r="O7" s="113"/>
      <c r="P7" s="111"/>
      <c r="Q7" s="113"/>
      <c r="R7" s="111"/>
      <c r="S7" s="113"/>
      <c r="T7" s="111"/>
      <c r="U7" s="113"/>
      <c r="V7" s="111"/>
      <c r="W7" s="113"/>
      <c r="X7" s="111"/>
      <c r="Y7" s="112"/>
      <c r="Z7" s="112"/>
    </row>
    <row r="8" spans="1:26" ht="22.5" customHeight="1" x14ac:dyDescent="0.2">
      <c r="A8" s="143" t="s">
        <v>48</v>
      </c>
      <c r="B8" s="143"/>
      <c r="C8" s="143"/>
      <c r="D8" s="143"/>
      <c r="E8" s="143"/>
      <c r="F8" s="143"/>
      <c r="G8" s="143"/>
      <c r="H8" s="143"/>
      <c r="I8" s="143"/>
      <c r="J8" s="143"/>
      <c r="K8" s="143"/>
      <c r="L8" s="143"/>
      <c r="M8" s="85"/>
      <c r="N8" s="111"/>
      <c r="O8" s="113"/>
      <c r="P8" s="111"/>
      <c r="Q8" s="113"/>
      <c r="R8" s="111"/>
      <c r="S8" s="113"/>
      <c r="T8" s="111"/>
      <c r="U8" s="113"/>
      <c r="V8" s="111"/>
      <c r="W8" s="113"/>
      <c r="X8" s="111"/>
      <c r="Y8" s="112"/>
      <c r="Z8" s="112"/>
    </row>
    <row r="9" spans="1:26" ht="22.5" customHeight="1" x14ac:dyDescent="0.2">
      <c r="A9" s="156" t="s">
        <v>49</v>
      </c>
      <c r="B9" s="156"/>
      <c r="C9" s="156"/>
      <c r="D9" s="156"/>
      <c r="E9" s="156"/>
      <c r="F9" s="156"/>
      <c r="G9" s="156"/>
      <c r="H9" s="156"/>
      <c r="I9" s="156"/>
      <c r="J9" s="156"/>
      <c r="K9" s="156"/>
      <c r="L9" s="156"/>
      <c r="M9" s="85"/>
      <c r="N9" s="111"/>
      <c r="O9" s="113"/>
      <c r="P9" s="111"/>
      <c r="Q9" s="113"/>
      <c r="R9" s="111"/>
      <c r="S9" s="113"/>
      <c r="T9" s="111"/>
      <c r="U9" s="113"/>
      <c r="V9" s="111"/>
      <c r="W9" s="113"/>
      <c r="X9" s="111"/>
      <c r="Y9" s="112"/>
      <c r="Z9" s="112"/>
    </row>
    <row r="10" spans="1:26" ht="22.5" customHeight="1" x14ac:dyDescent="0.2">
      <c r="A10" s="151" t="s">
        <v>112</v>
      </c>
      <c r="B10" s="151"/>
      <c r="C10" s="151"/>
      <c r="D10" s="151"/>
      <c r="E10" s="162" t="s">
        <v>407</v>
      </c>
      <c r="F10" s="163"/>
      <c r="G10" s="163"/>
      <c r="H10" s="138" t="s">
        <v>369</v>
      </c>
      <c r="I10" s="138"/>
      <c r="J10" s="138"/>
      <c r="K10" s="138"/>
      <c r="L10" s="138"/>
      <c r="M10" s="85"/>
      <c r="N10" s="111"/>
      <c r="O10" s="113"/>
      <c r="P10" s="111"/>
      <c r="Q10" s="113"/>
      <c r="R10" s="111"/>
      <c r="S10" s="113"/>
      <c r="T10" s="111"/>
      <c r="U10" s="113"/>
      <c r="V10" s="111"/>
      <c r="W10" s="113"/>
      <c r="X10" s="111"/>
      <c r="Y10" s="112"/>
      <c r="Z10" s="112"/>
    </row>
    <row r="11" spans="1:26" ht="22.5" customHeight="1" x14ac:dyDescent="0.2">
      <c r="A11" s="151" t="s">
        <v>113</v>
      </c>
      <c r="B11" s="151"/>
      <c r="C11" s="151"/>
      <c r="D11" s="151"/>
      <c r="E11" s="161" t="s">
        <v>378</v>
      </c>
      <c r="F11" s="161"/>
      <c r="G11" s="161"/>
      <c r="H11" s="161"/>
      <c r="I11" s="138" t="s">
        <v>114</v>
      </c>
      <c r="J11" s="138"/>
      <c r="K11" s="138"/>
      <c r="L11" s="138"/>
      <c r="M11" s="85"/>
      <c r="N11" s="111"/>
      <c r="O11" s="113"/>
      <c r="P11" s="111"/>
      <c r="Q11" s="113"/>
      <c r="R11" s="111"/>
      <c r="S11" s="113"/>
      <c r="T11" s="111"/>
      <c r="U11" s="113"/>
      <c r="V11" s="111"/>
      <c r="W11" s="113"/>
      <c r="X11" s="111"/>
      <c r="Y11" s="112"/>
      <c r="Z11" s="112"/>
    </row>
    <row r="12" spans="1:26" ht="21.75" customHeight="1" x14ac:dyDescent="0.2">
      <c r="A12" s="215"/>
      <c r="B12" s="149"/>
      <c r="C12" s="149"/>
      <c r="D12" s="149"/>
      <c r="E12" s="149"/>
      <c r="F12" s="149"/>
      <c r="G12" s="149"/>
      <c r="H12" s="149"/>
      <c r="I12" s="149"/>
      <c r="J12" s="149"/>
      <c r="K12" s="149"/>
      <c r="L12" s="215"/>
      <c r="M12" s="85"/>
      <c r="N12" s="111"/>
      <c r="O12" s="113"/>
      <c r="P12" s="111"/>
      <c r="Q12" s="113"/>
      <c r="R12" s="111"/>
      <c r="S12" s="113"/>
      <c r="T12" s="111"/>
      <c r="U12" s="113"/>
      <c r="V12" s="111"/>
      <c r="W12" s="113"/>
      <c r="X12" s="111"/>
      <c r="Y12" s="112"/>
      <c r="Z12" s="112"/>
    </row>
    <row r="13" spans="1:26" ht="21.75" customHeight="1" x14ac:dyDescent="0.2">
      <c r="A13" s="187" t="s">
        <v>50</v>
      </c>
      <c r="B13" s="196" t="s">
        <v>56</v>
      </c>
      <c r="C13" s="196"/>
      <c r="D13" s="185" t="s">
        <v>374</v>
      </c>
      <c r="E13" s="186"/>
      <c r="F13" s="195" t="s">
        <v>59</v>
      </c>
      <c r="G13" s="196"/>
      <c r="H13" s="99" t="s">
        <v>374</v>
      </c>
      <c r="I13" s="197" t="s">
        <v>5</v>
      </c>
      <c r="J13" s="195" t="s">
        <v>60</v>
      </c>
      <c r="K13" s="196"/>
      <c r="L13" s="95" t="s">
        <v>65</v>
      </c>
      <c r="M13" s="85"/>
      <c r="N13" s="111"/>
      <c r="O13" s="113"/>
      <c r="P13" s="111"/>
      <c r="Q13" s="113"/>
      <c r="R13" s="111"/>
      <c r="S13" s="113"/>
      <c r="T13" s="111"/>
      <c r="U13" s="113"/>
      <c r="V13" s="111"/>
      <c r="W13" s="113"/>
      <c r="X13" s="111"/>
      <c r="Y13" s="112"/>
      <c r="Z13" s="112"/>
    </row>
    <row r="14" spans="1:26" ht="21.75" customHeight="1" x14ac:dyDescent="0.2">
      <c r="A14" s="188"/>
      <c r="B14" s="201" t="s">
        <v>57</v>
      </c>
      <c r="C14" s="201"/>
      <c r="D14" s="202" t="s">
        <v>380</v>
      </c>
      <c r="E14" s="203"/>
      <c r="F14" s="200" t="s">
        <v>57</v>
      </c>
      <c r="G14" s="201"/>
      <c r="H14" s="97" t="s">
        <v>380</v>
      </c>
      <c r="I14" s="198"/>
      <c r="J14" s="200" t="s">
        <v>61</v>
      </c>
      <c r="K14" s="201"/>
      <c r="L14" s="96" t="s">
        <v>66</v>
      </c>
      <c r="M14" s="85"/>
      <c r="N14" s="111"/>
      <c r="O14" s="113"/>
      <c r="P14" s="111"/>
      <c r="Q14" s="113"/>
      <c r="R14" s="111"/>
      <c r="S14" s="113"/>
      <c r="T14" s="111"/>
      <c r="U14" s="113"/>
      <c r="V14" s="111"/>
      <c r="W14" s="113"/>
      <c r="X14" s="111"/>
      <c r="Y14" s="112"/>
      <c r="Z14" s="112"/>
    </row>
    <row r="15" spans="1:26" ht="21.75" customHeight="1" x14ac:dyDescent="0.2">
      <c r="A15" s="188"/>
      <c r="B15" s="192" t="s">
        <v>58</v>
      </c>
      <c r="C15" s="192"/>
      <c r="D15" s="193">
        <v>80</v>
      </c>
      <c r="E15" s="194"/>
      <c r="F15" s="191" t="s">
        <v>58</v>
      </c>
      <c r="G15" s="192"/>
      <c r="H15" s="102">
        <v>80</v>
      </c>
      <c r="I15" s="198"/>
      <c r="J15" s="191" t="s">
        <v>62</v>
      </c>
      <c r="K15" s="192"/>
      <c r="L15" s="96" t="s">
        <v>67</v>
      </c>
      <c r="M15" s="85"/>
      <c r="N15" s="111"/>
      <c r="O15" s="113"/>
      <c r="P15" s="111"/>
      <c r="Q15" s="113"/>
      <c r="R15" s="111"/>
      <c r="S15" s="113"/>
      <c r="T15" s="111"/>
      <c r="U15" s="113"/>
      <c r="V15" s="111"/>
      <c r="W15" s="113"/>
      <c r="X15" s="111"/>
      <c r="Y15" s="112"/>
      <c r="Z15" s="112"/>
    </row>
    <row r="16" spans="1:26" ht="21.75" customHeight="1" x14ac:dyDescent="0.2">
      <c r="A16" s="188"/>
      <c r="B16" s="100" t="s">
        <v>51</v>
      </c>
      <c r="C16" s="91" t="s">
        <v>53</v>
      </c>
      <c r="D16" s="91" t="s">
        <v>54</v>
      </c>
      <c r="E16" s="154"/>
      <c r="F16" s="91" t="s">
        <v>51</v>
      </c>
      <c r="G16" s="91" t="s">
        <v>53</v>
      </c>
      <c r="H16" s="95" t="s">
        <v>54</v>
      </c>
      <c r="I16" s="198"/>
      <c r="J16" s="154" t="s">
        <v>63</v>
      </c>
      <c r="K16" s="154" t="s">
        <v>64</v>
      </c>
      <c r="L16" s="96" t="s">
        <v>68</v>
      </c>
      <c r="M16" s="85"/>
      <c r="N16" s="111"/>
      <c r="O16" s="113"/>
      <c r="P16" s="111"/>
      <c r="Q16" s="113"/>
      <c r="R16" s="111"/>
      <c r="S16" s="113"/>
      <c r="T16" s="111"/>
      <c r="U16" s="113"/>
      <c r="V16" s="111"/>
      <c r="W16" s="113"/>
      <c r="X16" s="111"/>
      <c r="Y16" s="112"/>
      <c r="Z16" s="112"/>
    </row>
    <row r="17" spans="1:26" ht="21.75" customHeight="1" x14ac:dyDescent="0.2">
      <c r="A17" s="189"/>
      <c r="B17" s="91" t="s">
        <v>52</v>
      </c>
      <c r="C17" s="101" t="s">
        <v>51</v>
      </c>
      <c r="D17" s="101" t="s">
        <v>55</v>
      </c>
      <c r="E17" s="190"/>
      <c r="F17" s="101" t="s">
        <v>52</v>
      </c>
      <c r="G17" s="92" t="s">
        <v>51</v>
      </c>
      <c r="H17" s="98" t="s">
        <v>55</v>
      </c>
      <c r="I17" s="199"/>
      <c r="J17" s="155"/>
      <c r="K17" s="155"/>
      <c r="L17" s="98" t="s">
        <v>69</v>
      </c>
      <c r="M17" s="130" t="s">
        <v>92</v>
      </c>
      <c r="N17" s="130"/>
      <c r="O17" s="130"/>
      <c r="P17" s="130"/>
      <c r="Q17" s="130"/>
      <c r="R17" s="130"/>
      <c r="S17" s="130"/>
      <c r="T17" s="130"/>
      <c r="U17" s="130"/>
      <c r="V17" s="130"/>
      <c r="W17" s="130"/>
      <c r="X17" s="130"/>
      <c r="Y17" s="130"/>
      <c r="Z17" s="130"/>
    </row>
    <row r="18" spans="1:26" ht="23.25" customHeight="1" x14ac:dyDescent="0.2">
      <c r="A18" s="49" t="s">
        <v>7</v>
      </c>
      <c r="B18" s="82">
        <v>182.05199999999999</v>
      </c>
      <c r="C18" s="25"/>
      <c r="D18" s="24"/>
      <c r="E18" s="90"/>
      <c r="F18" s="82">
        <v>80.360399999999998</v>
      </c>
      <c r="G18" s="51"/>
      <c r="H18" s="50"/>
      <c r="I18" s="52"/>
      <c r="J18" s="104"/>
      <c r="K18" s="104"/>
      <c r="L18" s="73"/>
      <c r="M18" s="123" t="s">
        <v>79</v>
      </c>
      <c r="N18" s="121" t="s">
        <v>98</v>
      </c>
      <c r="O18" s="121"/>
      <c r="P18" s="121"/>
      <c r="Q18" s="121" t="s">
        <v>107</v>
      </c>
      <c r="R18" s="121"/>
      <c r="S18" s="121"/>
      <c r="T18" s="121" t="s">
        <v>93</v>
      </c>
      <c r="U18" s="121"/>
      <c r="V18" s="121"/>
      <c r="W18" s="124" t="s">
        <v>91</v>
      </c>
      <c r="X18" s="131"/>
      <c r="Y18" s="131"/>
      <c r="Z18" s="131"/>
    </row>
    <row r="19" spans="1:26" ht="23.25" customHeight="1" x14ac:dyDescent="0.2">
      <c r="A19" s="49" t="s">
        <v>8</v>
      </c>
      <c r="B19" s="82">
        <v>182.0548</v>
      </c>
      <c r="C19" s="25">
        <f t="shared" ref="C19:C42" si="0">IF(B19="","",IF(LEN(TRUNC(B18,0))-LEN(TRUNC(B19,0))=0,B19-B18,IF(LEN(TRUNC(B18,0))-LEN(TRUNC(B19,0))&gt;0,VALUE(LEFT(B18,LEN(TRUNC(B18,0))-LEN(TRUNC(B19,0))))*POWER(10,LEN(TRUNC(B19,0)))+B19-B18,B19-B18-VALUE(LEFT(B19,LEN(TRUNC(B19,0))-LEN(TRUNC(B18,0))))*POWER(10,LEN(TRUNC(B18,0))))))</f>
        <v>2.8000000000076852E-3</v>
      </c>
      <c r="D19" s="24">
        <f t="shared" ref="D19:D42" si="1">IF(C19="","",C19*$D$15)</f>
        <v>0.22400000000061482</v>
      </c>
      <c r="E19" s="90"/>
      <c r="F19" s="82">
        <v>80.360799999999998</v>
      </c>
      <c r="G19" s="51">
        <f>F19-ReportObject18_3</f>
        <v>3.9999999999906777E-4</v>
      </c>
      <c r="H19" s="50">
        <f t="shared" ref="H19:H42" si="2">IF(G19="","",G19*$H$15)</f>
        <v>3.1999999999925421E-2</v>
      </c>
      <c r="I19" s="52">
        <f t="shared" ref="I19:I42" si="3">IF(H19="","",IF(D19="","",IF(AND(H19=0,D19=0),0,H19/D19)))</f>
        <v>0.14285714285641782</v>
      </c>
      <c r="J19" s="104"/>
      <c r="K19" s="83"/>
      <c r="L19" s="53"/>
      <c r="M19" s="116"/>
      <c r="N19" s="118"/>
      <c r="O19" s="118"/>
      <c r="P19" s="118"/>
      <c r="Q19" s="118" t="s">
        <v>108</v>
      </c>
      <c r="R19" s="118"/>
      <c r="S19" s="118"/>
      <c r="T19" s="118"/>
      <c r="U19" s="118"/>
      <c r="V19" s="118"/>
      <c r="W19" s="125"/>
      <c r="X19" s="122"/>
      <c r="Y19" s="122"/>
      <c r="Z19" s="122"/>
    </row>
    <row r="20" spans="1:26" ht="23.25" customHeight="1" x14ac:dyDescent="0.2">
      <c r="A20" s="49" t="s">
        <v>9</v>
      </c>
      <c r="B20" s="82">
        <v>182.05799999999999</v>
      </c>
      <c r="C20" s="25">
        <f t="shared" si="0"/>
        <v>3.1999999999925421E-3</v>
      </c>
      <c r="D20" s="24">
        <f t="shared" si="1"/>
        <v>0.25599999999940337</v>
      </c>
      <c r="E20" s="90"/>
      <c r="F20" s="82">
        <v>80.361199999999997</v>
      </c>
      <c r="G20" s="51">
        <f>F20-F19</f>
        <v>3.9999999999906777E-4</v>
      </c>
      <c r="H20" s="50">
        <f t="shared" si="2"/>
        <v>3.1999999999925421E-2</v>
      </c>
      <c r="I20" s="52">
        <f t="shared" si="3"/>
        <v>0.125</v>
      </c>
      <c r="J20" s="104"/>
      <c r="K20" s="83"/>
      <c r="L20" s="53"/>
      <c r="M20" s="116" t="s">
        <v>80</v>
      </c>
      <c r="N20" s="118" t="s">
        <v>99</v>
      </c>
      <c r="O20" s="118"/>
      <c r="P20" s="118"/>
      <c r="Q20" s="118" t="s">
        <v>181</v>
      </c>
      <c r="R20" s="118"/>
      <c r="S20" s="118"/>
      <c r="T20" s="118" t="s">
        <v>94</v>
      </c>
      <c r="U20" s="118"/>
      <c r="V20" s="118"/>
      <c r="W20" s="125"/>
      <c r="X20" s="122"/>
      <c r="Y20" s="122"/>
      <c r="Z20" s="122"/>
    </row>
    <row r="21" spans="1:26" ht="23.25" customHeight="1" x14ac:dyDescent="0.2">
      <c r="A21" s="49" t="s">
        <v>10</v>
      </c>
      <c r="B21" s="82">
        <v>182.0608</v>
      </c>
      <c r="C21" s="25">
        <f t="shared" si="0"/>
        <v>2.8000000000076852E-3</v>
      </c>
      <c r="D21" s="24">
        <f t="shared" si="1"/>
        <v>0.22400000000061482</v>
      </c>
      <c r="E21" s="90"/>
      <c r="F21" s="82">
        <v>80.361199999999997</v>
      </c>
      <c r="G21" s="51">
        <f t="shared" ref="G21:G42" si="4">F21-F20</f>
        <v>0</v>
      </c>
      <c r="H21" s="50">
        <f t="shared" si="2"/>
        <v>0</v>
      </c>
      <c r="I21" s="52">
        <f t="shared" si="3"/>
        <v>0</v>
      </c>
      <c r="J21" s="104"/>
      <c r="K21" s="83"/>
      <c r="L21" s="53"/>
      <c r="M21" s="117"/>
      <c r="N21" s="119"/>
      <c r="O21" s="119"/>
      <c r="P21" s="119"/>
      <c r="Q21" s="119"/>
      <c r="R21" s="119"/>
      <c r="S21" s="119"/>
      <c r="T21" s="119"/>
      <c r="U21" s="119"/>
      <c r="V21" s="119"/>
      <c r="W21" s="127"/>
      <c r="X21" s="130"/>
      <c r="Y21" s="130"/>
      <c r="Z21" s="130"/>
    </row>
    <row r="22" spans="1:26" ht="23.25" customHeight="1" x14ac:dyDescent="0.2">
      <c r="A22" s="49" t="s">
        <v>11</v>
      </c>
      <c r="B22" s="82">
        <v>182.06399999999999</v>
      </c>
      <c r="C22" s="25">
        <f t="shared" si="0"/>
        <v>3.1999999999925421E-3</v>
      </c>
      <c r="D22" s="24">
        <f t="shared" si="1"/>
        <v>0.25599999999940337</v>
      </c>
      <c r="E22" s="90"/>
      <c r="F22" s="82">
        <v>80.361999999999995</v>
      </c>
      <c r="G22" s="51">
        <f t="shared" si="4"/>
        <v>7.9999999999813554E-4</v>
      </c>
      <c r="H22" s="50">
        <f t="shared" si="2"/>
        <v>6.3999999999850843E-2</v>
      </c>
      <c r="I22" s="52">
        <f t="shared" si="3"/>
        <v>0.25</v>
      </c>
      <c r="J22" s="104"/>
      <c r="K22" s="83"/>
      <c r="L22" s="53"/>
      <c r="M22" s="85"/>
      <c r="N22" s="120"/>
      <c r="O22" s="120"/>
      <c r="P22" s="120"/>
      <c r="Q22" s="120"/>
      <c r="R22" s="120"/>
      <c r="S22" s="120"/>
      <c r="T22" s="120"/>
      <c r="U22" s="120"/>
      <c r="V22" s="120"/>
      <c r="W22" s="111"/>
      <c r="X22" s="112"/>
      <c r="Y22" s="112"/>
      <c r="Z22" s="112"/>
    </row>
    <row r="23" spans="1:26" ht="23.25" customHeight="1" x14ac:dyDescent="0.2">
      <c r="A23" s="49" t="s">
        <v>12</v>
      </c>
      <c r="B23" s="82">
        <v>182.0668</v>
      </c>
      <c r="C23" s="25">
        <f t="shared" si="0"/>
        <v>2.8000000000076852E-3</v>
      </c>
      <c r="D23" s="24">
        <f t="shared" si="1"/>
        <v>0.22400000000061482</v>
      </c>
      <c r="E23" s="90"/>
      <c r="F23" s="82">
        <v>80.361999999999995</v>
      </c>
      <c r="G23" s="51">
        <f t="shared" si="4"/>
        <v>0</v>
      </c>
      <c r="H23" s="50">
        <f t="shared" si="2"/>
        <v>0</v>
      </c>
      <c r="I23" s="52">
        <f t="shared" si="3"/>
        <v>0</v>
      </c>
      <c r="J23" s="104"/>
      <c r="K23" s="83"/>
      <c r="L23" s="53"/>
      <c r="M23" s="85"/>
      <c r="N23" s="120"/>
      <c r="O23" s="120"/>
      <c r="P23" s="120"/>
      <c r="Q23" s="120"/>
      <c r="R23" s="120"/>
      <c r="S23" s="120"/>
      <c r="T23" s="120"/>
      <c r="U23" s="120"/>
      <c r="V23" s="120"/>
      <c r="W23" s="111"/>
      <c r="X23" s="112"/>
      <c r="Y23" s="112"/>
      <c r="Z23" s="112"/>
    </row>
    <row r="24" spans="1:26" ht="23.25" customHeight="1" x14ac:dyDescent="0.2">
      <c r="A24" s="49" t="s">
        <v>13</v>
      </c>
      <c r="B24" s="82">
        <v>182.07</v>
      </c>
      <c r="C24" s="25">
        <f t="shared" si="0"/>
        <v>3.1999999999925421E-3</v>
      </c>
      <c r="D24" s="24">
        <f t="shared" si="1"/>
        <v>0.25599999999940337</v>
      </c>
      <c r="E24" s="90"/>
      <c r="F24" s="82">
        <v>80.362399999999994</v>
      </c>
      <c r="G24" s="51">
        <f t="shared" si="4"/>
        <v>3.9999999999906777E-4</v>
      </c>
      <c r="H24" s="50">
        <f t="shared" si="2"/>
        <v>3.1999999999925421E-2</v>
      </c>
      <c r="I24" s="52">
        <f t="shared" si="3"/>
        <v>0.125</v>
      </c>
      <c r="J24" s="104"/>
      <c r="K24" s="83"/>
      <c r="L24" s="53"/>
      <c r="M24" s="85"/>
      <c r="N24" s="120"/>
      <c r="O24" s="120"/>
      <c r="P24" s="120"/>
      <c r="Q24" s="120"/>
      <c r="R24" s="120"/>
      <c r="S24" s="120"/>
      <c r="T24" s="120"/>
      <c r="U24" s="120"/>
      <c r="V24" s="120"/>
      <c r="W24" s="111"/>
      <c r="X24" s="112"/>
      <c r="Y24" s="112"/>
      <c r="Z24" s="112"/>
    </row>
    <row r="25" spans="1:26" ht="23.25" customHeight="1" x14ac:dyDescent="0.2">
      <c r="A25" s="49" t="s">
        <v>14</v>
      </c>
      <c r="B25" s="82">
        <v>182.07320000000001</v>
      </c>
      <c r="C25" s="25">
        <f t="shared" si="0"/>
        <v>3.2000000000209639E-3</v>
      </c>
      <c r="D25" s="24">
        <f t="shared" si="1"/>
        <v>0.25600000000167711</v>
      </c>
      <c r="E25" s="90"/>
      <c r="F25" s="82">
        <v>80.362799999999993</v>
      </c>
      <c r="G25" s="51">
        <f t="shared" si="4"/>
        <v>3.9999999999906777E-4</v>
      </c>
      <c r="H25" s="50">
        <f t="shared" si="2"/>
        <v>3.1999999999925421E-2</v>
      </c>
      <c r="I25" s="52">
        <f t="shared" si="3"/>
        <v>0.12499999999888978</v>
      </c>
      <c r="J25" s="104"/>
      <c r="K25" s="83"/>
      <c r="L25" s="53"/>
      <c r="M25" s="85"/>
      <c r="N25" s="120"/>
      <c r="O25" s="120"/>
      <c r="P25" s="120"/>
      <c r="Q25" s="120"/>
      <c r="R25" s="120"/>
      <c r="S25" s="120"/>
      <c r="T25" s="120"/>
      <c r="U25" s="120"/>
      <c r="V25" s="120"/>
      <c r="W25" s="111"/>
      <c r="X25" s="112"/>
      <c r="Y25" s="112"/>
      <c r="Z25" s="112"/>
    </row>
    <row r="26" spans="1:26" ht="23.25" customHeight="1" x14ac:dyDescent="0.2">
      <c r="A26" s="49" t="s">
        <v>15</v>
      </c>
      <c r="B26" s="82">
        <v>182.11760000000001</v>
      </c>
      <c r="C26" s="25">
        <f t="shared" si="0"/>
        <v>4.4399999999995998E-2</v>
      </c>
      <c r="D26" s="24">
        <f t="shared" si="1"/>
        <v>3.5519999999996799</v>
      </c>
      <c r="E26" s="90"/>
      <c r="F26" s="82">
        <v>80.385599999999997</v>
      </c>
      <c r="G26" s="51">
        <f t="shared" si="4"/>
        <v>2.2800000000003706E-2</v>
      </c>
      <c r="H26" s="50">
        <f t="shared" si="2"/>
        <v>1.8240000000002965</v>
      </c>
      <c r="I26" s="52">
        <f t="shared" si="3"/>
        <v>0.51351351351364327</v>
      </c>
      <c r="J26" s="104"/>
      <c r="K26" s="83"/>
      <c r="L26" s="53"/>
      <c r="M26" s="85"/>
      <c r="N26" s="120"/>
      <c r="O26" s="120"/>
      <c r="P26" s="120"/>
      <c r="Q26" s="120"/>
      <c r="R26" s="120"/>
      <c r="S26" s="120"/>
      <c r="T26" s="120"/>
      <c r="U26" s="120"/>
      <c r="V26" s="120"/>
      <c r="W26" s="111"/>
      <c r="X26" s="112"/>
      <c r="Y26" s="112"/>
      <c r="Z26" s="112"/>
    </row>
    <row r="27" spans="1:26" ht="23.25" customHeight="1" x14ac:dyDescent="0.2">
      <c r="A27" s="49" t="s">
        <v>16</v>
      </c>
      <c r="B27" s="82">
        <v>182.24160000000001</v>
      </c>
      <c r="C27" s="25">
        <f t="shared" si="0"/>
        <v>0.12399999999999523</v>
      </c>
      <c r="D27" s="24">
        <f t="shared" si="1"/>
        <v>9.919999999999618</v>
      </c>
      <c r="E27" s="90"/>
      <c r="F27" s="82">
        <v>80.463200000000001</v>
      </c>
      <c r="G27" s="51">
        <f t="shared" si="4"/>
        <v>7.7600000000003888E-2</v>
      </c>
      <c r="H27" s="50">
        <f t="shared" si="2"/>
        <v>6.208000000000311</v>
      </c>
      <c r="I27" s="52">
        <f t="shared" si="3"/>
        <v>0.62580645161295867</v>
      </c>
      <c r="J27" s="104"/>
      <c r="K27" s="83"/>
      <c r="L27" s="53"/>
      <c r="M27" s="85"/>
      <c r="N27" s="120"/>
      <c r="O27" s="120"/>
      <c r="P27" s="120"/>
      <c r="Q27" s="120"/>
      <c r="R27" s="120"/>
      <c r="S27" s="120"/>
      <c r="T27" s="120"/>
      <c r="U27" s="120"/>
      <c r="V27" s="120"/>
      <c r="W27" s="111"/>
      <c r="X27" s="112"/>
      <c r="Y27" s="112"/>
      <c r="Z27" s="112"/>
    </row>
    <row r="28" spans="1:26" ht="23.25" customHeight="1" x14ac:dyDescent="0.2">
      <c r="A28" s="49" t="s">
        <v>17</v>
      </c>
      <c r="B28" s="82">
        <v>182.34360000000001</v>
      </c>
      <c r="C28" s="25">
        <f t="shared" si="0"/>
        <v>0.10200000000000387</v>
      </c>
      <c r="D28" s="24">
        <f t="shared" si="1"/>
        <v>8.1600000000003092</v>
      </c>
      <c r="E28" s="90"/>
      <c r="F28" s="82">
        <v>80.508799999999994</v>
      </c>
      <c r="G28" s="51">
        <f t="shared" si="4"/>
        <v>4.5599999999993202E-2</v>
      </c>
      <c r="H28" s="50">
        <f t="shared" si="2"/>
        <v>3.6479999999994561</v>
      </c>
      <c r="I28" s="52">
        <f t="shared" si="3"/>
        <v>0.44705882352932819</v>
      </c>
      <c r="J28" s="104"/>
      <c r="K28" s="83"/>
      <c r="L28" s="53"/>
      <c r="M28" s="85"/>
      <c r="N28" s="120"/>
      <c r="O28" s="120"/>
      <c r="P28" s="120"/>
      <c r="Q28" s="120"/>
      <c r="R28" s="120"/>
      <c r="S28" s="120"/>
      <c r="T28" s="120"/>
      <c r="U28" s="120"/>
      <c r="V28" s="120"/>
      <c r="W28" s="111"/>
      <c r="X28" s="112"/>
      <c r="Y28" s="112"/>
      <c r="Z28" s="112"/>
    </row>
    <row r="29" spans="1:26" ht="23.25" customHeight="1" x14ac:dyDescent="0.2">
      <c r="A29" s="49" t="s">
        <v>18</v>
      </c>
      <c r="B29" s="82">
        <v>182.44</v>
      </c>
      <c r="C29" s="25">
        <f t="shared" si="0"/>
        <v>9.6399999999988495E-2</v>
      </c>
      <c r="D29" s="24">
        <f t="shared" si="1"/>
        <v>7.7119999999990796</v>
      </c>
      <c r="E29" s="90"/>
      <c r="F29" s="82">
        <v>80.555599999999998</v>
      </c>
      <c r="G29" s="51">
        <f t="shared" si="4"/>
        <v>4.6800000000004616E-2</v>
      </c>
      <c r="H29" s="50">
        <f t="shared" si="2"/>
        <v>3.7440000000003693</v>
      </c>
      <c r="I29" s="52">
        <f t="shared" si="3"/>
        <v>0.48547717842334231</v>
      </c>
      <c r="J29" s="104"/>
      <c r="K29" s="83"/>
      <c r="L29" s="53"/>
      <c r="M29" s="145" t="s">
        <v>95</v>
      </c>
      <c r="N29" s="145"/>
      <c r="O29" s="145"/>
      <c r="P29" s="145"/>
      <c r="Q29" s="145"/>
      <c r="R29" s="145"/>
      <c r="S29" s="145"/>
      <c r="T29" s="145"/>
      <c r="U29" s="145"/>
      <c r="V29" s="145"/>
      <c r="W29" s="145"/>
      <c r="X29" s="145"/>
      <c r="Y29" s="145"/>
      <c r="Z29" s="145"/>
    </row>
    <row r="30" spans="1:26" ht="23.25" customHeight="1" x14ac:dyDescent="0.2">
      <c r="A30" s="49" t="s">
        <v>19</v>
      </c>
      <c r="B30" s="82">
        <v>182.52199999999999</v>
      </c>
      <c r="C30" s="25">
        <f t="shared" si="0"/>
        <v>8.1999999999993634E-2</v>
      </c>
      <c r="D30" s="24">
        <f t="shared" si="1"/>
        <v>6.5599999999994907</v>
      </c>
      <c r="E30" s="90"/>
      <c r="F30" s="82">
        <v>80.595200000000006</v>
      </c>
      <c r="G30" s="51">
        <f t="shared" si="4"/>
        <v>3.9600000000007185E-2</v>
      </c>
      <c r="H30" s="50">
        <f t="shared" si="2"/>
        <v>3.1680000000005748</v>
      </c>
      <c r="I30" s="52">
        <f t="shared" si="3"/>
        <v>0.48292682926841779</v>
      </c>
      <c r="J30" s="104"/>
      <c r="K30" s="83"/>
      <c r="L30" s="53"/>
      <c r="M30" s="122" t="s">
        <v>97</v>
      </c>
      <c r="N30" s="122"/>
      <c r="O30" s="122"/>
      <c r="P30" s="122"/>
      <c r="Q30" s="122"/>
      <c r="R30" s="122"/>
      <c r="S30" s="122"/>
      <c r="T30" s="122"/>
      <c r="U30" s="122"/>
      <c r="V30" s="122"/>
      <c r="W30" s="122"/>
      <c r="X30" s="122"/>
      <c r="Y30" s="122"/>
      <c r="Z30" s="122"/>
    </row>
    <row r="31" spans="1:26" ht="23.25" customHeight="1" x14ac:dyDescent="0.2">
      <c r="A31" s="49" t="s">
        <v>20</v>
      </c>
      <c r="B31" s="82">
        <v>182.60640000000001</v>
      </c>
      <c r="C31" s="25">
        <f t="shared" si="0"/>
        <v>8.4400000000016462E-2</v>
      </c>
      <c r="D31" s="24">
        <f t="shared" si="1"/>
        <v>6.7520000000013169</v>
      </c>
      <c r="E31" s="90"/>
      <c r="F31" s="82">
        <v>80.6404</v>
      </c>
      <c r="G31" s="51">
        <f t="shared" si="4"/>
        <v>4.5199999999994134E-2</v>
      </c>
      <c r="H31" s="50">
        <f t="shared" si="2"/>
        <v>3.6159999999995307</v>
      </c>
      <c r="I31" s="52">
        <f t="shared" si="3"/>
        <v>0.53554502369650847</v>
      </c>
      <c r="J31" s="104"/>
      <c r="K31" s="83"/>
      <c r="L31" s="53"/>
      <c r="M31" s="123" t="s">
        <v>79</v>
      </c>
      <c r="N31" s="121" t="s">
        <v>98</v>
      </c>
      <c r="O31" s="121"/>
      <c r="P31" s="121" t="s">
        <v>100</v>
      </c>
      <c r="Q31" s="121"/>
      <c r="R31" s="121" t="s">
        <v>93</v>
      </c>
      <c r="S31" s="121"/>
      <c r="T31" s="121" t="s">
        <v>103</v>
      </c>
      <c r="U31" s="121"/>
      <c r="V31" s="121" t="s">
        <v>179</v>
      </c>
      <c r="W31" s="121"/>
      <c r="X31" s="121"/>
      <c r="Y31" s="121" t="s">
        <v>91</v>
      </c>
      <c r="Z31" s="124"/>
    </row>
    <row r="32" spans="1:26" ht="23.25" customHeight="1" x14ac:dyDescent="0.2">
      <c r="A32" s="49" t="s">
        <v>21</v>
      </c>
      <c r="B32" s="82">
        <v>182.672</v>
      </c>
      <c r="C32" s="25">
        <f t="shared" si="0"/>
        <v>6.5599999999989222E-2</v>
      </c>
      <c r="D32" s="24">
        <f t="shared" si="1"/>
        <v>5.2479999999991378</v>
      </c>
      <c r="E32" s="90"/>
      <c r="F32" s="82">
        <v>80.675200000000004</v>
      </c>
      <c r="G32" s="51">
        <f t="shared" si="4"/>
        <v>3.4800000000004161E-2</v>
      </c>
      <c r="H32" s="50">
        <f t="shared" si="2"/>
        <v>2.7840000000003329</v>
      </c>
      <c r="I32" s="52">
        <f t="shared" si="3"/>
        <v>0.53048780487819935</v>
      </c>
      <c r="J32" s="104"/>
      <c r="K32" s="83"/>
      <c r="L32" s="53"/>
      <c r="M32" s="116"/>
      <c r="N32" s="118"/>
      <c r="O32" s="118"/>
      <c r="P32" s="118" t="s">
        <v>83</v>
      </c>
      <c r="Q32" s="118"/>
      <c r="R32" s="118" t="s">
        <v>102</v>
      </c>
      <c r="S32" s="118"/>
      <c r="T32" s="118" t="s">
        <v>104</v>
      </c>
      <c r="U32" s="118"/>
      <c r="V32" s="118" t="s">
        <v>105</v>
      </c>
      <c r="W32" s="118"/>
      <c r="X32" s="118"/>
      <c r="Y32" s="118"/>
      <c r="Z32" s="125"/>
    </row>
    <row r="33" spans="1:26" ht="23.25" customHeight="1" x14ac:dyDescent="0.2">
      <c r="A33" s="49" t="s">
        <v>22</v>
      </c>
      <c r="B33" s="82">
        <v>182.75479999999999</v>
      </c>
      <c r="C33" s="25">
        <f t="shared" si="0"/>
        <v>8.2799999999991769E-2</v>
      </c>
      <c r="D33" s="24">
        <f t="shared" si="1"/>
        <v>6.6239999999993415</v>
      </c>
      <c r="E33" s="90"/>
      <c r="F33" s="82">
        <v>80.722800000000007</v>
      </c>
      <c r="G33" s="51">
        <f t="shared" si="4"/>
        <v>4.7600000000002751E-2</v>
      </c>
      <c r="H33" s="50">
        <f t="shared" si="2"/>
        <v>3.8080000000002201</v>
      </c>
      <c r="I33" s="52">
        <f t="shared" si="3"/>
        <v>0.57487922705323047</v>
      </c>
      <c r="J33" s="104"/>
      <c r="K33" s="83"/>
      <c r="L33" s="53"/>
      <c r="M33" s="116" t="s">
        <v>80</v>
      </c>
      <c r="N33" s="118" t="s">
        <v>99</v>
      </c>
      <c r="O33" s="118"/>
      <c r="P33" s="118" t="s">
        <v>101</v>
      </c>
      <c r="Q33" s="118"/>
      <c r="R33" s="118" t="s">
        <v>69</v>
      </c>
      <c r="S33" s="118"/>
      <c r="T33" s="118" t="s">
        <v>69</v>
      </c>
      <c r="U33" s="118"/>
      <c r="V33" s="118" t="s">
        <v>106</v>
      </c>
      <c r="W33" s="118"/>
      <c r="X33" s="118"/>
      <c r="Y33" s="118"/>
      <c r="Z33" s="125"/>
    </row>
    <row r="34" spans="1:26" ht="23.25" customHeight="1" x14ac:dyDescent="0.2">
      <c r="A34" s="49" t="s">
        <v>23</v>
      </c>
      <c r="B34" s="82">
        <v>182.8312</v>
      </c>
      <c r="C34" s="25">
        <f t="shared" si="0"/>
        <v>7.6400000000006685E-2</v>
      </c>
      <c r="D34" s="24">
        <f t="shared" si="1"/>
        <v>6.1120000000005348</v>
      </c>
      <c r="E34" s="90"/>
      <c r="F34" s="82">
        <v>80.765600000000006</v>
      </c>
      <c r="G34" s="51">
        <f t="shared" si="4"/>
        <v>4.2799999999999727E-2</v>
      </c>
      <c r="H34" s="50">
        <f t="shared" si="2"/>
        <v>3.4239999999999782</v>
      </c>
      <c r="I34" s="52">
        <f t="shared" si="3"/>
        <v>0.5602094240837171</v>
      </c>
      <c r="J34" s="104"/>
      <c r="K34" s="83"/>
      <c r="L34" s="53"/>
      <c r="M34" s="117"/>
      <c r="N34" s="119"/>
      <c r="O34" s="119"/>
      <c r="P34" s="119"/>
      <c r="Q34" s="119"/>
      <c r="R34" s="127"/>
      <c r="S34" s="117"/>
      <c r="T34" s="127"/>
      <c r="U34" s="117"/>
      <c r="V34" s="127"/>
      <c r="W34" s="130"/>
      <c r="X34" s="117"/>
      <c r="Y34" s="119"/>
      <c r="Z34" s="127"/>
    </row>
    <row r="35" spans="1:26" ht="23.25" customHeight="1" x14ac:dyDescent="0.2">
      <c r="A35" s="49" t="s">
        <v>24</v>
      </c>
      <c r="B35" s="82">
        <v>182.84520000000001</v>
      </c>
      <c r="C35" s="25">
        <f t="shared" si="0"/>
        <v>1.4000000000010004E-2</v>
      </c>
      <c r="D35" s="24">
        <f t="shared" si="1"/>
        <v>1.1200000000008004</v>
      </c>
      <c r="E35" s="90"/>
      <c r="F35" s="82">
        <v>80.77</v>
      </c>
      <c r="G35" s="51">
        <f t="shared" si="4"/>
        <v>4.3999999999897454E-3</v>
      </c>
      <c r="H35" s="50">
        <f t="shared" si="2"/>
        <v>0.35199999999917964</v>
      </c>
      <c r="I35" s="52">
        <f t="shared" si="3"/>
        <v>0.31428571428475721</v>
      </c>
      <c r="J35" s="104"/>
      <c r="K35" s="83"/>
      <c r="L35" s="53"/>
      <c r="M35" s="85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11"/>
    </row>
    <row r="36" spans="1:26" ht="23.25" customHeight="1" x14ac:dyDescent="0.2">
      <c r="A36" s="49" t="s">
        <v>25</v>
      </c>
      <c r="B36" s="82">
        <v>182.8484</v>
      </c>
      <c r="C36" s="25">
        <f t="shared" si="0"/>
        <v>3.1999999999925421E-3</v>
      </c>
      <c r="D36" s="24">
        <f t="shared" si="1"/>
        <v>0.25599999999940337</v>
      </c>
      <c r="E36" s="90"/>
      <c r="F36" s="82">
        <v>80.770399999999995</v>
      </c>
      <c r="G36" s="51">
        <f t="shared" si="4"/>
        <v>3.9999999999906777E-4</v>
      </c>
      <c r="H36" s="50">
        <f t="shared" si="2"/>
        <v>3.1999999999925421E-2</v>
      </c>
      <c r="I36" s="52">
        <f t="shared" si="3"/>
        <v>0.125</v>
      </c>
      <c r="J36" s="104"/>
      <c r="K36" s="83"/>
      <c r="L36" s="53"/>
      <c r="M36" s="85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11"/>
    </row>
    <row r="37" spans="1:26" ht="23.25" customHeight="1" x14ac:dyDescent="0.2">
      <c r="A37" s="49" t="s">
        <v>26</v>
      </c>
      <c r="B37" s="82">
        <v>182.85079999999999</v>
      </c>
      <c r="C37" s="25">
        <f t="shared" si="0"/>
        <v>2.3999999999944066E-3</v>
      </c>
      <c r="D37" s="24">
        <f t="shared" si="1"/>
        <v>0.19199999999955253</v>
      </c>
      <c r="E37" s="90"/>
      <c r="F37" s="82">
        <v>80.770399999999995</v>
      </c>
      <c r="G37" s="51">
        <f t="shared" si="4"/>
        <v>0</v>
      </c>
      <c r="H37" s="50">
        <f t="shared" si="2"/>
        <v>0</v>
      </c>
      <c r="I37" s="52">
        <f t="shared" si="3"/>
        <v>0</v>
      </c>
      <c r="J37" s="104"/>
      <c r="K37" s="83"/>
      <c r="L37" s="53"/>
      <c r="M37" s="85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11"/>
    </row>
    <row r="38" spans="1:26" ht="23.25" customHeight="1" x14ac:dyDescent="0.2">
      <c r="A38" s="49" t="s">
        <v>27</v>
      </c>
      <c r="B38" s="82">
        <v>182.85400000000001</v>
      </c>
      <c r="C38" s="25">
        <f t="shared" si="0"/>
        <v>3.2000000000209639E-3</v>
      </c>
      <c r="D38" s="24">
        <f t="shared" si="1"/>
        <v>0.25600000000167711</v>
      </c>
      <c r="E38" s="90"/>
      <c r="F38" s="82">
        <v>80.770399999999995</v>
      </c>
      <c r="G38" s="51">
        <f t="shared" si="4"/>
        <v>0</v>
      </c>
      <c r="H38" s="50">
        <f t="shared" si="2"/>
        <v>0</v>
      </c>
      <c r="I38" s="52">
        <f t="shared" si="3"/>
        <v>0</v>
      </c>
      <c r="J38" s="104"/>
      <c r="K38" s="83"/>
      <c r="L38" s="53"/>
      <c r="M38" s="85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11"/>
    </row>
    <row r="39" spans="1:26" ht="23.25" customHeight="1" x14ac:dyDescent="0.2">
      <c r="A39" s="49" t="s">
        <v>28</v>
      </c>
      <c r="B39" s="82">
        <v>182.85679999999999</v>
      </c>
      <c r="C39" s="25">
        <f t="shared" si="0"/>
        <v>2.7999999999792635E-3</v>
      </c>
      <c r="D39" s="24">
        <f t="shared" si="1"/>
        <v>0.22399999999834108</v>
      </c>
      <c r="E39" s="90"/>
      <c r="F39" s="82">
        <v>80.770399999999995</v>
      </c>
      <c r="G39" s="51">
        <f t="shared" si="4"/>
        <v>0</v>
      </c>
      <c r="H39" s="50">
        <f t="shared" si="2"/>
        <v>0</v>
      </c>
      <c r="I39" s="52">
        <f t="shared" si="3"/>
        <v>0</v>
      </c>
      <c r="J39" s="104"/>
      <c r="K39" s="83"/>
      <c r="L39" s="53"/>
      <c r="M39" s="85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11"/>
    </row>
    <row r="40" spans="1:26" ht="23.25" customHeight="1" x14ac:dyDescent="0.2">
      <c r="A40" s="49" t="s">
        <v>29</v>
      </c>
      <c r="B40" s="82">
        <v>182.86</v>
      </c>
      <c r="C40" s="25">
        <f t="shared" si="0"/>
        <v>3.2000000000209639E-3</v>
      </c>
      <c r="D40" s="24">
        <f t="shared" si="1"/>
        <v>0.25600000000167711</v>
      </c>
      <c r="E40" s="90"/>
      <c r="F40" s="82">
        <v>80.770799999999994</v>
      </c>
      <c r="G40" s="51">
        <f t="shared" si="4"/>
        <v>3.9999999999906777E-4</v>
      </c>
      <c r="H40" s="50">
        <f t="shared" si="2"/>
        <v>3.1999999999925421E-2</v>
      </c>
      <c r="I40" s="52">
        <f t="shared" si="3"/>
        <v>0.12499999999888978</v>
      </c>
      <c r="J40" s="104"/>
      <c r="K40" s="83"/>
      <c r="L40" s="53"/>
      <c r="M40" s="122" t="s">
        <v>109</v>
      </c>
      <c r="N40" s="122"/>
      <c r="O40" s="122"/>
      <c r="P40" s="122"/>
      <c r="Q40" s="122"/>
      <c r="R40" s="122"/>
      <c r="S40" s="122"/>
      <c r="T40" s="122"/>
      <c r="U40" s="122"/>
      <c r="V40" s="122"/>
      <c r="W40" s="122"/>
      <c r="X40" s="122"/>
      <c r="Y40" s="122"/>
      <c r="Z40" s="122"/>
    </row>
    <row r="41" spans="1:26" ht="23.25" customHeight="1" x14ac:dyDescent="0.2">
      <c r="A41" s="49" t="s">
        <v>30</v>
      </c>
      <c r="B41" s="82">
        <v>182.86240000000001</v>
      </c>
      <c r="C41" s="25">
        <f t="shared" si="0"/>
        <v>2.3999999999944066E-3</v>
      </c>
      <c r="D41" s="24">
        <f t="shared" si="1"/>
        <v>0.19199999999955253</v>
      </c>
      <c r="E41" s="90"/>
      <c r="F41" s="82">
        <v>80.770799999999994</v>
      </c>
      <c r="G41" s="51">
        <f t="shared" si="4"/>
        <v>0</v>
      </c>
      <c r="H41" s="50">
        <f t="shared" si="2"/>
        <v>0</v>
      </c>
      <c r="I41" s="52">
        <f t="shared" si="3"/>
        <v>0</v>
      </c>
      <c r="J41" s="104"/>
      <c r="K41" s="83"/>
      <c r="L41" s="53"/>
      <c r="M41" s="123" t="s">
        <v>79</v>
      </c>
      <c r="N41" s="121" t="s">
        <v>98</v>
      </c>
      <c r="O41" s="121"/>
      <c r="P41" s="121" t="s">
        <v>93</v>
      </c>
      <c r="Q41" s="121"/>
      <c r="R41" s="121"/>
      <c r="S41" s="121" t="s">
        <v>111</v>
      </c>
      <c r="T41" s="121" t="s">
        <v>81</v>
      </c>
      <c r="U41" s="121"/>
      <c r="V41" s="121"/>
      <c r="W41" s="121"/>
      <c r="X41" s="121" t="s">
        <v>93</v>
      </c>
      <c r="Y41" s="121"/>
      <c r="Z41" s="124"/>
    </row>
    <row r="42" spans="1:26" ht="23.25" customHeight="1" x14ac:dyDescent="0.2">
      <c r="A42" s="49" t="s">
        <v>31</v>
      </c>
      <c r="B42" s="82">
        <v>182.8656</v>
      </c>
      <c r="C42" s="25">
        <f t="shared" si="0"/>
        <v>3.1999999999925421E-3</v>
      </c>
      <c r="D42" s="24">
        <f t="shared" si="1"/>
        <v>0.25599999999940337</v>
      </c>
      <c r="E42" s="90"/>
      <c r="F42" s="82">
        <v>80.770799999999994</v>
      </c>
      <c r="G42" s="51">
        <f t="shared" si="4"/>
        <v>0</v>
      </c>
      <c r="H42" s="50">
        <f t="shared" si="2"/>
        <v>0</v>
      </c>
      <c r="I42" s="52">
        <f t="shared" si="3"/>
        <v>0</v>
      </c>
      <c r="J42" s="104"/>
      <c r="K42" s="83"/>
      <c r="L42" s="53"/>
      <c r="M42" s="116"/>
      <c r="N42" s="118"/>
      <c r="O42" s="118"/>
      <c r="P42" s="118"/>
      <c r="Q42" s="118"/>
      <c r="R42" s="118"/>
      <c r="S42" s="118"/>
      <c r="T42" s="118"/>
      <c r="U42" s="118"/>
      <c r="V42" s="118"/>
      <c r="W42" s="118"/>
      <c r="X42" s="118"/>
      <c r="Y42" s="118"/>
      <c r="Z42" s="125"/>
    </row>
    <row r="43" spans="1:26" ht="22.5" customHeight="1" x14ac:dyDescent="0.2">
      <c r="A43" s="184" t="s">
        <v>70</v>
      </c>
      <c r="B43" s="184"/>
      <c r="C43" s="184"/>
      <c r="D43" s="50">
        <f>SUM(D18:D42)</f>
        <v>65.088000000000648</v>
      </c>
      <c r="E43" s="104"/>
      <c r="F43" s="54"/>
      <c r="G43" s="104"/>
      <c r="H43" s="50">
        <f>SUM(H18:H42)</f>
        <v>32.831999999999653</v>
      </c>
      <c r="I43" s="52">
        <f>IF(AND(H43=0,D43=0),0,H43/D43)</f>
        <v>0.50442477876105163</v>
      </c>
      <c r="J43" s="104"/>
      <c r="K43" s="104"/>
      <c r="L43" s="53"/>
      <c r="M43" s="116" t="s">
        <v>80</v>
      </c>
      <c r="N43" s="118" t="s">
        <v>99</v>
      </c>
      <c r="O43" s="118"/>
      <c r="P43" s="118" t="s">
        <v>110</v>
      </c>
      <c r="Q43" s="118"/>
      <c r="R43" s="118"/>
      <c r="S43" s="118"/>
      <c r="T43" s="118"/>
      <c r="U43" s="118"/>
      <c r="V43" s="118"/>
      <c r="W43" s="118"/>
      <c r="X43" s="118" t="s">
        <v>110</v>
      </c>
      <c r="Y43" s="118"/>
      <c r="Z43" s="125"/>
    </row>
    <row r="44" spans="1:26" ht="22.5" customHeight="1" x14ac:dyDescent="0.2">
      <c r="A44" s="183" t="s">
        <v>71</v>
      </c>
      <c r="B44" s="183"/>
      <c r="C44" s="183"/>
      <c r="D44" s="104"/>
      <c r="E44" s="104"/>
      <c r="F44" s="54"/>
      <c r="G44" s="104"/>
      <c r="H44" s="104"/>
      <c r="I44" s="104"/>
      <c r="J44" s="104"/>
      <c r="K44" s="104"/>
      <c r="L44" s="53"/>
      <c r="M44" s="117"/>
      <c r="N44" s="119"/>
      <c r="O44" s="119"/>
      <c r="P44" s="119"/>
      <c r="Q44" s="119"/>
      <c r="R44" s="119"/>
      <c r="S44" s="119"/>
      <c r="T44" s="119"/>
      <c r="U44" s="119"/>
      <c r="V44" s="119"/>
      <c r="W44" s="119"/>
      <c r="X44" s="119"/>
      <c r="Y44" s="119"/>
      <c r="Z44" s="127"/>
    </row>
    <row r="45" spans="1:26" ht="22.5" customHeight="1" x14ac:dyDescent="0.2">
      <c r="A45" s="94"/>
      <c r="B45" s="103"/>
      <c r="C45" s="103"/>
      <c r="D45" s="103"/>
      <c r="E45" s="103"/>
      <c r="F45" s="103"/>
      <c r="G45" s="103"/>
      <c r="H45" s="103"/>
      <c r="I45" s="103"/>
      <c r="J45" s="57"/>
      <c r="K45" s="57"/>
      <c r="L45" s="57"/>
      <c r="M45" s="85"/>
      <c r="N45" s="111"/>
      <c r="O45" s="113"/>
      <c r="P45" s="111"/>
      <c r="Q45" s="112"/>
      <c r="R45" s="113"/>
      <c r="S45" s="87"/>
      <c r="T45" s="111"/>
      <c r="U45" s="112"/>
      <c r="V45" s="112"/>
      <c r="W45" s="113"/>
      <c r="X45" s="111"/>
      <c r="Y45" s="112"/>
      <c r="Z45" s="112"/>
    </row>
    <row r="46" spans="1:26" ht="22.5" customHeight="1" x14ac:dyDescent="0.2">
      <c r="A46" s="182" t="s">
        <v>72</v>
      </c>
      <c r="B46" s="182"/>
      <c r="C46" s="182"/>
      <c r="D46" s="182"/>
      <c r="E46" s="182"/>
      <c r="F46" s="182"/>
      <c r="G46" s="204" t="s">
        <v>73</v>
      </c>
      <c r="H46" s="204"/>
      <c r="I46" s="204"/>
      <c r="J46" s="204"/>
      <c r="K46" s="204"/>
      <c r="L46" s="204"/>
      <c r="M46" s="85"/>
      <c r="N46" s="111"/>
      <c r="O46" s="113"/>
      <c r="P46" s="111"/>
      <c r="Q46" s="112"/>
      <c r="R46" s="113"/>
      <c r="S46" s="87"/>
      <c r="T46" s="111"/>
      <c r="U46" s="112"/>
      <c r="V46" s="112"/>
      <c r="W46" s="113"/>
      <c r="X46" s="111"/>
      <c r="Y46" s="112"/>
      <c r="Z46" s="112"/>
    </row>
    <row r="47" spans="1:26" ht="22.5" customHeight="1" x14ac:dyDescent="0.2">
      <c r="A47" s="144" t="s">
        <v>365</v>
      </c>
      <c r="B47" s="144"/>
      <c r="C47" s="144"/>
      <c r="D47" s="135" t="s">
        <v>74</v>
      </c>
      <c r="E47" s="135"/>
      <c r="F47" s="135"/>
      <c r="G47" s="103"/>
      <c r="H47" s="103"/>
      <c r="I47" s="103"/>
      <c r="J47" s="103"/>
      <c r="K47" s="103"/>
      <c r="L47" s="103"/>
      <c r="M47" s="85"/>
      <c r="N47" s="111"/>
      <c r="O47" s="113"/>
      <c r="P47" s="111"/>
      <c r="Q47" s="112"/>
      <c r="R47" s="113"/>
      <c r="S47" s="87"/>
      <c r="T47" s="111"/>
      <c r="U47" s="112"/>
      <c r="V47" s="112"/>
      <c r="W47" s="113"/>
      <c r="X47" s="111"/>
      <c r="Y47" s="112"/>
      <c r="Z47" s="112"/>
    </row>
    <row r="48" spans="1:26" ht="22.5" customHeight="1" x14ac:dyDescent="0.2">
      <c r="A48" s="175" t="s">
        <v>75</v>
      </c>
      <c r="B48" s="175"/>
      <c r="C48" s="175"/>
      <c r="D48" s="174" t="s">
        <v>76</v>
      </c>
      <c r="E48" s="174"/>
      <c r="F48" s="174"/>
      <c r="G48" s="94"/>
      <c r="H48" s="94"/>
      <c r="I48" s="94"/>
      <c r="J48" s="94"/>
      <c r="K48" s="94"/>
      <c r="L48" s="94"/>
    </row>
    <row r="49" spans="1:23" ht="22.5" customHeight="1" x14ac:dyDescent="0.2">
      <c r="A49" s="144" t="s">
        <v>366</v>
      </c>
      <c r="B49" s="144"/>
      <c r="C49" s="144"/>
      <c r="D49" s="135" t="s">
        <v>74</v>
      </c>
      <c r="E49" s="135"/>
      <c r="F49" s="135"/>
      <c r="G49" s="94"/>
      <c r="H49" s="182" t="s">
        <v>183</v>
      </c>
      <c r="I49" s="182"/>
      <c r="J49" s="182"/>
      <c r="K49" s="182" t="s">
        <v>77</v>
      </c>
      <c r="L49" s="182"/>
      <c r="N49" s="177" t="s">
        <v>150</v>
      </c>
      <c r="O49" s="177"/>
      <c r="P49" s="177"/>
      <c r="Q49" s="176" t="s">
        <v>364</v>
      </c>
      <c r="R49" s="176"/>
      <c r="S49" s="176"/>
      <c r="T49" s="176"/>
      <c r="U49" s="176"/>
      <c r="V49" s="176"/>
      <c r="W49" s="89"/>
    </row>
    <row r="50" spans="1:23" ht="22.5" customHeight="1" x14ac:dyDescent="0.2">
      <c r="A50" s="175" t="s">
        <v>75</v>
      </c>
      <c r="B50" s="175"/>
      <c r="C50" s="175"/>
      <c r="D50" s="174" t="s">
        <v>76</v>
      </c>
      <c r="E50" s="174"/>
      <c r="F50" s="174"/>
      <c r="G50" s="58"/>
      <c r="H50" s="175" t="s">
        <v>75</v>
      </c>
      <c r="I50" s="175"/>
      <c r="J50" s="175"/>
      <c r="K50" s="175" t="s">
        <v>76</v>
      </c>
      <c r="L50" s="175"/>
      <c r="S50" s="173" t="s">
        <v>76</v>
      </c>
      <c r="T50" s="173"/>
    </row>
    <row r="51" spans="1:23" ht="20.100000000000001" customHeight="1" x14ac:dyDescent="0.2">
      <c r="A51" s="144" t="s">
        <v>367</v>
      </c>
      <c r="B51" s="144"/>
      <c r="C51" s="144"/>
      <c r="D51" s="135" t="s">
        <v>74</v>
      </c>
      <c r="E51" s="135"/>
      <c r="F51" s="135"/>
      <c r="G51" s="94"/>
      <c r="H51" s="94"/>
      <c r="I51" s="94"/>
      <c r="J51" s="94"/>
      <c r="K51" s="94"/>
      <c r="L51" s="94"/>
    </row>
    <row r="52" spans="1:23" ht="20.100000000000001" customHeight="1" x14ac:dyDescent="0.2">
      <c r="A52" s="174" t="s">
        <v>75</v>
      </c>
      <c r="B52" s="174"/>
      <c r="C52" s="174"/>
      <c r="D52" s="173" t="s">
        <v>76</v>
      </c>
      <c r="E52" s="173"/>
      <c r="F52" s="173"/>
      <c r="G52" s="63"/>
      <c r="H52" s="63"/>
      <c r="I52" s="105"/>
      <c r="J52" s="105"/>
      <c r="K52" s="105"/>
      <c r="L52" s="105"/>
    </row>
  </sheetData>
  <sheetProtection sheet="1" objects="1" scenarios="1"/>
  <mergeCells count="258">
    <mergeCell ref="A1:F1"/>
    <mergeCell ref="G1:H2"/>
    <mergeCell ref="I1:L2"/>
    <mergeCell ref="M1:Z1"/>
    <mergeCell ref="A2:F2"/>
    <mergeCell ref="M2:Z2"/>
    <mergeCell ref="X3:Z6"/>
    <mergeCell ref="A4:F4"/>
    <mergeCell ref="R4:S4"/>
    <mergeCell ref="T4:U4"/>
    <mergeCell ref="V4:W4"/>
    <mergeCell ref="A5:F5"/>
    <mergeCell ref="G5:H6"/>
    <mergeCell ref="A3:F3"/>
    <mergeCell ref="G3:H4"/>
    <mergeCell ref="I3:L4"/>
    <mergeCell ref="M3:M4"/>
    <mergeCell ref="N3:O6"/>
    <mergeCell ref="P3:Q4"/>
    <mergeCell ref="I5:L6"/>
    <mergeCell ref="M5:M6"/>
    <mergeCell ref="P5:Q6"/>
    <mergeCell ref="R5:S5"/>
    <mergeCell ref="T5:U5"/>
    <mergeCell ref="V5:W5"/>
    <mergeCell ref="A6:F6"/>
    <mergeCell ref="R6:S6"/>
    <mergeCell ref="T6:U6"/>
    <mergeCell ref="V6:W6"/>
    <mergeCell ref="R3:S3"/>
    <mergeCell ref="T3:U3"/>
    <mergeCell ref="V3:W3"/>
    <mergeCell ref="X7:Z7"/>
    <mergeCell ref="A8:L8"/>
    <mergeCell ref="N8:O8"/>
    <mergeCell ref="P8:Q8"/>
    <mergeCell ref="R8:S8"/>
    <mergeCell ref="T8:U8"/>
    <mergeCell ref="V8:W8"/>
    <mergeCell ref="X8:Z8"/>
    <mergeCell ref="A7:L7"/>
    <mergeCell ref="N7:O7"/>
    <mergeCell ref="P7:Q7"/>
    <mergeCell ref="R7:S7"/>
    <mergeCell ref="T7:U7"/>
    <mergeCell ref="V7:W7"/>
    <mergeCell ref="X9:Z9"/>
    <mergeCell ref="A10:D10"/>
    <mergeCell ref="E10:G10"/>
    <mergeCell ref="H10:L10"/>
    <mergeCell ref="N10:O10"/>
    <mergeCell ref="P10:Q10"/>
    <mergeCell ref="R10:S10"/>
    <mergeCell ref="T10:U10"/>
    <mergeCell ref="V10:W10"/>
    <mergeCell ref="X10:Z10"/>
    <mergeCell ref="A9:L9"/>
    <mergeCell ref="N9:O9"/>
    <mergeCell ref="P9:Q9"/>
    <mergeCell ref="R9:S9"/>
    <mergeCell ref="T9:U9"/>
    <mergeCell ref="V9:W9"/>
    <mergeCell ref="T11:U11"/>
    <mergeCell ref="V11:W11"/>
    <mergeCell ref="X11:Z11"/>
    <mergeCell ref="A12:L12"/>
    <mergeCell ref="N12:O12"/>
    <mergeCell ref="P12:Q12"/>
    <mergeCell ref="R12:S12"/>
    <mergeCell ref="T12:U12"/>
    <mergeCell ref="V12:W12"/>
    <mergeCell ref="X12:Z12"/>
    <mergeCell ref="A11:D11"/>
    <mergeCell ref="E11:H11"/>
    <mergeCell ref="I11:L11"/>
    <mergeCell ref="N11:O11"/>
    <mergeCell ref="P11:Q11"/>
    <mergeCell ref="R11:S11"/>
    <mergeCell ref="N13:O13"/>
    <mergeCell ref="P13:Q13"/>
    <mergeCell ref="R13:S13"/>
    <mergeCell ref="T13:U13"/>
    <mergeCell ref="V13:W13"/>
    <mergeCell ref="X13:Z13"/>
    <mergeCell ref="A13:A17"/>
    <mergeCell ref="B13:C13"/>
    <mergeCell ref="D13:E13"/>
    <mergeCell ref="F13:G13"/>
    <mergeCell ref="I13:I17"/>
    <mergeCell ref="J13:K13"/>
    <mergeCell ref="B14:C14"/>
    <mergeCell ref="D14:E14"/>
    <mergeCell ref="F14:G14"/>
    <mergeCell ref="J14:K14"/>
    <mergeCell ref="E16:E17"/>
    <mergeCell ref="J16:J17"/>
    <mergeCell ref="K16:K17"/>
    <mergeCell ref="B15:C15"/>
    <mergeCell ref="D15:E15"/>
    <mergeCell ref="F15:G15"/>
    <mergeCell ref="J15:K15"/>
    <mergeCell ref="V16:W16"/>
    <mergeCell ref="W22:Z22"/>
    <mergeCell ref="N15:O15"/>
    <mergeCell ref="P15:Q15"/>
    <mergeCell ref="N14:O14"/>
    <mergeCell ref="P14:Q14"/>
    <mergeCell ref="R14:S14"/>
    <mergeCell ref="R15:S15"/>
    <mergeCell ref="T15:U15"/>
    <mergeCell ref="V15:W15"/>
    <mergeCell ref="X15:Z15"/>
    <mergeCell ref="T14:U14"/>
    <mergeCell ref="V14:W14"/>
    <mergeCell ref="X14:Z14"/>
    <mergeCell ref="N23:P23"/>
    <mergeCell ref="Q23:S23"/>
    <mergeCell ref="T23:V23"/>
    <mergeCell ref="W23:Z23"/>
    <mergeCell ref="X16:Z16"/>
    <mergeCell ref="M17:Z17"/>
    <mergeCell ref="M18:M19"/>
    <mergeCell ref="N18:P19"/>
    <mergeCell ref="Q18:S18"/>
    <mergeCell ref="T18:V19"/>
    <mergeCell ref="W18:Z21"/>
    <mergeCell ref="Q19:S19"/>
    <mergeCell ref="M20:M21"/>
    <mergeCell ref="N20:P21"/>
    <mergeCell ref="Q20:S20"/>
    <mergeCell ref="T20:V21"/>
    <mergeCell ref="Q21:S21"/>
    <mergeCell ref="N16:O16"/>
    <mergeCell ref="P16:Q16"/>
    <mergeCell ref="R16:S16"/>
    <mergeCell ref="N22:P22"/>
    <mergeCell ref="Q22:S22"/>
    <mergeCell ref="T22:V22"/>
    <mergeCell ref="T16:U16"/>
    <mergeCell ref="N24:P24"/>
    <mergeCell ref="Q24:S24"/>
    <mergeCell ref="T24:V24"/>
    <mergeCell ref="W24:Z24"/>
    <mergeCell ref="N27:P27"/>
    <mergeCell ref="Q27:S27"/>
    <mergeCell ref="T27:V27"/>
    <mergeCell ref="W27:Z27"/>
    <mergeCell ref="N28:P28"/>
    <mergeCell ref="Q28:S28"/>
    <mergeCell ref="T28:V28"/>
    <mergeCell ref="W28:Z28"/>
    <mergeCell ref="N25:P25"/>
    <mergeCell ref="Q25:S25"/>
    <mergeCell ref="T25:V25"/>
    <mergeCell ref="W25:Z25"/>
    <mergeCell ref="N26:P26"/>
    <mergeCell ref="Q26:S26"/>
    <mergeCell ref="T26:V26"/>
    <mergeCell ref="W26:Z26"/>
    <mergeCell ref="M33:M34"/>
    <mergeCell ref="N33:O34"/>
    <mergeCell ref="P33:Q33"/>
    <mergeCell ref="R33:S33"/>
    <mergeCell ref="T33:U33"/>
    <mergeCell ref="V33:X33"/>
    <mergeCell ref="P34:Q34"/>
    <mergeCell ref="M29:Z29"/>
    <mergeCell ref="M30:Z30"/>
    <mergeCell ref="M31:M32"/>
    <mergeCell ref="N31:O32"/>
    <mergeCell ref="P31:Q31"/>
    <mergeCell ref="R31:S31"/>
    <mergeCell ref="T31:U31"/>
    <mergeCell ref="V31:X31"/>
    <mergeCell ref="Y31:Z34"/>
    <mergeCell ref="P32:Q32"/>
    <mergeCell ref="R34:S34"/>
    <mergeCell ref="T34:U34"/>
    <mergeCell ref="V34:X34"/>
    <mergeCell ref="V35:X35"/>
    <mergeCell ref="R32:S32"/>
    <mergeCell ref="T32:U32"/>
    <mergeCell ref="V32:X32"/>
    <mergeCell ref="N37:O37"/>
    <mergeCell ref="P37:Q37"/>
    <mergeCell ref="R37:S37"/>
    <mergeCell ref="T37:U37"/>
    <mergeCell ref="V37:X37"/>
    <mergeCell ref="Y37:Z37"/>
    <mergeCell ref="Y35:Z35"/>
    <mergeCell ref="N36:O36"/>
    <mergeCell ref="P36:Q36"/>
    <mergeCell ref="R36:S36"/>
    <mergeCell ref="T36:U36"/>
    <mergeCell ref="V36:X36"/>
    <mergeCell ref="Y36:Z36"/>
    <mergeCell ref="N39:O39"/>
    <mergeCell ref="P39:Q39"/>
    <mergeCell ref="R39:S39"/>
    <mergeCell ref="T39:U39"/>
    <mergeCell ref="V39:X39"/>
    <mergeCell ref="Y39:Z39"/>
    <mergeCell ref="N38:O38"/>
    <mergeCell ref="P38:Q38"/>
    <mergeCell ref="R38:S38"/>
    <mergeCell ref="T38:U38"/>
    <mergeCell ref="V38:X38"/>
    <mergeCell ref="Y38:Z38"/>
    <mergeCell ref="N35:O35"/>
    <mergeCell ref="P35:Q35"/>
    <mergeCell ref="R35:S35"/>
    <mergeCell ref="T35:U35"/>
    <mergeCell ref="A43:C43"/>
    <mergeCell ref="M43:M44"/>
    <mergeCell ref="N43:O44"/>
    <mergeCell ref="P43:R44"/>
    <mergeCell ref="X43:Z44"/>
    <mergeCell ref="A44:C44"/>
    <mergeCell ref="M40:Z40"/>
    <mergeCell ref="M41:M42"/>
    <mergeCell ref="N41:O42"/>
    <mergeCell ref="P41:R42"/>
    <mergeCell ref="S41:S44"/>
    <mergeCell ref="T41:W44"/>
    <mergeCell ref="X41:Z42"/>
    <mergeCell ref="P47:R47"/>
    <mergeCell ref="T47:W47"/>
    <mergeCell ref="X47:Z47"/>
    <mergeCell ref="N45:O45"/>
    <mergeCell ref="P45:R45"/>
    <mergeCell ref="T45:W45"/>
    <mergeCell ref="X45:Z45"/>
    <mergeCell ref="A46:F46"/>
    <mergeCell ref="G46:L46"/>
    <mergeCell ref="N46:O46"/>
    <mergeCell ref="P46:R46"/>
    <mergeCell ref="T46:W46"/>
    <mergeCell ref="X46:Z46"/>
    <mergeCell ref="A48:C48"/>
    <mergeCell ref="D48:F48"/>
    <mergeCell ref="A49:C49"/>
    <mergeCell ref="D49:F49"/>
    <mergeCell ref="H49:J49"/>
    <mergeCell ref="K49:L49"/>
    <mergeCell ref="A47:C47"/>
    <mergeCell ref="D47:F47"/>
    <mergeCell ref="N47:O47"/>
    <mergeCell ref="A51:C51"/>
    <mergeCell ref="D51:F51"/>
    <mergeCell ref="A52:C52"/>
    <mergeCell ref="D52:F52"/>
    <mergeCell ref="N49:P49"/>
    <mergeCell ref="Q49:V49"/>
    <mergeCell ref="A50:C50"/>
    <mergeCell ref="D50:F50"/>
    <mergeCell ref="H50:J50"/>
    <mergeCell ref="K50:L50"/>
    <mergeCell ref="S50:T50"/>
  </mergeCells>
  <printOptions horizontalCentered="1"/>
  <pageMargins left="0.39370078740157483" right="0.39370078740157483" top="0.19685039370078741" bottom="0.19685039370078741" header="0" footer="0"/>
  <pageSetup paperSize="9" scale="64" orientation="portrait" horizontalDpi="180" verticalDpi="180" r:id="rId1"/>
  <headerFooter alignWithMargins="0"/>
  <colBreaks count="1" manualBreakCount="1">
    <brk id="12" max="1048575" man="1"/>
  </col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52"/>
  <sheetViews>
    <sheetView view="pageBreakPreview" topLeftCell="A16" zoomScale="75" zoomScaleNormal="50" zoomScaleSheetLayoutView="75" workbookViewId="0">
      <selection activeCell="K41" sqref="K41"/>
    </sheetView>
  </sheetViews>
  <sheetFormatPr defaultRowHeight="18.75" x14ac:dyDescent="0.2"/>
  <cols>
    <col min="1" max="1" width="11.140625" style="88" customWidth="1"/>
    <col min="2" max="2" width="15.85546875" style="88" customWidth="1"/>
    <col min="3" max="3" width="12.140625" style="88" customWidth="1"/>
    <col min="4" max="4" width="14" style="88" customWidth="1"/>
    <col min="5" max="5" width="7.85546875" style="88" customWidth="1"/>
    <col min="6" max="6" width="13.85546875" style="88" customWidth="1"/>
    <col min="7" max="7" width="12.85546875" style="88" customWidth="1"/>
    <col min="8" max="8" width="20.85546875" style="88" customWidth="1"/>
    <col min="9" max="9" width="8.28515625" style="88" customWidth="1"/>
    <col min="10" max="11" width="8.85546875" style="88" customWidth="1"/>
    <col min="12" max="12" width="17" style="88" customWidth="1"/>
    <col min="13" max="26" width="10.28515625" style="88" customWidth="1"/>
    <col min="27" max="16384" width="9.140625" style="88"/>
  </cols>
  <sheetData>
    <row r="1" spans="1:26" ht="21.75" customHeight="1" x14ac:dyDescent="0.2">
      <c r="A1" s="115" t="s">
        <v>157</v>
      </c>
      <c r="B1" s="115"/>
      <c r="C1" s="115"/>
      <c r="D1" s="115"/>
      <c r="E1" s="115"/>
      <c r="F1" s="115"/>
      <c r="G1" s="150" t="s">
        <v>154</v>
      </c>
      <c r="H1" s="150"/>
      <c r="I1" s="115" t="s">
        <v>160</v>
      </c>
      <c r="J1" s="115"/>
      <c r="K1" s="115"/>
      <c r="L1" s="115"/>
      <c r="M1" s="122" t="s">
        <v>96</v>
      </c>
      <c r="N1" s="122"/>
      <c r="O1" s="122"/>
      <c r="P1" s="122"/>
      <c r="Q1" s="122"/>
      <c r="R1" s="122"/>
      <c r="S1" s="122"/>
      <c r="T1" s="122"/>
      <c r="U1" s="122"/>
      <c r="V1" s="122"/>
      <c r="W1" s="122"/>
      <c r="X1" s="122"/>
      <c r="Y1" s="122"/>
      <c r="Z1" s="122"/>
    </row>
    <row r="2" spans="1:26" ht="21.75" customHeight="1" x14ac:dyDescent="0.2">
      <c r="A2" s="146" t="s">
        <v>45</v>
      </c>
      <c r="B2" s="146"/>
      <c r="C2" s="146"/>
      <c r="D2" s="146"/>
      <c r="E2" s="146"/>
      <c r="F2" s="146"/>
      <c r="G2" s="150"/>
      <c r="H2" s="150"/>
      <c r="I2" s="115"/>
      <c r="J2" s="115"/>
      <c r="K2" s="115"/>
      <c r="L2" s="115"/>
      <c r="M2" s="122" t="s">
        <v>78</v>
      </c>
      <c r="N2" s="122"/>
      <c r="O2" s="122"/>
      <c r="P2" s="122"/>
      <c r="Q2" s="122"/>
      <c r="R2" s="122"/>
      <c r="S2" s="122"/>
      <c r="T2" s="122"/>
      <c r="U2" s="122"/>
      <c r="V2" s="122"/>
      <c r="W2" s="122"/>
      <c r="X2" s="122"/>
      <c r="Y2" s="122"/>
      <c r="Z2" s="122"/>
    </row>
    <row r="3" spans="1:26" ht="21.75" customHeight="1" x14ac:dyDescent="0.2">
      <c r="A3" s="115" t="s">
        <v>158</v>
      </c>
      <c r="B3" s="147"/>
      <c r="C3" s="147"/>
      <c r="D3" s="147"/>
      <c r="E3" s="147"/>
      <c r="F3" s="147"/>
      <c r="G3" s="150" t="s">
        <v>155</v>
      </c>
      <c r="H3" s="150"/>
      <c r="I3" s="115" t="s">
        <v>372</v>
      </c>
      <c r="J3" s="115"/>
      <c r="K3" s="115"/>
      <c r="L3" s="115"/>
      <c r="M3" s="123" t="s">
        <v>79</v>
      </c>
      <c r="N3" s="124" t="s">
        <v>81</v>
      </c>
      <c r="O3" s="123"/>
      <c r="P3" s="124" t="s">
        <v>65</v>
      </c>
      <c r="Q3" s="123"/>
      <c r="R3" s="124" t="s">
        <v>82</v>
      </c>
      <c r="S3" s="123"/>
      <c r="T3" s="124" t="s">
        <v>85</v>
      </c>
      <c r="U3" s="123"/>
      <c r="V3" s="124" t="s">
        <v>87</v>
      </c>
      <c r="W3" s="123"/>
      <c r="X3" s="128" t="s">
        <v>91</v>
      </c>
      <c r="Y3" s="132"/>
      <c r="Z3" s="132"/>
    </row>
    <row r="4" spans="1:26" ht="29.25" customHeight="1" x14ac:dyDescent="0.2">
      <c r="A4" s="146" t="s">
        <v>46</v>
      </c>
      <c r="B4" s="146"/>
      <c r="C4" s="146"/>
      <c r="D4" s="146"/>
      <c r="E4" s="146"/>
      <c r="F4" s="146"/>
      <c r="G4" s="150"/>
      <c r="H4" s="150"/>
      <c r="I4" s="115"/>
      <c r="J4" s="115"/>
      <c r="K4" s="115"/>
      <c r="L4" s="115"/>
      <c r="M4" s="116"/>
      <c r="N4" s="125"/>
      <c r="O4" s="116"/>
      <c r="P4" s="125"/>
      <c r="Q4" s="116"/>
      <c r="R4" s="125" t="s">
        <v>83</v>
      </c>
      <c r="S4" s="116"/>
      <c r="T4" s="125" t="s">
        <v>86</v>
      </c>
      <c r="U4" s="116"/>
      <c r="V4" s="125" t="s">
        <v>88</v>
      </c>
      <c r="W4" s="116"/>
      <c r="X4" s="128"/>
      <c r="Y4" s="132"/>
      <c r="Z4" s="132"/>
    </row>
    <row r="5" spans="1:26" ht="21.75" customHeight="1" x14ac:dyDescent="0.2">
      <c r="A5" s="115" t="s">
        <v>177</v>
      </c>
      <c r="B5" s="147"/>
      <c r="C5" s="147"/>
      <c r="D5" s="147"/>
      <c r="E5" s="147"/>
      <c r="F5" s="147"/>
      <c r="G5" s="150" t="s">
        <v>156</v>
      </c>
      <c r="H5" s="150"/>
      <c r="I5" s="115" t="s">
        <v>382</v>
      </c>
      <c r="J5" s="115"/>
      <c r="K5" s="115"/>
      <c r="L5" s="115"/>
      <c r="M5" s="116" t="s">
        <v>80</v>
      </c>
      <c r="N5" s="125"/>
      <c r="O5" s="116"/>
      <c r="P5" s="125" t="s">
        <v>182</v>
      </c>
      <c r="Q5" s="116"/>
      <c r="R5" s="133" t="s">
        <v>84</v>
      </c>
      <c r="S5" s="134"/>
      <c r="T5" s="133" t="s">
        <v>84</v>
      </c>
      <c r="U5" s="134"/>
      <c r="V5" s="125" t="s">
        <v>89</v>
      </c>
      <c r="W5" s="116"/>
      <c r="X5" s="128"/>
      <c r="Y5" s="132"/>
      <c r="Z5" s="132"/>
    </row>
    <row r="6" spans="1:26" ht="21.75" customHeight="1" x14ac:dyDescent="0.2">
      <c r="A6" s="146" t="s">
        <v>47</v>
      </c>
      <c r="B6" s="146"/>
      <c r="C6" s="146"/>
      <c r="D6" s="146"/>
      <c r="E6" s="146"/>
      <c r="F6" s="146"/>
      <c r="G6" s="150"/>
      <c r="H6" s="150"/>
      <c r="I6" s="115"/>
      <c r="J6" s="115"/>
      <c r="K6" s="115"/>
      <c r="L6" s="115"/>
      <c r="M6" s="117"/>
      <c r="N6" s="127"/>
      <c r="O6" s="117"/>
      <c r="P6" s="127"/>
      <c r="Q6" s="117"/>
      <c r="R6" s="127"/>
      <c r="S6" s="117"/>
      <c r="T6" s="127"/>
      <c r="U6" s="117"/>
      <c r="V6" s="127" t="s">
        <v>90</v>
      </c>
      <c r="W6" s="117"/>
      <c r="X6" s="128"/>
      <c r="Y6" s="132"/>
      <c r="Z6" s="132"/>
    </row>
    <row r="7" spans="1:26" ht="21.75" customHeight="1" x14ac:dyDescent="0.2">
      <c r="A7" s="122"/>
      <c r="B7" s="122"/>
      <c r="C7" s="122"/>
      <c r="D7" s="122"/>
      <c r="E7" s="122"/>
      <c r="F7" s="122"/>
      <c r="G7" s="122"/>
      <c r="H7" s="122"/>
      <c r="I7" s="122"/>
      <c r="J7" s="122"/>
      <c r="K7" s="122"/>
      <c r="L7" s="122"/>
      <c r="M7" s="85"/>
      <c r="N7" s="111"/>
      <c r="O7" s="113"/>
      <c r="P7" s="111"/>
      <c r="Q7" s="113"/>
      <c r="R7" s="111"/>
      <c r="S7" s="113"/>
      <c r="T7" s="111"/>
      <c r="U7" s="113"/>
      <c r="V7" s="111"/>
      <c r="W7" s="113"/>
      <c r="X7" s="111"/>
      <c r="Y7" s="112"/>
      <c r="Z7" s="112"/>
    </row>
    <row r="8" spans="1:26" ht="22.5" customHeight="1" x14ac:dyDescent="0.2">
      <c r="A8" s="143" t="s">
        <v>48</v>
      </c>
      <c r="B8" s="143"/>
      <c r="C8" s="143"/>
      <c r="D8" s="143"/>
      <c r="E8" s="143"/>
      <c r="F8" s="143"/>
      <c r="G8" s="143"/>
      <c r="H8" s="143"/>
      <c r="I8" s="143"/>
      <c r="J8" s="143"/>
      <c r="K8" s="143"/>
      <c r="L8" s="143"/>
      <c r="M8" s="85"/>
      <c r="N8" s="111"/>
      <c r="O8" s="113"/>
      <c r="P8" s="111"/>
      <c r="Q8" s="113"/>
      <c r="R8" s="111"/>
      <c r="S8" s="113"/>
      <c r="T8" s="111"/>
      <c r="U8" s="113"/>
      <c r="V8" s="111"/>
      <c r="W8" s="113"/>
      <c r="X8" s="111"/>
      <c r="Y8" s="112"/>
      <c r="Z8" s="112"/>
    </row>
    <row r="9" spans="1:26" ht="22.5" customHeight="1" x14ac:dyDescent="0.2">
      <c r="A9" s="156" t="s">
        <v>49</v>
      </c>
      <c r="B9" s="156"/>
      <c r="C9" s="156"/>
      <c r="D9" s="156"/>
      <c r="E9" s="156"/>
      <c r="F9" s="156"/>
      <c r="G9" s="156"/>
      <c r="H9" s="156"/>
      <c r="I9" s="156"/>
      <c r="J9" s="156"/>
      <c r="K9" s="156"/>
      <c r="L9" s="156"/>
      <c r="M9" s="85"/>
      <c r="N9" s="111"/>
      <c r="O9" s="113"/>
      <c r="P9" s="111"/>
      <c r="Q9" s="113"/>
      <c r="R9" s="111"/>
      <c r="S9" s="113"/>
      <c r="T9" s="111"/>
      <c r="U9" s="113"/>
      <c r="V9" s="111"/>
      <c r="W9" s="113"/>
      <c r="X9" s="111"/>
      <c r="Y9" s="112"/>
      <c r="Z9" s="112"/>
    </row>
    <row r="10" spans="1:26" ht="22.5" customHeight="1" x14ac:dyDescent="0.2">
      <c r="A10" s="151" t="s">
        <v>112</v>
      </c>
      <c r="B10" s="151"/>
      <c r="C10" s="151"/>
      <c r="D10" s="151"/>
      <c r="E10" s="162" t="s">
        <v>407</v>
      </c>
      <c r="F10" s="163"/>
      <c r="G10" s="163"/>
      <c r="H10" s="138" t="s">
        <v>369</v>
      </c>
      <c r="I10" s="138"/>
      <c r="J10" s="138"/>
      <c r="K10" s="138"/>
      <c r="L10" s="138"/>
      <c r="M10" s="85"/>
      <c r="N10" s="111"/>
      <c r="O10" s="113"/>
      <c r="P10" s="111"/>
      <c r="Q10" s="113"/>
      <c r="R10" s="111"/>
      <c r="S10" s="113"/>
      <c r="T10" s="111"/>
      <c r="U10" s="113"/>
      <c r="V10" s="111"/>
      <c r="W10" s="113"/>
      <c r="X10" s="111"/>
      <c r="Y10" s="112"/>
      <c r="Z10" s="112"/>
    </row>
    <row r="11" spans="1:26" ht="22.5" customHeight="1" x14ac:dyDescent="0.2">
      <c r="A11" s="151" t="s">
        <v>113</v>
      </c>
      <c r="B11" s="151"/>
      <c r="C11" s="151"/>
      <c r="D11" s="151"/>
      <c r="E11" s="161" t="s">
        <v>378</v>
      </c>
      <c r="F11" s="161"/>
      <c r="G11" s="161"/>
      <c r="H11" s="161"/>
      <c r="I11" s="138" t="s">
        <v>114</v>
      </c>
      <c r="J11" s="138"/>
      <c r="K11" s="138"/>
      <c r="L11" s="138"/>
      <c r="M11" s="85"/>
      <c r="N11" s="111"/>
      <c r="O11" s="113"/>
      <c r="P11" s="111"/>
      <c r="Q11" s="113"/>
      <c r="R11" s="111"/>
      <c r="S11" s="113"/>
      <c r="T11" s="111"/>
      <c r="U11" s="113"/>
      <c r="V11" s="111"/>
      <c r="W11" s="113"/>
      <c r="X11" s="111"/>
      <c r="Y11" s="112"/>
      <c r="Z11" s="112"/>
    </row>
    <row r="12" spans="1:26" ht="21.75" customHeight="1" x14ac:dyDescent="0.2">
      <c r="A12" s="215"/>
      <c r="B12" s="149"/>
      <c r="C12" s="149"/>
      <c r="D12" s="149"/>
      <c r="E12" s="149"/>
      <c r="F12" s="149"/>
      <c r="G12" s="149"/>
      <c r="H12" s="149"/>
      <c r="I12" s="149"/>
      <c r="J12" s="149"/>
      <c r="K12" s="149"/>
      <c r="L12" s="215"/>
      <c r="M12" s="85"/>
      <c r="N12" s="111"/>
      <c r="O12" s="113"/>
      <c r="P12" s="111"/>
      <c r="Q12" s="113"/>
      <c r="R12" s="111"/>
      <c r="S12" s="113"/>
      <c r="T12" s="111"/>
      <c r="U12" s="113"/>
      <c r="V12" s="111"/>
      <c r="W12" s="113"/>
      <c r="X12" s="111"/>
      <c r="Y12" s="112"/>
      <c r="Z12" s="112"/>
    </row>
    <row r="13" spans="1:26" ht="21.75" customHeight="1" x14ac:dyDescent="0.2">
      <c r="A13" s="187" t="s">
        <v>50</v>
      </c>
      <c r="B13" s="196" t="s">
        <v>56</v>
      </c>
      <c r="C13" s="196"/>
      <c r="D13" s="185" t="s">
        <v>374</v>
      </c>
      <c r="E13" s="186"/>
      <c r="F13" s="195" t="s">
        <v>59</v>
      </c>
      <c r="G13" s="196"/>
      <c r="H13" s="99" t="s">
        <v>374</v>
      </c>
      <c r="I13" s="197" t="s">
        <v>5</v>
      </c>
      <c r="J13" s="195" t="s">
        <v>60</v>
      </c>
      <c r="K13" s="196"/>
      <c r="L13" s="95" t="s">
        <v>65</v>
      </c>
      <c r="M13" s="85"/>
      <c r="N13" s="111"/>
      <c r="O13" s="113"/>
      <c r="P13" s="111"/>
      <c r="Q13" s="113"/>
      <c r="R13" s="111"/>
      <c r="S13" s="113"/>
      <c r="T13" s="111"/>
      <c r="U13" s="113"/>
      <c r="V13" s="111"/>
      <c r="W13" s="113"/>
      <c r="X13" s="111"/>
      <c r="Y13" s="112"/>
      <c r="Z13" s="112"/>
    </row>
    <row r="14" spans="1:26" ht="21.75" customHeight="1" x14ac:dyDescent="0.2">
      <c r="A14" s="188"/>
      <c r="B14" s="201" t="s">
        <v>57</v>
      </c>
      <c r="C14" s="201"/>
      <c r="D14" s="202" t="s">
        <v>383</v>
      </c>
      <c r="E14" s="203"/>
      <c r="F14" s="200" t="s">
        <v>57</v>
      </c>
      <c r="G14" s="201"/>
      <c r="H14" s="97" t="s">
        <v>383</v>
      </c>
      <c r="I14" s="198"/>
      <c r="J14" s="200" t="s">
        <v>61</v>
      </c>
      <c r="K14" s="201"/>
      <c r="L14" s="96" t="s">
        <v>66</v>
      </c>
      <c r="M14" s="85"/>
      <c r="N14" s="111"/>
      <c r="O14" s="113"/>
      <c r="P14" s="111"/>
      <c r="Q14" s="113"/>
      <c r="R14" s="111"/>
      <c r="S14" s="113"/>
      <c r="T14" s="111"/>
      <c r="U14" s="113"/>
      <c r="V14" s="111"/>
      <c r="W14" s="113"/>
      <c r="X14" s="111"/>
      <c r="Y14" s="112"/>
      <c r="Z14" s="112"/>
    </row>
    <row r="15" spans="1:26" ht="21.75" customHeight="1" x14ac:dyDescent="0.2">
      <c r="A15" s="188"/>
      <c r="B15" s="192" t="s">
        <v>58</v>
      </c>
      <c r="C15" s="192"/>
      <c r="D15" s="193">
        <v>80</v>
      </c>
      <c r="E15" s="194"/>
      <c r="F15" s="191" t="s">
        <v>58</v>
      </c>
      <c r="G15" s="192"/>
      <c r="H15" s="102">
        <v>80</v>
      </c>
      <c r="I15" s="198"/>
      <c r="J15" s="191" t="s">
        <v>62</v>
      </c>
      <c r="K15" s="192"/>
      <c r="L15" s="96" t="s">
        <v>67</v>
      </c>
      <c r="M15" s="85"/>
      <c r="N15" s="111"/>
      <c r="O15" s="113"/>
      <c r="P15" s="111"/>
      <c r="Q15" s="113"/>
      <c r="R15" s="111"/>
      <c r="S15" s="113"/>
      <c r="T15" s="111"/>
      <c r="U15" s="113"/>
      <c r="V15" s="111"/>
      <c r="W15" s="113"/>
      <c r="X15" s="111"/>
      <c r="Y15" s="112"/>
      <c r="Z15" s="112"/>
    </row>
    <row r="16" spans="1:26" ht="21.75" customHeight="1" x14ac:dyDescent="0.2">
      <c r="A16" s="188"/>
      <c r="B16" s="100" t="s">
        <v>51</v>
      </c>
      <c r="C16" s="91" t="s">
        <v>53</v>
      </c>
      <c r="D16" s="91" t="s">
        <v>54</v>
      </c>
      <c r="E16" s="154"/>
      <c r="F16" s="91" t="s">
        <v>51</v>
      </c>
      <c r="G16" s="91" t="s">
        <v>53</v>
      </c>
      <c r="H16" s="95" t="s">
        <v>54</v>
      </c>
      <c r="I16" s="198"/>
      <c r="J16" s="154" t="s">
        <v>63</v>
      </c>
      <c r="K16" s="154" t="s">
        <v>64</v>
      </c>
      <c r="L16" s="96" t="s">
        <v>68</v>
      </c>
      <c r="M16" s="85"/>
      <c r="N16" s="111"/>
      <c r="O16" s="113"/>
      <c r="P16" s="111"/>
      <c r="Q16" s="113"/>
      <c r="R16" s="111"/>
      <c r="S16" s="113"/>
      <c r="T16" s="111"/>
      <c r="U16" s="113"/>
      <c r="V16" s="111"/>
      <c r="W16" s="113"/>
      <c r="X16" s="111"/>
      <c r="Y16" s="112"/>
      <c r="Z16" s="112"/>
    </row>
    <row r="17" spans="1:26" ht="21.75" customHeight="1" x14ac:dyDescent="0.2">
      <c r="A17" s="189"/>
      <c r="B17" s="91" t="s">
        <v>52</v>
      </c>
      <c r="C17" s="101" t="s">
        <v>51</v>
      </c>
      <c r="D17" s="101" t="s">
        <v>55</v>
      </c>
      <c r="E17" s="190"/>
      <c r="F17" s="101" t="s">
        <v>52</v>
      </c>
      <c r="G17" s="92" t="s">
        <v>51</v>
      </c>
      <c r="H17" s="98" t="s">
        <v>55</v>
      </c>
      <c r="I17" s="199"/>
      <c r="J17" s="155"/>
      <c r="K17" s="155"/>
      <c r="L17" s="98" t="s">
        <v>69</v>
      </c>
      <c r="M17" s="130" t="s">
        <v>92</v>
      </c>
      <c r="N17" s="130"/>
      <c r="O17" s="130"/>
      <c r="P17" s="130"/>
      <c r="Q17" s="130"/>
      <c r="R17" s="130"/>
      <c r="S17" s="130"/>
      <c r="T17" s="130"/>
      <c r="U17" s="130"/>
      <c r="V17" s="130"/>
      <c r="W17" s="130"/>
      <c r="X17" s="130"/>
      <c r="Y17" s="130"/>
      <c r="Z17" s="130"/>
    </row>
    <row r="18" spans="1:26" ht="23.25" customHeight="1" x14ac:dyDescent="0.2">
      <c r="A18" s="49" t="s">
        <v>7</v>
      </c>
      <c r="B18" s="82">
        <v>1203.1664000000001</v>
      </c>
      <c r="C18" s="25"/>
      <c r="D18" s="24"/>
      <c r="E18" s="90"/>
      <c r="F18" s="82">
        <v>1030.9592</v>
      </c>
      <c r="G18" s="51"/>
      <c r="H18" s="50"/>
      <c r="I18" s="52"/>
      <c r="J18" s="104"/>
      <c r="K18" s="104"/>
      <c r="L18" s="73"/>
      <c r="M18" s="123" t="s">
        <v>79</v>
      </c>
      <c r="N18" s="121" t="s">
        <v>98</v>
      </c>
      <c r="O18" s="121"/>
      <c r="P18" s="121"/>
      <c r="Q18" s="121" t="s">
        <v>107</v>
      </c>
      <c r="R18" s="121"/>
      <c r="S18" s="121"/>
      <c r="T18" s="121" t="s">
        <v>93</v>
      </c>
      <c r="U18" s="121"/>
      <c r="V18" s="121"/>
      <c r="W18" s="124" t="s">
        <v>91</v>
      </c>
      <c r="X18" s="131"/>
      <c r="Y18" s="131"/>
      <c r="Z18" s="131"/>
    </row>
    <row r="19" spans="1:26" ht="23.25" customHeight="1" x14ac:dyDescent="0.2">
      <c r="A19" s="49" t="s">
        <v>8</v>
      </c>
      <c r="B19" s="82">
        <v>1203.1780000000001</v>
      </c>
      <c r="C19" s="25">
        <f t="shared" ref="C19:C42" si="0">IF(B19="","",IF(LEN(TRUNC(B18,0))-LEN(TRUNC(B19,0))=0,B19-B18,IF(LEN(TRUNC(B18,0))-LEN(TRUNC(B19,0))&gt;0,VALUE(LEFT(B18,LEN(TRUNC(B18,0))-LEN(TRUNC(B19,0))))*POWER(10,LEN(TRUNC(B19,0)))+B19-B18,B19-B18-VALUE(LEFT(B19,LEN(TRUNC(B19,0))-LEN(TRUNC(B18,0))))*POWER(10,LEN(TRUNC(B18,0))))))</f>
        <v>1.160000000004402E-2</v>
      </c>
      <c r="D19" s="24">
        <f t="shared" ref="D19:D42" si="1">IF(C19="","",C19*$D$15)</f>
        <v>0.92800000000352156</v>
      </c>
      <c r="E19" s="90"/>
      <c r="F19" s="82">
        <v>1030.982</v>
      </c>
      <c r="G19" s="51">
        <f>F19-ReportObject18_3</f>
        <v>2.2799999999961074E-2</v>
      </c>
      <c r="H19" s="50">
        <f t="shared" ref="H19:H42" si="2">IF(G19="","",G19*$H$15)</f>
        <v>1.8239999999968859</v>
      </c>
      <c r="I19" s="52">
        <f t="shared" ref="I19:I42" si="3">IF(H19="","",IF(D19="","",IF(AND(H19=0,D19=0),0,H19/D19)))</f>
        <v>1.9655172413684958</v>
      </c>
      <c r="J19" s="104"/>
      <c r="K19" s="83"/>
      <c r="L19" s="53"/>
      <c r="M19" s="116"/>
      <c r="N19" s="118"/>
      <c r="O19" s="118"/>
      <c r="P19" s="118"/>
      <c r="Q19" s="118" t="s">
        <v>108</v>
      </c>
      <c r="R19" s="118"/>
      <c r="S19" s="118"/>
      <c r="T19" s="118"/>
      <c r="U19" s="118"/>
      <c r="V19" s="118"/>
      <c r="W19" s="125"/>
      <c r="X19" s="122"/>
      <c r="Y19" s="122"/>
      <c r="Z19" s="122"/>
    </row>
    <row r="20" spans="1:26" ht="23.25" customHeight="1" x14ac:dyDescent="0.2">
      <c r="A20" s="49" t="s">
        <v>9</v>
      </c>
      <c r="B20" s="82">
        <v>1203.19</v>
      </c>
      <c r="C20" s="25">
        <f t="shared" si="0"/>
        <v>1.1999999999943611E-2</v>
      </c>
      <c r="D20" s="24">
        <f t="shared" si="1"/>
        <v>0.95999999999548891</v>
      </c>
      <c r="E20" s="90"/>
      <c r="F20" s="82">
        <v>1031.0047999999999</v>
      </c>
      <c r="G20" s="51">
        <f>F20-F19</f>
        <v>2.2799999999961074E-2</v>
      </c>
      <c r="H20" s="50">
        <f t="shared" si="2"/>
        <v>1.8239999999968859</v>
      </c>
      <c r="I20" s="52">
        <f t="shared" si="3"/>
        <v>1.9000000000056843</v>
      </c>
      <c r="J20" s="104"/>
      <c r="K20" s="83"/>
      <c r="L20" s="53"/>
      <c r="M20" s="116" t="s">
        <v>80</v>
      </c>
      <c r="N20" s="118" t="s">
        <v>99</v>
      </c>
      <c r="O20" s="118"/>
      <c r="P20" s="118"/>
      <c r="Q20" s="118" t="s">
        <v>181</v>
      </c>
      <c r="R20" s="118"/>
      <c r="S20" s="118"/>
      <c r="T20" s="118" t="s">
        <v>94</v>
      </c>
      <c r="U20" s="118"/>
      <c r="V20" s="118"/>
      <c r="W20" s="125"/>
      <c r="X20" s="122"/>
      <c r="Y20" s="122"/>
      <c r="Z20" s="122"/>
    </row>
    <row r="21" spans="1:26" ht="23.25" customHeight="1" x14ac:dyDescent="0.2">
      <c r="A21" s="49" t="s">
        <v>10</v>
      </c>
      <c r="B21" s="82">
        <v>1203.202</v>
      </c>
      <c r="C21" s="25">
        <f t="shared" si="0"/>
        <v>1.1999999999943611E-2</v>
      </c>
      <c r="D21" s="24">
        <f t="shared" si="1"/>
        <v>0.95999999999548891</v>
      </c>
      <c r="E21" s="90"/>
      <c r="F21" s="82">
        <v>1031.0275999999999</v>
      </c>
      <c r="G21" s="51">
        <f t="shared" ref="G21:G42" si="4">F21-F20</f>
        <v>2.2799999999961074E-2</v>
      </c>
      <c r="H21" s="50">
        <f t="shared" si="2"/>
        <v>1.8239999999968859</v>
      </c>
      <c r="I21" s="52">
        <f t="shared" si="3"/>
        <v>1.9000000000056843</v>
      </c>
      <c r="J21" s="104"/>
      <c r="K21" s="83"/>
      <c r="L21" s="53"/>
      <c r="M21" s="117"/>
      <c r="N21" s="119"/>
      <c r="O21" s="119"/>
      <c r="P21" s="119"/>
      <c r="Q21" s="119"/>
      <c r="R21" s="119"/>
      <c r="S21" s="119"/>
      <c r="T21" s="119"/>
      <c r="U21" s="119"/>
      <c r="V21" s="119"/>
      <c r="W21" s="127"/>
      <c r="X21" s="130"/>
      <c r="Y21" s="130"/>
      <c r="Z21" s="130"/>
    </row>
    <row r="22" spans="1:26" ht="23.25" customHeight="1" x14ac:dyDescent="0.2">
      <c r="A22" s="49" t="s">
        <v>11</v>
      </c>
      <c r="B22" s="82">
        <v>1203.2139999999999</v>
      </c>
      <c r="C22" s="25">
        <f t="shared" si="0"/>
        <v>1.1999999999943611E-2</v>
      </c>
      <c r="D22" s="24">
        <f t="shared" si="1"/>
        <v>0.95999999999548891</v>
      </c>
      <c r="E22" s="90"/>
      <c r="F22" s="82">
        <v>1031.0508</v>
      </c>
      <c r="G22" s="51">
        <f t="shared" si="4"/>
        <v>2.3200000000088039E-2</v>
      </c>
      <c r="H22" s="50">
        <f t="shared" si="2"/>
        <v>1.8560000000070431</v>
      </c>
      <c r="I22" s="52">
        <f t="shared" si="3"/>
        <v>1.9333333333497547</v>
      </c>
      <c r="J22" s="104"/>
      <c r="K22" s="83"/>
      <c r="L22" s="53"/>
      <c r="M22" s="85"/>
      <c r="N22" s="120"/>
      <c r="O22" s="120"/>
      <c r="P22" s="120"/>
      <c r="Q22" s="120"/>
      <c r="R22" s="120"/>
      <c r="S22" s="120"/>
      <c r="T22" s="120"/>
      <c r="U22" s="120"/>
      <c r="V22" s="120"/>
      <c r="W22" s="111"/>
      <c r="X22" s="112"/>
      <c r="Y22" s="112"/>
      <c r="Z22" s="112"/>
    </row>
    <row r="23" spans="1:26" ht="23.25" customHeight="1" x14ac:dyDescent="0.2">
      <c r="A23" s="49" t="s">
        <v>12</v>
      </c>
      <c r="B23" s="82">
        <v>1203.2260000000001</v>
      </c>
      <c r="C23" s="25">
        <f t="shared" si="0"/>
        <v>1.2000000000170985E-2</v>
      </c>
      <c r="D23" s="24">
        <f t="shared" si="1"/>
        <v>0.9600000000136788</v>
      </c>
      <c r="E23" s="90"/>
      <c r="F23" s="82">
        <v>1031.0740000000001</v>
      </c>
      <c r="G23" s="51">
        <f t="shared" si="4"/>
        <v>2.3200000000088039E-2</v>
      </c>
      <c r="H23" s="50">
        <f t="shared" si="2"/>
        <v>1.8560000000070431</v>
      </c>
      <c r="I23" s="52">
        <f t="shared" si="3"/>
        <v>1.9333333333131224</v>
      </c>
      <c r="J23" s="104"/>
      <c r="K23" s="83"/>
      <c r="L23" s="53"/>
      <c r="M23" s="85"/>
      <c r="N23" s="120"/>
      <c r="O23" s="120"/>
      <c r="P23" s="120"/>
      <c r="Q23" s="120"/>
      <c r="R23" s="120"/>
      <c r="S23" s="120"/>
      <c r="T23" s="120"/>
      <c r="U23" s="120"/>
      <c r="V23" s="120"/>
      <c r="W23" s="111"/>
      <c r="X23" s="112"/>
      <c r="Y23" s="112"/>
      <c r="Z23" s="112"/>
    </row>
    <row r="24" spans="1:26" ht="23.25" customHeight="1" x14ac:dyDescent="0.2">
      <c r="A24" s="49" t="s">
        <v>13</v>
      </c>
      <c r="B24" s="82">
        <v>1203.2380000000001</v>
      </c>
      <c r="C24" s="25">
        <f t="shared" si="0"/>
        <v>1.1999999999943611E-2</v>
      </c>
      <c r="D24" s="24">
        <f t="shared" si="1"/>
        <v>0.95999999999548891</v>
      </c>
      <c r="E24" s="90"/>
      <c r="F24" s="82">
        <v>1031.0971999999999</v>
      </c>
      <c r="G24" s="51">
        <f t="shared" si="4"/>
        <v>2.3199999999860665E-2</v>
      </c>
      <c r="H24" s="50">
        <f t="shared" si="2"/>
        <v>1.8559999999888532</v>
      </c>
      <c r="I24" s="52">
        <f t="shared" si="3"/>
        <v>1.9333333333308069</v>
      </c>
      <c r="J24" s="104"/>
      <c r="K24" s="83"/>
      <c r="L24" s="53"/>
      <c r="M24" s="85"/>
      <c r="N24" s="120"/>
      <c r="O24" s="120"/>
      <c r="P24" s="120"/>
      <c r="Q24" s="120"/>
      <c r="R24" s="120"/>
      <c r="S24" s="120"/>
      <c r="T24" s="120"/>
      <c r="U24" s="120"/>
      <c r="V24" s="120"/>
      <c r="W24" s="111"/>
      <c r="X24" s="112"/>
      <c r="Y24" s="112"/>
      <c r="Z24" s="112"/>
    </row>
    <row r="25" spans="1:26" ht="23.25" customHeight="1" x14ac:dyDescent="0.2">
      <c r="A25" s="49" t="s">
        <v>14</v>
      </c>
      <c r="B25" s="82">
        <v>1203.25</v>
      </c>
      <c r="C25" s="25">
        <f t="shared" si="0"/>
        <v>1.1999999999943611E-2</v>
      </c>
      <c r="D25" s="24">
        <f t="shared" si="1"/>
        <v>0.95999999999548891</v>
      </c>
      <c r="E25" s="90"/>
      <c r="F25" s="82">
        <v>1031.1199999999999</v>
      </c>
      <c r="G25" s="51">
        <f t="shared" si="4"/>
        <v>2.2799999999961074E-2</v>
      </c>
      <c r="H25" s="50">
        <f t="shared" si="2"/>
        <v>1.8239999999968859</v>
      </c>
      <c r="I25" s="52">
        <f t="shared" si="3"/>
        <v>1.9000000000056843</v>
      </c>
      <c r="J25" s="104"/>
      <c r="K25" s="83"/>
      <c r="L25" s="53"/>
      <c r="M25" s="85"/>
      <c r="N25" s="120"/>
      <c r="O25" s="120"/>
      <c r="P25" s="120"/>
      <c r="Q25" s="120"/>
      <c r="R25" s="120"/>
      <c r="S25" s="120"/>
      <c r="T25" s="120"/>
      <c r="U25" s="120"/>
      <c r="V25" s="120"/>
      <c r="W25" s="111"/>
      <c r="X25" s="112"/>
      <c r="Y25" s="112"/>
      <c r="Z25" s="112"/>
    </row>
    <row r="26" spans="1:26" ht="23.25" customHeight="1" x14ac:dyDescent="0.2">
      <c r="A26" s="49" t="s">
        <v>15</v>
      </c>
      <c r="B26" s="82">
        <v>1203.3776</v>
      </c>
      <c r="C26" s="25">
        <f t="shared" si="0"/>
        <v>0.12760000000002947</v>
      </c>
      <c r="D26" s="24">
        <f t="shared" si="1"/>
        <v>10.208000000002357</v>
      </c>
      <c r="E26" s="90"/>
      <c r="F26" s="82">
        <v>1031.1676</v>
      </c>
      <c r="G26" s="51">
        <f t="shared" si="4"/>
        <v>4.7600000000102227E-2</v>
      </c>
      <c r="H26" s="50">
        <f t="shared" si="2"/>
        <v>3.8080000000081782</v>
      </c>
      <c r="I26" s="52">
        <f t="shared" si="3"/>
        <v>0.37304075235181217</v>
      </c>
      <c r="J26" s="104"/>
      <c r="K26" s="83"/>
      <c r="L26" s="53"/>
      <c r="M26" s="85"/>
      <c r="N26" s="120"/>
      <c r="O26" s="120"/>
      <c r="P26" s="120"/>
      <c r="Q26" s="120"/>
      <c r="R26" s="120"/>
      <c r="S26" s="120"/>
      <c r="T26" s="120"/>
      <c r="U26" s="120"/>
      <c r="V26" s="120"/>
      <c r="W26" s="111"/>
      <c r="X26" s="112"/>
      <c r="Y26" s="112"/>
      <c r="Z26" s="112"/>
    </row>
    <row r="27" spans="1:26" ht="23.25" customHeight="1" x14ac:dyDescent="0.2">
      <c r="A27" s="49" t="s">
        <v>16</v>
      </c>
      <c r="B27" s="82">
        <v>1203.8476000000001</v>
      </c>
      <c r="C27" s="25">
        <f t="shared" si="0"/>
        <v>0.47000000000002728</v>
      </c>
      <c r="D27" s="24">
        <f t="shared" si="1"/>
        <v>37.600000000002183</v>
      </c>
      <c r="E27" s="90"/>
      <c r="F27" s="82">
        <v>1031.4756</v>
      </c>
      <c r="G27" s="51">
        <f t="shared" si="4"/>
        <v>0.30799999999999272</v>
      </c>
      <c r="H27" s="50">
        <f t="shared" si="2"/>
        <v>24.639999999999418</v>
      </c>
      <c r="I27" s="52">
        <f t="shared" si="3"/>
        <v>0.65531914893611665</v>
      </c>
      <c r="J27" s="104"/>
      <c r="K27" s="83"/>
      <c r="L27" s="53"/>
      <c r="M27" s="85"/>
      <c r="N27" s="120"/>
      <c r="O27" s="120"/>
      <c r="P27" s="120"/>
      <c r="Q27" s="120"/>
      <c r="R27" s="120"/>
      <c r="S27" s="120"/>
      <c r="T27" s="120"/>
      <c r="U27" s="120"/>
      <c r="V27" s="120"/>
      <c r="W27" s="111"/>
      <c r="X27" s="112"/>
      <c r="Y27" s="112"/>
      <c r="Z27" s="112"/>
    </row>
    <row r="28" spans="1:26" ht="23.25" customHeight="1" x14ac:dyDescent="0.2">
      <c r="A28" s="49" t="s">
        <v>17</v>
      </c>
      <c r="B28" s="82">
        <v>1204.2316000000001</v>
      </c>
      <c r="C28" s="25">
        <f t="shared" si="0"/>
        <v>0.38400000000001455</v>
      </c>
      <c r="D28" s="24">
        <f t="shared" si="1"/>
        <v>30.720000000001164</v>
      </c>
      <c r="E28" s="90"/>
      <c r="F28" s="82">
        <v>1031.7483999999999</v>
      </c>
      <c r="G28" s="51">
        <f t="shared" si="4"/>
        <v>0.27279999999996107</v>
      </c>
      <c r="H28" s="50">
        <f t="shared" si="2"/>
        <v>21.823999999996886</v>
      </c>
      <c r="I28" s="52">
        <f t="shared" si="3"/>
        <v>0.71041666666653835</v>
      </c>
      <c r="J28" s="104"/>
      <c r="K28" s="83"/>
      <c r="L28" s="53"/>
      <c r="M28" s="85"/>
      <c r="N28" s="120"/>
      <c r="O28" s="120"/>
      <c r="P28" s="120"/>
      <c r="Q28" s="120"/>
      <c r="R28" s="120"/>
      <c r="S28" s="120"/>
      <c r="T28" s="120"/>
      <c r="U28" s="120"/>
      <c r="V28" s="120"/>
      <c r="W28" s="111"/>
      <c r="X28" s="112"/>
      <c r="Y28" s="112"/>
      <c r="Z28" s="112"/>
    </row>
    <row r="29" spans="1:26" ht="23.25" customHeight="1" x14ac:dyDescent="0.2">
      <c r="A29" s="49" t="s">
        <v>18</v>
      </c>
      <c r="B29" s="82">
        <v>1204.6268</v>
      </c>
      <c r="C29" s="25">
        <f t="shared" si="0"/>
        <v>0.39519999999993161</v>
      </c>
      <c r="D29" s="24">
        <f t="shared" si="1"/>
        <v>31.615999999994528</v>
      </c>
      <c r="E29" s="90"/>
      <c r="F29" s="82">
        <v>1032.028</v>
      </c>
      <c r="G29" s="51">
        <f t="shared" si="4"/>
        <v>0.27960000000007312</v>
      </c>
      <c r="H29" s="50">
        <f t="shared" si="2"/>
        <v>22.36800000000585</v>
      </c>
      <c r="I29" s="52">
        <f t="shared" si="3"/>
        <v>0.70748987854281764</v>
      </c>
      <c r="J29" s="104"/>
      <c r="K29" s="83"/>
      <c r="L29" s="53"/>
      <c r="M29" s="145" t="s">
        <v>95</v>
      </c>
      <c r="N29" s="145"/>
      <c r="O29" s="145"/>
      <c r="P29" s="145"/>
      <c r="Q29" s="145"/>
      <c r="R29" s="145"/>
      <c r="S29" s="145"/>
      <c r="T29" s="145"/>
      <c r="U29" s="145"/>
      <c r="V29" s="145"/>
      <c r="W29" s="145"/>
      <c r="X29" s="145"/>
      <c r="Y29" s="145"/>
      <c r="Z29" s="145"/>
    </row>
    <row r="30" spans="1:26" ht="23.25" customHeight="1" x14ac:dyDescent="0.2">
      <c r="A30" s="49" t="s">
        <v>19</v>
      </c>
      <c r="B30" s="82">
        <v>1205.1964</v>
      </c>
      <c r="C30" s="25">
        <f t="shared" si="0"/>
        <v>0.56960000000003674</v>
      </c>
      <c r="D30" s="24">
        <f t="shared" si="1"/>
        <v>45.568000000002939</v>
      </c>
      <c r="E30" s="90"/>
      <c r="F30" s="82">
        <v>1032.5291999999999</v>
      </c>
      <c r="G30" s="51">
        <f t="shared" si="4"/>
        <v>0.50119999999992615</v>
      </c>
      <c r="H30" s="50">
        <f t="shared" si="2"/>
        <v>40.095999999994092</v>
      </c>
      <c r="I30" s="52">
        <f t="shared" si="3"/>
        <v>0.87991573033689219</v>
      </c>
      <c r="J30" s="104"/>
      <c r="K30" s="83"/>
      <c r="L30" s="53"/>
      <c r="M30" s="122" t="s">
        <v>97</v>
      </c>
      <c r="N30" s="122"/>
      <c r="O30" s="122"/>
      <c r="P30" s="122"/>
      <c r="Q30" s="122"/>
      <c r="R30" s="122"/>
      <c r="S30" s="122"/>
      <c r="T30" s="122"/>
      <c r="U30" s="122"/>
      <c r="V30" s="122"/>
      <c r="W30" s="122"/>
      <c r="X30" s="122"/>
      <c r="Y30" s="122"/>
      <c r="Z30" s="122"/>
    </row>
    <row r="31" spans="1:26" ht="23.25" customHeight="1" x14ac:dyDescent="0.2">
      <c r="A31" s="49" t="s">
        <v>20</v>
      </c>
      <c r="B31" s="82">
        <v>1205.8412000000001</v>
      </c>
      <c r="C31" s="25">
        <f t="shared" si="0"/>
        <v>0.64480000000003201</v>
      </c>
      <c r="D31" s="24">
        <f t="shared" si="1"/>
        <v>51.584000000002561</v>
      </c>
      <c r="E31" s="90"/>
      <c r="F31" s="82">
        <v>1033.1215999999999</v>
      </c>
      <c r="G31" s="51">
        <f t="shared" si="4"/>
        <v>0.59239999999999782</v>
      </c>
      <c r="H31" s="50">
        <f t="shared" si="2"/>
        <v>47.391999999999825</v>
      </c>
      <c r="I31" s="52">
        <f t="shared" si="3"/>
        <v>0.91873449131508744</v>
      </c>
      <c r="J31" s="104"/>
      <c r="K31" s="83"/>
      <c r="L31" s="53"/>
      <c r="M31" s="123" t="s">
        <v>79</v>
      </c>
      <c r="N31" s="121" t="s">
        <v>98</v>
      </c>
      <c r="O31" s="121"/>
      <c r="P31" s="121" t="s">
        <v>100</v>
      </c>
      <c r="Q31" s="121"/>
      <c r="R31" s="121" t="s">
        <v>93</v>
      </c>
      <c r="S31" s="121"/>
      <c r="T31" s="121" t="s">
        <v>103</v>
      </c>
      <c r="U31" s="121"/>
      <c r="V31" s="121" t="s">
        <v>179</v>
      </c>
      <c r="W31" s="121"/>
      <c r="X31" s="121"/>
      <c r="Y31" s="121" t="s">
        <v>91</v>
      </c>
      <c r="Z31" s="124"/>
    </row>
    <row r="32" spans="1:26" ht="23.25" customHeight="1" x14ac:dyDescent="0.2">
      <c r="A32" s="49" t="s">
        <v>21</v>
      </c>
      <c r="B32" s="82">
        <v>1206.4276</v>
      </c>
      <c r="C32" s="25">
        <f t="shared" si="0"/>
        <v>0.58639999999991232</v>
      </c>
      <c r="D32" s="24">
        <f t="shared" si="1"/>
        <v>46.911999999992986</v>
      </c>
      <c r="E32" s="90"/>
      <c r="F32" s="82">
        <v>1033.6523999999999</v>
      </c>
      <c r="G32" s="51">
        <f t="shared" si="4"/>
        <v>0.53079999999999927</v>
      </c>
      <c r="H32" s="50">
        <f t="shared" si="2"/>
        <v>42.463999999999942</v>
      </c>
      <c r="I32" s="52">
        <f t="shared" si="3"/>
        <v>0.90518417462496359</v>
      </c>
      <c r="J32" s="104"/>
      <c r="K32" s="83"/>
      <c r="L32" s="53"/>
      <c r="M32" s="116"/>
      <c r="N32" s="118"/>
      <c r="O32" s="118"/>
      <c r="P32" s="118" t="s">
        <v>83</v>
      </c>
      <c r="Q32" s="118"/>
      <c r="R32" s="118" t="s">
        <v>102</v>
      </c>
      <c r="S32" s="118"/>
      <c r="T32" s="118" t="s">
        <v>104</v>
      </c>
      <c r="U32" s="118"/>
      <c r="V32" s="118" t="s">
        <v>105</v>
      </c>
      <c r="W32" s="118"/>
      <c r="X32" s="118"/>
      <c r="Y32" s="118"/>
      <c r="Z32" s="125"/>
    </row>
    <row r="33" spans="1:26" ht="23.25" customHeight="1" x14ac:dyDescent="0.2">
      <c r="A33" s="49" t="s">
        <v>22</v>
      </c>
      <c r="B33" s="82">
        <v>1207.2</v>
      </c>
      <c r="C33" s="25">
        <f t="shared" si="0"/>
        <v>0.77240000000006148</v>
      </c>
      <c r="D33" s="24">
        <f t="shared" si="1"/>
        <v>61.792000000004919</v>
      </c>
      <c r="E33" s="90"/>
      <c r="F33" s="82">
        <v>1034.3920000000001</v>
      </c>
      <c r="G33" s="51">
        <f t="shared" si="4"/>
        <v>0.7396000000001095</v>
      </c>
      <c r="H33" s="50">
        <f t="shared" si="2"/>
        <v>59.16800000000876</v>
      </c>
      <c r="I33" s="52">
        <f t="shared" si="3"/>
        <v>0.95753495598142235</v>
      </c>
      <c r="J33" s="104"/>
      <c r="K33" s="83"/>
      <c r="L33" s="53"/>
      <c r="M33" s="116" t="s">
        <v>80</v>
      </c>
      <c r="N33" s="118" t="s">
        <v>99</v>
      </c>
      <c r="O33" s="118"/>
      <c r="P33" s="118" t="s">
        <v>101</v>
      </c>
      <c r="Q33" s="118"/>
      <c r="R33" s="118" t="s">
        <v>69</v>
      </c>
      <c r="S33" s="118"/>
      <c r="T33" s="118" t="s">
        <v>69</v>
      </c>
      <c r="U33" s="118"/>
      <c r="V33" s="118" t="s">
        <v>106</v>
      </c>
      <c r="W33" s="118"/>
      <c r="X33" s="118"/>
      <c r="Y33" s="118"/>
      <c r="Z33" s="125"/>
    </row>
    <row r="34" spans="1:26" ht="23.25" customHeight="1" x14ac:dyDescent="0.2">
      <c r="A34" s="49" t="s">
        <v>23</v>
      </c>
      <c r="B34" s="82">
        <v>1207.7360000000001</v>
      </c>
      <c r="C34" s="25">
        <f t="shared" si="0"/>
        <v>0.53600000000005821</v>
      </c>
      <c r="D34" s="24">
        <f t="shared" si="1"/>
        <v>42.880000000004657</v>
      </c>
      <c r="E34" s="90"/>
      <c r="F34" s="82">
        <v>1034.818</v>
      </c>
      <c r="G34" s="51">
        <f t="shared" si="4"/>
        <v>0.42599999999993088</v>
      </c>
      <c r="H34" s="50">
        <f t="shared" si="2"/>
        <v>34.07999999999447</v>
      </c>
      <c r="I34" s="52">
        <f t="shared" si="3"/>
        <v>0.79477611940276982</v>
      </c>
      <c r="J34" s="104"/>
      <c r="K34" s="83"/>
      <c r="L34" s="53"/>
      <c r="M34" s="117"/>
      <c r="N34" s="119"/>
      <c r="O34" s="119"/>
      <c r="P34" s="119"/>
      <c r="Q34" s="119"/>
      <c r="R34" s="127"/>
      <c r="S34" s="117"/>
      <c r="T34" s="127"/>
      <c r="U34" s="117"/>
      <c r="V34" s="127"/>
      <c r="W34" s="130"/>
      <c r="X34" s="117"/>
      <c r="Y34" s="119"/>
      <c r="Z34" s="127"/>
    </row>
    <row r="35" spans="1:26" ht="23.25" customHeight="1" x14ac:dyDescent="0.2">
      <c r="A35" s="49" t="s">
        <v>24</v>
      </c>
      <c r="B35" s="82">
        <v>1207.8288</v>
      </c>
      <c r="C35" s="25">
        <f t="shared" si="0"/>
        <v>9.2799999999897409E-2</v>
      </c>
      <c r="D35" s="24">
        <f t="shared" si="1"/>
        <v>7.4239999999917927</v>
      </c>
      <c r="E35" s="90"/>
      <c r="F35" s="82">
        <v>1034.8607999999999</v>
      </c>
      <c r="G35" s="51">
        <f t="shared" si="4"/>
        <v>4.2799999999942884E-2</v>
      </c>
      <c r="H35" s="50">
        <f t="shared" si="2"/>
        <v>3.4239999999954307</v>
      </c>
      <c r="I35" s="52">
        <f t="shared" si="3"/>
        <v>0.46120689655161851</v>
      </c>
      <c r="J35" s="104"/>
      <c r="K35" s="83"/>
      <c r="L35" s="53"/>
      <c r="M35" s="85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11"/>
    </row>
    <row r="36" spans="1:26" ht="23.25" customHeight="1" x14ac:dyDescent="0.2">
      <c r="A36" s="49" t="s">
        <v>25</v>
      </c>
      <c r="B36" s="82">
        <v>1207.8404</v>
      </c>
      <c r="C36" s="25">
        <f t="shared" si="0"/>
        <v>1.160000000004402E-2</v>
      </c>
      <c r="D36" s="24">
        <f t="shared" si="1"/>
        <v>0.92800000000352156</v>
      </c>
      <c r="E36" s="90"/>
      <c r="F36" s="82">
        <v>1034.8828000000001</v>
      </c>
      <c r="G36" s="51">
        <f t="shared" si="4"/>
        <v>2.200000000016189E-2</v>
      </c>
      <c r="H36" s="50">
        <f t="shared" si="2"/>
        <v>1.7600000000129512</v>
      </c>
      <c r="I36" s="52">
        <f t="shared" si="3"/>
        <v>1.8965517241446901</v>
      </c>
      <c r="J36" s="104"/>
      <c r="K36" s="83"/>
      <c r="L36" s="53"/>
      <c r="M36" s="85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11"/>
    </row>
    <row r="37" spans="1:26" ht="23.25" customHeight="1" x14ac:dyDescent="0.2">
      <c r="A37" s="49" t="s">
        <v>26</v>
      </c>
      <c r="B37" s="82">
        <v>1207.8524</v>
      </c>
      <c r="C37" s="25">
        <f t="shared" si="0"/>
        <v>1.1999999999943611E-2</v>
      </c>
      <c r="D37" s="24">
        <f t="shared" si="1"/>
        <v>0.95999999999548891</v>
      </c>
      <c r="E37" s="90"/>
      <c r="F37" s="82">
        <v>1034.904</v>
      </c>
      <c r="G37" s="51">
        <f t="shared" si="4"/>
        <v>2.1199999999907959E-2</v>
      </c>
      <c r="H37" s="50">
        <f t="shared" si="2"/>
        <v>1.6959999999926367</v>
      </c>
      <c r="I37" s="52">
        <f t="shared" si="3"/>
        <v>1.7666666666672983</v>
      </c>
      <c r="J37" s="104"/>
      <c r="K37" s="83"/>
      <c r="L37" s="53"/>
      <c r="M37" s="85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11"/>
    </row>
    <row r="38" spans="1:26" ht="23.25" customHeight="1" x14ac:dyDescent="0.2">
      <c r="A38" s="49" t="s">
        <v>27</v>
      </c>
      <c r="B38" s="82">
        <v>1207.864</v>
      </c>
      <c r="C38" s="25">
        <f t="shared" si="0"/>
        <v>1.160000000004402E-2</v>
      </c>
      <c r="D38" s="24">
        <f t="shared" si="1"/>
        <v>0.92800000000352156</v>
      </c>
      <c r="E38" s="90"/>
      <c r="F38" s="82">
        <v>1034.9256</v>
      </c>
      <c r="G38" s="51">
        <f t="shared" si="4"/>
        <v>2.1600000000034925E-2</v>
      </c>
      <c r="H38" s="50">
        <f t="shared" si="2"/>
        <v>1.728000000002794</v>
      </c>
      <c r="I38" s="52">
        <f t="shared" si="3"/>
        <v>1.8620689655131859</v>
      </c>
      <c r="J38" s="104"/>
      <c r="K38" s="83"/>
      <c r="L38" s="53"/>
      <c r="M38" s="85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11"/>
    </row>
    <row r="39" spans="1:26" ht="23.25" customHeight="1" x14ac:dyDescent="0.2">
      <c r="A39" s="49" t="s">
        <v>28</v>
      </c>
      <c r="B39" s="82">
        <v>1207.876</v>
      </c>
      <c r="C39" s="25">
        <f t="shared" si="0"/>
        <v>1.1999999999943611E-2</v>
      </c>
      <c r="D39" s="24">
        <f t="shared" si="1"/>
        <v>0.95999999999548891</v>
      </c>
      <c r="E39" s="90"/>
      <c r="F39" s="82">
        <v>1034.9476</v>
      </c>
      <c r="G39" s="51">
        <f t="shared" si="4"/>
        <v>2.1999999999934516E-2</v>
      </c>
      <c r="H39" s="50">
        <f t="shared" si="2"/>
        <v>1.7599999999947613</v>
      </c>
      <c r="I39" s="52">
        <f t="shared" si="3"/>
        <v>1.8333333333364914</v>
      </c>
      <c r="J39" s="104"/>
      <c r="K39" s="83"/>
      <c r="L39" s="53"/>
      <c r="M39" s="85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11"/>
    </row>
    <row r="40" spans="1:26" ht="23.25" customHeight="1" x14ac:dyDescent="0.2">
      <c r="A40" s="49" t="s">
        <v>29</v>
      </c>
      <c r="B40" s="82">
        <v>1207.8879999999999</v>
      </c>
      <c r="C40" s="25">
        <f t="shared" si="0"/>
        <v>1.1999999999943611E-2</v>
      </c>
      <c r="D40" s="24">
        <f t="shared" si="1"/>
        <v>0.95999999999548891</v>
      </c>
      <c r="E40" s="90"/>
      <c r="F40" s="82">
        <v>1034.9695999999999</v>
      </c>
      <c r="G40" s="51">
        <f t="shared" si="4"/>
        <v>2.1999999999934516E-2</v>
      </c>
      <c r="H40" s="50">
        <f t="shared" si="2"/>
        <v>1.7599999999947613</v>
      </c>
      <c r="I40" s="52">
        <f t="shared" si="3"/>
        <v>1.8333333333364914</v>
      </c>
      <c r="J40" s="104"/>
      <c r="K40" s="83"/>
      <c r="L40" s="53"/>
      <c r="M40" s="122" t="s">
        <v>109</v>
      </c>
      <c r="N40" s="122"/>
      <c r="O40" s="122"/>
      <c r="P40" s="122"/>
      <c r="Q40" s="122"/>
      <c r="R40" s="122"/>
      <c r="S40" s="122"/>
      <c r="T40" s="122"/>
      <c r="U40" s="122"/>
      <c r="V40" s="122"/>
      <c r="W40" s="122"/>
      <c r="X40" s="122"/>
      <c r="Y40" s="122"/>
      <c r="Z40" s="122"/>
    </row>
    <row r="41" spans="1:26" ht="23.25" customHeight="1" x14ac:dyDescent="0.2">
      <c r="A41" s="49" t="s">
        <v>30</v>
      </c>
      <c r="B41" s="82">
        <v>1207.9000000000001</v>
      </c>
      <c r="C41" s="25">
        <f t="shared" si="0"/>
        <v>1.2000000000170985E-2</v>
      </c>
      <c r="D41" s="24">
        <f t="shared" si="1"/>
        <v>0.9600000000136788</v>
      </c>
      <c r="E41" s="90"/>
      <c r="F41" s="82">
        <v>1034.9924000000001</v>
      </c>
      <c r="G41" s="51">
        <f t="shared" si="4"/>
        <v>2.2800000000188447E-2</v>
      </c>
      <c r="H41" s="50">
        <f t="shared" si="2"/>
        <v>1.8240000000150758</v>
      </c>
      <c r="I41" s="52">
        <f t="shared" si="3"/>
        <v>1.8999999999886312</v>
      </c>
      <c r="J41" s="104"/>
      <c r="K41" s="83"/>
      <c r="L41" s="53"/>
      <c r="M41" s="123" t="s">
        <v>79</v>
      </c>
      <c r="N41" s="121" t="s">
        <v>98</v>
      </c>
      <c r="O41" s="121"/>
      <c r="P41" s="121" t="s">
        <v>93</v>
      </c>
      <c r="Q41" s="121"/>
      <c r="R41" s="121"/>
      <c r="S41" s="121" t="s">
        <v>111</v>
      </c>
      <c r="T41" s="121" t="s">
        <v>81</v>
      </c>
      <c r="U41" s="121"/>
      <c r="V41" s="121"/>
      <c r="W41" s="121"/>
      <c r="X41" s="121" t="s">
        <v>93</v>
      </c>
      <c r="Y41" s="121"/>
      <c r="Z41" s="124"/>
    </row>
    <row r="42" spans="1:26" ht="23.25" customHeight="1" x14ac:dyDescent="0.2">
      <c r="A42" s="49" t="s">
        <v>31</v>
      </c>
      <c r="B42" s="82">
        <v>1207.9115999999999</v>
      </c>
      <c r="C42" s="25">
        <f t="shared" si="0"/>
        <v>1.1599999999816646E-2</v>
      </c>
      <c r="D42" s="24">
        <f t="shared" si="1"/>
        <v>0.92799999998533167</v>
      </c>
      <c r="E42" s="90"/>
      <c r="F42" s="82">
        <v>1035.0147999999999</v>
      </c>
      <c r="G42" s="51">
        <f t="shared" si="4"/>
        <v>2.2399999999834108E-2</v>
      </c>
      <c r="H42" s="50">
        <f t="shared" si="2"/>
        <v>1.7919999999867287</v>
      </c>
      <c r="I42" s="52">
        <f t="shared" si="3"/>
        <v>1.9310344827748425</v>
      </c>
      <c r="J42" s="104"/>
      <c r="K42" s="83"/>
      <c r="L42" s="53"/>
      <c r="M42" s="116"/>
      <c r="N42" s="118"/>
      <c r="O42" s="118"/>
      <c r="P42" s="118"/>
      <c r="Q42" s="118"/>
      <c r="R42" s="118"/>
      <c r="S42" s="118"/>
      <c r="T42" s="118"/>
      <c r="U42" s="118"/>
      <c r="V42" s="118"/>
      <c r="W42" s="118"/>
      <c r="X42" s="118"/>
      <c r="Y42" s="118"/>
      <c r="Z42" s="125"/>
    </row>
    <row r="43" spans="1:26" ht="22.5" customHeight="1" x14ac:dyDescent="0.2">
      <c r="A43" s="184" t="s">
        <v>70</v>
      </c>
      <c r="B43" s="184"/>
      <c r="C43" s="184"/>
      <c r="D43" s="50">
        <f>SUM(D18:D42)</f>
        <v>379.61599999998725</v>
      </c>
      <c r="E43" s="104"/>
      <c r="F43" s="54"/>
      <c r="G43" s="104"/>
      <c r="H43" s="50">
        <f>SUM(H18:H42)</f>
        <v>324.44799999999304</v>
      </c>
      <c r="I43" s="52">
        <f>IF(AND(H43=0,D43=0),0,H43/D43)</f>
        <v>0.85467419708337888</v>
      </c>
      <c r="J43" s="104"/>
      <c r="K43" s="104"/>
      <c r="L43" s="53"/>
      <c r="M43" s="116" t="s">
        <v>80</v>
      </c>
      <c r="N43" s="118" t="s">
        <v>99</v>
      </c>
      <c r="O43" s="118"/>
      <c r="P43" s="118" t="s">
        <v>110</v>
      </c>
      <c r="Q43" s="118"/>
      <c r="R43" s="118"/>
      <c r="S43" s="118"/>
      <c r="T43" s="118"/>
      <c r="U43" s="118"/>
      <c r="V43" s="118"/>
      <c r="W43" s="118"/>
      <c r="X43" s="118" t="s">
        <v>110</v>
      </c>
      <c r="Y43" s="118"/>
      <c r="Z43" s="125"/>
    </row>
    <row r="44" spans="1:26" ht="22.5" customHeight="1" x14ac:dyDescent="0.2">
      <c r="A44" s="183" t="s">
        <v>71</v>
      </c>
      <c r="B44" s="183"/>
      <c r="C44" s="183"/>
      <c r="D44" s="104"/>
      <c r="E44" s="104"/>
      <c r="F44" s="54"/>
      <c r="G44" s="104"/>
      <c r="H44" s="104"/>
      <c r="I44" s="104"/>
      <c r="J44" s="104"/>
      <c r="K44" s="104"/>
      <c r="L44" s="53"/>
      <c r="M44" s="117"/>
      <c r="N44" s="119"/>
      <c r="O44" s="119"/>
      <c r="P44" s="119"/>
      <c r="Q44" s="119"/>
      <c r="R44" s="119"/>
      <c r="S44" s="119"/>
      <c r="T44" s="119"/>
      <c r="U44" s="119"/>
      <c r="V44" s="119"/>
      <c r="W44" s="119"/>
      <c r="X44" s="119"/>
      <c r="Y44" s="119"/>
      <c r="Z44" s="127"/>
    </row>
    <row r="45" spans="1:26" ht="22.5" customHeight="1" x14ac:dyDescent="0.2">
      <c r="A45" s="94"/>
      <c r="B45" s="103"/>
      <c r="C45" s="103"/>
      <c r="D45" s="103"/>
      <c r="E45" s="103"/>
      <c r="F45" s="103"/>
      <c r="G45" s="103"/>
      <c r="H45" s="103"/>
      <c r="I45" s="103"/>
      <c r="J45" s="57"/>
      <c r="K45" s="57"/>
      <c r="L45" s="57"/>
      <c r="M45" s="85"/>
      <c r="N45" s="111"/>
      <c r="O45" s="113"/>
      <c r="P45" s="111"/>
      <c r="Q45" s="112"/>
      <c r="R45" s="113"/>
      <c r="S45" s="87"/>
      <c r="T45" s="111"/>
      <c r="U45" s="112"/>
      <c r="V45" s="112"/>
      <c r="W45" s="113"/>
      <c r="X45" s="111"/>
      <c r="Y45" s="112"/>
      <c r="Z45" s="112"/>
    </row>
    <row r="46" spans="1:26" ht="22.5" customHeight="1" x14ac:dyDescent="0.2">
      <c r="A46" s="182" t="s">
        <v>72</v>
      </c>
      <c r="B46" s="182"/>
      <c r="C46" s="182"/>
      <c r="D46" s="182"/>
      <c r="E46" s="182"/>
      <c r="F46" s="182"/>
      <c r="G46" s="204" t="s">
        <v>73</v>
      </c>
      <c r="H46" s="204"/>
      <c r="I46" s="204"/>
      <c r="J46" s="204"/>
      <c r="K46" s="204"/>
      <c r="L46" s="204"/>
      <c r="M46" s="85"/>
      <c r="N46" s="111"/>
      <c r="O46" s="113"/>
      <c r="P46" s="111"/>
      <c r="Q46" s="112"/>
      <c r="R46" s="113"/>
      <c r="S46" s="87"/>
      <c r="T46" s="111"/>
      <c r="U46" s="112"/>
      <c r="V46" s="112"/>
      <c r="W46" s="113"/>
      <c r="X46" s="111"/>
      <c r="Y46" s="112"/>
      <c r="Z46" s="112"/>
    </row>
    <row r="47" spans="1:26" ht="22.5" customHeight="1" x14ac:dyDescent="0.2">
      <c r="A47" s="144" t="s">
        <v>365</v>
      </c>
      <c r="B47" s="144"/>
      <c r="C47" s="144"/>
      <c r="D47" s="135" t="s">
        <v>74</v>
      </c>
      <c r="E47" s="135"/>
      <c r="F47" s="135"/>
      <c r="G47" s="103"/>
      <c r="H47" s="103"/>
      <c r="I47" s="103"/>
      <c r="J47" s="103"/>
      <c r="K47" s="103"/>
      <c r="L47" s="103"/>
      <c r="M47" s="85"/>
      <c r="N47" s="111"/>
      <c r="O47" s="113"/>
      <c r="P47" s="111"/>
      <c r="Q47" s="112"/>
      <c r="R47" s="113"/>
      <c r="S47" s="87"/>
      <c r="T47" s="111"/>
      <c r="U47" s="112"/>
      <c r="V47" s="112"/>
      <c r="W47" s="113"/>
      <c r="X47" s="111"/>
      <c r="Y47" s="112"/>
      <c r="Z47" s="112"/>
    </row>
    <row r="48" spans="1:26" ht="22.5" customHeight="1" x14ac:dyDescent="0.2">
      <c r="A48" s="175" t="s">
        <v>75</v>
      </c>
      <c r="B48" s="175"/>
      <c r="C48" s="175"/>
      <c r="D48" s="174" t="s">
        <v>76</v>
      </c>
      <c r="E48" s="174"/>
      <c r="F48" s="174"/>
      <c r="G48" s="94"/>
      <c r="H48" s="94"/>
      <c r="I48" s="94"/>
      <c r="J48" s="94"/>
      <c r="K48" s="94"/>
      <c r="L48" s="94"/>
    </row>
    <row r="49" spans="1:23" ht="22.5" customHeight="1" x14ac:dyDescent="0.2">
      <c r="A49" s="144" t="s">
        <v>366</v>
      </c>
      <c r="B49" s="144"/>
      <c r="C49" s="144"/>
      <c r="D49" s="135" t="s">
        <v>74</v>
      </c>
      <c r="E49" s="135"/>
      <c r="F49" s="135"/>
      <c r="G49" s="94"/>
      <c r="H49" s="182" t="s">
        <v>183</v>
      </c>
      <c r="I49" s="182"/>
      <c r="J49" s="182"/>
      <c r="K49" s="182" t="s">
        <v>77</v>
      </c>
      <c r="L49" s="182"/>
      <c r="N49" s="177" t="s">
        <v>150</v>
      </c>
      <c r="O49" s="177"/>
      <c r="P49" s="177"/>
      <c r="Q49" s="176" t="s">
        <v>364</v>
      </c>
      <c r="R49" s="176"/>
      <c r="S49" s="176"/>
      <c r="T49" s="176"/>
      <c r="U49" s="176"/>
      <c r="V49" s="176"/>
      <c r="W49" s="89"/>
    </row>
    <row r="50" spans="1:23" ht="22.5" customHeight="1" x14ac:dyDescent="0.2">
      <c r="A50" s="175" t="s">
        <v>75</v>
      </c>
      <c r="B50" s="175"/>
      <c r="C50" s="175"/>
      <c r="D50" s="174" t="s">
        <v>76</v>
      </c>
      <c r="E50" s="174"/>
      <c r="F50" s="174"/>
      <c r="G50" s="58"/>
      <c r="H50" s="175" t="s">
        <v>75</v>
      </c>
      <c r="I50" s="175"/>
      <c r="J50" s="175"/>
      <c r="K50" s="175" t="s">
        <v>76</v>
      </c>
      <c r="L50" s="175"/>
      <c r="S50" s="173" t="s">
        <v>76</v>
      </c>
      <c r="T50" s="173"/>
    </row>
    <row r="51" spans="1:23" ht="20.100000000000001" customHeight="1" x14ac:dyDescent="0.2">
      <c r="A51" s="144" t="s">
        <v>367</v>
      </c>
      <c r="B51" s="144"/>
      <c r="C51" s="144"/>
      <c r="D51" s="135" t="s">
        <v>74</v>
      </c>
      <c r="E51" s="135"/>
      <c r="F51" s="135"/>
      <c r="G51" s="94"/>
      <c r="H51" s="94"/>
      <c r="I51" s="94"/>
      <c r="J51" s="94"/>
      <c r="K51" s="94"/>
      <c r="L51" s="94"/>
    </row>
    <row r="52" spans="1:23" ht="20.100000000000001" customHeight="1" x14ac:dyDescent="0.2">
      <c r="A52" s="174" t="s">
        <v>75</v>
      </c>
      <c r="B52" s="174"/>
      <c r="C52" s="174"/>
      <c r="D52" s="173" t="s">
        <v>76</v>
      </c>
      <c r="E52" s="173"/>
      <c r="F52" s="173"/>
      <c r="G52" s="63"/>
      <c r="H52" s="63"/>
      <c r="I52" s="105"/>
      <c r="J52" s="105"/>
      <c r="K52" s="105"/>
      <c r="L52" s="105"/>
    </row>
  </sheetData>
  <sheetProtection sheet="1" objects="1" scenarios="1"/>
  <mergeCells count="258">
    <mergeCell ref="A1:F1"/>
    <mergeCell ref="G1:H2"/>
    <mergeCell ref="I1:L2"/>
    <mergeCell ref="M1:Z1"/>
    <mergeCell ref="A2:F2"/>
    <mergeCell ref="M2:Z2"/>
    <mergeCell ref="X3:Z6"/>
    <mergeCell ref="A4:F4"/>
    <mergeCell ref="R4:S4"/>
    <mergeCell ref="T4:U4"/>
    <mergeCell ref="V4:W4"/>
    <mergeCell ref="A5:F5"/>
    <mergeCell ref="G5:H6"/>
    <mergeCell ref="A3:F3"/>
    <mergeCell ref="G3:H4"/>
    <mergeCell ref="I3:L4"/>
    <mergeCell ref="M3:M4"/>
    <mergeCell ref="N3:O6"/>
    <mergeCell ref="P3:Q4"/>
    <mergeCell ref="I5:L6"/>
    <mergeCell ref="M5:M6"/>
    <mergeCell ref="P5:Q6"/>
    <mergeCell ref="R5:S5"/>
    <mergeCell ref="T5:U5"/>
    <mergeCell ref="V5:W5"/>
    <mergeCell ref="A6:F6"/>
    <mergeCell ref="R6:S6"/>
    <mergeCell ref="T6:U6"/>
    <mergeCell ref="V6:W6"/>
    <mergeCell ref="R3:S3"/>
    <mergeCell ref="T3:U3"/>
    <mergeCell ref="V3:W3"/>
    <mergeCell ref="X7:Z7"/>
    <mergeCell ref="A8:L8"/>
    <mergeCell ref="N8:O8"/>
    <mergeCell ref="P8:Q8"/>
    <mergeCell ref="R8:S8"/>
    <mergeCell ref="T8:U8"/>
    <mergeCell ref="V8:W8"/>
    <mergeCell ref="X8:Z8"/>
    <mergeCell ref="A7:L7"/>
    <mergeCell ref="N7:O7"/>
    <mergeCell ref="P7:Q7"/>
    <mergeCell ref="R7:S7"/>
    <mergeCell ref="T7:U7"/>
    <mergeCell ref="V7:W7"/>
    <mergeCell ref="X9:Z9"/>
    <mergeCell ref="A10:D10"/>
    <mergeCell ref="E10:G10"/>
    <mergeCell ref="H10:L10"/>
    <mergeCell ref="N10:O10"/>
    <mergeCell ref="P10:Q10"/>
    <mergeCell ref="R10:S10"/>
    <mergeCell ref="T10:U10"/>
    <mergeCell ref="V10:W10"/>
    <mergeCell ref="X10:Z10"/>
    <mergeCell ref="A9:L9"/>
    <mergeCell ref="N9:O9"/>
    <mergeCell ref="P9:Q9"/>
    <mergeCell ref="R9:S9"/>
    <mergeCell ref="T9:U9"/>
    <mergeCell ref="V9:W9"/>
    <mergeCell ref="T11:U11"/>
    <mergeCell ref="V11:W11"/>
    <mergeCell ref="X11:Z11"/>
    <mergeCell ref="A12:L12"/>
    <mergeCell ref="N12:O12"/>
    <mergeCell ref="P12:Q12"/>
    <mergeCell ref="R12:S12"/>
    <mergeCell ref="T12:U12"/>
    <mergeCell ref="V12:W12"/>
    <mergeCell ref="X12:Z12"/>
    <mergeCell ref="A11:D11"/>
    <mergeCell ref="E11:H11"/>
    <mergeCell ref="I11:L11"/>
    <mergeCell ref="N11:O11"/>
    <mergeCell ref="P11:Q11"/>
    <mergeCell ref="R11:S11"/>
    <mergeCell ref="N13:O13"/>
    <mergeCell ref="P13:Q13"/>
    <mergeCell ref="R13:S13"/>
    <mergeCell ref="T13:U13"/>
    <mergeCell ref="V13:W13"/>
    <mergeCell ref="X13:Z13"/>
    <mergeCell ref="A13:A17"/>
    <mergeCell ref="B13:C13"/>
    <mergeCell ref="D13:E13"/>
    <mergeCell ref="F13:G13"/>
    <mergeCell ref="I13:I17"/>
    <mergeCell ref="J13:K13"/>
    <mergeCell ref="B14:C14"/>
    <mergeCell ref="D14:E14"/>
    <mergeCell ref="F14:G14"/>
    <mergeCell ref="J14:K14"/>
    <mergeCell ref="E16:E17"/>
    <mergeCell ref="J16:J17"/>
    <mergeCell ref="K16:K17"/>
    <mergeCell ref="B15:C15"/>
    <mergeCell ref="D15:E15"/>
    <mergeCell ref="F15:G15"/>
    <mergeCell ref="J15:K15"/>
    <mergeCell ref="V16:W16"/>
    <mergeCell ref="W22:Z22"/>
    <mergeCell ref="N15:O15"/>
    <mergeCell ref="P15:Q15"/>
    <mergeCell ref="N14:O14"/>
    <mergeCell ref="P14:Q14"/>
    <mergeCell ref="R14:S14"/>
    <mergeCell ref="R15:S15"/>
    <mergeCell ref="T15:U15"/>
    <mergeCell ref="V15:W15"/>
    <mergeCell ref="X15:Z15"/>
    <mergeCell ref="T14:U14"/>
    <mergeCell ref="V14:W14"/>
    <mergeCell ref="X14:Z14"/>
    <mergeCell ref="N23:P23"/>
    <mergeCell ref="Q23:S23"/>
    <mergeCell ref="T23:V23"/>
    <mergeCell ref="W23:Z23"/>
    <mergeCell ref="X16:Z16"/>
    <mergeCell ref="M17:Z17"/>
    <mergeCell ref="M18:M19"/>
    <mergeCell ref="N18:P19"/>
    <mergeCell ref="Q18:S18"/>
    <mergeCell ref="T18:V19"/>
    <mergeCell ref="W18:Z21"/>
    <mergeCell ref="Q19:S19"/>
    <mergeCell ref="M20:M21"/>
    <mergeCell ref="N20:P21"/>
    <mergeCell ref="Q20:S20"/>
    <mergeCell ref="T20:V21"/>
    <mergeCell ref="Q21:S21"/>
    <mergeCell ref="N16:O16"/>
    <mergeCell ref="P16:Q16"/>
    <mergeCell ref="R16:S16"/>
    <mergeCell ref="N22:P22"/>
    <mergeCell ref="Q22:S22"/>
    <mergeCell ref="T22:V22"/>
    <mergeCell ref="T16:U16"/>
    <mergeCell ref="N24:P24"/>
    <mergeCell ref="Q24:S24"/>
    <mergeCell ref="T24:V24"/>
    <mergeCell ref="W24:Z24"/>
    <mergeCell ref="N27:P27"/>
    <mergeCell ref="Q27:S27"/>
    <mergeCell ref="T27:V27"/>
    <mergeCell ref="W27:Z27"/>
    <mergeCell ref="N28:P28"/>
    <mergeCell ref="Q28:S28"/>
    <mergeCell ref="T28:V28"/>
    <mergeCell ref="W28:Z28"/>
    <mergeCell ref="N25:P25"/>
    <mergeCell ref="Q25:S25"/>
    <mergeCell ref="T25:V25"/>
    <mergeCell ref="W25:Z25"/>
    <mergeCell ref="N26:P26"/>
    <mergeCell ref="Q26:S26"/>
    <mergeCell ref="T26:V26"/>
    <mergeCell ref="W26:Z26"/>
    <mergeCell ref="M33:M34"/>
    <mergeCell ref="N33:O34"/>
    <mergeCell ref="P33:Q33"/>
    <mergeCell ref="R33:S33"/>
    <mergeCell ref="T33:U33"/>
    <mergeCell ref="V33:X33"/>
    <mergeCell ref="P34:Q34"/>
    <mergeCell ref="M29:Z29"/>
    <mergeCell ref="M30:Z30"/>
    <mergeCell ref="M31:M32"/>
    <mergeCell ref="N31:O32"/>
    <mergeCell ref="P31:Q31"/>
    <mergeCell ref="R31:S31"/>
    <mergeCell ref="T31:U31"/>
    <mergeCell ref="V31:X31"/>
    <mergeCell ref="Y31:Z34"/>
    <mergeCell ref="P32:Q32"/>
    <mergeCell ref="R34:S34"/>
    <mergeCell ref="T34:U34"/>
    <mergeCell ref="V34:X34"/>
    <mergeCell ref="V35:X35"/>
    <mergeCell ref="R32:S32"/>
    <mergeCell ref="T32:U32"/>
    <mergeCell ref="V32:X32"/>
    <mergeCell ref="N37:O37"/>
    <mergeCell ref="P37:Q37"/>
    <mergeCell ref="R37:S37"/>
    <mergeCell ref="T37:U37"/>
    <mergeCell ref="V37:X37"/>
    <mergeCell ref="Y37:Z37"/>
    <mergeCell ref="Y35:Z35"/>
    <mergeCell ref="N36:O36"/>
    <mergeCell ref="P36:Q36"/>
    <mergeCell ref="R36:S36"/>
    <mergeCell ref="T36:U36"/>
    <mergeCell ref="V36:X36"/>
    <mergeCell ref="Y36:Z36"/>
    <mergeCell ref="N39:O39"/>
    <mergeCell ref="P39:Q39"/>
    <mergeCell ref="R39:S39"/>
    <mergeCell ref="T39:U39"/>
    <mergeCell ref="V39:X39"/>
    <mergeCell ref="Y39:Z39"/>
    <mergeCell ref="N38:O38"/>
    <mergeCell ref="P38:Q38"/>
    <mergeCell ref="R38:S38"/>
    <mergeCell ref="T38:U38"/>
    <mergeCell ref="V38:X38"/>
    <mergeCell ref="Y38:Z38"/>
    <mergeCell ref="N35:O35"/>
    <mergeCell ref="P35:Q35"/>
    <mergeCell ref="R35:S35"/>
    <mergeCell ref="T35:U35"/>
    <mergeCell ref="A43:C43"/>
    <mergeCell ref="M43:M44"/>
    <mergeCell ref="N43:O44"/>
    <mergeCell ref="P43:R44"/>
    <mergeCell ref="X43:Z44"/>
    <mergeCell ref="A44:C44"/>
    <mergeCell ref="M40:Z40"/>
    <mergeCell ref="M41:M42"/>
    <mergeCell ref="N41:O42"/>
    <mergeCell ref="P41:R42"/>
    <mergeCell ref="S41:S44"/>
    <mergeCell ref="T41:W44"/>
    <mergeCell ref="X41:Z42"/>
    <mergeCell ref="P47:R47"/>
    <mergeCell ref="T47:W47"/>
    <mergeCell ref="X47:Z47"/>
    <mergeCell ref="N45:O45"/>
    <mergeCell ref="P45:R45"/>
    <mergeCell ref="T45:W45"/>
    <mergeCell ref="X45:Z45"/>
    <mergeCell ref="A46:F46"/>
    <mergeCell ref="G46:L46"/>
    <mergeCell ref="N46:O46"/>
    <mergeCell ref="P46:R46"/>
    <mergeCell ref="T46:W46"/>
    <mergeCell ref="X46:Z46"/>
    <mergeCell ref="A48:C48"/>
    <mergeCell ref="D48:F48"/>
    <mergeCell ref="A49:C49"/>
    <mergeCell ref="D49:F49"/>
    <mergeCell ref="H49:J49"/>
    <mergeCell ref="K49:L49"/>
    <mergeCell ref="A47:C47"/>
    <mergeCell ref="D47:F47"/>
    <mergeCell ref="N47:O47"/>
    <mergeCell ref="A51:C51"/>
    <mergeCell ref="D51:F51"/>
    <mergeCell ref="A52:C52"/>
    <mergeCell ref="D52:F52"/>
    <mergeCell ref="N49:P49"/>
    <mergeCell ref="Q49:V49"/>
    <mergeCell ref="A50:C50"/>
    <mergeCell ref="D50:F50"/>
    <mergeCell ref="H50:J50"/>
    <mergeCell ref="K50:L50"/>
    <mergeCell ref="S50:T50"/>
  </mergeCells>
  <printOptions horizontalCentered="1"/>
  <pageMargins left="0.39370078740157483" right="0.39370078740157483" top="0.19685039370078741" bottom="0.19685039370078741" header="0" footer="0"/>
  <pageSetup paperSize="9" scale="64" orientation="portrait" horizontalDpi="180" verticalDpi="180" r:id="rId1"/>
  <headerFooter alignWithMargins="0"/>
  <colBreaks count="1" manualBreakCount="1">
    <brk id="12" max="1048575" man="1"/>
  </col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52"/>
  <sheetViews>
    <sheetView view="pageBreakPreview" topLeftCell="A10" zoomScale="75" zoomScaleNormal="50" zoomScaleSheetLayoutView="75" workbookViewId="0">
      <selection activeCell="H37" sqref="H37"/>
    </sheetView>
  </sheetViews>
  <sheetFormatPr defaultRowHeight="18.75" x14ac:dyDescent="0.2"/>
  <cols>
    <col min="1" max="1" width="11.140625" style="88" customWidth="1"/>
    <col min="2" max="2" width="13.42578125" style="88" customWidth="1"/>
    <col min="3" max="3" width="12.140625" style="88" customWidth="1"/>
    <col min="4" max="4" width="14" style="88" customWidth="1"/>
    <col min="5" max="5" width="7.85546875" style="88" customWidth="1"/>
    <col min="6" max="6" width="13.85546875" style="88" customWidth="1"/>
    <col min="7" max="7" width="12.85546875" style="88" customWidth="1"/>
    <col min="8" max="8" width="22.85546875" style="88" customWidth="1"/>
    <col min="9" max="9" width="8.28515625" style="88" customWidth="1"/>
    <col min="10" max="11" width="8.85546875" style="88" customWidth="1"/>
    <col min="12" max="12" width="17" style="88" customWidth="1"/>
    <col min="13" max="26" width="10.28515625" style="88" customWidth="1"/>
    <col min="27" max="16384" width="9.140625" style="88"/>
  </cols>
  <sheetData>
    <row r="1" spans="1:26" ht="21.75" customHeight="1" x14ac:dyDescent="0.2">
      <c r="A1" s="115" t="s">
        <v>157</v>
      </c>
      <c r="B1" s="115"/>
      <c r="C1" s="115"/>
      <c r="D1" s="115"/>
      <c r="E1" s="115"/>
      <c r="F1" s="115"/>
      <c r="G1" s="150" t="s">
        <v>154</v>
      </c>
      <c r="H1" s="150"/>
      <c r="I1" s="115" t="s">
        <v>160</v>
      </c>
      <c r="J1" s="115"/>
      <c r="K1" s="115"/>
      <c r="L1" s="115"/>
      <c r="M1" s="122" t="s">
        <v>96</v>
      </c>
      <c r="N1" s="122"/>
      <c r="O1" s="122"/>
      <c r="P1" s="122"/>
      <c r="Q1" s="122"/>
      <c r="R1" s="122"/>
      <c r="S1" s="122"/>
      <c r="T1" s="122"/>
      <c r="U1" s="122"/>
      <c r="V1" s="122"/>
      <c r="W1" s="122"/>
      <c r="X1" s="122"/>
      <c r="Y1" s="122"/>
      <c r="Z1" s="122"/>
    </row>
    <row r="2" spans="1:26" ht="21.75" customHeight="1" x14ac:dyDescent="0.2">
      <c r="A2" s="146" t="s">
        <v>45</v>
      </c>
      <c r="B2" s="146"/>
      <c r="C2" s="146"/>
      <c r="D2" s="146"/>
      <c r="E2" s="146"/>
      <c r="F2" s="146"/>
      <c r="G2" s="150"/>
      <c r="H2" s="150"/>
      <c r="I2" s="115"/>
      <c r="J2" s="115"/>
      <c r="K2" s="115"/>
      <c r="L2" s="115"/>
      <c r="M2" s="122" t="s">
        <v>78</v>
      </c>
      <c r="N2" s="122"/>
      <c r="O2" s="122"/>
      <c r="P2" s="122"/>
      <c r="Q2" s="122"/>
      <c r="R2" s="122"/>
      <c r="S2" s="122"/>
      <c r="T2" s="122"/>
      <c r="U2" s="122"/>
      <c r="V2" s="122"/>
      <c r="W2" s="122"/>
      <c r="X2" s="122"/>
      <c r="Y2" s="122"/>
      <c r="Z2" s="122"/>
    </row>
    <row r="3" spans="1:26" ht="21.75" customHeight="1" x14ac:dyDescent="0.2">
      <c r="A3" s="115" t="s">
        <v>158</v>
      </c>
      <c r="B3" s="147"/>
      <c r="C3" s="147"/>
      <c r="D3" s="147"/>
      <c r="E3" s="147"/>
      <c r="F3" s="147"/>
      <c r="G3" s="150" t="s">
        <v>155</v>
      </c>
      <c r="H3" s="150"/>
      <c r="I3" s="115" t="s">
        <v>393</v>
      </c>
      <c r="J3" s="115"/>
      <c r="K3" s="115"/>
      <c r="L3" s="115"/>
      <c r="M3" s="123" t="s">
        <v>79</v>
      </c>
      <c r="N3" s="124" t="s">
        <v>81</v>
      </c>
      <c r="O3" s="123"/>
      <c r="P3" s="124" t="s">
        <v>65</v>
      </c>
      <c r="Q3" s="123"/>
      <c r="R3" s="124" t="s">
        <v>82</v>
      </c>
      <c r="S3" s="123"/>
      <c r="T3" s="124" t="s">
        <v>85</v>
      </c>
      <c r="U3" s="123"/>
      <c r="V3" s="124" t="s">
        <v>87</v>
      </c>
      <c r="W3" s="123"/>
      <c r="X3" s="128" t="s">
        <v>91</v>
      </c>
      <c r="Y3" s="132"/>
      <c r="Z3" s="132"/>
    </row>
    <row r="4" spans="1:26" ht="29.25" customHeight="1" x14ac:dyDescent="0.2">
      <c r="A4" s="146" t="s">
        <v>46</v>
      </c>
      <c r="B4" s="146"/>
      <c r="C4" s="146"/>
      <c r="D4" s="146"/>
      <c r="E4" s="146"/>
      <c r="F4" s="146"/>
      <c r="G4" s="150"/>
      <c r="H4" s="150"/>
      <c r="I4" s="115"/>
      <c r="J4" s="115"/>
      <c r="K4" s="115"/>
      <c r="L4" s="115"/>
      <c r="M4" s="116"/>
      <c r="N4" s="125"/>
      <c r="O4" s="116"/>
      <c r="P4" s="125"/>
      <c r="Q4" s="116"/>
      <c r="R4" s="125" t="s">
        <v>83</v>
      </c>
      <c r="S4" s="116"/>
      <c r="T4" s="125" t="s">
        <v>86</v>
      </c>
      <c r="U4" s="116"/>
      <c r="V4" s="125" t="s">
        <v>88</v>
      </c>
      <c r="W4" s="116"/>
      <c r="X4" s="128"/>
      <c r="Y4" s="132"/>
      <c r="Z4" s="132"/>
    </row>
    <row r="5" spans="1:26" ht="21.75" customHeight="1" x14ac:dyDescent="0.2">
      <c r="A5" s="115" t="s">
        <v>177</v>
      </c>
      <c r="B5" s="147"/>
      <c r="C5" s="147"/>
      <c r="D5" s="147"/>
      <c r="E5" s="147"/>
      <c r="F5" s="147"/>
      <c r="G5" s="150" t="s">
        <v>156</v>
      </c>
      <c r="H5" s="150"/>
      <c r="I5" s="115" t="s">
        <v>392</v>
      </c>
      <c r="J5" s="115"/>
      <c r="K5" s="115"/>
      <c r="L5" s="115"/>
      <c r="M5" s="116" t="s">
        <v>80</v>
      </c>
      <c r="N5" s="125"/>
      <c r="O5" s="116"/>
      <c r="P5" s="125" t="s">
        <v>182</v>
      </c>
      <c r="Q5" s="116"/>
      <c r="R5" s="133" t="s">
        <v>84</v>
      </c>
      <c r="S5" s="134"/>
      <c r="T5" s="133" t="s">
        <v>84</v>
      </c>
      <c r="U5" s="134"/>
      <c r="V5" s="125" t="s">
        <v>89</v>
      </c>
      <c r="W5" s="116"/>
      <c r="X5" s="128"/>
      <c r="Y5" s="132"/>
      <c r="Z5" s="132"/>
    </row>
    <row r="6" spans="1:26" ht="21.75" customHeight="1" x14ac:dyDescent="0.2">
      <c r="A6" s="146" t="s">
        <v>47</v>
      </c>
      <c r="B6" s="146"/>
      <c r="C6" s="146"/>
      <c r="D6" s="146"/>
      <c r="E6" s="146"/>
      <c r="F6" s="146"/>
      <c r="G6" s="150"/>
      <c r="H6" s="150"/>
      <c r="I6" s="115"/>
      <c r="J6" s="115"/>
      <c r="K6" s="115"/>
      <c r="L6" s="115"/>
      <c r="M6" s="117"/>
      <c r="N6" s="127"/>
      <c r="O6" s="117"/>
      <c r="P6" s="127"/>
      <c r="Q6" s="117"/>
      <c r="R6" s="127"/>
      <c r="S6" s="117"/>
      <c r="T6" s="127"/>
      <c r="U6" s="117"/>
      <c r="V6" s="127" t="s">
        <v>90</v>
      </c>
      <c r="W6" s="117"/>
      <c r="X6" s="128"/>
      <c r="Y6" s="132"/>
      <c r="Z6" s="132"/>
    </row>
    <row r="7" spans="1:26" ht="21.75" customHeight="1" x14ac:dyDescent="0.2">
      <c r="A7" s="122"/>
      <c r="B7" s="122"/>
      <c r="C7" s="122"/>
      <c r="D7" s="122"/>
      <c r="E7" s="122"/>
      <c r="F7" s="122"/>
      <c r="G7" s="122"/>
      <c r="H7" s="122"/>
      <c r="I7" s="122"/>
      <c r="J7" s="122"/>
      <c r="K7" s="122"/>
      <c r="L7" s="122"/>
      <c r="M7" s="85"/>
      <c r="N7" s="111"/>
      <c r="O7" s="113"/>
      <c r="P7" s="111"/>
      <c r="Q7" s="113"/>
      <c r="R7" s="111"/>
      <c r="S7" s="113"/>
      <c r="T7" s="111"/>
      <c r="U7" s="113"/>
      <c r="V7" s="111"/>
      <c r="W7" s="113"/>
      <c r="X7" s="111"/>
      <c r="Y7" s="112"/>
      <c r="Z7" s="112"/>
    </row>
    <row r="8" spans="1:26" ht="22.5" customHeight="1" x14ac:dyDescent="0.2">
      <c r="A8" s="143" t="s">
        <v>48</v>
      </c>
      <c r="B8" s="143"/>
      <c r="C8" s="143"/>
      <c r="D8" s="143"/>
      <c r="E8" s="143"/>
      <c r="F8" s="143"/>
      <c r="G8" s="143"/>
      <c r="H8" s="143"/>
      <c r="I8" s="143"/>
      <c r="J8" s="143"/>
      <c r="K8" s="143"/>
      <c r="L8" s="143"/>
      <c r="M8" s="85"/>
      <c r="N8" s="111"/>
      <c r="O8" s="113"/>
      <c r="P8" s="111"/>
      <c r="Q8" s="113"/>
      <c r="R8" s="111"/>
      <c r="S8" s="113"/>
      <c r="T8" s="111"/>
      <c r="U8" s="113"/>
      <c r="V8" s="111"/>
      <c r="W8" s="113"/>
      <c r="X8" s="111"/>
      <c r="Y8" s="112"/>
      <c r="Z8" s="112"/>
    </row>
    <row r="9" spans="1:26" ht="22.5" customHeight="1" x14ac:dyDescent="0.2">
      <c r="A9" s="156" t="s">
        <v>49</v>
      </c>
      <c r="B9" s="156"/>
      <c r="C9" s="156"/>
      <c r="D9" s="156"/>
      <c r="E9" s="156"/>
      <c r="F9" s="156"/>
      <c r="G9" s="156"/>
      <c r="H9" s="156"/>
      <c r="I9" s="156"/>
      <c r="J9" s="156"/>
      <c r="K9" s="156"/>
      <c r="L9" s="156"/>
      <c r="M9" s="85"/>
      <c r="N9" s="111"/>
      <c r="O9" s="113"/>
      <c r="P9" s="111"/>
      <c r="Q9" s="113"/>
      <c r="R9" s="111"/>
      <c r="S9" s="113"/>
      <c r="T9" s="111"/>
      <c r="U9" s="113"/>
      <c r="V9" s="111"/>
      <c r="W9" s="113"/>
      <c r="X9" s="111"/>
      <c r="Y9" s="112"/>
      <c r="Z9" s="112"/>
    </row>
    <row r="10" spans="1:26" ht="22.5" customHeight="1" x14ac:dyDescent="0.2">
      <c r="A10" s="151" t="s">
        <v>112</v>
      </c>
      <c r="B10" s="151"/>
      <c r="C10" s="151"/>
      <c r="D10" s="151"/>
      <c r="E10" s="162" t="s">
        <v>407</v>
      </c>
      <c r="F10" s="163"/>
      <c r="G10" s="163"/>
      <c r="H10" s="138" t="s">
        <v>369</v>
      </c>
      <c r="I10" s="138"/>
      <c r="J10" s="138"/>
      <c r="K10" s="138"/>
      <c r="L10" s="138"/>
      <c r="M10" s="85"/>
      <c r="N10" s="111"/>
      <c r="O10" s="113"/>
      <c r="P10" s="111"/>
      <c r="Q10" s="113"/>
      <c r="R10" s="111"/>
      <c r="S10" s="113"/>
      <c r="T10" s="111"/>
      <c r="U10" s="113"/>
      <c r="V10" s="111"/>
      <c r="W10" s="113"/>
      <c r="X10" s="111"/>
      <c r="Y10" s="112"/>
      <c r="Z10" s="112"/>
    </row>
    <row r="11" spans="1:26" ht="22.5" customHeight="1" x14ac:dyDescent="0.2">
      <c r="A11" s="151" t="s">
        <v>113</v>
      </c>
      <c r="B11" s="151"/>
      <c r="C11" s="151"/>
      <c r="D11" s="151"/>
      <c r="E11" s="161" t="s">
        <v>378</v>
      </c>
      <c r="F11" s="161"/>
      <c r="G11" s="161"/>
      <c r="H11" s="161"/>
      <c r="I11" s="138" t="s">
        <v>114</v>
      </c>
      <c r="J11" s="138"/>
      <c r="K11" s="138"/>
      <c r="L11" s="138"/>
      <c r="M11" s="85"/>
      <c r="N11" s="111"/>
      <c r="O11" s="113"/>
      <c r="P11" s="111"/>
      <c r="Q11" s="113"/>
      <c r="R11" s="111"/>
      <c r="S11" s="113"/>
      <c r="T11" s="111"/>
      <c r="U11" s="113"/>
      <c r="V11" s="111"/>
      <c r="W11" s="113"/>
      <c r="X11" s="111"/>
      <c r="Y11" s="112"/>
      <c r="Z11" s="112"/>
    </row>
    <row r="12" spans="1:26" ht="21.75" customHeight="1" x14ac:dyDescent="0.2">
      <c r="A12" s="215"/>
      <c r="B12" s="149"/>
      <c r="C12" s="149"/>
      <c r="D12" s="149"/>
      <c r="E12" s="149"/>
      <c r="F12" s="149"/>
      <c r="G12" s="149"/>
      <c r="H12" s="149"/>
      <c r="I12" s="149"/>
      <c r="J12" s="149"/>
      <c r="K12" s="149"/>
      <c r="L12" s="215"/>
      <c r="M12" s="85"/>
      <c r="N12" s="111"/>
      <c r="O12" s="113"/>
      <c r="P12" s="111"/>
      <c r="Q12" s="113"/>
      <c r="R12" s="111"/>
      <c r="S12" s="113"/>
      <c r="T12" s="111"/>
      <c r="U12" s="113"/>
      <c r="V12" s="111"/>
      <c r="W12" s="113"/>
      <c r="X12" s="111"/>
      <c r="Y12" s="112"/>
      <c r="Z12" s="112"/>
    </row>
    <row r="13" spans="1:26" ht="21.75" customHeight="1" x14ac:dyDescent="0.2">
      <c r="A13" s="187" t="s">
        <v>50</v>
      </c>
      <c r="B13" s="196" t="s">
        <v>56</v>
      </c>
      <c r="C13" s="196"/>
      <c r="D13" s="185" t="s">
        <v>386</v>
      </c>
      <c r="E13" s="186"/>
      <c r="F13" s="195" t="s">
        <v>59</v>
      </c>
      <c r="G13" s="196"/>
      <c r="H13" s="99" t="s">
        <v>386</v>
      </c>
      <c r="I13" s="197" t="s">
        <v>5</v>
      </c>
      <c r="J13" s="195" t="s">
        <v>60</v>
      </c>
      <c r="K13" s="196"/>
      <c r="L13" s="95" t="s">
        <v>65</v>
      </c>
      <c r="M13" s="85"/>
      <c r="N13" s="111"/>
      <c r="O13" s="113"/>
      <c r="P13" s="111"/>
      <c r="Q13" s="113"/>
      <c r="R13" s="111"/>
      <c r="S13" s="113"/>
      <c r="T13" s="111"/>
      <c r="U13" s="113"/>
      <c r="V13" s="111"/>
      <c r="W13" s="113"/>
      <c r="X13" s="111"/>
      <c r="Y13" s="112"/>
      <c r="Z13" s="112"/>
    </row>
    <row r="14" spans="1:26" ht="21.75" customHeight="1" x14ac:dyDescent="0.2">
      <c r="A14" s="188"/>
      <c r="B14" s="201" t="s">
        <v>57</v>
      </c>
      <c r="C14" s="201"/>
      <c r="D14" s="202" t="s">
        <v>394</v>
      </c>
      <c r="E14" s="203"/>
      <c r="F14" s="200" t="s">
        <v>57</v>
      </c>
      <c r="G14" s="201"/>
      <c r="H14" s="97" t="s">
        <v>394</v>
      </c>
      <c r="I14" s="198"/>
      <c r="J14" s="200" t="s">
        <v>61</v>
      </c>
      <c r="K14" s="201"/>
      <c r="L14" s="96" t="s">
        <v>66</v>
      </c>
      <c r="M14" s="85"/>
      <c r="N14" s="111"/>
      <c r="O14" s="113"/>
      <c r="P14" s="111"/>
      <c r="Q14" s="113"/>
      <c r="R14" s="111"/>
      <c r="S14" s="113"/>
      <c r="T14" s="111"/>
      <c r="U14" s="113"/>
      <c r="V14" s="111"/>
      <c r="W14" s="113"/>
      <c r="X14" s="111"/>
      <c r="Y14" s="112"/>
      <c r="Z14" s="112"/>
    </row>
    <row r="15" spans="1:26" ht="21.75" customHeight="1" x14ac:dyDescent="0.2">
      <c r="A15" s="188"/>
      <c r="B15" s="192" t="s">
        <v>58</v>
      </c>
      <c r="C15" s="192"/>
      <c r="D15" s="193">
        <v>1</v>
      </c>
      <c r="E15" s="194"/>
      <c r="F15" s="191" t="s">
        <v>58</v>
      </c>
      <c r="G15" s="192"/>
      <c r="H15" s="102">
        <v>1</v>
      </c>
      <c r="I15" s="198"/>
      <c r="J15" s="191" t="s">
        <v>62</v>
      </c>
      <c r="K15" s="192"/>
      <c r="L15" s="96" t="s">
        <v>67</v>
      </c>
      <c r="M15" s="85"/>
      <c r="N15" s="111"/>
      <c r="O15" s="113"/>
      <c r="P15" s="111"/>
      <c r="Q15" s="113"/>
      <c r="R15" s="111"/>
      <c r="S15" s="113"/>
      <c r="T15" s="111"/>
      <c r="U15" s="113"/>
      <c r="V15" s="111"/>
      <c r="W15" s="113"/>
      <c r="X15" s="111"/>
      <c r="Y15" s="112"/>
      <c r="Z15" s="112"/>
    </row>
    <row r="16" spans="1:26" ht="21.75" customHeight="1" x14ac:dyDescent="0.2">
      <c r="A16" s="188"/>
      <c r="B16" s="100" t="s">
        <v>51</v>
      </c>
      <c r="C16" s="91" t="s">
        <v>53</v>
      </c>
      <c r="D16" s="91" t="s">
        <v>54</v>
      </c>
      <c r="E16" s="154"/>
      <c r="F16" s="91" t="s">
        <v>51</v>
      </c>
      <c r="G16" s="91" t="s">
        <v>53</v>
      </c>
      <c r="H16" s="95" t="s">
        <v>54</v>
      </c>
      <c r="I16" s="198"/>
      <c r="J16" s="154" t="s">
        <v>63</v>
      </c>
      <c r="K16" s="154" t="s">
        <v>64</v>
      </c>
      <c r="L16" s="96" t="s">
        <v>68</v>
      </c>
      <c r="M16" s="85"/>
      <c r="N16" s="111"/>
      <c r="O16" s="113"/>
      <c r="P16" s="111"/>
      <c r="Q16" s="113"/>
      <c r="R16" s="111"/>
      <c r="S16" s="113"/>
      <c r="T16" s="111"/>
      <c r="U16" s="113"/>
      <c r="V16" s="111"/>
      <c r="W16" s="113"/>
      <c r="X16" s="111"/>
      <c r="Y16" s="112"/>
      <c r="Z16" s="112"/>
    </row>
    <row r="17" spans="1:26" ht="21.75" customHeight="1" x14ac:dyDescent="0.2">
      <c r="A17" s="189"/>
      <c r="B17" s="91" t="s">
        <v>52</v>
      </c>
      <c r="C17" s="101" t="s">
        <v>51</v>
      </c>
      <c r="D17" s="101" t="s">
        <v>55</v>
      </c>
      <c r="E17" s="190"/>
      <c r="F17" s="101" t="s">
        <v>52</v>
      </c>
      <c r="G17" s="92" t="s">
        <v>51</v>
      </c>
      <c r="H17" s="98" t="s">
        <v>55</v>
      </c>
      <c r="I17" s="199"/>
      <c r="J17" s="155"/>
      <c r="K17" s="155"/>
      <c r="L17" s="98" t="s">
        <v>69</v>
      </c>
      <c r="M17" s="130" t="s">
        <v>92</v>
      </c>
      <c r="N17" s="130"/>
      <c r="O17" s="130"/>
      <c r="P17" s="130"/>
      <c r="Q17" s="130"/>
      <c r="R17" s="130"/>
      <c r="S17" s="130"/>
      <c r="T17" s="130"/>
      <c r="U17" s="130"/>
      <c r="V17" s="130"/>
      <c r="W17" s="130"/>
      <c r="X17" s="130"/>
      <c r="Y17" s="130"/>
      <c r="Z17" s="130"/>
    </row>
    <row r="18" spans="1:26" ht="23.25" customHeight="1" x14ac:dyDescent="0.2">
      <c r="A18" s="49" t="s">
        <v>7</v>
      </c>
      <c r="B18" s="82">
        <v>6441.54</v>
      </c>
      <c r="C18" s="25"/>
      <c r="D18" s="24"/>
      <c r="E18" s="90"/>
      <c r="F18" s="82">
        <v>360.97399999999999</v>
      </c>
      <c r="G18" s="51"/>
      <c r="H18" s="50"/>
      <c r="I18" s="52"/>
      <c r="J18" s="104"/>
      <c r="K18" s="104"/>
      <c r="L18" s="73"/>
      <c r="M18" s="123" t="s">
        <v>79</v>
      </c>
      <c r="N18" s="121" t="s">
        <v>98</v>
      </c>
      <c r="O18" s="121"/>
      <c r="P18" s="121"/>
      <c r="Q18" s="121" t="s">
        <v>107</v>
      </c>
      <c r="R18" s="121"/>
      <c r="S18" s="121"/>
      <c r="T18" s="121" t="s">
        <v>93</v>
      </c>
      <c r="U18" s="121"/>
      <c r="V18" s="121"/>
      <c r="W18" s="124" t="s">
        <v>91</v>
      </c>
      <c r="X18" s="131"/>
      <c r="Y18" s="131"/>
      <c r="Z18" s="131"/>
    </row>
    <row r="19" spans="1:26" ht="23.25" customHeight="1" x14ac:dyDescent="0.2">
      <c r="A19" s="49" t="s">
        <v>8</v>
      </c>
      <c r="B19" s="82">
        <v>6442.75</v>
      </c>
      <c r="C19" s="25">
        <f t="shared" ref="C19:C42" si="0">IF(B19="","",IF(LEN(TRUNC(B18,0))-LEN(TRUNC(B19,0))=0,B19-B18,IF(LEN(TRUNC(B18,0))-LEN(TRUNC(B19,0))&gt;0,VALUE(LEFT(B18,LEN(TRUNC(B18,0))-LEN(TRUNC(B19,0))))*POWER(10,LEN(TRUNC(B19,0)))+B19-B18,B19-B18-VALUE(LEFT(B19,LEN(TRUNC(B19,0))-LEN(TRUNC(B18,0))))*POWER(10,LEN(TRUNC(B18,0))))))</f>
        <v>1.2100000000000364</v>
      </c>
      <c r="D19" s="24">
        <f t="shared" ref="D19:D42" si="1">IF(C19="","",C19*$D$15)</f>
        <v>1.2100000000000364</v>
      </c>
      <c r="E19" s="90"/>
      <c r="F19" s="82">
        <v>361.06799999999998</v>
      </c>
      <c r="G19" s="51">
        <f>F19-ReportObject15_3</f>
        <v>9.3999999999994088E-2</v>
      </c>
      <c r="H19" s="50">
        <f t="shared" ref="H19:H42" si="2">IF(G19="","",G19*$H$15)</f>
        <v>9.3999999999994088E-2</v>
      </c>
      <c r="I19" s="52">
        <f t="shared" ref="I19:I42" si="3">IF(H19="","",IF(D19="","",IF(AND(H19=0,D19=0),0,H19/D19)))</f>
        <v>7.7685950413215923E-2</v>
      </c>
      <c r="J19" s="104"/>
      <c r="K19" s="83"/>
      <c r="L19" s="53"/>
      <c r="M19" s="116"/>
      <c r="N19" s="118"/>
      <c r="O19" s="118"/>
      <c r="P19" s="118"/>
      <c r="Q19" s="118" t="s">
        <v>108</v>
      </c>
      <c r="R19" s="118"/>
      <c r="S19" s="118"/>
      <c r="T19" s="118"/>
      <c r="U19" s="118"/>
      <c r="V19" s="118"/>
      <c r="W19" s="125"/>
      <c r="X19" s="122"/>
      <c r="Y19" s="122"/>
      <c r="Z19" s="122"/>
    </row>
    <row r="20" spans="1:26" ht="23.25" customHeight="1" x14ac:dyDescent="0.2">
      <c r="A20" s="49" t="s">
        <v>9</v>
      </c>
      <c r="B20" s="82">
        <v>6443.9579999999996</v>
      </c>
      <c r="C20" s="25">
        <f t="shared" si="0"/>
        <v>1.2079999999996289</v>
      </c>
      <c r="D20" s="24">
        <f t="shared" si="1"/>
        <v>1.2079999999996289</v>
      </c>
      <c r="E20" s="90"/>
      <c r="F20" s="82">
        <v>361.16</v>
      </c>
      <c r="G20" s="51">
        <f>F20-F19</f>
        <v>9.2000000000041382E-2</v>
      </c>
      <c r="H20" s="50">
        <f t="shared" si="2"/>
        <v>9.2000000000041382E-2</v>
      </c>
      <c r="I20" s="52">
        <f t="shared" si="3"/>
        <v>7.6158940397408642E-2</v>
      </c>
      <c r="J20" s="104"/>
      <c r="K20" s="83"/>
      <c r="L20" s="53"/>
      <c r="M20" s="116" t="s">
        <v>80</v>
      </c>
      <c r="N20" s="118" t="s">
        <v>99</v>
      </c>
      <c r="O20" s="118"/>
      <c r="P20" s="118"/>
      <c r="Q20" s="118" t="s">
        <v>181</v>
      </c>
      <c r="R20" s="118"/>
      <c r="S20" s="118"/>
      <c r="T20" s="118" t="s">
        <v>94</v>
      </c>
      <c r="U20" s="118"/>
      <c r="V20" s="118"/>
      <c r="W20" s="125"/>
      <c r="X20" s="122"/>
      <c r="Y20" s="122"/>
      <c r="Z20" s="122"/>
    </row>
    <row r="21" spans="1:26" ht="23.25" customHeight="1" x14ac:dyDescent="0.2">
      <c r="A21" s="49" t="s">
        <v>10</v>
      </c>
      <c r="B21" s="82">
        <v>6445.1660000000002</v>
      </c>
      <c r="C21" s="25">
        <f t="shared" si="0"/>
        <v>1.2080000000005384</v>
      </c>
      <c r="D21" s="24">
        <f t="shared" si="1"/>
        <v>1.2080000000005384</v>
      </c>
      <c r="E21" s="90"/>
      <c r="F21" s="82">
        <v>361.25400000000002</v>
      </c>
      <c r="G21" s="51">
        <f t="shared" ref="G21:G42" si="4">F21-F20</f>
        <v>9.3999999999994088E-2</v>
      </c>
      <c r="H21" s="50">
        <f t="shared" si="2"/>
        <v>9.3999999999994088E-2</v>
      </c>
      <c r="I21" s="52">
        <f t="shared" si="3"/>
        <v>7.781456953638427E-2</v>
      </c>
      <c r="J21" s="104"/>
      <c r="K21" s="83"/>
      <c r="L21" s="53"/>
      <c r="M21" s="117"/>
      <c r="N21" s="119"/>
      <c r="O21" s="119"/>
      <c r="P21" s="119"/>
      <c r="Q21" s="119"/>
      <c r="R21" s="119"/>
      <c r="S21" s="119"/>
      <c r="T21" s="119"/>
      <c r="U21" s="119"/>
      <c r="V21" s="119"/>
      <c r="W21" s="127"/>
      <c r="X21" s="130"/>
      <c r="Y21" s="130"/>
      <c r="Z21" s="130"/>
    </row>
    <row r="22" spans="1:26" ht="23.25" customHeight="1" x14ac:dyDescent="0.2">
      <c r="A22" s="49" t="s">
        <v>11</v>
      </c>
      <c r="B22" s="82">
        <v>6446.3739999999998</v>
      </c>
      <c r="C22" s="25">
        <f t="shared" si="0"/>
        <v>1.2079999999996289</v>
      </c>
      <c r="D22" s="24">
        <f t="shared" si="1"/>
        <v>1.2079999999996289</v>
      </c>
      <c r="E22" s="90"/>
      <c r="F22" s="82">
        <v>361.34800000000001</v>
      </c>
      <c r="G22" s="51">
        <f t="shared" si="4"/>
        <v>9.3999999999994088E-2</v>
      </c>
      <c r="H22" s="50">
        <f t="shared" si="2"/>
        <v>9.3999999999994088E-2</v>
      </c>
      <c r="I22" s="52">
        <f t="shared" si="3"/>
        <v>7.7814569536442849E-2</v>
      </c>
      <c r="J22" s="104"/>
      <c r="K22" s="83"/>
      <c r="L22" s="53"/>
      <c r="M22" s="85"/>
      <c r="N22" s="120"/>
      <c r="O22" s="120"/>
      <c r="P22" s="120"/>
      <c r="Q22" s="120"/>
      <c r="R22" s="120"/>
      <c r="S22" s="120"/>
      <c r="T22" s="120"/>
      <c r="U22" s="120"/>
      <c r="V22" s="120"/>
      <c r="W22" s="111"/>
      <c r="X22" s="112"/>
      <c r="Y22" s="112"/>
      <c r="Z22" s="112"/>
    </row>
    <row r="23" spans="1:26" ht="23.25" customHeight="1" x14ac:dyDescent="0.2">
      <c r="A23" s="49" t="s">
        <v>12</v>
      </c>
      <c r="B23" s="82">
        <v>6447.5879999999997</v>
      </c>
      <c r="C23" s="25">
        <f t="shared" si="0"/>
        <v>1.2139999999999418</v>
      </c>
      <c r="D23" s="24">
        <f t="shared" si="1"/>
        <v>1.2139999999999418</v>
      </c>
      <c r="E23" s="90"/>
      <c r="F23" s="82">
        <v>361.44400000000002</v>
      </c>
      <c r="G23" s="51">
        <f t="shared" si="4"/>
        <v>9.6000000000003638E-2</v>
      </c>
      <c r="H23" s="50">
        <f t="shared" si="2"/>
        <v>9.6000000000003638E-2</v>
      </c>
      <c r="I23" s="52">
        <f t="shared" si="3"/>
        <v>7.907742998353233E-2</v>
      </c>
      <c r="J23" s="104"/>
      <c r="K23" s="83"/>
      <c r="L23" s="53"/>
      <c r="M23" s="85"/>
      <c r="N23" s="120"/>
      <c r="O23" s="120"/>
      <c r="P23" s="120"/>
      <c r="Q23" s="120"/>
      <c r="R23" s="120"/>
      <c r="S23" s="120"/>
      <c r="T23" s="120"/>
      <c r="U23" s="120"/>
      <c r="V23" s="120"/>
      <c r="W23" s="111"/>
      <c r="X23" s="112"/>
      <c r="Y23" s="112"/>
      <c r="Z23" s="112"/>
    </row>
    <row r="24" spans="1:26" ht="23.25" customHeight="1" x14ac:dyDescent="0.2">
      <c r="A24" s="49" t="s">
        <v>13</v>
      </c>
      <c r="B24" s="82">
        <v>6448.7939999999999</v>
      </c>
      <c r="C24" s="25">
        <f t="shared" si="0"/>
        <v>1.206000000000131</v>
      </c>
      <c r="D24" s="24">
        <f t="shared" si="1"/>
        <v>1.206000000000131</v>
      </c>
      <c r="E24" s="90"/>
      <c r="F24" s="82">
        <v>361.54</v>
      </c>
      <c r="G24" s="51">
        <f t="shared" si="4"/>
        <v>9.6000000000003638E-2</v>
      </c>
      <c r="H24" s="50">
        <f t="shared" si="2"/>
        <v>9.6000000000003638E-2</v>
      </c>
      <c r="I24" s="52">
        <f t="shared" si="3"/>
        <v>7.9601990049745622E-2</v>
      </c>
      <c r="J24" s="104"/>
      <c r="K24" s="83"/>
      <c r="L24" s="53"/>
      <c r="M24" s="85"/>
      <c r="N24" s="120"/>
      <c r="O24" s="120"/>
      <c r="P24" s="120"/>
      <c r="Q24" s="120"/>
      <c r="R24" s="120"/>
      <c r="S24" s="120"/>
      <c r="T24" s="120"/>
      <c r="U24" s="120"/>
      <c r="V24" s="120"/>
      <c r="W24" s="111"/>
      <c r="X24" s="112"/>
      <c r="Y24" s="112"/>
      <c r="Z24" s="112"/>
    </row>
    <row r="25" spans="1:26" ht="23.25" customHeight="1" x14ac:dyDescent="0.2">
      <c r="A25" s="49" t="s">
        <v>14</v>
      </c>
      <c r="B25" s="82">
        <v>6449.95</v>
      </c>
      <c r="C25" s="25">
        <f t="shared" si="0"/>
        <v>1.1559999999999491</v>
      </c>
      <c r="D25" s="24">
        <f t="shared" si="1"/>
        <v>1.1559999999999491</v>
      </c>
      <c r="E25" s="90"/>
      <c r="F25" s="82">
        <v>361.61599999999999</v>
      </c>
      <c r="G25" s="51">
        <f t="shared" si="4"/>
        <v>7.5999999999964984E-2</v>
      </c>
      <c r="H25" s="50">
        <f t="shared" si="2"/>
        <v>7.5999999999964984E-2</v>
      </c>
      <c r="I25" s="52">
        <f t="shared" si="3"/>
        <v>6.57439446366508E-2</v>
      </c>
      <c r="J25" s="104"/>
      <c r="K25" s="83"/>
      <c r="L25" s="53"/>
      <c r="M25" s="85"/>
      <c r="N25" s="120"/>
      <c r="O25" s="120"/>
      <c r="P25" s="120"/>
      <c r="Q25" s="120"/>
      <c r="R25" s="120"/>
      <c r="S25" s="120"/>
      <c r="T25" s="120"/>
      <c r="U25" s="120"/>
      <c r="V25" s="120"/>
      <c r="W25" s="111"/>
      <c r="X25" s="112"/>
      <c r="Y25" s="112"/>
      <c r="Z25" s="112"/>
    </row>
    <row r="26" spans="1:26" ht="23.25" customHeight="1" x14ac:dyDescent="0.2">
      <c r="A26" s="49" t="s">
        <v>15</v>
      </c>
      <c r="B26" s="82">
        <v>6450.1959999999999</v>
      </c>
      <c r="C26" s="25">
        <f t="shared" si="0"/>
        <v>0.24600000000009459</v>
      </c>
      <c r="D26" s="24">
        <f t="shared" si="1"/>
        <v>0.24600000000009459</v>
      </c>
      <c r="E26" s="90"/>
      <c r="F26" s="82">
        <v>361.64400000000001</v>
      </c>
      <c r="G26" s="51">
        <f t="shared" si="4"/>
        <v>2.8000000000020009E-2</v>
      </c>
      <c r="H26" s="50">
        <f t="shared" si="2"/>
        <v>2.8000000000020009E-2</v>
      </c>
      <c r="I26" s="52">
        <f t="shared" si="3"/>
        <v>0.11382113821141969</v>
      </c>
      <c r="J26" s="104"/>
      <c r="K26" s="83"/>
      <c r="L26" s="53"/>
      <c r="M26" s="85"/>
      <c r="N26" s="120"/>
      <c r="O26" s="120"/>
      <c r="P26" s="120"/>
      <c r="Q26" s="120"/>
      <c r="R26" s="120"/>
      <c r="S26" s="120"/>
      <c r="T26" s="120"/>
      <c r="U26" s="120"/>
      <c r="V26" s="120"/>
      <c r="W26" s="111"/>
      <c r="X26" s="112"/>
      <c r="Y26" s="112"/>
      <c r="Z26" s="112"/>
    </row>
    <row r="27" spans="1:26" ht="23.25" customHeight="1" x14ac:dyDescent="0.2">
      <c r="A27" s="49" t="s">
        <v>16</v>
      </c>
      <c r="B27" s="82">
        <v>6451.1220000000003</v>
      </c>
      <c r="C27" s="25">
        <f t="shared" si="0"/>
        <v>0.92600000000038563</v>
      </c>
      <c r="D27" s="24">
        <f t="shared" si="1"/>
        <v>0.92600000000038563</v>
      </c>
      <c r="E27" s="90"/>
      <c r="F27" s="82">
        <v>361.68</v>
      </c>
      <c r="G27" s="51">
        <f t="shared" si="4"/>
        <v>3.6000000000001364E-2</v>
      </c>
      <c r="H27" s="50">
        <f t="shared" si="2"/>
        <v>3.6000000000001364E-2</v>
      </c>
      <c r="I27" s="52">
        <f t="shared" si="3"/>
        <v>3.8876889848797377E-2</v>
      </c>
      <c r="J27" s="104"/>
      <c r="K27" s="83"/>
      <c r="L27" s="53"/>
      <c r="M27" s="85"/>
      <c r="N27" s="120"/>
      <c r="O27" s="120"/>
      <c r="P27" s="120"/>
      <c r="Q27" s="120"/>
      <c r="R27" s="120"/>
      <c r="S27" s="120"/>
      <c r="T27" s="120"/>
      <c r="U27" s="120"/>
      <c r="V27" s="120"/>
      <c r="W27" s="111"/>
      <c r="X27" s="112"/>
      <c r="Y27" s="112"/>
      <c r="Z27" s="112"/>
    </row>
    <row r="28" spans="1:26" ht="23.25" customHeight="1" x14ac:dyDescent="0.2">
      <c r="A28" s="49" t="s">
        <v>17</v>
      </c>
      <c r="B28" s="82">
        <v>6453.1660000000002</v>
      </c>
      <c r="C28" s="25">
        <f t="shared" si="0"/>
        <v>2.043999999999869</v>
      </c>
      <c r="D28" s="24">
        <f t="shared" si="1"/>
        <v>2.043999999999869</v>
      </c>
      <c r="E28" s="90"/>
      <c r="F28" s="82">
        <v>361.702</v>
      </c>
      <c r="G28" s="51">
        <f t="shared" si="4"/>
        <v>2.199999999999136E-2</v>
      </c>
      <c r="H28" s="50">
        <f t="shared" si="2"/>
        <v>2.199999999999136E-2</v>
      </c>
      <c r="I28" s="52">
        <f t="shared" si="3"/>
        <v>1.0763209393342842E-2</v>
      </c>
      <c r="J28" s="104"/>
      <c r="K28" s="83"/>
      <c r="L28" s="53"/>
      <c r="M28" s="85"/>
      <c r="N28" s="120"/>
      <c r="O28" s="120"/>
      <c r="P28" s="120"/>
      <c r="Q28" s="120"/>
      <c r="R28" s="120"/>
      <c r="S28" s="120"/>
      <c r="T28" s="120"/>
      <c r="U28" s="120"/>
      <c r="V28" s="120"/>
      <c r="W28" s="111"/>
      <c r="X28" s="112"/>
      <c r="Y28" s="112"/>
      <c r="Z28" s="112"/>
    </row>
    <row r="29" spans="1:26" ht="23.25" customHeight="1" x14ac:dyDescent="0.2">
      <c r="A29" s="49" t="s">
        <v>18</v>
      </c>
      <c r="B29" s="82">
        <v>6455.0839999999998</v>
      </c>
      <c r="C29" s="25">
        <f t="shared" si="0"/>
        <v>1.9179999999996653</v>
      </c>
      <c r="D29" s="24">
        <f t="shared" si="1"/>
        <v>1.9179999999996653</v>
      </c>
      <c r="E29" s="90"/>
      <c r="F29" s="82">
        <v>361.73599999999999</v>
      </c>
      <c r="G29" s="51">
        <f t="shared" si="4"/>
        <v>3.3999999999991815E-2</v>
      </c>
      <c r="H29" s="50">
        <f t="shared" si="2"/>
        <v>3.3999999999991815E-2</v>
      </c>
      <c r="I29" s="52">
        <f t="shared" si="3"/>
        <v>1.7726798748695385E-2</v>
      </c>
      <c r="J29" s="104"/>
      <c r="K29" s="83"/>
      <c r="L29" s="53"/>
      <c r="M29" s="145" t="s">
        <v>95</v>
      </c>
      <c r="N29" s="145"/>
      <c r="O29" s="145"/>
      <c r="P29" s="145"/>
      <c r="Q29" s="145"/>
      <c r="R29" s="145"/>
      <c r="S29" s="145"/>
      <c r="T29" s="145"/>
      <c r="U29" s="145"/>
      <c r="V29" s="145"/>
      <c r="W29" s="145"/>
      <c r="X29" s="145"/>
      <c r="Y29" s="145"/>
      <c r="Z29" s="145"/>
    </row>
    <row r="30" spans="1:26" ht="23.25" customHeight="1" x14ac:dyDescent="0.2">
      <c r="A30" s="49" t="s">
        <v>19</v>
      </c>
      <c r="B30" s="82">
        <v>6456.7219999999998</v>
      </c>
      <c r="C30" s="25">
        <f t="shared" si="0"/>
        <v>1.63799999999992</v>
      </c>
      <c r="D30" s="24">
        <f t="shared" si="1"/>
        <v>1.63799999999992</v>
      </c>
      <c r="E30" s="90"/>
      <c r="F30" s="82">
        <v>361.77</v>
      </c>
      <c r="G30" s="51">
        <f t="shared" si="4"/>
        <v>3.3999999999991815E-2</v>
      </c>
      <c r="H30" s="50">
        <f t="shared" si="2"/>
        <v>3.3999999999991815E-2</v>
      </c>
      <c r="I30" s="52">
        <f t="shared" si="3"/>
        <v>2.0757020757016773E-2</v>
      </c>
      <c r="J30" s="104"/>
      <c r="K30" s="83"/>
      <c r="L30" s="53"/>
      <c r="M30" s="122" t="s">
        <v>97</v>
      </c>
      <c r="N30" s="122"/>
      <c r="O30" s="122"/>
      <c r="P30" s="122"/>
      <c r="Q30" s="122"/>
      <c r="R30" s="122"/>
      <c r="S30" s="122"/>
      <c r="T30" s="122"/>
      <c r="U30" s="122"/>
      <c r="V30" s="122"/>
      <c r="W30" s="122"/>
      <c r="X30" s="122"/>
      <c r="Y30" s="122"/>
      <c r="Z30" s="122"/>
    </row>
    <row r="31" spans="1:26" ht="23.25" customHeight="1" x14ac:dyDescent="0.2">
      <c r="A31" s="49" t="s">
        <v>20</v>
      </c>
      <c r="B31" s="82">
        <v>6458.8720000000003</v>
      </c>
      <c r="C31" s="25">
        <f t="shared" si="0"/>
        <v>2.1500000000005457</v>
      </c>
      <c r="D31" s="24">
        <f t="shared" si="1"/>
        <v>2.1500000000005457</v>
      </c>
      <c r="E31" s="90"/>
      <c r="F31" s="82">
        <v>361.952</v>
      </c>
      <c r="G31" s="51">
        <f t="shared" si="4"/>
        <v>0.18200000000001637</v>
      </c>
      <c r="H31" s="50">
        <f t="shared" si="2"/>
        <v>0.18200000000001637</v>
      </c>
      <c r="I31" s="52">
        <f t="shared" si="3"/>
        <v>8.4651162790683798E-2</v>
      </c>
      <c r="J31" s="104"/>
      <c r="K31" s="83"/>
      <c r="L31" s="53"/>
      <c r="M31" s="123" t="s">
        <v>79</v>
      </c>
      <c r="N31" s="121" t="s">
        <v>98</v>
      </c>
      <c r="O31" s="121"/>
      <c r="P31" s="121" t="s">
        <v>100</v>
      </c>
      <c r="Q31" s="121"/>
      <c r="R31" s="121" t="s">
        <v>93</v>
      </c>
      <c r="S31" s="121"/>
      <c r="T31" s="121" t="s">
        <v>103</v>
      </c>
      <c r="U31" s="121"/>
      <c r="V31" s="121" t="s">
        <v>179</v>
      </c>
      <c r="W31" s="121"/>
      <c r="X31" s="121"/>
      <c r="Y31" s="121" t="s">
        <v>91</v>
      </c>
      <c r="Z31" s="124"/>
    </row>
    <row r="32" spans="1:26" ht="23.25" customHeight="1" x14ac:dyDescent="0.2">
      <c r="A32" s="49" t="s">
        <v>21</v>
      </c>
      <c r="B32" s="82">
        <v>6460.82</v>
      </c>
      <c r="C32" s="25">
        <f t="shared" si="0"/>
        <v>1.9479999999994106</v>
      </c>
      <c r="D32" s="24">
        <f t="shared" si="1"/>
        <v>1.9479999999994106</v>
      </c>
      <c r="E32" s="90"/>
      <c r="F32" s="82">
        <v>362.00200000000001</v>
      </c>
      <c r="G32" s="51">
        <f t="shared" si="4"/>
        <v>5.0000000000011369E-2</v>
      </c>
      <c r="H32" s="50">
        <f t="shared" si="2"/>
        <v>5.0000000000011369E-2</v>
      </c>
      <c r="I32" s="52">
        <f t="shared" si="3"/>
        <v>2.5667351129377052E-2</v>
      </c>
      <c r="J32" s="104"/>
      <c r="K32" s="83"/>
      <c r="L32" s="53"/>
      <c r="M32" s="116"/>
      <c r="N32" s="118"/>
      <c r="O32" s="118"/>
      <c r="P32" s="118" t="s">
        <v>83</v>
      </c>
      <c r="Q32" s="118"/>
      <c r="R32" s="118" t="s">
        <v>102</v>
      </c>
      <c r="S32" s="118"/>
      <c r="T32" s="118" t="s">
        <v>104</v>
      </c>
      <c r="U32" s="118"/>
      <c r="V32" s="118" t="s">
        <v>105</v>
      </c>
      <c r="W32" s="118"/>
      <c r="X32" s="118"/>
      <c r="Y32" s="118"/>
      <c r="Z32" s="125"/>
    </row>
    <row r="33" spans="1:26" ht="23.25" customHeight="1" x14ac:dyDescent="0.2">
      <c r="A33" s="49" t="s">
        <v>22</v>
      </c>
      <c r="B33" s="82">
        <v>6461.5540000000001</v>
      </c>
      <c r="C33" s="25">
        <f t="shared" si="0"/>
        <v>0.73400000000037835</v>
      </c>
      <c r="D33" s="24">
        <f t="shared" si="1"/>
        <v>0.73400000000037835</v>
      </c>
      <c r="E33" s="90"/>
      <c r="F33" s="82">
        <v>362.18</v>
      </c>
      <c r="G33" s="51">
        <f t="shared" si="4"/>
        <v>0.17799999999999727</v>
      </c>
      <c r="H33" s="50">
        <f t="shared" si="2"/>
        <v>0.17799999999999727</v>
      </c>
      <c r="I33" s="52">
        <f t="shared" si="3"/>
        <v>0.24250681198897209</v>
      </c>
      <c r="J33" s="104"/>
      <c r="K33" s="83"/>
      <c r="L33" s="53"/>
      <c r="M33" s="116" t="s">
        <v>80</v>
      </c>
      <c r="N33" s="118" t="s">
        <v>99</v>
      </c>
      <c r="O33" s="118"/>
      <c r="P33" s="118" t="s">
        <v>101</v>
      </c>
      <c r="Q33" s="118"/>
      <c r="R33" s="118" t="s">
        <v>69</v>
      </c>
      <c r="S33" s="118"/>
      <c r="T33" s="118" t="s">
        <v>69</v>
      </c>
      <c r="U33" s="118"/>
      <c r="V33" s="118" t="s">
        <v>106</v>
      </c>
      <c r="W33" s="118"/>
      <c r="X33" s="118"/>
      <c r="Y33" s="118"/>
      <c r="Z33" s="125"/>
    </row>
    <row r="34" spans="1:26" ht="23.25" customHeight="1" x14ac:dyDescent="0.2">
      <c r="A34" s="49" t="s">
        <v>23</v>
      </c>
      <c r="B34" s="82">
        <v>6461.87</v>
      </c>
      <c r="C34" s="25">
        <f t="shared" si="0"/>
        <v>0.31599999999980355</v>
      </c>
      <c r="D34" s="24">
        <f t="shared" si="1"/>
        <v>0.31599999999980355</v>
      </c>
      <c r="E34" s="90"/>
      <c r="F34" s="82">
        <v>362.416</v>
      </c>
      <c r="G34" s="51">
        <f t="shared" si="4"/>
        <v>0.23599999999999</v>
      </c>
      <c r="H34" s="50">
        <f t="shared" si="2"/>
        <v>0.23599999999999</v>
      </c>
      <c r="I34" s="52">
        <f t="shared" si="3"/>
        <v>0.74683544303840732</v>
      </c>
      <c r="J34" s="104"/>
      <c r="K34" s="83"/>
      <c r="L34" s="53"/>
      <c r="M34" s="117"/>
      <c r="N34" s="119"/>
      <c r="O34" s="119"/>
      <c r="P34" s="119"/>
      <c r="Q34" s="119"/>
      <c r="R34" s="127"/>
      <c r="S34" s="117"/>
      <c r="T34" s="127"/>
      <c r="U34" s="117"/>
      <c r="V34" s="127"/>
      <c r="W34" s="130"/>
      <c r="X34" s="117"/>
      <c r="Y34" s="119"/>
      <c r="Z34" s="127"/>
    </row>
    <row r="35" spans="1:26" ht="23.25" customHeight="1" x14ac:dyDescent="0.2">
      <c r="A35" s="49" t="s">
        <v>24</v>
      </c>
      <c r="B35" s="82">
        <v>6463.0460000000003</v>
      </c>
      <c r="C35" s="25">
        <f t="shared" si="0"/>
        <v>1.1760000000003856</v>
      </c>
      <c r="D35" s="24">
        <f t="shared" si="1"/>
        <v>1.1760000000003856</v>
      </c>
      <c r="E35" s="90"/>
      <c r="F35" s="82">
        <v>362.69</v>
      </c>
      <c r="G35" s="51">
        <f t="shared" si="4"/>
        <v>0.27400000000000091</v>
      </c>
      <c r="H35" s="50">
        <f t="shared" si="2"/>
        <v>0.27400000000000091</v>
      </c>
      <c r="I35" s="52">
        <f t="shared" si="3"/>
        <v>0.23299319727883594</v>
      </c>
      <c r="J35" s="104"/>
      <c r="K35" s="83"/>
      <c r="L35" s="53"/>
      <c r="M35" s="85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11"/>
    </row>
    <row r="36" spans="1:26" ht="23.25" customHeight="1" x14ac:dyDescent="0.2">
      <c r="A36" s="49" t="s">
        <v>25</v>
      </c>
      <c r="B36" s="82">
        <v>6463.32</v>
      </c>
      <c r="C36" s="25">
        <f t="shared" si="0"/>
        <v>0.27399999999943248</v>
      </c>
      <c r="D36" s="24">
        <f t="shared" si="1"/>
        <v>0.27399999999943248</v>
      </c>
      <c r="E36" s="90"/>
      <c r="F36" s="82">
        <v>362.76</v>
      </c>
      <c r="G36" s="51">
        <f t="shared" si="4"/>
        <v>6.9999999999993179E-2</v>
      </c>
      <c r="H36" s="50">
        <f t="shared" si="2"/>
        <v>6.9999999999993179E-2</v>
      </c>
      <c r="I36" s="52">
        <f t="shared" si="3"/>
        <v>0.25547445255524881</v>
      </c>
      <c r="J36" s="104"/>
      <c r="K36" s="83"/>
      <c r="L36" s="53"/>
      <c r="M36" s="85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11"/>
    </row>
    <row r="37" spans="1:26" ht="23.25" customHeight="1" x14ac:dyDescent="0.2">
      <c r="A37" s="49" t="s">
        <v>26</v>
      </c>
      <c r="B37" s="82">
        <v>6465.4279999999999</v>
      </c>
      <c r="C37" s="25">
        <f t="shared" si="0"/>
        <v>2.1080000000001746</v>
      </c>
      <c r="D37" s="24">
        <f t="shared" si="1"/>
        <v>2.1080000000001746</v>
      </c>
      <c r="E37" s="90"/>
      <c r="F37" s="82">
        <v>362.82400000000001</v>
      </c>
      <c r="G37" s="51">
        <f t="shared" si="4"/>
        <v>6.4000000000021373E-2</v>
      </c>
      <c r="H37" s="50">
        <f t="shared" si="2"/>
        <v>6.4000000000021373E-2</v>
      </c>
      <c r="I37" s="52">
        <f t="shared" si="3"/>
        <v>3.0360531309305536E-2</v>
      </c>
      <c r="J37" s="104"/>
      <c r="K37" s="83"/>
      <c r="L37" s="53"/>
      <c r="M37" s="85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11"/>
    </row>
    <row r="38" spans="1:26" ht="23.25" customHeight="1" x14ac:dyDescent="0.2">
      <c r="A38" s="49" t="s">
        <v>27</v>
      </c>
      <c r="B38" s="82">
        <v>6467.7079999999996</v>
      </c>
      <c r="C38" s="25">
        <f t="shared" si="0"/>
        <v>2.2799999999997453</v>
      </c>
      <c r="D38" s="24">
        <f t="shared" si="1"/>
        <v>2.2799999999997453</v>
      </c>
      <c r="E38" s="90"/>
      <c r="F38" s="82">
        <v>362.93400000000003</v>
      </c>
      <c r="G38" s="51">
        <f t="shared" si="4"/>
        <v>0.11000000000001364</v>
      </c>
      <c r="H38" s="50">
        <f t="shared" si="2"/>
        <v>0.11000000000001364</v>
      </c>
      <c r="I38" s="52">
        <f t="shared" si="3"/>
        <v>4.8245614035099089E-2</v>
      </c>
      <c r="J38" s="104"/>
      <c r="K38" s="83"/>
      <c r="L38" s="53"/>
      <c r="M38" s="85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11"/>
    </row>
    <row r="39" spans="1:26" ht="23.25" customHeight="1" x14ac:dyDescent="0.2">
      <c r="A39" s="49" t="s">
        <v>28</v>
      </c>
      <c r="B39" s="82">
        <v>6470.9780000000001</v>
      </c>
      <c r="C39" s="25">
        <f t="shared" si="0"/>
        <v>3.2700000000004366</v>
      </c>
      <c r="D39" s="24">
        <f t="shared" si="1"/>
        <v>3.2700000000004366</v>
      </c>
      <c r="E39" s="90"/>
      <c r="F39" s="82">
        <v>363.04399999999998</v>
      </c>
      <c r="G39" s="51">
        <f t="shared" si="4"/>
        <v>0.1099999999999568</v>
      </c>
      <c r="H39" s="50">
        <f t="shared" si="2"/>
        <v>0.1099999999999568</v>
      </c>
      <c r="I39" s="52">
        <f t="shared" si="3"/>
        <v>3.3639143730869146E-2</v>
      </c>
      <c r="J39" s="104"/>
      <c r="K39" s="83"/>
      <c r="L39" s="53"/>
      <c r="M39" s="85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11"/>
    </row>
    <row r="40" spans="1:26" ht="23.25" customHeight="1" x14ac:dyDescent="0.2">
      <c r="A40" s="49" t="s">
        <v>29</v>
      </c>
      <c r="B40" s="82">
        <v>6472.6480000000001</v>
      </c>
      <c r="C40" s="25">
        <f t="shared" si="0"/>
        <v>1.6700000000000728</v>
      </c>
      <c r="D40" s="24">
        <f t="shared" si="1"/>
        <v>1.6700000000000728</v>
      </c>
      <c r="E40" s="90"/>
      <c r="F40" s="82">
        <v>363.15199999999999</v>
      </c>
      <c r="G40" s="51">
        <f t="shared" si="4"/>
        <v>0.10800000000000409</v>
      </c>
      <c r="H40" s="50">
        <f t="shared" si="2"/>
        <v>0.10800000000000409</v>
      </c>
      <c r="I40" s="52">
        <f t="shared" si="3"/>
        <v>6.4670658682634358E-2</v>
      </c>
      <c r="J40" s="104"/>
      <c r="K40" s="83"/>
      <c r="L40" s="53"/>
      <c r="M40" s="122" t="s">
        <v>109</v>
      </c>
      <c r="N40" s="122"/>
      <c r="O40" s="122"/>
      <c r="P40" s="122"/>
      <c r="Q40" s="122"/>
      <c r="R40" s="122"/>
      <c r="S40" s="122"/>
      <c r="T40" s="122"/>
      <c r="U40" s="122"/>
      <c r="V40" s="122"/>
      <c r="W40" s="122"/>
      <c r="X40" s="122"/>
      <c r="Y40" s="122"/>
      <c r="Z40" s="122"/>
    </row>
    <row r="41" spans="1:26" ht="23.25" customHeight="1" x14ac:dyDescent="0.2">
      <c r="A41" s="49" t="s">
        <v>30</v>
      </c>
      <c r="B41" s="82">
        <v>6473.9539999999997</v>
      </c>
      <c r="C41" s="25">
        <f t="shared" si="0"/>
        <v>1.3059999999995853</v>
      </c>
      <c r="D41" s="24">
        <f t="shared" si="1"/>
        <v>1.3059999999995853</v>
      </c>
      <c r="E41" s="90"/>
      <c r="F41" s="82">
        <v>363.22800000000001</v>
      </c>
      <c r="G41" s="51">
        <f t="shared" si="4"/>
        <v>7.6000000000021828E-2</v>
      </c>
      <c r="H41" s="50">
        <f t="shared" si="2"/>
        <v>7.6000000000021828E-2</v>
      </c>
      <c r="I41" s="52">
        <f t="shared" si="3"/>
        <v>5.8192955589621717E-2</v>
      </c>
      <c r="J41" s="104"/>
      <c r="K41" s="83"/>
      <c r="L41" s="53"/>
      <c r="M41" s="123" t="s">
        <v>79</v>
      </c>
      <c r="N41" s="121" t="s">
        <v>98</v>
      </c>
      <c r="O41" s="121"/>
      <c r="P41" s="121" t="s">
        <v>93</v>
      </c>
      <c r="Q41" s="121"/>
      <c r="R41" s="121"/>
      <c r="S41" s="121" t="s">
        <v>111</v>
      </c>
      <c r="T41" s="121" t="s">
        <v>81</v>
      </c>
      <c r="U41" s="121"/>
      <c r="V41" s="121"/>
      <c r="W41" s="121"/>
      <c r="X41" s="121" t="s">
        <v>93</v>
      </c>
      <c r="Y41" s="121"/>
      <c r="Z41" s="124"/>
    </row>
    <row r="42" spans="1:26" ht="23.25" customHeight="1" x14ac:dyDescent="0.2">
      <c r="A42" s="49" t="s">
        <v>31</v>
      </c>
      <c r="B42" s="82">
        <v>6475.2039999999997</v>
      </c>
      <c r="C42" s="25">
        <f t="shared" si="0"/>
        <v>1.25</v>
      </c>
      <c r="D42" s="24">
        <f t="shared" si="1"/>
        <v>1.25</v>
      </c>
      <c r="E42" s="90"/>
      <c r="F42" s="82">
        <v>363.262</v>
      </c>
      <c r="G42" s="51">
        <f t="shared" si="4"/>
        <v>3.3999999999991815E-2</v>
      </c>
      <c r="H42" s="50">
        <f t="shared" si="2"/>
        <v>3.3999999999991815E-2</v>
      </c>
      <c r="I42" s="52">
        <f t="shared" si="3"/>
        <v>2.7199999999993452E-2</v>
      </c>
      <c r="J42" s="104"/>
      <c r="K42" s="83"/>
      <c r="L42" s="53"/>
      <c r="M42" s="116"/>
      <c r="N42" s="118"/>
      <c r="O42" s="118"/>
      <c r="P42" s="118"/>
      <c r="Q42" s="118"/>
      <c r="R42" s="118"/>
      <c r="S42" s="118"/>
      <c r="T42" s="118"/>
      <c r="U42" s="118"/>
      <c r="V42" s="118"/>
      <c r="W42" s="118"/>
      <c r="X42" s="118"/>
      <c r="Y42" s="118"/>
      <c r="Z42" s="125"/>
    </row>
    <row r="43" spans="1:26" ht="22.5" customHeight="1" x14ac:dyDescent="0.2">
      <c r="A43" s="184" t="s">
        <v>70</v>
      </c>
      <c r="B43" s="184"/>
      <c r="C43" s="184"/>
      <c r="D43" s="50">
        <f>SUM(D18:D42)</f>
        <v>33.66399999999976</v>
      </c>
      <c r="E43" s="104"/>
      <c r="F43" s="54"/>
      <c r="G43" s="104"/>
      <c r="H43" s="50">
        <f>SUM(H18:H42)</f>
        <v>2.2880000000000109</v>
      </c>
      <c r="I43" s="52">
        <f>IF(AND(H43=0,D43=0),0,H43/D43)</f>
        <v>6.7965779467681411E-2</v>
      </c>
      <c r="J43" s="104"/>
      <c r="K43" s="104"/>
      <c r="L43" s="53"/>
      <c r="M43" s="116" t="s">
        <v>80</v>
      </c>
      <c r="N43" s="118" t="s">
        <v>99</v>
      </c>
      <c r="O43" s="118"/>
      <c r="P43" s="118" t="s">
        <v>110</v>
      </c>
      <c r="Q43" s="118"/>
      <c r="R43" s="118"/>
      <c r="S43" s="118"/>
      <c r="T43" s="118"/>
      <c r="U43" s="118"/>
      <c r="V43" s="118"/>
      <c r="W43" s="118"/>
      <c r="X43" s="118" t="s">
        <v>110</v>
      </c>
      <c r="Y43" s="118"/>
      <c r="Z43" s="125"/>
    </row>
    <row r="44" spans="1:26" ht="22.5" customHeight="1" x14ac:dyDescent="0.2">
      <c r="A44" s="183" t="s">
        <v>71</v>
      </c>
      <c r="B44" s="183"/>
      <c r="C44" s="183"/>
      <c r="D44" s="104"/>
      <c r="E44" s="104"/>
      <c r="F44" s="54"/>
      <c r="G44" s="104"/>
      <c r="H44" s="104"/>
      <c r="I44" s="104"/>
      <c r="J44" s="104"/>
      <c r="K44" s="104"/>
      <c r="L44" s="53"/>
      <c r="M44" s="117"/>
      <c r="N44" s="119"/>
      <c r="O44" s="119"/>
      <c r="P44" s="119"/>
      <c r="Q44" s="119"/>
      <c r="R44" s="119"/>
      <c r="S44" s="119"/>
      <c r="T44" s="119"/>
      <c r="U44" s="119"/>
      <c r="V44" s="119"/>
      <c r="W44" s="119"/>
      <c r="X44" s="119"/>
      <c r="Y44" s="119"/>
      <c r="Z44" s="127"/>
    </row>
    <row r="45" spans="1:26" ht="22.5" customHeight="1" x14ac:dyDescent="0.2">
      <c r="A45" s="94"/>
      <c r="B45" s="103"/>
      <c r="C45" s="103"/>
      <c r="D45" s="103"/>
      <c r="E45" s="103"/>
      <c r="F45" s="103"/>
      <c r="G45" s="103"/>
      <c r="H45" s="103"/>
      <c r="I45" s="103"/>
      <c r="J45" s="57"/>
      <c r="K45" s="57"/>
      <c r="L45" s="57"/>
      <c r="M45" s="85"/>
      <c r="N45" s="111"/>
      <c r="O45" s="113"/>
      <c r="P45" s="111"/>
      <c r="Q45" s="112"/>
      <c r="R45" s="113"/>
      <c r="S45" s="87"/>
      <c r="T45" s="111"/>
      <c r="U45" s="112"/>
      <c r="V45" s="112"/>
      <c r="W45" s="113"/>
      <c r="X45" s="111"/>
      <c r="Y45" s="112"/>
      <c r="Z45" s="112"/>
    </row>
    <row r="46" spans="1:26" ht="22.5" customHeight="1" x14ac:dyDescent="0.2">
      <c r="A46" s="182" t="s">
        <v>72</v>
      </c>
      <c r="B46" s="182"/>
      <c r="C46" s="182"/>
      <c r="D46" s="182"/>
      <c r="E46" s="182"/>
      <c r="F46" s="182"/>
      <c r="G46" s="204" t="s">
        <v>73</v>
      </c>
      <c r="H46" s="204"/>
      <c r="I46" s="204"/>
      <c r="J46" s="204"/>
      <c r="K46" s="204"/>
      <c r="L46" s="204"/>
      <c r="M46" s="85"/>
      <c r="N46" s="111"/>
      <c r="O46" s="113"/>
      <c r="P46" s="111"/>
      <c r="Q46" s="112"/>
      <c r="R46" s="113"/>
      <c r="S46" s="87"/>
      <c r="T46" s="111"/>
      <c r="U46" s="112"/>
      <c r="V46" s="112"/>
      <c r="W46" s="113"/>
      <c r="X46" s="111"/>
      <c r="Y46" s="112"/>
      <c r="Z46" s="112"/>
    </row>
    <row r="47" spans="1:26" ht="22.5" customHeight="1" x14ac:dyDescent="0.2">
      <c r="A47" s="144" t="s">
        <v>365</v>
      </c>
      <c r="B47" s="144"/>
      <c r="C47" s="144"/>
      <c r="D47" s="135" t="s">
        <v>74</v>
      </c>
      <c r="E47" s="135"/>
      <c r="F47" s="135"/>
      <c r="G47" s="103"/>
      <c r="H47" s="103"/>
      <c r="I47" s="103"/>
      <c r="J47" s="103"/>
      <c r="K47" s="103"/>
      <c r="L47" s="103"/>
      <c r="M47" s="85"/>
      <c r="N47" s="111"/>
      <c r="O47" s="113"/>
      <c r="P47" s="111"/>
      <c r="Q47" s="112"/>
      <c r="R47" s="113"/>
      <c r="S47" s="87"/>
      <c r="T47" s="111"/>
      <c r="U47" s="112"/>
      <c r="V47" s="112"/>
      <c r="W47" s="113"/>
      <c r="X47" s="111"/>
      <c r="Y47" s="112"/>
      <c r="Z47" s="112"/>
    </row>
    <row r="48" spans="1:26" ht="22.5" customHeight="1" x14ac:dyDescent="0.2">
      <c r="A48" s="175" t="s">
        <v>75</v>
      </c>
      <c r="B48" s="175"/>
      <c r="C48" s="175"/>
      <c r="D48" s="174" t="s">
        <v>76</v>
      </c>
      <c r="E48" s="174"/>
      <c r="F48" s="174"/>
      <c r="G48" s="94"/>
      <c r="H48" s="94"/>
      <c r="I48" s="94"/>
      <c r="J48" s="94"/>
      <c r="K48" s="94"/>
      <c r="L48" s="94"/>
    </row>
    <row r="49" spans="1:23" ht="22.5" customHeight="1" x14ac:dyDescent="0.2">
      <c r="A49" s="144" t="s">
        <v>366</v>
      </c>
      <c r="B49" s="144"/>
      <c r="C49" s="144"/>
      <c r="D49" s="135" t="s">
        <v>74</v>
      </c>
      <c r="E49" s="135"/>
      <c r="F49" s="135"/>
      <c r="G49" s="94"/>
      <c r="H49" s="182" t="s">
        <v>183</v>
      </c>
      <c r="I49" s="182"/>
      <c r="J49" s="182"/>
      <c r="K49" s="182" t="s">
        <v>77</v>
      </c>
      <c r="L49" s="182"/>
      <c r="N49" s="177" t="s">
        <v>150</v>
      </c>
      <c r="O49" s="177"/>
      <c r="P49" s="177"/>
      <c r="Q49" s="176" t="s">
        <v>364</v>
      </c>
      <c r="R49" s="176"/>
      <c r="S49" s="176"/>
      <c r="T49" s="176"/>
      <c r="U49" s="176"/>
      <c r="V49" s="176"/>
      <c r="W49" s="89"/>
    </row>
    <row r="50" spans="1:23" ht="22.5" customHeight="1" x14ac:dyDescent="0.2">
      <c r="A50" s="175" t="s">
        <v>75</v>
      </c>
      <c r="B50" s="175"/>
      <c r="C50" s="175"/>
      <c r="D50" s="174" t="s">
        <v>76</v>
      </c>
      <c r="E50" s="174"/>
      <c r="F50" s="174"/>
      <c r="G50" s="58"/>
      <c r="H50" s="175" t="s">
        <v>75</v>
      </c>
      <c r="I50" s="175"/>
      <c r="J50" s="175"/>
      <c r="K50" s="175" t="s">
        <v>76</v>
      </c>
      <c r="L50" s="175"/>
      <c r="S50" s="173" t="s">
        <v>76</v>
      </c>
      <c r="T50" s="173"/>
    </row>
    <row r="51" spans="1:23" ht="20.100000000000001" customHeight="1" x14ac:dyDescent="0.2">
      <c r="A51" s="144" t="s">
        <v>367</v>
      </c>
      <c r="B51" s="144"/>
      <c r="C51" s="144"/>
      <c r="D51" s="135" t="s">
        <v>74</v>
      </c>
      <c r="E51" s="135"/>
      <c r="F51" s="135"/>
      <c r="G51" s="94"/>
      <c r="H51" s="94"/>
      <c r="I51" s="94"/>
      <c r="J51" s="94"/>
      <c r="K51" s="94"/>
      <c r="L51" s="94"/>
    </row>
    <row r="52" spans="1:23" ht="20.100000000000001" customHeight="1" x14ac:dyDescent="0.2">
      <c r="A52" s="174" t="s">
        <v>75</v>
      </c>
      <c r="B52" s="174"/>
      <c r="C52" s="174"/>
      <c r="D52" s="173" t="s">
        <v>76</v>
      </c>
      <c r="E52" s="173"/>
      <c r="F52" s="173"/>
      <c r="G52" s="63"/>
      <c r="H52" s="63"/>
      <c r="I52" s="105"/>
      <c r="J52" s="105"/>
      <c r="K52" s="105"/>
      <c r="L52" s="105"/>
    </row>
  </sheetData>
  <sheetProtection sheet="1" objects="1" scenarios="1"/>
  <mergeCells count="258">
    <mergeCell ref="A1:F1"/>
    <mergeCell ref="G1:H2"/>
    <mergeCell ref="I1:L2"/>
    <mergeCell ref="M1:Z1"/>
    <mergeCell ref="A2:F2"/>
    <mergeCell ref="M2:Z2"/>
    <mergeCell ref="X3:Z6"/>
    <mergeCell ref="A4:F4"/>
    <mergeCell ref="R4:S4"/>
    <mergeCell ref="T4:U4"/>
    <mergeCell ref="V4:W4"/>
    <mergeCell ref="A5:F5"/>
    <mergeCell ref="G5:H6"/>
    <mergeCell ref="A3:F3"/>
    <mergeCell ref="G3:H4"/>
    <mergeCell ref="I3:L4"/>
    <mergeCell ref="M3:M4"/>
    <mergeCell ref="N3:O6"/>
    <mergeCell ref="P3:Q4"/>
    <mergeCell ref="I5:L6"/>
    <mergeCell ref="M5:M6"/>
    <mergeCell ref="P5:Q6"/>
    <mergeCell ref="R5:S5"/>
    <mergeCell ref="T5:U5"/>
    <mergeCell ref="V5:W5"/>
    <mergeCell ref="A6:F6"/>
    <mergeCell ref="R6:S6"/>
    <mergeCell ref="T6:U6"/>
    <mergeCell ref="V6:W6"/>
    <mergeCell ref="R3:S3"/>
    <mergeCell ref="T3:U3"/>
    <mergeCell ref="V3:W3"/>
    <mergeCell ref="X7:Z7"/>
    <mergeCell ref="A8:L8"/>
    <mergeCell ref="N8:O8"/>
    <mergeCell ref="P8:Q8"/>
    <mergeCell ref="R8:S8"/>
    <mergeCell ref="T8:U8"/>
    <mergeCell ref="V8:W8"/>
    <mergeCell ref="X8:Z8"/>
    <mergeCell ref="A7:L7"/>
    <mergeCell ref="N7:O7"/>
    <mergeCell ref="P7:Q7"/>
    <mergeCell ref="R7:S7"/>
    <mergeCell ref="T7:U7"/>
    <mergeCell ref="V7:W7"/>
    <mergeCell ref="X9:Z9"/>
    <mergeCell ref="A10:D10"/>
    <mergeCell ref="E10:G10"/>
    <mergeCell ref="H10:L10"/>
    <mergeCell ref="N10:O10"/>
    <mergeCell ref="P10:Q10"/>
    <mergeCell ref="R10:S10"/>
    <mergeCell ref="T10:U10"/>
    <mergeCell ref="V10:W10"/>
    <mergeCell ref="X10:Z10"/>
    <mergeCell ref="A9:L9"/>
    <mergeCell ref="N9:O9"/>
    <mergeCell ref="P9:Q9"/>
    <mergeCell ref="R9:S9"/>
    <mergeCell ref="T9:U9"/>
    <mergeCell ref="V9:W9"/>
    <mergeCell ref="T11:U11"/>
    <mergeCell ref="V11:W11"/>
    <mergeCell ref="X11:Z11"/>
    <mergeCell ref="A12:L12"/>
    <mergeCell ref="N12:O12"/>
    <mergeCell ref="P12:Q12"/>
    <mergeCell ref="R12:S12"/>
    <mergeCell ref="T12:U12"/>
    <mergeCell ref="V12:W12"/>
    <mergeCell ref="X12:Z12"/>
    <mergeCell ref="A11:D11"/>
    <mergeCell ref="E11:H11"/>
    <mergeCell ref="I11:L11"/>
    <mergeCell ref="N11:O11"/>
    <mergeCell ref="P11:Q11"/>
    <mergeCell ref="R11:S11"/>
    <mergeCell ref="N13:O13"/>
    <mergeCell ref="P13:Q13"/>
    <mergeCell ref="R13:S13"/>
    <mergeCell ref="T13:U13"/>
    <mergeCell ref="V13:W13"/>
    <mergeCell ref="X13:Z13"/>
    <mergeCell ref="A13:A17"/>
    <mergeCell ref="B13:C13"/>
    <mergeCell ref="D13:E13"/>
    <mergeCell ref="F13:G13"/>
    <mergeCell ref="I13:I17"/>
    <mergeCell ref="J13:K13"/>
    <mergeCell ref="B14:C14"/>
    <mergeCell ref="D14:E14"/>
    <mergeCell ref="F14:G14"/>
    <mergeCell ref="J14:K14"/>
    <mergeCell ref="E16:E17"/>
    <mergeCell ref="J16:J17"/>
    <mergeCell ref="K16:K17"/>
    <mergeCell ref="B15:C15"/>
    <mergeCell ref="D15:E15"/>
    <mergeCell ref="F15:G15"/>
    <mergeCell ref="J15:K15"/>
    <mergeCell ref="V16:W16"/>
    <mergeCell ref="W22:Z22"/>
    <mergeCell ref="N15:O15"/>
    <mergeCell ref="P15:Q15"/>
    <mergeCell ref="N14:O14"/>
    <mergeCell ref="P14:Q14"/>
    <mergeCell ref="R14:S14"/>
    <mergeCell ref="R15:S15"/>
    <mergeCell ref="T15:U15"/>
    <mergeCell ref="V15:W15"/>
    <mergeCell ref="X15:Z15"/>
    <mergeCell ref="T14:U14"/>
    <mergeCell ref="V14:W14"/>
    <mergeCell ref="X14:Z14"/>
    <mergeCell ref="N23:P23"/>
    <mergeCell ref="Q23:S23"/>
    <mergeCell ref="T23:V23"/>
    <mergeCell ref="W23:Z23"/>
    <mergeCell ref="X16:Z16"/>
    <mergeCell ref="M17:Z17"/>
    <mergeCell ref="M18:M19"/>
    <mergeCell ref="N18:P19"/>
    <mergeCell ref="Q18:S18"/>
    <mergeCell ref="T18:V19"/>
    <mergeCell ref="W18:Z21"/>
    <mergeCell ref="Q19:S19"/>
    <mergeCell ref="M20:M21"/>
    <mergeCell ref="N20:P21"/>
    <mergeCell ref="Q20:S20"/>
    <mergeCell ref="T20:V21"/>
    <mergeCell ref="Q21:S21"/>
    <mergeCell ref="N16:O16"/>
    <mergeCell ref="P16:Q16"/>
    <mergeCell ref="R16:S16"/>
    <mergeCell ref="N22:P22"/>
    <mergeCell ref="Q22:S22"/>
    <mergeCell ref="T22:V22"/>
    <mergeCell ref="T16:U16"/>
    <mergeCell ref="N24:P24"/>
    <mergeCell ref="Q24:S24"/>
    <mergeCell ref="T24:V24"/>
    <mergeCell ref="W24:Z24"/>
    <mergeCell ref="N27:P27"/>
    <mergeCell ref="Q27:S27"/>
    <mergeCell ref="T27:V27"/>
    <mergeCell ref="W27:Z27"/>
    <mergeCell ref="N28:P28"/>
    <mergeCell ref="Q28:S28"/>
    <mergeCell ref="T28:V28"/>
    <mergeCell ref="W28:Z28"/>
    <mergeCell ref="N25:P25"/>
    <mergeCell ref="Q25:S25"/>
    <mergeCell ref="T25:V25"/>
    <mergeCell ref="W25:Z25"/>
    <mergeCell ref="N26:P26"/>
    <mergeCell ref="Q26:S26"/>
    <mergeCell ref="T26:V26"/>
    <mergeCell ref="W26:Z26"/>
    <mergeCell ref="M33:M34"/>
    <mergeCell ref="N33:O34"/>
    <mergeCell ref="P33:Q33"/>
    <mergeCell ref="R33:S33"/>
    <mergeCell ref="T33:U33"/>
    <mergeCell ref="V33:X33"/>
    <mergeCell ref="P34:Q34"/>
    <mergeCell ref="M29:Z29"/>
    <mergeCell ref="M30:Z30"/>
    <mergeCell ref="M31:M32"/>
    <mergeCell ref="N31:O32"/>
    <mergeCell ref="P31:Q31"/>
    <mergeCell ref="R31:S31"/>
    <mergeCell ref="T31:U31"/>
    <mergeCell ref="V31:X31"/>
    <mergeCell ref="Y31:Z34"/>
    <mergeCell ref="P32:Q32"/>
    <mergeCell ref="R34:S34"/>
    <mergeCell ref="T34:U34"/>
    <mergeCell ref="V34:X34"/>
    <mergeCell ref="V35:X35"/>
    <mergeCell ref="R32:S32"/>
    <mergeCell ref="T32:U32"/>
    <mergeCell ref="V32:X32"/>
    <mergeCell ref="N37:O37"/>
    <mergeCell ref="P37:Q37"/>
    <mergeCell ref="R37:S37"/>
    <mergeCell ref="T37:U37"/>
    <mergeCell ref="V37:X37"/>
    <mergeCell ref="Y37:Z37"/>
    <mergeCell ref="Y35:Z35"/>
    <mergeCell ref="N36:O36"/>
    <mergeCell ref="P36:Q36"/>
    <mergeCell ref="R36:S36"/>
    <mergeCell ref="T36:U36"/>
    <mergeCell ref="V36:X36"/>
    <mergeCell ref="Y36:Z36"/>
    <mergeCell ref="N39:O39"/>
    <mergeCell ref="P39:Q39"/>
    <mergeCell ref="R39:S39"/>
    <mergeCell ref="T39:U39"/>
    <mergeCell ref="V39:X39"/>
    <mergeCell ref="Y39:Z39"/>
    <mergeCell ref="N38:O38"/>
    <mergeCell ref="P38:Q38"/>
    <mergeCell ref="R38:S38"/>
    <mergeCell ref="T38:U38"/>
    <mergeCell ref="V38:X38"/>
    <mergeCell ref="Y38:Z38"/>
    <mergeCell ref="N35:O35"/>
    <mergeCell ref="P35:Q35"/>
    <mergeCell ref="R35:S35"/>
    <mergeCell ref="T35:U35"/>
    <mergeCell ref="A43:C43"/>
    <mergeCell ref="M43:M44"/>
    <mergeCell ref="N43:O44"/>
    <mergeCell ref="P43:R44"/>
    <mergeCell ref="X43:Z44"/>
    <mergeCell ref="A44:C44"/>
    <mergeCell ref="M40:Z40"/>
    <mergeCell ref="M41:M42"/>
    <mergeCell ref="N41:O42"/>
    <mergeCell ref="P41:R42"/>
    <mergeCell ref="S41:S44"/>
    <mergeCell ref="T41:W44"/>
    <mergeCell ref="X41:Z42"/>
    <mergeCell ref="P47:R47"/>
    <mergeCell ref="T47:W47"/>
    <mergeCell ref="X47:Z47"/>
    <mergeCell ref="N45:O45"/>
    <mergeCell ref="P45:R45"/>
    <mergeCell ref="T45:W45"/>
    <mergeCell ref="X45:Z45"/>
    <mergeCell ref="A46:F46"/>
    <mergeCell ref="G46:L46"/>
    <mergeCell ref="N46:O46"/>
    <mergeCell ref="P46:R46"/>
    <mergeCell ref="T46:W46"/>
    <mergeCell ref="X46:Z46"/>
    <mergeCell ref="A48:C48"/>
    <mergeCell ref="D48:F48"/>
    <mergeCell ref="A49:C49"/>
    <mergeCell ref="D49:F49"/>
    <mergeCell ref="H49:J49"/>
    <mergeCell ref="K49:L49"/>
    <mergeCell ref="A47:C47"/>
    <mergeCell ref="D47:F47"/>
    <mergeCell ref="N47:O47"/>
    <mergeCell ref="A51:C51"/>
    <mergeCell ref="D51:F51"/>
    <mergeCell ref="A52:C52"/>
    <mergeCell ref="D52:F52"/>
    <mergeCell ref="N49:P49"/>
    <mergeCell ref="Q49:V49"/>
    <mergeCell ref="A50:C50"/>
    <mergeCell ref="D50:F50"/>
    <mergeCell ref="H50:J50"/>
    <mergeCell ref="K50:L50"/>
    <mergeCell ref="S50:T50"/>
  </mergeCells>
  <printOptions horizontalCentered="1"/>
  <pageMargins left="0.39370078740157483" right="0.39370078740157483" top="0.19685039370078741" bottom="0.19685039370078741" header="0" footer="0"/>
  <pageSetup paperSize="9" scale="64" orientation="portrait" horizontalDpi="180" verticalDpi="180" r:id="rId1"/>
  <headerFooter alignWithMargins="0"/>
  <colBreaks count="1" manualBreakCount="1">
    <brk id="12" max="1048575" man="1"/>
  </col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52"/>
  <sheetViews>
    <sheetView view="pageBreakPreview" topLeftCell="A11" zoomScale="75" zoomScaleNormal="50" zoomScaleSheetLayoutView="75" workbookViewId="0">
      <selection activeCell="K37" sqref="K37"/>
    </sheetView>
  </sheetViews>
  <sheetFormatPr defaultRowHeight="18.75" x14ac:dyDescent="0.2"/>
  <cols>
    <col min="1" max="1" width="11.140625" style="88" customWidth="1"/>
    <col min="2" max="2" width="13.42578125" style="88" customWidth="1"/>
    <col min="3" max="3" width="12.140625" style="88" customWidth="1"/>
    <col min="4" max="4" width="14" style="88" customWidth="1"/>
    <col min="5" max="5" width="7.85546875" style="88" customWidth="1"/>
    <col min="6" max="6" width="13.85546875" style="88" customWidth="1"/>
    <col min="7" max="7" width="12.85546875" style="88" customWidth="1"/>
    <col min="8" max="8" width="22.85546875" style="88" customWidth="1"/>
    <col min="9" max="9" width="8.28515625" style="88" customWidth="1"/>
    <col min="10" max="11" width="8.85546875" style="88" customWidth="1"/>
    <col min="12" max="12" width="17" style="88" customWidth="1"/>
    <col min="13" max="26" width="10.28515625" style="88" customWidth="1"/>
    <col min="27" max="16384" width="9.140625" style="88"/>
  </cols>
  <sheetData>
    <row r="1" spans="1:26" ht="21.75" customHeight="1" x14ac:dyDescent="0.2">
      <c r="A1" s="115" t="s">
        <v>157</v>
      </c>
      <c r="B1" s="115"/>
      <c r="C1" s="115"/>
      <c r="D1" s="115"/>
      <c r="E1" s="115"/>
      <c r="F1" s="115"/>
      <c r="G1" s="150" t="s">
        <v>154</v>
      </c>
      <c r="H1" s="150"/>
      <c r="I1" s="115" t="s">
        <v>160</v>
      </c>
      <c r="J1" s="115"/>
      <c r="K1" s="115"/>
      <c r="L1" s="115"/>
      <c r="M1" s="122" t="s">
        <v>96</v>
      </c>
      <c r="N1" s="122"/>
      <c r="O1" s="122"/>
      <c r="P1" s="122"/>
      <c r="Q1" s="122"/>
      <c r="R1" s="122"/>
      <c r="S1" s="122"/>
      <c r="T1" s="122"/>
      <c r="U1" s="122"/>
      <c r="V1" s="122"/>
      <c r="W1" s="122"/>
      <c r="X1" s="122"/>
      <c r="Y1" s="122"/>
      <c r="Z1" s="122"/>
    </row>
    <row r="2" spans="1:26" ht="21.75" customHeight="1" x14ac:dyDescent="0.2">
      <c r="A2" s="146" t="s">
        <v>45</v>
      </c>
      <c r="B2" s="146"/>
      <c r="C2" s="146"/>
      <c r="D2" s="146"/>
      <c r="E2" s="146"/>
      <c r="F2" s="146"/>
      <c r="G2" s="150"/>
      <c r="H2" s="150"/>
      <c r="I2" s="115"/>
      <c r="J2" s="115"/>
      <c r="K2" s="115"/>
      <c r="L2" s="115"/>
      <c r="M2" s="122" t="s">
        <v>78</v>
      </c>
      <c r="N2" s="122"/>
      <c r="O2" s="122"/>
      <c r="P2" s="122"/>
      <c r="Q2" s="122"/>
      <c r="R2" s="122"/>
      <c r="S2" s="122"/>
      <c r="T2" s="122"/>
      <c r="U2" s="122"/>
      <c r="V2" s="122"/>
      <c r="W2" s="122"/>
      <c r="X2" s="122"/>
      <c r="Y2" s="122"/>
      <c r="Z2" s="122"/>
    </row>
    <row r="3" spans="1:26" ht="21.75" customHeight="1" x14ac:dyDescent="0.2">
      <c r="A3" s="115" t="s">
        <v>158</v>
      </c>
      <c r="B3" s="147"/>
      <c r="C3" s="147"/>
      <c r="D3" s="147"/>
      <c r="E3" s="147"/>
      <c r="F3" s="147"/>
      <c r="G3" s="150" t="s">
        <v>155</v>
      </c>
      <c r="H3" s="150"/>
      <c r="I3" s="115" t="s">
        <v>388</v>
      </c>
      <c r="J3" s="115"/>
      <c r="K3" s="115"/>
      <c r="L3" s="115"/>
      <c r="M3" s="123" t="s">
        <v>79</v>
      </c>
      <c r="N3" s="124" t="s">
        <v>81</v>
      </c>
      <c r="O3" s="123"/>
      <c r="P3" s="124" t="s">
        <v>65</v>
      </c>
      <c r="Q3" s="123"/>
      <c r="R3" s="124" t="s">
        <v>82</v>
      </c>
      <c r="S3" s="123"/>
      <c r="T3" s="124" t="s">
        <v>85</v>
      </c>
      <c r="U3" s="123"/>
      <c r="V3" s="124" t="s">
        <v>87</v>
      </c>
      <c r="W3" s="123"/>
      <c r="X3" s="128" t="s">
        <v>91</v>
      </c>
      <c r="Y3" s="132"/>
      <c r="Z3" s="132"/>
    </row>
    <row r="4" spans="1:26" ht="29.25" customHeight="1" x14ac:dyDescent="0.2">
      <c r="A4" s="146" t="s">
        <v>46</v>
      </c>
      <c r="B4" s="146"/>
      <c r="C4" s="146"/>
      <c r="D4" s="146"/>
      <c r="E4" s="146"/>
      <c r="F4" s="146"/>
      <c r="G4" s="150"/>
      <c r="H4" s="150"/>
      <c r="I4" s="115"/>
      <c r="J4" s="115"/>
      <c r="K4" s="115"/>
      <c r="L4" s="115"/>
      <c r="M4" s="116"/>
      <c r="N4" s="125"/>
      <c r="O4" s="116"/>
      <c r="P4" s="125"/>
      <c r="Q4" s="116"/>
      <c r="R4" s="125" t="s">
        <v>83</v>
      </c>
      <c r="S4" s="116"/>
      <c r="T4" s="125" t="s">
        <v>86</v>
      </c>
      <c r="U4" s="116"/>
      <c r="V4" s="125" t="s">
        <v>88</v>
      </c>
      <c r="W4" s="116"/>
      <c r="X4" s="128"/>
      <c r="Y4" s="132"/>
      <c r="Z4" s="132"/>
    </row>
    <row r="5" spans="1:26" ht="21.75" customHeight="1" x14ac:dyDescent="0.2">
      <c r="A5" s="115" t="s">
        <v>177</v>
      </c>
      <c r="B5" s="147"/>
      <c r="C5" s="147"/>
      <c r="D5" s="147"/>
      <c r="E5" s="147"/>
      <c r="F5" s="147"/>
      <c r="G5" s="150" t="s">
        <v>156</v>
      </c>
      <c r="H5" s="150"/>
      <c r="I5" s="115" t="s">
        <v>389</v>
      </c>
      <c r="J5" s="115"/>
      <c r="K5" s="115"/>
      <c r="L5" s="115"/>
      <c r="M5" s="116" t="s">
        <v>80</v>
      </c>
      <c r="N5" s="125"/>
      <c r="O5" s="116"/>
      <c r="P5" s="125" t="s">
        <v>182</v>
      </c>
      <c r="Q5" s="116"/>
      <c r="R5" s="133" t="s">
        <v>84</v>
      </c>
      <c r="S5" s="134"/>
      <c r="T5" s="133" t="s">
        <v>84</v>
      </c>
      <c r="U5" s="134"/>
      <c r="V5" s="125" t="s">
        <v>89</v>
      </c>
      <c r="W5" s="116"/>
      <c r="X5" s="128"/>
      <c r="Y5" s="132"/>
      <c r="Z5" s="132"/>
    </row>
    <row r="6" spans="1:26" ht="21.75" customHeight="1" x14ac:dyDescent="0.2">
      <c r="A6" s="146" t="s">
        <v>47</v>
      </c>
      <c r="B6" s="146"/>
      <c r="C6" s="146"/>
      <c r="D6" s="146"/>
      <c r="E6" s="146"/>
      <c r="F6" s="146"/>
      <c r="G6" s="150"/>
      <c r="H6" s="150"/>
      <c r="I6" s="115"/>
      <c r="J6" s="115"/>
      <c r="K6" s="115"/>
      <c r="L6" s="115"/>
      <c r="M6" s="117"/>
      <c r="N6" s="127"/>
      <c r="O6" s="117"/>
      <c r="P6" s="127"/>
      <c r="Q6" s="117"/>
      <c r="R6" s="127"/>
      <c r="S6" s="117"/>
      <c r="T6" s="127"/>
      <c r="U6" s="117"/>
      <c r="V6" s="127" t="s">
        <v>90</v>
      </c>
      <c r="W6" s="117"/>
      <c r="X6" s="128"/>
      <c r="Y6" s="132"/>
      <c r="Z6" s="132"/>
    </row>
    <row r="7" spans="1:26" ht="21.75" customHeight="1" x14ac:dyDescent="0.2">
      <c r="A7" s="122"/>
      <c r="B7" s="122"/>
      <c r="C7" s="122"/>
      <c r="D7" s="122"/>
      <c r="E7" s="122"/>
      <c r="F7" s="122"/>
      <c r="G7" s="122"/>
      <c r="H7" s="122"/>
      <c r="I7" s="122"/>
      <c r="J7" s="122"/>
      <c r="K7" s="122"/>
      <c r="L7" s="122"/>
      <c r="M7" s="85"/>
      <c r="N7" s="111"/>
      <c r="O7" s="113"/>
      <c r="P7" s="111"/>
      <c r="Q7" s="113"/>
      <c r="R7" s="111"/>
      <c r="S7" s="113"/>
      <c r="T7" s="111"/>
      <c r="U7" s="113"/>
      <c r="V7" s="111"/>
      <c r="W7" s="113"/>
      <c r="X7" s="111"/>
      <c r="Y7" s="112"/>
      <c r="Z7" s="112"/>
    </row>
    <row r="8" spans="1:26" ht="22.5" customHeight="1" x14ac:dyDescent="0.2">
      <c r="A8" s="143" t="s">
        <v>48</v>
      </c>
      <c r="B8" s="143"/>
      <c r="C8" s="143"/>
      <c r="D8" s="143"/>
      <c r="E8" s="143"/>
      <c r="F8" s="143"/>
      <c r="G8" s="143"/>
      <c r="H8" s="143"/>
      <c r="I8" s="143"/>
      <c r="J8" s="143"/>
      <c r="K8" s="143"/>
      <c r="L8" s="143"/>
      <c r="M8" s="85"/>
      <c r="N8" s="111"/>
      <c r="O8" s="113"/>
      <c r="P8" s="111"/>
      <c r="Q8" s="113"/>
      <c r="R8" s="111"/>
      <c r="S8" s="113"/>
      <c r="T8" s="111"/>
      <c r="U8" s="113"/>
      <c r="V8" s="111"/>
      <c r="W8" s="113"/>
      <c r="X8" s="111"/>
      <c r="Y8" s="112"/>
      <c r="Z8" s="112"/>
    </row>
    <row r="9" spans="1:26" ht="22.5" customHeight="1" x14ac:dyDescent="0.2">
      <c r="A9" s="156" t="s">
        <v>49</v>
      </c>
      <c r="B9" s="156"/>
      <c r="C9" s="156"/>
      <c r="D9" s="156"/>
      <c r="E9" s="156"/>
      <c r="F9" s="156"/>
      <c r="G9" s="156"/>
      <c r="H9" s="156"/>
      <c r="I9" s="156"/>
      <c r="J9" s="156"/>
      <c r="K9" s="156"/>
      <c r="L9" s="156"/>
      <c r="M9" s="85"/>
      <c r="N9" s="111"/>
      <c r="O9" s="113"/>
      <c r="P9" s="111"/>
      <c r="Q9" s="113"/>
      <c r="R9" s="111"/>
      <c r="S9" s="113"/>
      <c r="T9" s="111"/>
      <c r="U9" s="113"/>
      <c r="V9" s="111"/>
      <c r="W9" s="113"/>
      <c r="X9" s="111"/>
      <c r="Y9" s="112"/>
      <c r="Z9" s="112"/>
    </row>
    <row r="10" spans="1:26" ht="22.5" customHeight="1" x14ac:dyDescent="0.2">
      <c r="A10" s="151" t="s">
        <v>112</v>
      </c>
      <c r="B10" s="151"/>
      <c r="C10" s="151"/>
      <c r="D10" s="151"/>
      <c r="E10" s="162" t="s">
        <v>407</v>
      </c>
      <c r="F10" s="163"/>
      <c r="G10" s="163"/>
      <c r="H10" s="138" t="s">
        <v>369</v>
      </c>
      <c r="I10" s="138"/>
      <c r="J10" s="138"/>
      <c r="K10" s="138"/>
      <c r="L10" s="138"/>
      <c r="M10" s="85"/>
      <c r="N10" s="111"/>
      <c r="O10" s="113"/>
      <c r="P10" s="111"/>
      <c r="Q10" s="113"/>
      <c r="R10" s="111"/>
      <c r="S10" s="113"/>
      <c r="T10" s="111"/>
      <c r="U10" s="113"/>
      <c r="V10" s="111"/>
      <c r="W10" s="113"/>
      <c r="X10" s="111"/>
      <c r="Y10" s="112"/>
      <c r="Z10" s="112"/>
    </row>
    <row r="11" spans="1:26" ht="22.5" customHeight="1" x14ac:dyDescent="0.2">
      <c r="A11" s="151" t="s">
        <v>113</v>
      </c>
      <c r="B11" s="151"/>
      <c r="C11" s="151"/>
      <c r="D11" s="151"/>
      <c r="E11" s="161" t="s">
        <v>378</v>
      </c>
      <c r="F11" s="161"/>
      <c r="G11" s="161"/>
      <c r="H11" s="161"/>
      <c r="I11" s="138" t="s">
        <v>114</v>
      </c>
      <c r="J11" s="138"/>
      <c r="K11" s="138"/>
      <c r="L11" s="138"/>
      <c r="M11" s="85"/>
      <c r="N11" s="111"/>
      <c r="O11" s="113"/>
      <c r="P11" s="111"/>
      <c r="Q11" s="113"/>
      <c r="R11" s="111"/>
      <c r="S11" s="113"/>
      <c r="T11" s="111"/>
      <c r="U11" s="113"/>
      <c r="V11" s="111"/>
      <c r="W11" s="113"/>
      <c r="X11" s="111"/>
      <c r="Y11" s="112"/>
      <c r="Z11" s="112"/>
    </row>
    <row r="12" spans="1:26" ht="21.75" customHeight="1" x14ac:dyDescent="0.2">
      <c r="A12" s="215"/>
      <c r="B12" s="149"/>
      <c r="C12" s="149"/>
      <c r="D12" s="149"/>
      <c r="E12" s="149"/>
      <c r="F12" s="149"/>
      <c r="G12" s="149"/>
      <c r="H12" s="149"/>
      <c r="I12" s="149"/>
      <c r="J12" s="149"/>
      <c r="K12" s="149"/>
      <c r="L12" s="215"/>
      <c r="M12" s="85"/>
      <c r="N12" s="111"/>
      <c r="O12" s="113"/>
      <c r="P12" s="111"/>
      <c r="Q12" s="113"/>
      <c r="R12" s="111"/>
      <c r="S12" s="113"/>
      <c r="T12" s="111"/>
      <c r="U12" s="113"/>
      <c r="V12" s="111"/>
      <c r="W12" s="113"/>
      <c r="X12" s="111"/>
      <c r="Y12" s="112"/>
      <c r="Z12" s="112"/>
    </row>
    <row r="13" spans="1:26" ht="21.75" customHeight="1" x14ac:dyDescent="0.2">
      <c r="A13" s="187" t="s">
        <v>50</v>
      </c>
      <c r="B13" s="196" t="s">
        <v>56</v>
      </c>
      <c r="C13" s="196"/>
      <c r="D13" s="185" t="s">
        <v>390</v>
      </c>
      <c r="E13" s="186"/>
      <c r="F13" s="195" t="s">
        <v>59</v>
      </c>
      <c r="G13" s="196"/>
      <c r="H13" s="99" t="s">
        <v>390</v>
      </c>
      <c r="I13" s="197" t="s">
        <v>5</v>
      </c>
      <c r="J13" s="195" t="s">
        <v>60</v>
      </c>
      <c r="K13" s="196"/>
      <c r="L13" s="95" t="s">
        <v>65</v>
      </c>
      <c r="M13" s="85"/>
      <c r="N13" s="111"/>
      <c r="O13" s="113"/>
      <c r="P13" s="111"/>
      <c r="Q13" s="113"/>
      <c r="R13" s="111"/>
      <c r="S13" s="113"/>
      <c r="T13" s="111"/>
      <c r="U13" s="113"/>
      <c r="V13" s="111"/>
      <c r="W13" s="113"/>
      <c r="X13" s="111"/>
      <c r="Y13" s="112"/>
      <c r="Z13" s="112"/>
    </row>
    <row r="14" spans="1:26" ht="21.75" customHeight="1" x14ac:dyDescent="0.2">
      <c r="A14" s="188"/>
      <c r="B14" s="201" t="s">
        <v>57</v>
      </c>
      <c r="C14" s="201"/>
      <c r="D14" s="202" t="s">
        <v>391</v>
      </c>
      <c r="E14" s="203"/>
      <c r="F14" s="200" t="s">
        <v>57</v>
      </c>
      <c r="G14" s="201"/>
      <c r="H14" s="97" t="s">
        <v>391</v>
      </c>
      <c r="I14" s="198"/>
      <c r="J14" s="200" t="s">
        <v>61</v>
      </c>
      <c r="K14" s="201"/>
      <c r="L14" s="96" t="s">
        <v>66</v>
      </c>
      <c r="M14" s="85"/>
      <c r="N14" s="111"/>
      <c r="O14" s="113"/>
      <c r="P14" s="111"/>
      <c r="Q14" s="113"/>
      <c r="R14" s="111"/>
      <c r="S14" s="113"/>
      <c r="T14" s="111"/>
      <c r="U14" s="113"/>
      <c r="V14" s="111"/>
      <c r="W14" s="113"/>
      <c r="X14" s="111"/>
      <c r="Y14" s="112"/>
      <c r="Z14" s="112"/>
    </row>
    <row r="15" spans="1:26" ht="21.75" customHeight="1" x14ac:dyDescent="0.2">
      <c r="A15" s="188"/>
      <c r="B15" s="192" t="s">
        <v>58</v>
      </c>
      <c r="C15" s="192"/>
      <c r="D15" s="193">
        <v>30</v>
      </c>
      <c r="E15" s="194"/>
      <c r="F15" s="191" t="s">
        <v>58</v>
      </c>
      <c r="G15" s="192"/>
      <c r="H15" s="102">
        <v>30</v>
      </c>
      <c r="I15" s="198"/>
      <c r="J15" s="191" t="s">
        <v>62</v>
      </c>
      <c r="K15" s="192"/>
      <c r="L15" s="96" t="s">
        <v>67</v>
      </c>
      <c r="M15" s="85"/>
      <c r="N15" s="111"/>
      <c r="O15" s="113"/>
      <c r="P15" s="111"/>
      <c r="Q15" s="113"/>
      <c r="R15" s="111"/>
      <c r="S15" s="113"/>
      <c r="T15" s="111"/>
      <c r="U15" s="113"/>
      <c r="V15" s="111"/>
      <c r="W15" s="113"/>
      <c r="X15" s="111"/>
      <c r="Y15" s="112"/>
      <c r="Z15" s="112"/>
    </row>
    <row r="16" spans="1:26" ht="21.75" customHeight="1" x14ac:dyDescent="0.2">
      <c r="A16" s="188"/>
      <c r="B16" s="100" t="s">
        <v>51</v>
      </c>
      <c r="C16" s="91" t="s">
        <v>53</v>
      </c>
      <c r="D16" s="91" t="s">
        <v>54</v>
      </c>
      <c r="E16" s="154"/>
      <c r="F16" s="91" t="s">
        <v>51</v>
      </c>
      <c r="G16" s="91" t="s">
        <v>53</v>
      </c>
      <c r="H16" s="95" t="s">
        <v>54</v>
      </c>
      <c r="I16" s="198"/>
      <c r="J16" s="154" t="s">
        <v>63</v>
      </c>
      <c r="K16" s="154" t="s">
        <v>64</v>
      </c>
      <c r="L16" s="96" t="s">
        <v>68</v>
      </c>
      <c r="M16" s="85"/>
      <c r="N16" s="111"/>
      <c r="O16" s="113"/>
      <c r="P16" s="111"/>
      <c r="Q16" s="113"/>
      <c r="R16" s="111"/>
      <c r="S16" s="113"/>
      <c r="T16" s="111"/>
      <c r="U16" s="113"/>
      <c r="V16" s="111"/>
      <c r="W16" s="113"/>
      <c r="X16" s="111"/>
      <c r="Y16" s="112"/>
      <c r="Z16" s="112"/>
    </row>
    <row r="17" spans="1:26" ht="21.75" customHeight="1" x14ac:dyDescent="0.2">
      <c r="A17" s="189"/>
      <c r="B17" s="91" t="s">
        <v>52</v>
      </c>
      <c r="C17" s="101" t="s">
        <v>51</v>
      </c>
      <c r="D17" s="101" t="s">
        <v>55</v>
      </c>
      <c r="E17" s="190"/>
      <c r="F17" s="101" t="s">
        <v>52</v>
      </c>
      <c r="G17" s="92" t="s">
        <v>51</v>
      </c>
      <c r="H17" s="98" t="s">
        <v>55</v>
      </c>
      <c r="I17" s="199"/>
      <c r="J17" s="155"/>
      <c r="K17" s="155"/>
      <c r="L17" s="98" t="s">
        <v>69</v>
      </c>
      <c r="M17" s="130" t="s">
        <v>92</v>
      </c>
      <c r="N17" s="130"/>
      <c r="O17" s="130"/>
      <c r="P17" s="130"/>
      <c r="Q17" s="130"/>
      <c r="R17" s="130"/>
      <c r="S17" s="130"/>
      <c r="T17" s="130"/>
      <c r="U17" s="130"/>
      <c r="V17" s="130"/>
      <c r="W17" s="130"/>
      <c r="X17" s="130"/>
      <c r="Y17" s="130"/>
      <c r="Z17" s="130"/>
    </row>
    <row r="18" spans="1:26" ht="23.25" customHeight="1" x14ac:dyDescent="0.2">
      <c r="A18" s="49" t="s">
        <v>7</v>
      </c>
      <c r="B18" s="82">
        <v>68.372399999999999</v>
      </c>
      <c r="C18" s="25"/>
      <c r="D18" s="24"/>
      <c r="E18" s="90"/>
      <c r="F18" s="82">
        <v>25.9328</v>
      </c>
      <c r="G18" s="51"/>
      <c r="H18" s="50"/>
      <c r="I18" s="52"/>
      <c r="J18" s="104"/>
      <c r="K18" s="104"/>
      <c r="L18" s="73"/>
      <c r="M18" s="123" t="s">
        <v>79</v>
      </c>
      <c r="N18" s="121" t="s">
        <v>98</v>
      </c>
      <c r="O18" s="121"/>
      <c r="P18" s="121"/>
      <c r="Q18" s="121" t="s">
        <v>107</v>
      </c>
      <c r="R18" s="121"/>
      <c r="S18" s="121"/>
      <c r="T18" s="121" t="s">
        <v>93</v>
      </c>
      <c r="U18" s="121"/>
      <c r="V18" s="121"/>
      <c r="W18" s="124" t="s">
        <v>91</v>
      </c>
      <c r="X18" s="131"/>
      <c r="Y18" s="131"/>
      <c r="Z18" s="131"/>
    </row>
    <row r="19" spans="1:26" ht="23.25" customHeight="1" x14ac:dyDescent="0.2">
      <c r="A19" s="49" t="s">
        <v>8</v>
      </c>
      <c r="B19" s="82">
        <v>68.372399999999999</v>
      </c>
      <c r="C19" s="25">
        <f t="shared" ref="C19:C42" si="0">IF(B19="","",IF(LEN(TRUNC(B18,0))-LEN(TRUNC(B19,0))=0,B19-B18,IF(LEN(TRUNC(B18,0))-LEN(TRUNC(B19,0))&gt;0,VALUE(LEFT(B18,LEN(TRUNC(B18,0))-LEN(TRUNC(B19,0))))*POWER(10,LEN(TRUNC(B19,0)))+B19-B18,B19-B18-VALUE(LEFT(B19,LEN(TRUNC(B19,0))-LEN(TRUNC(B18,0))))*POWER(10,LEN(TRUNC(B18,0))))))</f>
        <v>0</v>
      </c>
      <c r="D19" s="24">
        <f t="shared" ref="D19:D42" si="1">IF(C19="","",C19*$D$15)</f>
        <v>0</v>
      </c>
      <c r="E19" s="90"/>
      <c r="F19" s="82">
        <v>25.9328</v>
      </c>
      <c r="G19" s="51">
        <f>F19-ReportObject15_3</f>
        <v>0</v>
      </c>
      <c r="H19" s="50">
        <f t="shared" ref="H19:H42" si="2">IF(G19="","",G19*$H$15)</f>
        <v>0</v>
      </c>
      <c r="I19" s="52">
        <f t="shared" ref="I19:I42" si="3">IF(H19="","",IF(D19="","",IF(AND(H19=0,D19=0),0,H19/D19)))</f>
        <v>0</v>
      </c>
      <c r="J19" s="104"/>
      <c r="K19" s="83"/>
      <c r="L19" s="53"/>
      <c r="M19" s="116"/>
      <c r="N19" s="118"/>
      <c r="O19" s="118"/>
      <c r="P19" s="118"/>
      <c r="Q19" s="118" t="s">
        <v>108</v>
      </c>
      <c r="R19" s="118"/>
      <c r="S19" s="118"/>
      <c r="T19" s="118"/>
      <c r="U19" s="118"/>
      <c r="V19" s="118"/>
      <c r="W19" s="125"/>
      <c r="X19" s="122"/>
      <c r="Y19" s="122"/>
      <c r="Z19" s="122"/>
    </row>
    <row r="20" spans="1:26" ht="23.25" customHeight="1" x14ac:dyDescent="0.2">
      <c r="A20" s="49" t="s">
        <v>9</v>
      </c>
      <c r="B20" s="82">
        <v>68.372399999999999</v>
      </c>
      <c r="C20" s="25">
        <f t="shared" si="0"/>
        <v>0</v>
      </c>
      <c r="D20" s="24">
        <f t="shared" si="1"/>
        <v>0</v>
      </c>
      <c r="E20" s="90"/>
      <c r="F20" s="82">
        <v>25.9328</v>
      </c>
      <c r="G20" s="51">
        <f>F20-F19</f>
        <v>0</v>
      </c>
      <c r="H20" s="50">
        <f t="shared" si="2"/>
        <v>0</v>
      </c>
      <c r="I20" s="52">
        <f t="shared" si="3"/>
        <v>0</v>
      </c>
      <c r="J20" s="104"/>
      <c r="K20" s="83"/>
      <c r="L20" s="53"/>
      <c r="M20" s="116" t="s">
        <v>80</v>
      </c>
      <c r="N20" s="118" t="s">
        <v>99</v>
      </c>
      <c r="O20" s="118"/>
      <c r="P20" s="118"/>
      <c r="Q20" s="118" t="s">
        <v>181</v>
      </c>
      <c r="R20" s="118"/>
      <c r="S20" s="118"/>
      <c r="T20" s="118" t="s">
        <v>94</v>
      </c>
      <c r="U20" s="118"/>
      <c r="V20" s="118"/>
      <c r="W20" s="125"/>
      <c r="X20" s="122"/>
      <c r="Y20" s="122"/>
      <c r="Z20" s="122"/>
    </row>
    <row r="21" spans="1:26" ht="23.25" customHeight="1" x14ac:dyDescent="0.2">
      <c r="A21" s="49" t="s">
        <v>10</v>
      </c>
      <c r="B21" s="82">
        <v>68.372399999999999</v>
      </c>
      <c r="C21" s="25">
        <f t="shared" si="0"/>
        <v>0</v>
      </c>
      <c r="D21" s="24">
        <f t="shared" si="1"/>
        <v>0</v>
      </c>
      <c r="E21" s="90"/>
      <c r="F21" s="82">
        <v>25.9328</v>
      </c>
      <c r="G21" s="51">
        <f t="shared" ref="G21:G42" si="4">F21-F20</f>
        <v>0</v>
      </c>
      <c r="H21" s="50">
        <f t="shared" si="2"/>
        <v>0</v>
      </c>
      <c r="I21" s="52">
        <f t="shared" si="3"/>
        <v>0</v>
      </c>
      <c r="J21" s="104"/>
      <c r="K21" s="83"/>
      <c r="L21" s="53"/>
      <c r="M21" s="117"/>
      <c r="N21" s="119"/>
      <c r="O21" s="119"/>
      <c r="P21" s="119"/>
      <c r="Q21" s="119"/>
      <c r="R21" s="119"/>
      <c r="S21" s="119"/>
      <c r="T21" s="119"/>
      <c r="U21" s="119"/>
      <c r="V21" s="119"/>
      <c r="W21" s="127"/>
      <c r="X21" s="130"/>
      <c r="Y21" s="130"/>
      <c r="Z21" s="130"/>
    </row>
    <row r="22" spans="1:26" ht="23.25" customHeight="1" x14ac:dyDescent="0.2">
      <c r="A22" s="49" t="s">
        <v>11</v>
      </c>
      <c r="B22" s="82">
        <v>68.395200000000003</v>
      </c>
      <c r="C22" s="25">
        <f t="shared" si="0"/>
        <v>2.2800000000003706E-2</v>
      </c>
      <c r="D22" s="24">
        <f t="shared" si="1"/>
        <v>0.68400000000011119</v>
      </c>
      <c r="E22" s="90"/>
      <c r="F22" s="82">
        <v>25.936</v>
      </c>
      <c r="G22" s="51">
        <f t="shared" si="4"/>
        <v>3.1999999999996476E-3</v>
      </c>
      <c r="H22" s="50">
        <f t="shared" si="2"/>
        <v>9.5999999999989427E-2</v>
      </c>
      <c r="I22" s="52">
        <f t="shared" si="3"/>
        <v>0.14035087719294417</v>
      </c>
      <c r="J22" s="104"/>
      <c r="K22" s="83"/>
      <c r="L22" s="53"/>
      <c r="M22" s="85"/>
      <c r="N22" s="120"/>
      <c r="O22" s="120"/>
      <c r="P22" s="120"/>
      <c r="Q22" s="120"/>
      <c r="R22" s="120"/>
      <c r="S22" s="120"/>
      <c r="T22" s="120"/>
      <c r="U22" s="120"/>
      <c r="V22" s="120"/>
      <c r="W22" s="111"/>
      <c r="X22" s="112"/>
      <c r="Y22" s="112"/>
      <c r="Z22" s="112"/>
    </row>
    <row r="23" spans="1:26" ht="23.25" customHeight="1" x14ac:dyDescent="0.2">
      <c r="A23" s="49" t="s">
        <v>12</v>
      </c>
      <c r="B23" s="82">
        <v>68.421999999999997</v>
      </c>
      <c r="C23" s="25">
        <f t="shared" si="0"/>
        <v>2.6799999999994384E-2</v>
      </c>
      <c r="D23" s="24">
        <f t="shared" si="1"/>
        <v>0.80399999999983152</v>
      </c>
      <c r="E23" s="90"/>
      <c r="F23" s="82">
        <v>25.94</v>
      </c>
      <c r="G23" s="51">
        <f t="shared" si="4"/>
        <v>4.0000000000013358E-3</v>
      </c>
      <c r="H23" s="50">
        <f t="shared" si="2"/>
        <v>0.12000000000004007</v>
      </c>
      <c r="I23" s="52">
        <f t="shared" si="3"/>
        <v>0.1492537313433647</v>
      </c>
      <c r="J23" s="104"/>
      <c r="K23" s="83"/>
      <c r="L23" s="53"/>
      <c r="M23" s="85"/>
      <c r="N23" s="120"/>
      <c r="O23" s="120"/>
      <c r="P23" s="120"/>
      <c r="Q23" s="120"/>
      <c r="R23" s="120"/>
      <c r="S23" s="120"/>
      <c r="T23" s="120"/>
      <c r="U23" s="120"/>
      <c r="V23" s="120"/>
      <c r="W23" s="111"/>
      <c r="X23" s="112"/>
      <c r="Y23" s="112"/>
      <c r="Z23" s="112"/>
    </row>
    <row r="24" spans="1:26" ht="23.25" customHeight="1" x14ac:dyDescent="0.2">
      <c r="A24" s="49" t="s">
        <v>13</v>
      </c>
      <c r="B24" s="82">
        <v>68.448800000000006</v>
      </c>
      <c r="C24" s="25">
        <f t="shared" si="0"/>
        <v>2.6800000000008595E-2</v>
      </c>
      <c r="D24" s="24">
        <f t="shared" si="1"/>
        <v>0.80400000000025784</v>
      </c>
      <c r="E24" s="90"/>
      <c r="F24" s="82">
        <v>25.9436</v>
      </c>
      <c r="G24" s="51">
        <f t="shared" si="4"/>
        <v>3.5999999999987153E-3</v>
      </c>
      <c r="H24" s="50">
        <f t="shared" si="2"/>
        <v>0.10799999999996146</v>
      </c>
      <c r="I24" s="52">
        <f t="shared" si="3"/>
        <v>0.13432835820886421</v>
      </c>
      <c r="J24" s="104"/>
      <c r="K24" s="83"/>
      <c r="L24" s="53"/>
      <c r="M24" s="85"/>
      <c r="N24" s="120"/>
      <c r="O24" s="120"/>
      <c r="P24" s="120"/>
      <c r="Q24" s="120"/>
      <c r="R24" s="120"/>
      <c r="S24" s="120"/>
      <c r="T24" s="120"/>
      <c r="U24" s="120"/>
      <c r="V24" s="120"/>
      <c r="W24" s="111"/>
      <c r="X24" s="112"/>
      <c r="Y24" s="112"/>
      <c r="Z24" s="112"/>
    </row>
    <row r="25" spans="1:26" ht="23.25" customHeight="1" x14ac:dyDescent="0.2">
      <c r="A25" s="49" t="s">
        <v>14</v>
      </c>
      <c r="B25" s="82">
        <v>68.475200000000001</v>
      </c>
      <c r="C25" s="25">
        <f t="shared" si="0"/>
        <v>2.6399999999995316E-2</v>
      </c>
      <c r="D25" s="24">
        <f t="shared" si="1"/>
        <v>0.79199999999985948</v>
      </c>
      <c r="E25" s="90"/>
      <c r="F25" s="82">
        <v>25.947600000000001</v>
      </c>
      <c r="G25" s="51">
        <f t="shared" si="4"/>
        <v>4.0000000000013358E-3</v>
      </c>
      <c r="H25" s="50">
        <f t="shared" si="2"/>
        <v>0.12000000000004007</v>
      </c>
      <c r="I25" s="52">
        <f t="shared" si="3"/>
        <v>0.15151515151522899</v>
      </c>
      <c r="J25" s="104"/>
      <c r="K25" s="83"/>
      <c r="L25" s="53"/>
      <c r="M25" s="85"/>
      <c r="N25" s="120"/>
      <c r="O25" s="120"/>
      <c r="P25" s="120"/>
      <c r="Q25" s="120"/>
      <c r="R25" s="120"/>
      <c r="S25" s="120"/>
      <c r="T25" s="120"/>
      <c r="U25" s="120"/>
      <c r="V25" s="120"/>
      <c r="W25" s="111"/>
      <c r="X25" s="112"/>
      <c r="Y25" s="112"/>
      <c r="Z25" s="112"/>
    </row>
    <row r="26" spans="1:26" ht="23.25" customHeight="1" x14ac:dyDescent="0.2">
      <c r="A26" s="49" t="s">
        <v>15</v>
      </c>
      <c r="B26" s="82">
        <v>68.501599999999996</v>
      </c>
      <c r="C26" s="25">
        <f t="shared" si="0"/>
        <v>2.6399999999995316E-2</v>
      </c>
      <c r="D26" s="24">
        <f t="shared" si="1"/>
        <v>0.79199999999985948</v>
      </c>
      <c r="E26" s="90"/>
      <c r="F26" s="82">
        <v>25.951599999999999</v>
      </c>
      <c r="G26" s="51">
        <f t="shared" si="4"/>
        <v>3.9999999999977831E-3</v>
      </c>
      <c r="H26" s="50">
        <f t="shared" si="2"/>
        <v>0.11999999999993349</v>
      </c>
      <c r="I26" s="52">
        <f t="shared" si="3"/>
        <v>0.15151515151509443</v>
      </c>
      <c r="J26" s="104"/>
      <c r="K26" s="83"/>
      <c r="L26" s="53"/>
      <c r="M26" s="85"/>
      <c r="N26" s="120"/>
      <c r="O26" s="120"/>
      <c r="P26" s="120"/>
      <c r="Q26" s="120"/>
      <c r="R26" s="120"/>
      <c r="S26" s="120"/>
      <c r="T26" s="120"/>
      <c r="U26" s="120"/>
      <c r="V26" s="120"/>
      <c r="W26" s="111"/>
      <c r="X26" s="112"/>
      <c r="Y26" s="112"/>
      <c r="Z26" s="112"/>
    </row>
    <row r="27" spans="1:26" ht="23.25" customHeight="1" x14ac:dyDescent="0.2">
      <c r="A27" s="49" t="s">
        <v>16</v>
      </c>
      <c r="B27" s="82">
        <v>68.528000000000006</v>
      </c>
      <c r="C27" s="25">
        <f t="shared" si="0"/>
        <v>2.6400000000009527E-2</v>
      </c>
      <c r="D27" s="24">
        <f t="shared" si="1"/>
        <v>0.79200000000028581</v>
      </c>
      <c r="E27" s="90"/>
      <c r="F27" s="82">
        <v>25.955200000000001</v>
      </c>
      <c r="G27" s="51">
        <f t="shared" si="4"/>
        <v>3.6000000000022681E-3</v>
      </c>
      <c r="H27" s="50">
        <f t="shared" si="2"/>
        <v>0.10800000000006804</v>
      </c>
      <c r="I27" s="52">
        <f t="shared" si="3"/>
        <v>0.13636363636367307</v>
      </c>
      <c r="J27" s="104"/>
      <c r="K27" s="83"/>
      <c r="L27" s="53"/>
      <c r="M27" s="85"/>
      <c r="N27" s="120"/>
      <c r="O27" s="120"/>
      <c r="P27" s="120"/>
      <c r="Q27" s="120"/>
      <c r="R27" s="120"/>
      <c r="S27" s="120"/>
      <c r="T27" s="120"/>
      <c r="U27" s="120"/>
      <c r="V27" s="120"/>
      <c r="W27" s="111"/>
      <c r="X27" s="112"/>
      <c r="Y27" s="112"/>
      <c r="Z27" s="112"/>
    </row>
    <row r="28" spans="1:26" ht="23.25" customHeight="1" x14ac:dyDescent="0.2">
      <c r="A28" s="49" t="s">
        <v>17</v>
      </c>
      <c r="B28" s="82">
        <v>68.611999999999995</v>
      </c>
      <c r="C28" s="25">
        <f t="shared" si="0"/>
        <v>8.3999999999988972E-2</v>
      </c>
      <c r="D28" s="24">
        <f t="shared" si="1"/>
        <v>2.5199999999996692</v>
      </c>
      <c r="E28" s="90"/>
      <c r="F28" s="82">
        <v>25.994</v>
      </c>
      <c r="G28" s="51">
        <f t="shared" si="4"/>
        <v>3.8799999999998391E-2</v>
      </c>
      <c r="H28" s="50">
        <f t="shared" si="2"/>
        <v>1.1639999999999517</v>
      </c>
      <c r="I28" s="52">
        <f t="shared" si="3"/>
        <v>0.4619047619048034</v>
      </c>
      <c r="J28" s="104"/>
      <c r="K28" s="83"/>
      <c r="L28" s="53"/>
      <c r="M28" s="85"/>
      <c r="N28" s="120"/>
      <c r="O28" s="120"/>
      <c r="P28" s="120"/>
      <c r="Q28" s="120"/>
      <c r="R28" s="120"/>
      <c r="S28" s="120"/>
      <c r="T28" s="120"/>
      <c r="U28" s="120"/>
      <c r="V28" s="120"/>
      <c r="W28" s="111"/>
      <c r="X28" s="112"/>
      <c r="Y28" s="112"/>
      <c r="Z28" s="112"/>
    </row>
    <row r="29" spans="1:26" ht="23.25" customHeight="1" x14ac:dyDescent="0.2">
      <c r="A29" s="49" t="s">
        <v>18</v>
      </c>
      <c r="B29" s="82">
        <v>68.772000000000006</v>
      </c>
      <c r="C29" s="25">
        <f t="shared" si="0"/>
        <v>0.1600000000000108</v>
      </c>
      <c r="D29" s="24">
        <f t="shared" si="1"/>
        <v>4.800000000000324</v>
      </c>
      <c r="E29" s="90"/>
      <c r="F29" s="82">
        <v>26.0852</v>
      </c>
      <c r="G29" s="51">
        <f t="shared" si="4"/>
        <v>9.1200000000000614E-2</v>
      </c>
      <c r="H29" s="50">
        <f t="shared" si="2"/>
        <v>2.7360000000000184</v>
      </c>
      <c r="I29" s="52">
        <f t="shared" si="3"/>
        <v>0.56999999999996531</v>
      </c>
      <c r="J29" s="104"/>
      <c r="K29" s="83"/>
      <c r="L29" s="53"/>
      <c r="M29" s="145" t="s">
        <v>95</v>
      </c>
      <c r="N29" s="145"/>
      <c r="O29" s="145"/>
      <c r="P29" s="145"/>
      <c r="Q29" s="145"/>
      <c r="R29" s="145"/>
      <c r="S29" s="145"/>
      <c r="T29" s="145"/>
      <c r="U29" s="145"/>
      <c r="V29" s="145"/>
      <c r="W29" s="145"/>
      <c r="X29" s="145"/>
      <c r="Y29" s="145"/>
      <c r="Z29" s="145"/>
    </row>
    <row r="30" spans="1:26" ht="23.25" customHeight="1" x14ac:dyDescent="0.2">
      <c r="A30" s="49" t="s">
        <v>19</v>
      </c>
      <c r="B30" s="82">
        <v>68.854399999999998</v>
      </c>
      <c r="C30" s="25">
        <f t="shared" si="0"/>
        <v>8.2399999999992701E-2</v>
      </c>
      <c r="D30" s="24">
        <f t="shared" si="1"/>
        <v>2.471999999999781</v>
      </c>
      <c r="E30" s="90"/>
      <c r="F30" s="82">
        <v>26.116399999999999</v>
      </c>
      <c r="G30" s="51">
        <f t="shared" si="4"/>
        <v>3.119999999999834E-2</v>
      </c>
      <c r="H30" s="50">
        <f t="shared" si="2"/>
        <v>0.93599999999995021</v>
      </c>
      <c r="I30" s="52">
        <f t="shared" si="3"/>
        <v>0.3786407766990425</v>
      </c>
      <c r="J30" s="104"/>
      <c r="K30" s="83"/>
      <c r="L30" s="53"/>
      <c r="M30" s="122" t="s">
        <v>97</v>
      </c>
      <c r="N30" s="122"/>
      <c r="O30" s="122"/>
      <c r="P30" s="122"/>
      <c r="Q30" s="122"/>
      <c r="R30" s="122"/>
      <c r="S30" s="122"/>
      <c r="T30" s="122"/>
      <c r="U30" s="122"/>
      <c r="V30" s="122"/>
      <c r="W30" s="122"/>
      <c r="X30" s="122"/>
      <c r="Y30" s="122"/>
      <c r="Z30" s="122"/>
    </row>
    <row r="31" spans="1:26" ht="23.25" customHeight="1" x14ac:dyDescent="0.2">
      <c r="A31" s="49" t="s">
        <v>20</v>
      </c>
      <c r="B31" s="82">
        <v>68.903999999999996</v>
      </c>
      <c r="C31" s="25">
        <f t="shared" si="0"/>
        <v>4.959999999999809E-2</v>
      </c>
      <c r="D31" s="24">
        <f t="shared" si="1"/>
        <v>1.4879999999999427</v>
      </c>
      <c r="E31" s="90"/>
      <c r="F31" s="82">
        <v>26.134</v>
      </c>
      <c r="G31" s="51">
        <f t="shared" si="4"/>
        <v>1.7600000000001614E-2</v>
      </c>
      <c r="H31" s="50">
        <f t="shared" si="2"/>
        <v>0.52800000000004843</v>
      </c>
      <c r="I31" s="52">
        <f t="shared" si="3"/>
        <v>0.35483870967746556</v>
      </c>
      <c r="J31" s="104"/>
      <c r="K31" s="83"/>
      <c r="L31" s="53"/>
      <c r="M31" s="123" t="s">
        <v>79</v>
      </c>
      <c r="N31" s="121" t="s">
        <v>98</v>
      </c>
      <c r="O31" s="121"/>
      <c r="P31" s="121" t="s">
        <v>100</v>
      </c>
      <c r="Q31" s="121"/>
      <c r="R31" s="121" t="s">
        <v>93</v>
      </c>
      <c r="S31" s="121"/>
      <c r="T31" s="121" t="s">
        <v>103</v>
      </c>
      <c r="U31" s="121"/>
      <c r="V31" s="121" t="s">
        <v>179</v>
      </c>
      <c r="W31" s="121"/>
      <c r="X31" s="121"/>
      <c r="Y31" s="121" t="s">
        <v>91</v>
      </c>
      <c r="Z31" s="124"/>
    </row>
    <row r="32" spans="1:26" ht="23.25" customHeight="1" x14ac:dyDescent="0.2">
      <c r="A32" s="49" t="s">
        <v>21</v>
      </c>
      <c r="B32" s="82">
        <v>68.9084</v>
      </c>
      <c r="C32" s="25">
        <f t="shared" si="0"/>
        <v>4.4000000000039563E-3</v>
      </c>
      <c r="D32" s="24">
        <f t="shared" si="1"/>
        <v>0.13200000000011869</v>
      </c>
      <c r="E32" s="90"/>
      <c r="F32" s="82">
        <v>26.136399999999998</v>
      </c>
      <c r="G32" s="51">
        <f t="shared" si="4"/>
        <v>2.3999999999979593E-3</v>
      </c>
      <c r="H32" s="50">
        <f t="shared" si="2"/>
        <v>7.199999999993878E-2</v>
      </c>
      <c r="I32" s="52">
        <f t="shared" si="3"/>
        <v>0.54545454545359118</v>
      </c>
      <c r="J32" s="104"/>
      <c r="K32" s="83"/>
      <c r="L32" s="53"/>
      <c r="M32" s="116"/>
      <c r="N32" s="118"/>
      <c r="O32" s="118"/>
      <c r="P32" s="118" t="s">
        <v>83</v>
      </c>
      <c r="Q32" s="118"/>
      <c r="R32" s="118" t="s">
        <v>102</v>
      </c>
      <c r="S32" s="118"/>
      <c r="T32" s="118" t="s">
        <v>104</v>
      </c>
      <c r="U32" s="118"/>
      <c r="V32" s="118" t="s">
        <v>105</v>
      </c>
      <c r="W32" s="118"/>
      <c r="X32" s="118"/>
      <c r="Y32" s="118"/>
      <c r="Z32" s="125"/>
    </row>
    <row r="33" spans="1:26" ht="23.25" customHeight="1" x14ac:dyDescent="0.2">
      <c r="A33" s="49" t="s">
        <v>22</v>
      </c>
      <c r="B33" s="82">
        <v>68.998000000000005</v>
      </c>
      <c r="C33" s="25">
        <f t="shared" si="0"/>
        <v>8.9600000000004343E-2</v>
      </c>
      <c r="D33" s="24">
        <f t="shared" si="1"/>
        <v>2.6880000000001303</v>
      </c>
      <c r="E33" s="90"/>
      <c r="F33" s="82">
        <v>26.230399999999999</v>
      </c>
      <c r="G33" s="51">
        <f t="shared" si="4"/>
        <v>9.4000000000001194E-2</v>
      </c>
      <c r="H33" s="50">
        <f t="shared" si="2"/>
        <v>2.8200000000000358</v>
      </c>
      <c r="I33" s="52">
        <f t="shared" si="3"/>
        <v>1.0491071428571053</v>
      </c>
      <c r="J33" s="104"/>
      <c r="K33" s="83"/>
      <c r="L33" s="53"/>
      <c r="M33" s="116" t="s">
        <v>80</v>
      </c>
      <c r="N33" s="118" t="s">
        <v>99</v>
      </c>
      <c r="O33" s="118"/>
      <c r="P33" s="118" t="s">
        <v>101</v>
      </c>
      <c r="Q33" s="118"/>
      <c r="R33" s="118" t="s">
        <v>69</v>
      </c>
      <c r="S33" s="118"/>
      <c r="T33" s="118" t="s">
        <v>69</v>
      </c>
      <c r="U33" s="118"/>
      <c r="V33" s="118" t="s">
        <v>106</v>
      </c>
      <c r="W33" s="118"/>
      <c r="X33" s="118"/>
      <c r="Y33" s="118"/>
      <c r="Z33" s="125"/>
    </row>
    <row r="34" spans="1:26" ht="23.25" customHeight="1" x14ac:dyDescent="0.2">
      <c r="A34" s="49" t="s">
        <v>23</v>
      </c>
      <c r="B34" s="82">
        <v>69.056399999999996</v>
      </c>
      <c r="C34" s="25">
        <f t="shared" si="0"/>
        <v>5.8399999999991792E-2</v>
      </c>
      <c r="D34" s="24">
        <f t="shared" si="1"/>
        <v>1.7519999999997538</v>
      </c>
      <c r="E34" s="90"/>
      <c r="F34" s="82">
        <v>26.244</v>
      </c>
      <c r="G34" s="51">
        <f t="shared" si="4"/>
        <v>1.3600000000000279E-2</v>
      </c>
      <c r="H34" s="50">
        <f t="shared" si="2"/>
        <v>0.40800000000000836</v>
      </c>
      <c r="I34" s="52">
        <f t="shared" si="3"/>
        <v>0.23287671232880464</v>
      </c>
      <c r="J34" s="104"/>
      <c r="K34" s="83"/>
      <c r="L34" s="53"/>
      <c r="M34" s="117"/>
      <c r="N34" s="119"/>
      <c r="O34" s="119"/>
      <c r="P34" s="119"/>
      <c r="Q34" s="119"/>
      <c r="R34" s="127"/>
      <c r="S34" s="117"/>
      <c r="T34" s="127"/>
      <c r="U34" s="117"/>
      <c r="V34" s="127"/>
      <c r="W34" s="130"/>
      <c r="X34" s="117"/>
      <c r="Y34" s="119"/>
      <c r="Z34" s="127"/>
    </row>
    <row r="35" spans="1:26" ht="23.25" customHeight="1" x14ac:dyDescent="0.2">
      <c r="A35" s="49" t="s">
        <v>24</v>
      </c>
      <c r="B35" s="82">
        <v>69.103999999999999</v>
      </c>
      <c r="C35" s="25">
        <f t="shared" si="0"/>
        <v>4.7600000000002751E-2</v>
      </c>
      <c r="D35" s="24">
        <f t="shared" si="1"/>
        <v>1.4280000000000825</v>
      </c>
      <c r="E35" s="90"/>
      <c r="F35" s="82">
        <v>26.251200000000001</v>
      </c>
      <c r="G35" s="51">
        <f t="shared" si="4"/>
        <v>7.2000000000009834E-3</v>
      </c>
      <c r="H35" s="50">
        <f t="shared" si="2"/>
        <v>0.2160000000000295</v>
      </c>
      <c r="I35" s="52">
        <f t="shared" si="3"/>
        <v>0.1512605042016926</v>
      </c>
      <c r="J35" s="104"/>
      <c r="K35" s="83"/>
      <c r="L35" s="53"/>
      <c r="M35" s="85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11"/>
    </row>
    <row r="36" spans="1:26" ht="23.25" customHeight="1" x14ac:dyDescent="0.2">
      <c r="A36" s="49" t="s">
        <v>25</v>
      </c>
      <c r="B36" s="82">
        <v>69.200400000000002</v>
      </c>
      <c r="C36" s="25">
        <f t="shared" si="0"/>
        <v>9.6400000000002706E-2</v>
      </c>
      <c r="D36" s="24">
        <f t="shared" si="1"/>
        <v>2.8920000000000812</v>
      </c>
      <c r="E36" s="90"/>
      <c r="F36" s="82">
        <v>26.334399999999999</v>
      </c>
      <c r="G36" s="51">
        <f t="shared" si="4"/>
        <v>8.3199999999997942E-2</v>
      </c>
      <c r="H36" s="50">
        <f t="shared" si="2"/>
        <v>2.4959999999999383</v>
      </c>
      <c r="I36" s="52">
        <f t="shared" si="3"/>
        <v>0.86307053941904155</v>
      </c>
      <c r="J36" s="104"/>
      <c r="K36" s="83"/>
      <c r="L36" s="53"/>
      <c r="M36" s="85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11"/>
    </row>
    <row r="37" spans="1:26" ht="23.25" customHeight="1" x14ac:dyDescent="0.2">
      <c r="A37" s="49" t="s">
        <v>26</v>
      </c>
      <c r="B37" s="82">
        <v>69.236000000000004</v>
      </c>
      <c r="C37" s="25">
        <f t="shared" si="0"/>
        <v>3.5600000000002296E-2</v>
      </c>
      <c r="D37" s="24">
        <f t="shared" si="1"/>
        <v>1.0680000000000689</v>
      </c>
      <c r="E37" s="90"/>
      <c r="F37" s="82">
        <v>26.337599999999998</v>
      </c>
      <c r="G37" s="51">
        <f t="shared" si="4"/>
        <v>3.1999999999996476E-3</v>
      </c>
      <c r="H37" s="50">
        <f t="shared" si="2"/>
        <v>9.5999999999989427E-2</v>
      </c>
      <c r="I37" s="52">
        <f t="shared" si="3"/>
        <v>8.9887640449422504E-2</v>
      </c>
      <c r="J37" s="104"/>
      <c r="K37" s="83"/>
      <c r="L37" s="53"/>
      <c r="M37" s="85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11"/>
    </row>
    <row r="38" spans="1:26" ht="23.25" customHeight="1" x14ac:dyDescent="0.2">
      <c r="A38" s="49" t="s">
        <v>27</v>
      </c>
      <c r="B38" s="82">
        <v>69.266400000000004</v>
      </c>
      <c r="C38" s="25">
        <f t="shared" si="0"/>
        <v>3.0400000000000205E-2</v>
      </c>
      <c r="D38" s="24">
        <f t="shared" si="1"/>
        <v>0.91200000000000614</v>
      </c>
      <c r="E38" s="90"/>
      <c r="F38" s="82">
        <v>26.338000000000001</v>
      </c>
      <c r="G38" s="51">
        <f t="shared" si="4"/>
        <v>4.0000000000262048E-4</v>
      </c>
      <c r="H38" s="50">
        <f t="shared" si="2"/>
        <v>1.2000000000078614E-2</v>
      </c>
      <c r="I38" s="52">
        <f t="shared" si="3"/>
        <v>1.3157894736928216E-2</v>
      </c>
      <c r="J38" s="104"/>
      <c r="K38" s="83"/>
      <c r="L38" s="53"/>
      <c r="M38" s="85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11"/>
    </row>
    <row r="39" spans="1:26" ht="23.25" customHeight="1" x14ac:dyDescent="0.2">
      <c r="A39" s="49" t="s">
        <v>28</v>
      </c>
      <c r="B39" s="82">
        <v>69.293199999999999</v>
      </c>
      <c r="C39" s="25">
        <f t="shared" si="0"/>
        <v>2.6799999999994384E-2</v>
      </c>
      <c r="D39" s="24">
        <f t="shared" si="1"/>
        <v>0.80399999999983152</v>
      </c>
      <c r="E39" s="90"/>
      <c r="F39" s="82">
        <v>26.341200000000001</v>
      </c>
      <c r="G39" s="51">
        <f t="shared" si="4"/>
        <v>3.1999999999996476E-3</v>
      </c>
      <c r="H39" s="50">
        <f t="shared" si="2"/>
        <v>9.5999999999989427E-2</v>
      </c>
      <c r="I39" s="52">
        <f t="shared" si="3"/>
        <v>0.11940298507463874</v>
      </c>
      <c r="J39" s="104"/>
      <c r="K39" s="83"/>
      <c r="L39" s="53"/>
      <c r="M39" s="85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11"/>
    </row>
    <row r="40" spans="1:26" ht="23.25" customHeight="1" x14ac:dyDescent="0.2">
      <c r="A40" s="49" t="s">
        <v>29</v>
      </c>
      <c r="B40" s="82">
        <v>69.319599999999994</v>
      </c>
      <c r="C40" s="25">
        <f t="shared" si="0"/>
        <v>2.6399999999995316E-2</v>
      </c>
      <c r="D40" s="24">
        <f t="shared" si="1"/>
        <v>0.79199999999985948</v>
      </c>
      <c r="E40" s="90"/>
      <c r="F40" s="82">
        <v>26.344799999999999</v>
      </c>
      <c r="G40" s="51">
        <f t="shared" si="4"/>
        <v>3.5999999999987153E-3</v>
      </c>
      <c r="H40" s="50">
        <f t="shared" si="2"/>
        <v>0.10799999999996146</v>
      </c>
      <c r="I40" s="52">
        <f t="shared" si="3"/>
        <v>0.1363636363636119</v>
      </c>
      <c r="J40" s="104"/>
      <c r="K40" s="83"/>
      <c r="L40" s="53"/>
      <c r="M40" s="122" t="s">
        <v>109</v>
      </c>
      <c r="N40" s="122"/>
      <c r="O40" s="122"/>
      <c r="P40" s="122"/>
      <c r="Q40" s="122"/>
      <c r="R40" s="122"/>
      <c r="S40" s="122"/>
      <c r="T40" s="122"/>
      <c r="U40" s="122"/>
      <c r="V40" s="122"/>
      <c r="W40" s="122"/>
      <c r="X40" s="122"/>
      <c r="Y40" s="122"/>
      <c r="Z40" s="122"/>
    </row>
    <row r="41" spans="1:26" ht="23.25" customHeight="1" x14ac:dyDescent="0.2">
      <c r="A41" s="49" t="s">
        <v>30</v>
      </c>
      <c r="B41" s="82">
        <v>69.346400000000003</v>
      </c>
      <c r="C41" s="25">
        <f t="shared" si="0"/>
        <v>2.6800000000008595E-2</v>
      </c>
      <c r="D41" s="24">
        <f t="shared" si="1"/>
        <v>0.80400000000025784</v>
      </c>
      <c r="E41" s="90"/>
      <c r="F41" s="82">
        <v>26.348400000000002</v>
      </c>
      <c r="G41" s="51">
        <f t="shared" si="4"/>
        <v>3.6000000000022681E-3</v>
      </c>
      <c r="H41" s="50">
        <f t="shared" si="2"/>
        <v>0.10800000000006804</v>
      </c>
      <c r="I41" s="52">
        <f t="shared" si="3"/>
        <v>0.13432835820899677</v>
      </c>
      <c r="J41" s="104"/>
      <c r="K41" s="83"/>
      <c r="L41" s="53"/>
      <c r="M41" s="123" t="s">
        <v>79</v>
      </c>
      <c r="N41" s="121" t="s">
        <v>98</v>
      </c>
      <c r="O41" s="121"/>
      <c r="P41" s="121" t="s">
        <v>93</v>
      </c>
      <c r="Q41" s="121"/>
      <c r="R41" s="121"/>
      <c r="S41" s="121" t="s">
        <v>111</v>
      </c>
      <c r="T41" s="121" t="s">
        <v>81</v>
      </c>
      <c r="U41" s="121"/>
      <c r="V41" s="121"/>
      <c r="W41" s="121"/>
      <c r="X41" s="121" t="s">
        <v>93</v>
      </c>
      <c r="Y41" s="121"/>
      <c r="Z41" s="124"/>
    </row>
    <row r="42" spans="1:26" ht="23.25" customHeight="1" x14ac:dyDescent="0.2">
      <c r="A42" s="49" t="s">
        <v>31</v>
      </c>
      <c r="B42" s="82">
        <v>69.373199999999997</v>
      </c>
      <c r="C42" s="25">
        <f t="shared" si="0"/>
        <v>2.6799999999994384E-2</v>
      </c>
      <c r="D42" s="24">
        <f t="shared" si="1"/>
        <v>0.80399999999983152</v>
      </c>
      <c r="E42" s="90"/>
      <c r="F42" s="82">
        <v>26.352</v>
      </c>
      <c r="G42" s="51">
        <f t="shared" si="4"/>
        <v>3.5999999999987153E-3</v>
      </c>
      <c r="H42" s="50">
        <f t="shared" si="2"/>
        <v>0.10799999999996146</v>
      </c>
      <c r="I42" s="52">
        <f t="shared" si="3"/>
        <v>0.13432835820893543</v>
      </c>
      <c r="J42" s="104"/>
      <c r="K42" s="83"/>
      <c r="L42" s="53"/>
      <c r="M42" s="116"/>
      <c r="N42" s="118"/>
      <c r="O42" s="118"/>
      <c r="P42" s="118"/>
      <c r="Q42" s="118"/>
      <c r="R42" s="118"/>
      <c r="S42" s="118"/>
      <c r="T42" s="118"/>
      <c r="U42" s="118"/>
      <c r="V42" s="118"/>
      <c r="W42" s="118"/>
      <c r="X42" s="118"/>
      <c r="Y42" s="118"/>
      <c r="Z42" s="125"/>
    </row>
    <row r="43" spans="1:26" ht="22.5" customHeight="1" x14ac:dyDescent="0.2">
      <c r="A43" s="184" t="s">
        <v>70</v>
      </c>
      <c r="B43" s="184"/>
      <c r="C43" s="184"/>
      <c r="D43" s="50">
        <f>SUM(D18:D42)</f>
        <v>30.023999999999944</v>
      </c>
      <c r="E43" s="104"/>
      <c r="F43" s="54"/>
      <c r="G43" s="104"/>
      <c r="H43" s="50">
        <f>SUM(H18:H42)</f>
        <v>12.576000000000001</v>
      </c>
      <c r="I43" s="52">
        <f>IF(AND(H43=0,D43=0),0,H43/D43)</f>
        <v>0.41886490807354199</v>
      </c>
      <c r="J43" s="104"/>
      <c r="K43" s="104"/>
      <c r="L43" s="53"/>
      <c r="M43" s="116" t="s">
        <v>80</v>
      </c>
      <c r="N43" s="118" t="s">
        <v>99</v>
      </c>
      <c r="O43" s="118"/>
      <c r="P43" s="118" t="s">
        <v>110</v>
      </c>
      <c r="Q43" s="118"/>
      <c r="R43" s="118"/>
      <c r="S43" s="118"/>
      <c r="T43" s="118"/>
      <c r="U43" s="118"/>
      <c r="V43" s="118"/>
      <c r="W43" s="118"/>
      <c r="X43" s="118" t="s">
        <v>110</v>
      </c>
      <c r="Y43" s="118"/>
      <c r="Z43" s="125"/>
    </row>
    <row r="44" spans="1:26" ht="22.5" customHeight="1" x14ac:dyDescent="0.2">
      <c r="A44" s="183" t="s">
        <v>71</v>
      </c>
      <c r="B44" s="183"/>
      <c r="C44" s="183"/>
      <c r="D44" s="104"/>
      <c r="E44" s="104"/>
      <c r="F44" s="54"/>
      <c r="G44" s="104"/>
      <c r="H44" s="104"/>
      <c r="I44" s="104"/>
      <c r="J44" s="104"/>
      <c r="K44" s="104"/>
      <c r="L44" s="53"/>
      <c r="M44" s="117"/>
      <c r="N44" s="119"/>
      <c r="O44" s="119"/>
      <c r="P44" s="119"/>
      <c r="Q44" s="119"/>
      <c r="R44" s="119"/>
      <c r="S44" s="119"/>
      <c r="T44" s="119"/>
      <c r="U44" s="119"/>
      <c r="V44" s="119"/>
      <c r="W44" s="119"/>
      <c r="X44" s="119"/>
      <c r="Y44" s="119"/>
      <c r="Z44" s="127"/>
    </row>
    <row r="45" spans="1:26" ht="22.5" customHeight="1" x14ac:dyDescent="0.2">
      <c r="A45" s="94"/>
      <c r="B45" s="103"/>
      <c r="C45" s="103"/>
      <c r="D45" s="103"/>
      <c r="E45" s="103"/>
      <c r="F45" s="103"/>
      <c r="G45" s="103"/>
      <c r="H45" s="103"/>
      <c r="I45" s="103"/>
      <c r="J45" s="57"/>
      <c r="K45" s="57"/>
      <c r="L45" s="57"/>
      <c r="M45" s="85"/>
      <c r="N45" s="111"/>
      <c r="O45" s="113"/>
      <c r="P45" s="111"/>
      <c r="Q45" s="112"/>
      <c r="R45" s="113"/>
      <c r="S45" s="87"/>
      <c r="T45" s="111"/>
      <c r="U45" s="112"/>
      <c r="V45" s="112"/>
      <c r="W45" s="113"/>
      <c r="X45" s="111"/>
      <c r="Y45" s="112"/>
      <c r="Z45" s="112"/>
    </row>
    <row r="46" spans="1:26" ht="22.5" customHeight="1" x14ac:dyDescent="0.2">
      <c r="A46" s="182" t="s">
        <v>72</v>
      </c>
      <c r="B46" s="182"/>
      <c r="C46" s="182"/>
      <c r="D46" s="182"/>
      <c r="E46" s="182"/>
      <c r="F46" s="182"/>
      <c r="G46" s="204" t="s">
        <v>73</v>
      </c>
      <c r="H46" s="204"/>
      <c r="I46" s="204"/>
      <c r="J46" s="204"/>
      <c r="K46" s="204"/>
      <c r="L46" s="204"/>
      <c r="M46" s="85"/>
      <c r="N46" s="111"/>
      <c r="O46" s="113"/>
      <c r="P46" s="111"/>
      <c r="Q46" s="112"/>
      <c r="R46" s="113"/>
      <c r="S46" s="87"/>
      <c r="T46" s="111"/>
      <c r="U46" s="112"/>
      <c r="V46" s="112"/>
      <c r="W46" s="113"/>
      <c r="X46" s="111"/>
      <c r="Y46" s="112"/>
      <c r="Z46" s="112"/>
    </row>
    <row r="47" spans="1:26" ht="22.5" customHeight="1" x14ac:dyDescent="0.2">
      <c r="A47" s="144" t="s">
        <v>365</v>
      </c>
      <c r="B47" s="144"/>
      <c r="C47" s="144"/>
      <c r="D47" s="135" t="s">
        <v>74</v>
      </c>
      <c r="E47" s="135"/>
      <c r="F47" s="135"/>
      <c r="G47" s="103"/>
      <c r="H47" s="103"/>
      <c r="I47" s="103"/>
      <c r="J47" s="103"/>
      <c r="K47" s="103"/>
      <c r="L47" s="103"/>
      <c r="M47" s="85"/>
      <c r="N47" s="111"/>
      <c r="O47" s="113"/>
      <c r="P47" s="111"/>
      <c r="Q47" s="112"/>
      <c r="R47" s="113"/>
      <c r="S47" s="87"/>
      <c r="T47" s="111"/>
      <c r="U47" s="112"/>
      <c r="V47" s="112"/>
      <c r="W47" s="113"/>
      <c r="X47" s="111"/>
      <c r="Y47" s="112"/>
      <c r="Z47" s="112"/>
    </row>
    <row r="48" spans="1:26" ht="22.5" customHeight="1" x14ac:dyDescent="0.2">
      <c r="A48" s="175" t="s">
        <v>75</v>
      </c>
      <c r="B48" s="175"/>
      <c r="C48" s="175"/>
      <c r="D48" s="174" t="s">
        <v>76</v>
      </c>
      <c r="E48" s="174"/>
      <c r="F48" s="174"/>
      <c r="G48" s="94"/>
      <c r="H48" s="94"/>
      <c r="I48" s="94"/>
      <c r="J48" s="94"/>
      <c r="K48" s="94"/>
      <c r="L48" s="94"/>
    </row>
    <row r="49" spans="1:23" ht="22.5" customHeight="1" x14ac:dyDescent="0.2">
      <c r="A49" s="144" t="s">
        <v>366</v>
      </c>
      <c r="B49" s="144"/>
      <c r="C49" s="144"/>
      <c r="D49" s="135" t="s">
        <v>74</v>
      </c>
      <c r="E49" s="135"/>
      <c r="F49" s="135"/>
      <c r="G49" s="94"/>
      <c r="H49" s="182" t="s">
        <v>183</v>
      </c>
      <c r="I49" s="182"/>
      <c r="J49" s="182"/>
      <c r="K49" s="182" t="s">
        <v>77</v>
      </c>
      <c r="L49" s="182"/>
      <c r="N49" s="177" t="s">
        <v>150</v>
      </c>
      <c r="O49" s="177"/>
      <c r="P49" s="177"/>
      <c r="Q49" s="176" t="s">
        <v>364</v>
      </c>
      <c r="R49" s="176"/>
      <c r="S49" s="176"/>
      <c r="T49" s="176"/>
      <c r="U49" s="176"/>
      <c r="V49" s="176"/>
      <c r="W49" s="89"/>
    </row>
    <row r="50" spans="1:23" ht="22.5" customHeight="1" x14ac:dyDescent="0.2">
      <c r="A50" s="175" t="s">
        <v>75</v>
      </c>
      <c r="B50" s="175"/>
      <c r="C50" s="175"/>
      <c r="D50" s="174" t="s">
        <v>76</v>
      </c>
      <c r="E50" s="174"/>
      <c r="F50" s="174"/>
      <c r="G50" s="58"/>
      <c r="H50" s="175" t="s">
        <v>75</v>
      </c>
      <c r="I50" s="175"/>
      <c r="J50" s="175"/>
      <c r="K50" s="175" t="s">
        <v>76</v>
      </c>
      <c r="L50" s="175"/>
      <c r="S50" s="173" t="s">
        <v>76</v>
      </c>
      <c r="T50" s="173"/>
    </row>
    <row r="51" spans="1:23" ht="20.100000000000001" customHeight="1" x14ac:dyDescent="0.2">
      <c r="A51" s="144" t="s">
        <v>367</v>
      </c>
      <c r="B51" s="144"/>
      <c r="C51" s="144"/>
      <c r="D51" s="135" t="s">
        <v>74</v>
      </c>
      <c r="E51" s="135"/>
      <c r="F51" s="135"/>
      <c r="G51" s="94"/>
      <c r="H51" s="94"/>
      <c r="I51" s="94"/>
      <c r="J51" s="94"/>
      <c r="K51" s="94"/>
      <c r="L51" s="94"/>
    </row>
    <row r="52" spans="1:23" ht="20.100000000000001" customHeight="1" x14ac:dyDescent="0.2">
      <c r="A52" s="174" t="s">
        <v>75</v>
      </c>
      <c r="B52" s="174"/>
      <c r="C52" s="174"/>
      <c r="D52" s="173" t="s">
        <v>76</v>
      </c>
      <c r="E52" s="173"/>
      <c r="F52" s="173"/>
      <c r="G52" s="63"/>
      <c r="H52" s="63"/>
      <c r="I52" s="105"/>
      <c r="J52" s="105"/>
      <c r="K52" s="105"/>
      <c r="L52" s="105"/>
    </row>
  </sheetData>
  <sheetProtection sheet="1" objects="1" scenarios="1"/>
  <mergeCells count="258">
    <mergeCell ref="A1:F1"/>
    <mergeCell ref="G1:H2"/>
    <mergeCell ref="I1:L2"/>
    <mergeCell ref="M1:Z1"/>
    <mergeCell ref="A2:F2"/>
    <mergeCell ref="M2:Z2"/>
    <mergeCell ref="X3:Z6"/>
    <mergeCell ref="A4:F4"/>
    <mergeCell ref="R4:S4"/>
    <mergeCell ref="T4:U4"/>
    <mergeCell ref="V4:W4"/>
    <mergeCell ref="A5:F5"/>
    <mergeCell ref="G5:H6"/>
    <mergeCell ref="A3:F3"/>
    <mergeCell ref="G3:H4"/>
    <mergeCell ref="I3:L4"/>
    <mergeCell ref="M3:M4"/>
    <mergeCell ref="N3:O6"/>
    <mergeCell ref="P3:Q4"/>
    <mergeCell ref="I5:L6"/>
    <mergeCell ref="M5:M6"/>
    <mergeCell ref="P5:Q6"/>
    <mergeCell ref="R5:S5"/>
    <mergeCell ref="T5:U5"/>
    <mergeCell ref="V5:W5"/>
    <mergeCell ref="A6:F6"/>
    <mergeCell ref="R6:S6"/>
    <mergeCell ref="T6:U6"/>
    <mergeCell ref="V6:W6"/>
    <mergeCell ref="R3:S3"/>
    <mergeCell ref="T3:U3"/>
    <mergeCell ref="V3:W3"/>
    <mergeCell ref="X7:Z7"/>
    <mergeCell ref="A8:L8"/>
    <mergeCell ref="N8:O8"/>
    <mergeCell ref="P8:Q8"/>
    <mergeCell ref="R8:S8"/>
    <mergeCell ref="T8:U8"/>
    <mergeCell ref="V8:W8"/>
    <mergeCell ref="X8:Z8"/>
    <mergeCell ref="A7:L7"/>
    <mergeCell ref="N7:O7"/>
    <mergeCell ref="P7:Q7"/>
    <mergeCell ref="R7:S7"/>
    <mergeCell ref="T7:U7"/>
    <mergeCell ref="V7:W7"/>
    <mergeCell ref="X9:Z9"/>
    <mergeCell ref="A10:D10"/>
    <mergeCell ref="E10:G10"/>
    <mergeCell ref="H10:L10"/>
    <mergeCell ref="N10:O10"/>
    <mergeCell ref="P10:Q10"/>
    <mergeCell ref="R10:S10"/>
    <mergeCell ref="T10:U10"/>
    <mergeCell ref="V10:W10"/>
    <mergeCell ref="X10:Z10"/>
    <mergeCell ref="A9:L9"/>
    <mergeCell ref="N9:O9"/>
    <mergeCell ref="P9:Q9"/>
    <mergeCell ref="R9:S9"/>
    <mergeCell ref="T9:U9"/>
    <mergeCell ref="V9:W9"/>
    <mergeCell ref="T11:U11"/>
    <mergeCell ref="V11:W11"/>
    <mergeCell ref="X11:Z11"/>
    <mergeCell ref="A12:L12"/>
    <mergeCell ref="N12:O12"/>
    <mergeCell ref="P12:Q12"/>
    <mergeCell ref="R12:S12"/>
    <mergeCell ref="T12:U12"/>
    <mergeCell ref="V12:W12"/>
    <mergeCell ref="X12:Z12"/>
    <mergeCell ref="A11:D11"/>
    <mergeCell ref="E11:H11"/>
    <mergeCell ref="I11:L11"/>
    <mergeCell ref="N11:O11"/>
    <mergeCell ref="P11:Q11"/>
    <mergeCell ref="R11:S11"/>
    <mergeCell ref="N13:O13"/>
    <mergeCell ref="P13:Q13"/>
    <mergeCell ref="R13:S13"/>
    <mergeCell ref="T13:U13"/>
    <mergeCell ref="V13:W13"/>
    <mergeCell ref="X13:Z13"/>
    <mergeCell ref="A13:A17"/>
    <mergeCell ref="B13:C13"/>
    <mergeCell ref="D13:E13"/>
    <mergeCell ref="F13:G13"/>
    <mergeCell ref="I13:I17"/>
    <mergeCell ref="J13:K13"/>
    <mergeCell ref="B14:C14"/>
    <mergeCell ref="D14:E14"/>
    <mergeCell ref="F14:G14"/>
    <mergeCell ref="J14:K14"/>
    <mergeCell ref="E16:E17"/>
    <mergeCell ref="J16:J17"/>
    <mergeCell ref="K16:K17"/>
    <mergeCell ref="B15:C15"/>
    <mergeCell ref="D15:E15"/>
    <mergeCell ref="F15:G15"/>
    <mergeCell ref="J15:K15"/>
    <mergeCell ref="V16:W16"/>
    <mergeCell ref="W22:Z22"/>
    <mergeCell ref="N15:O15"/>
    <mergeCell ref="P15:Q15"/>
    <mergeCell ref="N14:O14"/>
    <mergeCell ref="P14:Q14"/>
    <mergeCell ref="R14:S14"/>
    <mergeCell ref="R15:S15"/>
    <mergeCell ref="T15:U15"/>
    <mergeCell ref="V15:W15"/>
    <mergeCell ref="X15:Z15"/>
    <mergeCell ref="T14:U14"/>
    <mergeCell ref="V14:W14"/>
    <mergeCell ref="X14:Z14"/>
    <mergeCell ref="N23:P23"/>
    <mergeCell ref="Q23:S23"/>
    <mergeCell ref="T23:V23"/>
    <mergeCell ref="W23:Z23"/>
    <mergeCell ref="X16:Z16"/>
    <mergeCell ref="M17:Z17"/>
    <mergeCell ref="M18:M19"/>
    <mergeCell ref="N18:P19"/>
    <mergeCell ref="Q18:S18"/>
    <mergeCell ref="T18:V19"/>
    <mergeCell ref="W18:Z21"/>
    <mergeCell ref="Q19:S19"/>
    <mergeCell ref="M20:M21"/>
    <mergeCell ref="N20:P21"/>
    <mergeCell ref="Q20:S20"/>
    <mergeCell ref="T20:V21"/>
    <mergeCell ref="Q21:S21"/>
    <mergeCell ref="N16:O16"/>
    <mergeCell ref="P16:Q16"/>
    <mergeCell ref="R16:S16"/>
    <mergeCell ref="N22:P22"/>
    <mergeCell ref="Q22:S22"/>
    <mergeCell ref="T22:V22"/>
    <mergeCell ref="T16:U16"/>
    <mergeCell ref="N24:P24"/>
    <mergeCell ref="Q24:S24"/>
    <mergeCell ref="T24:V24"/>
    <mergeCell ref="W24:Z24"/>
    <mergeCell ref="N27:P27"/>
    <mergeCell ref="Q27:S27"/>
    <mergeCell ref="T27:V27"/>
    <mergeCell ref="W27:Z27"/>
    <mergeCell ref="N28:P28"/>
    <mergeCell ref="Q28:S28"/>
    <mergeCell ref="T28:V28"/>
    <mergeCell ref="W28:Z28"/>
    <mergeCell ref="N25:P25"/>
    <mergeCell ref="Q25:S25"/>
    <mergeCell ref="T25:V25"/>
    <mergeCell ref="W25:Z25"/>
    <mergeCell ref="N26:P26"/>
    <mergeCell ref="Q26:S26"/>
    <mergeCell ref="T26:V26"/>
    <mergeCell ref="W26:Z26"/>
    <mergeCell ref="M33:M34"/>
    <mergeCell ref="N33:O34"/>
    <mergeCell ref="P33:Q33"/>
    <mergeCell ref="R33:S33"/>
    <mergeCell ref="T33:U33"/>
    <mergeCell ref="V33:X33"/>
    <mergeCell ref="P34:Q34"/>
    <mergeCell ref="M29:Z29"/>
    <mergeCell ref="M30:Z30"/>
    <mergeCell ref="M31:M32"/>
    <mergeCell ref="N31:O32"/>
    <mergeCell ref="P31:Q31"/>
    <mergeCell ref="R31:S31"/>
    <mergeCell ref="T31:U31"/>
    <mergeCell ref="V31:X31"/>
    <mergeCell ref="Y31:Z34"/>
    <mergeCell ref="P32:Q32"/>
    <mergeCell ref="R34:S34"/>
    <mergeCell ref="T34:U34"/>
    <mergeCell ref="V34:X34"/>
    <mergeCell ref="V35:X35"/>
    <mergeCell ref="R32:S32"/>
    <mergeCell ref="T32:U32"/>
    <mergeCell ref="V32:X32"/>
    <mergeCell ref="N37:O37"/>
    <mergeCell ref="P37:Q37"/>
    <mergeCell ref="R37:S37"/>
    <mergeCell ref="T37:U37"/>
    <mergeCell ref="V37:X37"/>
    <mergeCell ref="Y37:Z37"/>
    <mergeCell ref="Y35:Z35"/>
    <mergeCell ref="N36:O36"/>
    <mergeCell ref="P36:Q36"/>
    <mergeCell ref="R36:S36"/>
    <mergeCell ref="T36:U36"/>
    <mergeCell ref="V36:X36"/>
    <mergeCell ref="Y36:Z36"/>
    <mergeCell ref="N39:O39"/>
    <mergeCell ref="P39:Q39"/>
    <mergeCell ref="R39:S39"/>
    <mergeCell ref="T39:U39"/>
    <mergeCell ref="V39:X39"/>
    <mergeCell ref="Y39:Z39"/>
    <mergeCell ref="N38:O38"/>
    <mergeCell ref="P38:Q38"/>
    <mergeCell ref="R38:S38"/>
    <mergeCell ref="T38:U38"/>
    <mergeCell ref="V38:X38"/>
    <mergeCell ref="Y38:Z38"/>
    <mergeCell ref="N35:O35"/>
    <mergeCell ref="P35:Q35"/>
    <mergeCell ref="R35:S35"/>
    <mergeCell ref="T35:U35"/>
    <mergeCell ref="A43:C43"/>
    <mergeCell ref="M43:M44"/>
    <mergeCell ref="N43:O44"/>
    <mergeCell ref="P43:R44"/>
    <mergeCell ref="X43:Z44"/>
    <mergeCell ref="A44:C44"/>
    <mergeCell ref="M40:Z40"/>
    <mergeCell ref="M41:M42"/>
    <mergeCell ref="N41:O42"/>
    <mergeCell ref="P41:R42"/>
    <mergeCell ref="S41:S44"/>
    <mergeCell ref="T41:W44"/>
    <mergeCell ref="X41:Z42"/>
    <mergeCell ref="P47:R47"/>
    <mergeCell ref="T47:W47"/>
    <mergeCell ref="X47:Z47"/>
    <mergeCell ref="N45:O45"/>
    <mergeCell ref="P45:R45"/>
    <mergeCell ref="T45:W45"/>
    <mergeCell ref="X45:Z45"/>
    <mergeCell ref="A46:F46"/>
    <mergeCell ref="G46:L46"/>
    <mergeCell ref="N46:O46"/>
    <mergeCell ref="P46:R46"/>
    <mergeCell ref="T46:W46"/>
    <mergeCell ref="X46:Z46"/>
    <mergeCell ref="A48:C48"/>
    <mergeCell ref="D48:F48"/>
    <mergeCell ref="A49:C49"/>
    <mergeCell ref="D49:F49"/>
    <mergeCell ref="H49:J49"/>
    <mergeCell ref="K49:L49"/>
    <mergeCell ref="A47:C47"/>
    <mergeCell ref="D47:F47"/>
    <mergeCell ref="N47:O47"/>
    <mergeCell ref="A51:C51"/>
    <mergeCell ref="D51:F51"/>
    <mergeCell ref="A52:C52"/>
    <mergeCell ref="D52:F52"/>
    <mergeCell ref="N49:P49"/>
    <mergeCell ref="Q49:V49"/>
    <mergeCell ref="A50:C50"/>
    <mergeCell ref="D50:F50"/>
    <mergeCell ref="H50:J50"/>
    <mergeCell ref="K50:L50"/>
    <mergeCell ref="S50:T50"/>
  </mergeCells>
  <printOptions horizontalCentered="1"/>
  <pageMargins left="0.39370078740157483" right="0.39370078740157483" top="0.19685039370078741" bottom="0.19685039370078741" header="0" footer="0"/>
  <pageSetup paperSize="9" scale="64" orientation="portrait" horizontalDpi="180" verticalDpi="180" r:id="rId1"/>
  <headerFooter alignWithMargins="0"/>
  <colBreaks count="1" manualBreakCount="1">
    <brk id="12" max="1048575" man="1"/>
  </colBreak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52"/>
  <sheetViews>
    <sheetView view="pageBreakPreview" topLeftCell="A11" zoomScale="75" zoomScaleNormal="50" zoomScaleSheetLayoutView="75" workbookViewId="0">
      <selection activeCell="L31" sqref="L31"/>
    </sheetView>
  </sheetViews>
  <sheetFormatPr defaultRowHeight="18.75" x14ac:dyDescent="0.2"/>
  <cols>
    <col min="1" max="1" width="11.140625" style="88" customWidth="1"/>
    <col min="2" max="2" width="13.42578125" style="88" customWidth="1"/>
    <col min="3" max="3" width="11.140625" style="88" customWidth="1"/>
    <col min="4" max="4" width="14.7109375" style="88" customWidth="1"/>
    <col min="5" max="5" width="10" style="88" customWidth="1"/>
    <col min="6" max="6" width="13.140625" style="88" customWidth="1"/>
    <col min="7" max="7" width="11.85546875" style="88" customWidth="1"/>
    <col min="8" max="8" width="25" style="88" customWidth="1"/>
    <col min="9" max="9" width="8.28515625" style="88" customWidth="1"/>
    <col min="10" max="11" width="8.85546875" style="88" customWidth="1"/>
    <col min="12" max="12" width="17" style="88" customWidth="1"/>
    <col min="13" max="26" width="10.28515625" style="88" customWidth="1"/>
    <col min="27" max="16384" width="9.140625" style="88"/>
  </cols>
  <sheetData>
    <row r="1" spans="1:26" ht="21.75" customHeight="1" x14ac:dyDescent="0.2">
      <c r="A1" s="115" t="s">
        <v>157</v>
      </c>
      <c r="B1" s="115"/>
      <c r="C1" s="115"/>
      <c r="D1" s="115"/>
      <c r="E1" s="115"/>
      <c r="F1" s="115"/>
      <c r="G1" s="150" t="s">
        <v>154</v>
      </c>
      <c r="H1" s="150"/>
      <c r="I1" s="115" t="s">
        <v>160</v>
      </c>
      <c r="J1" s="115"/>
      <c r="K1" s="115"/>
      <c r="L1" s="115"/>
      <c r="M1" s="122" t="s">
        <v>96</v>
      </c>
      <c r="N1" s="122"/>
      <c r="O1" s="122"/>
      <c r="P1" s="122"/>
      <c r="Q1" s="122"/>
      <c r="R1" s="122"/>
      <c r="S1" s="122"/>
      <c r="T1" s="122"/>
      <c r="U1" s="122"/>
      <c r="V1" s="122"/>
      <c r="W1" s="122"/>
      <c r="X1" s="122"/>
      <c r="Y1" s="122"/>
      <c r="Z1" s="122"/>
    </row>
    <row r="2" spans="1:26" ht="21.75" customHeight="1" x14ac:dyDescent="0.2">
      <c r="A2" s="146" t="s">
        <v>45</v>
      </c>
      <c r="B2" s="146"/>
      <c r="C2" s="146"/>
      <c r="D2" s="146"/>
      <c r="E2" s="146"/>
      <c r="F2" s="146"/>
      <c r="G2" s="150"/>
      <c r="H2" s="150"/>
      <c r="I2" s="115"/>
      <c r="J2" s="115"/>
      <c r="K2" s="115"/>
      <c r="L2" s="115"/>
      <c r="M2" s="122" t="s">
        <v>78</v>
      </c>
      <c r="N2" s="122"/>
      <c r="O2" s="122"/>
      <c r="P2" s="122"/>
      <c r="Q2" s="122"/>
      <c r="R2" s="122"/>
      <c r="S2" s="122"/>
      <c r="T2" s="122"/>
      <c r="U2" s="122"/>
      <c r="V2" s="122"/>
      <c r="W2" s="122"/>
      <c r="X2" s="122"/>
      <c r="Y2" s="122"/>
      <c r="Z2" s="122"/>
    </row>
    <row r="3" spans="1:26" ht="21.75" customHeight="1" x14ac:dyDescent="0.2">
      <c r="A3" s="115" t="s">
        <v>158</v>
      </c>
      <c r="B3" s="147"/>
      <c r="C3" s="147"/>
      <c r="D3" s="147"/>
      <c r="E3" s="147"/>
      <c r="F3" s="147"/>
      <c r="G3" s="150" t="s">
        <v>155</v>
      </c>
      <c r="H3" s="150"/>
      <c r="I3" s="115" t="s">
        <v>395</v>
      </c>
      <c r="J3" s="115"/>
      <c r="K3" s="115"/>
      <c r="L3" s="115"/>
      <c r="M3" s="123" t="s">
        <v>79</v>
      </c>
      <c r="N3" s="124" t="s">
        <v>81</v>
      </c>
      <c r="O3" s="123"/>
      <c r="P3" s="124" t="s">
        <v>65</v>
      </c>
      <c r="Q3" s="123"/>
      <c r="R3" s="124" t="s">
        <v>82</v>
      </c>
      <c r="S3" s="123"/>
      <c r="T3" s="124" t="s">
        <v>85</v>
      </c>
      <c r="U3" s="123"/>
      <c r="V3" s="124" t="s">
        <v>87</v>
      </c>
      <c r="W3" s="123"/>
      <c r="X3" s="128" t="s">
        <v>91</v>
      </c>
      <c r="Y3" s="132"/>
      <c r="Z3" s="132"/>
    </row>
    <row r="4" spans="1:26" ht="29.25" customHeight="1" x14ac:dyDescent="0.2">
      <c r="A4" s="146" t="s">
        <v>46</v>
      </c>
      <c r="B4" s="146"/>
      <c r="C4" s="146"/>
      <c r="D4" s="146"/>
      <c r="E4" s="146"/>
      <c r="F4" s="146"/>
      <c r="G4" s="150"/>
      <c r="H4" s="150"/>
      <c r="I4" s="115"/>
      <c r="J4" s="115"/>
      <c r="K4" s="115"/>
      <c r="L4" s="115"/>
      <c r="M4" s="116"/>
      <c r="N4" s="125"/>
      <c r="O4" s="116"/>
      <c r="P4" s="125"/>
      <c r="Q4" s="116"/>
      <c r="R4" s="125" t="s">
        <v>83</v>
      </c>
      <c r="S4" s="116"/>
      <c r="T4" s="125" t="s">
        <v>86</v>
      </c>
      <c r="U4" s="116"/>
      <c r="V4" s="125" t="s">
        <v>88</v>
      </c>
      <c r="W4" s="116"/>
      <c r="X4" s="128"/>
      <c r="Y4" s="132"/>
      <c r="Z4" s="132"/>
    </row>
    <row r="5" spans="1:26" ht="21.75" customHeight="1" x14ac:dyDescent="0.2">
      <c r="A5" s="115" t="s">
        <v>177</v>
      </c>
      <c r="B5" s="147"/>
      <c r="C5" s="147"/>
      <c r="D5" s="147"/>
      <c r="E5" s="147"/>
      <c r="F5" s="147"/>
      <c r="G5" s="150" t="s">
        <v>156</v>
      </c>
      <c r="H5" s="150"/>
      <c r="I5" s="115" t="s">
        <v>396</v>
      </c>
      <c r="J5" s="115"/>
      <c r="K5" s="115"/>
      <c r="L5" s="115"/>
      <c r="M5" s="116" t="s">
        <v>80</v>
      </c>
      <c r="N5" s="125"/>
      <c r="O5" s="116"/>
      <c r="P5" s="125" t="s">
        <v>182</v>
      </c>
      <c r="Q5" s="116"/>
      <c r="R5" s="133" t="s">
        <v>84</v>
      </c>
      <c r="S5" s="134"/>
      <c r="T5" s="133" t="s">
        <v>84</v>
      </c>
      <c r="U5" s="134"/>
      <c r="V5" s="125" t="s">
        <v>89</v>
      </c>
      <c r="W5" s="116"/>
      <c r="X5" s="128"/>
      <c r="Y5" s="132"/>
      <c r="Z5" s="132"/>
    </row>
    <row r="6" spans="1:26" ht="21.75" customHeight="1" x14ac:dyDescent="0.2">
      <c r="A6" s="146" t="s">
        <v>47</v>
      </c>
      <c r="B6" s="146"/>
      <c r="C6" s="146"/>
      <c r="D6" s="146"/>
      <c r="E6" s="146"/>
      <c r="F6" s="146"/>
      <c r="G6" s="150"/>
      <c r="H6" s="150"/>
      <c r="I6" s="115"/>
      <c r="J6" s="115"/>
      <c r="K6" s="115"/>
      <c r="L6" s="115"/>
      <c r="M6" s="117"/>
      <c r="N6" s="127"/>
      <c r="O6" s="117"/>
      <c r="P6" s="127"/>
      <c r="Q6" s="117"/>
      <c r="R6" s="127"/>
      <c r="S6" s="117"/>
      <c r="T6" s="127"/>
      <c r="U6" s="117"/>
      <c r="V6" s="127" t="s">
        <v>90</v>
      </c>
      <c r="W6" s="117"/>
      <c r="X6" s="128"/>
      <c r="Y6" s="132"/>
      <c r="Z6" s="132"/>
    </row>
    <row r="7" spans="1:26" ht="21.75" customHeight="1" x14ac:dyDescent="0.2">
      <c r="A7" s="122"/>
      <c r="B7" s="122"/>
      <c r="C7" s="122"/>
      <c r="D7" s="122"/>
      <c r="E7" s="122"/>
      <c r="F7" s="122"/>
      <c r="G7" s="122"/>
      <c r="H7" s="122"/>
      <c r="I7" s="122"/>
      <c r="J7" s="122"/>
      <c r="K7" s="122"/>
      <c r="L7" s="122"/>
      <c r="M7" s="85"/>
      <c r="N7" s="111"/>
      <c r="O7" s="113"/>
      <c r="P7" s="111"/>
      <c r="Q7" s="113"/>
      <c r="R7" s="111"/>
      <c r="S7" s="113"/>
      <c r="T7" s="111"/>
      <c r="U7" s="113"/>
      <c r="V7" s="111"/>
      <c r="W7" s="113"/>
      <c r="X7" s="111"/>
      <c r="Y7" s="112"/>
      <c r="Z7" s="112"/>
    </row>
    <row r="8" spans="1:26" ht="22.5" customHeight="1" x14ac:dyDescent="0.2">
      <c r="A8" s="143" t="s">
        <v>48</v>
      </c>
      <c r="B8" s="143"/>
      <c r="C8" s="143"/>
      <c r="D8" s="143"/>
      <c r="E8" s="143"/>
      <c r="F8" s="143"/>
      <c r="G8" s="143"/>
      <c r="H8" s="143"/>
      <c r="I8" s="143"/>
      <c r="J8" s="143"/>
      <c r="K8" s="143"/>
      <c r="L8" s="143"/>
      <c r="M8" s="85"/>
      <c r="N8" s="111"/>
      <c r="O8" s="113"/>
      <c r="P8" s="111"/>
      <c r="Q8" s="113"/>
      <c r="R8" s="111"/>
      <c r="S8" s="113"/>
      <c r="T8" s="111"/>
      <c r="U8" s="113"/>
      <c r="V8" s="111"/>
      <c r="W8" s="113"/>
      <c r="X8" s="111"/>
      <c r="Y8" s="112"/>
      <c r="Z8" s="112"/>
    </row>
    <row r="9" spans="1:26" ht="22.5" customHeight="1" x14ac:dyDescent="0.2">
      <c r="A9" s="156" t="s">
        <v>49</v>
      </c>
      <c r="B9" s="156"/>
      <c r="C9" s="156"/>
      <c r="D9" s="156"/>
      <c r="E9" s="156"/>
      <c r="F9" s="156"/>
      <c r="G9" s="156"/>
      <c r="H9" s="156"/>
      <c r="I9" s="156"/>
      <c r="J9" s="156"/>
      <c r="K9" s="156"/>
      <c r="L9" s="156"/>
      <c r="M9" s="85"/>
      <c r="N9" s="111"/>
      <c r="O9" s="113"/>
      <c r="P9" s="111"/>
      <c r="Q9" s="113"/>
      <c r="R9" s="111"/>
      <c r="S9" s="113"/>
      <c r="T9" s="111"/>
      <c r="U9" s="113"/>
      <c r="V9" s="111"/>
      <c r="W9" s="113"/>
      <c r="X9" s="111"/>
      <c r="Y9" s="112"/>
      <c r="Z9" s="112"/>
    </row>
    <row r="10" spans="1:26" ht="22.5" customHeight="1" x14ac:dyDescent="0.2">
      <c r="A10" s="151" t="s">
        <v>112</v>
      </c>
      <c r="B10" s="151"/>
      <c r="C10" s="151"/>
      <c r="D10" s="151"/>
      <c r="E10" s="162" t="s">
        <v>407</v>
      </c>
      <c r="F10" s="163"/>
      <c r="G10" s="163"/>
      <c r="H10" s="138" t="s">
        <v>369</v>
      </c>
      <c r="I10" s="138"/>
      <c r="J10" s="138"/>
      <c r="K10" s="138"/>
      <c r="L10" s="138"/>
      <c r="M10" s="85"/>
      <c r="N10" s="111"/>
      <c r="O10" s="113"/>
      <c r="P10" s="111"/>
      <c r="Q10" s="113"/>
      <c r="R10" s="111"/>
      <c r="S10" s="113"/>
      <c r="T10" s="111"/>
      <c r="U10" s="113"/>
      <c r="V10" s="111"/>
      <c r="W10" s="113"/>
      <c r="X10" s="111"/>
      <c r="Y10" s="112"/>
      <c r="Z10" s="112"/>
    </row>
    <row r="11" spans="1:26" ht="22.5" customHeight="1" x14ac:dyDescent="0.2">
      <c r="A11" s="151" t="s">
        <v>113</v>
      </c>
      <c r="B11" s="151"/>
      <c r="C11" s="151"/>
      <c r="D11" s="151"/>
      <c r="E11" s="161" t="s">
        <v>378</v>
      </c>
      <c r="F11" s="161"/>
      <c r="G11" s="161"/>
      <c r="H11" s="161"/>
      <c r="I11" s="138" t="s">
        <v>114</v>
      </c>
      <c r="J11" s="138"/>
      <c r="K11" s="138"/>
      <c r="L11" s="138"/>
      <c r="M11" s="85"/>
      <c r="N11" s="111"/>
      <c r="O11" s="113"/>
      <c r="P11" s="111"/>
      <c r="Q11" s="113"/>
      <c r="R11" s="111"/>
      <c r="S11" s="113"/>
      <c r="T11" s="111"/>
      <c r="U11" s="113"/>
      <c r="V11" s="111"/>
      <c r="W11" s="113"/>
      <c r="X11" s="111"/>
      <c r="Y11" s="112"/>
      <c r="Z11" s="112"/>
    </row>
    <row r="12" spans="1:26" ht="21.75" customHeight="1" x14ac:dyDescent="0.2">
      <c r="A12" s="215"/>
      <c r="B12" s="149"/>
      <c r="C12" s="149"/>
      <c r="D12" s="149"/>
      <c r="E12" s="149"/>
      <c r="F12" s="149"/>
      <c r="G12" s="149"/>
      <c r="H12" s="149"/>
      <c r="I12" s="149"/>
      <c r="J12" s="149"/>
      <c r="K12" s="149"/>
      <c r="L12" s="215"/>
      <c r="M12" s="85"/>
      <c r="N12" s="111"/>
      <c r="O12" s="113"/>
      <c r="P12" s="111"/>
      <c r="Q12" s="113"/>
      <c r="R12" s="111"/>
      <c r="S12" s="113"/>
      <c r="T12" s="111"/>
      <c r="U12" s="113"/>
      <c r="V12" s="111"/>
      <c r="W12" s="113"/>
      <c r="X12" s="111"/>
      <c r="Y12" s="112"/>
      <c r="Z12" s="112"/>
    </row>
    <row r="13" spans="1:26" ht="21.75" customHeight="1" x14ac:dyDescent="0.2">
      <c r="A13" s="187" t="s">
        <v>50</v>
      </c>
      <c r="B13" s="196" t="s">
        <v>56</v>
      </c>
      <c r="C13" s="196"/>
      <c r="D13" s="185" t="s">
        <v>397</v>
      </c>
      <c r="E13" s="186"/>
      <c r="F13" s="195" t="s">
        <v>59</v>
      </c>
      <c r="G13" s="196"/>
      <c r="H13" s="99" t="s">
        <v>397</v>
      </c>
      <c r="I13" s="197" t="s">
        <v>5</v>
      </c>
      <c r="J13" s="195" t="s">
        <v>60</v>
      </c>
      <c r="K13" s="196"/>
      <c r="L13" s="95" t="s">
        <v>65</v>
      </c>
      <c r="M13" s="85"/>
      <c r="N13" s="111"/>
      <c r="O13" s="113"/>
      <c r="P13" s="111"/>
      <c r="Q13" s="113"/>
      <c r="R13" s="111"/>
      <c r="S13" s="113"/>
      <c r="T13" s="111"/>
      <c r="U13" s="113"/>
      <c r="V13" s="111"/>
      <c r="W13" s="113"/>
      <c r="X13" s="111"/>
      <c r="Y13" s="112"/>
      <c r="Z13" s="112"/>
    </row>
    <row r="14" spans="1:26" ht="21.75" customHeight="1" x14ac:dyDescent="0.2">
      <c r="A14" s="188"/>
      <c r="B14" s="201" t="s">
        <v>57</v>
      </c>
      <c r="C14" s="201"/>
      <c r="D14" s="202" t="s">
        <v>398</v>
      </c>
      <c r="E14" s="203"/>
      <c r="F14" s="200" t="s">
        <v>57</v>
      </c>
      <c r="G14" s="201"/>
      <c r="H14" s="97" t="s">
        <v>398</v>
      </c>
      <c r="I14" s="198"/>
      <c r="J14" s="200" t="s">
        <v>61</v>
      </c>
      <c r="K14" s="201"/>
      <c r="L14" s="96" t="s">
        <v>66</v>
      </c>
      <c r="M14" s="85"/>
      <c r="N14" s="111"/>
      <c r="O14" s="113"/>
      <c r="P14" s="111"/>
      <c r="Q14" s="113"/>
      <c r="R14" s="111"/>
      <c r="S14" s="113"/>
      <c r="T14" s="111"/>
      <c r="U14" s="113"/>
      <c r="V14" s="111"/>
      <c r="W14" s="113"/>
      <c r="X14" s="111"/>
      <c r="Y14" s="112"/>
      <c r="Z14" s="112"/>
    </row>
    <row r="15" spans="1:26" ht="21.75" customHeight="1" x14ac:dyDescent="0.2">
      <c r="A15" s="188"/>
      <c r="B15" s="192" t="s">
        <v>58</v>
      </c>
      <c r="C15" s="192"/>
      <c r="D15" s="193">
        <v>1</v>
      </c>
      <c r="E15" s="194"/>
      <c r="F15" s="191" t="s">
        <v>58</v>
      </c>
      <c r="G15" s="192"/>
      <c r="H15" s="102">
        <v>1</v>
      </c>
      <c r="I15" s="198"/>
      <c r="J15" s="191" t="s">
        <v>62</v>
      </c>
      <c r="K15" s="192"/>
      <c r="L15" s="96" t="s">
        <v>67</v>
      </c>
      <c r="M15" s="85"/>
      <c r="N15" s="111"/>
      <c r="O15" s="113"/>
      <c r="P15" s="111"/>
      <c r="Q15" s="113"/>
      <c r="R15" s="111"/>
      <c r="S15" s="113"/>
      <c r="T15" s="111"/>
      <c r="U15" s="113"/>
      <c r="V15" s="111"/>
      <c r="W15" s="113"/>
      <c r="X15" s="111"/>
      <c r="Y15" s="112"/>
      <c r="Z15" s="112"/>
    </row>
    <row r="16" spans="1:26" ht="21.75" customHeight="1" x14ac:dyDescent="0.2">
      <c r="A16" s="188"/>
      <c r="B16" s="100" t="s">
        <v>51</v>
      </c>
      <c r="C16" s="91" t="s">
        <v>53</v>
      </c>
      <c r="D16" s="91" t="s">
        <v>54</v>
      </c>
      <c r="E16" s="154"/>
      <c r="F16" s="91" t="s">
        <v>51</v>
      </c>
      <c r="G16" s="91" t="s">
        <v>53</v>
      </c>
      <c r="H16" s="95" t="s">
        <v>54</v>
      </c>
      <c r="I16" s="198"/>
      <c r="J16" s="154" t="s">
        <v>63</v>
      </c>
      <c r="K16" s="154" t="s">
        <v>64</v>
      </c>
      <c r="L16" s="96" t="s">
        <v>68</v>
      </c>
      <c r="M16" s="85"/>
      <c r="N16" s="111"/>
      <c r="O16" s="113"/>
      <c r="P16" s="111"/>
      <c r="Q16" s="113"/>
      <c r="R16" s="111"/>
      <c r="S16" s="113"/>
      <c r="T16" s="111"/>
      <c r="U16" s="113"/>
      <c r="V16" s="111"/>
      <c r="W16" s="113"/>
      <c r="X16" s="111"/>
      <c r="Y16" s="112"/>
      <c r="Z16" s="112"/>
    </row>
    <row r="17" spans="1:26" ht="21.75" customHeight="1" x14ac:dyDescent="0.2">
      <c r="A17" s="189"/>
      <c r="B17" s="91" t="s">
        <v>52</v>
      </c>
      <c r="C17" s="101" t="s">
        <v>51</v>
      </c>
      <c r="D17" s="101" t="s">
        <v>55</v>
      </c>
      <c r="E17" s="190"/>
      <c r="F17" s="101" t="s">
        <v>52</v>
      </c>
      <c r="G17" s="92" t="s">
        <v>51</v>
      </c>
      <c r="H17" s="98" t="s">
        <v>55</v>
      </c>
      <c r="I17" s="199"/>
      <c r="J17" s="155"/>
      <c r="K17" s="155"/>
      <c r="L17" s="98" t="s">
        <v>69</v>
      </c>
      <c r="M17" s="130" t="s">
        <v>92</v>
      </c>
      <c r="N17" s="130"/>
      <c r="O17" s="130"/>
      <c r="P17" s="130"/>
      <c r="Q17" s="130"/>
      <c r="R17" s="130"/>
      <c r="S17" s="130"/>
      <c r="T17" s="130"/>
      <c r="U17" s="130"/>
      <c r="V17" s="130"/>
      <c r="W17" s="130"/>
      <c r="X17" s="130"/>
      <c r="Y17" s="130"/>
      <c r="Z17" s="130"/>
    </row>
    <row r="18" spans="1:26" ht="23.25" customHeight="1" x14ac:dyDescent="0.2">
      <c r="A18" s="49" t="s">
        <v>7</v>
      </c>
      <c r="B18" s="109">
        <v>4465.6400000000003</v>
      </c>
      <c r="C18" s="25"/>
      <c r="D18" s="24"/>
      <c r="E18" s="90"/>
      <c r="F18" s="82">
        <v>154.91399999999999</v>
      </c>
      <c r="G18" s="51"/>
      <c r="H18" s="50"/>
      <c r="I18" s="52"/>
      <c r="J18" s="104"/>
      <c r="K18" s="104"/>
      <c r="L18" s="73"/>
      <c r="M18" s="123" t="s">
        <v>79</v>
      </c>
      <c r="N18" s="121" t="s">
        <v>98</v>
      </c>
      <c r="O18" s="121"/>
      <c r="P18" s="121"/>
      <c r="Q18" s="121" t="s">
        <v>107</v>
      </c>
      <c r="R18" s="121"/>
      <c r="S18" s="121"/>
      <c r="T18" s="121" t="s">
        <v>93</v>
      </c>
      <c r="U18" s="121"/>
      <c r="V18" s="121"/>
      <c r="W18" s="124" t="s">
        <v>91</v>
      </c>
      <c r="X18" s="131"/>
      <c r="Y18" s="131"/>
      <c r="Z18" s="131"/>
    </row>
    <row r="19" spans="1:26" ht="23.25" customHeight="1" x14ac:dyDescent="0.2">
      <c r="A19" s="49" t="s">
        <v>8</v>
      </c>
      <c r="B19" s="109">
        <v>4470.2004999999999</v>
      </c>
      <c r="C19" s="25">
        <f t="shared" ref="C19:C42" si="0">IF(B19="","",IF(LEN(TRUNC(B18,0))-LEN(TRUNC(B19,0))=0,B19-B18,IF(LEN(TRUNC(B18,0))-LEN(TRUNC(B19,0))&gt;0,VALUE(LEFT(B18,LEN(TRUNC(B18,0))-LEN(TRUNC(B19,0))))*POWER(10,LEN(TRUNC(B19,0)))+B19-B18,B19-B18-VALUE(LEFT(B19,LEN(TRUNC(B19,0))-LEN(TRUNC(B18,0))))*POWER(10,LEN(TRUNC(B18,0))))))</f>
        <v>4.5604999999995925</v>
      </c>
      <c r="D19" s="24">
        <f t="shared" ref="D19:D42" si="1">IF(C19="","",C19*$D$15)</f>
        <v>4.5604999999995925</v>
      </c>
      <c r="E19" s="90"/>
      <c r="F19" s="82">
        <v>155.13749999999999</v>
      </c>
      <c r="G19" s="51">
        <f>F19-ReportObject15_3</f>
        <v>0.22350000000000136</v>
      </c>
      <c r="H19" s="50">
        <f t="shared" ref="H19:H42" si="2">IF(G19="","",G19*$H$15)</f>
        <v>0.22350000000000136</v>
      </c>
      <c r="I19" s="52">
        <f t="shared" ref="I19:I42" si="3">IF(H19="","",IF(D19="","",IF(AND(H19=0,D19=0),0,H19/D19)))</f>
        <v>4.9007784234189528E-2</v>
      </c>
      <c r="J19" s="104"/>
      <c r="K19" s="83"/>
      <c r="L19" s="53"/>
      <c r="M19" s="116"/>
      <c r="N19" s="118"/>
      <c r="O19" s="118"/>
      <c r="P19" s="118"/>
      <c r="Q19" s="118" t="s">
        <v>108</v>
      </c>
      <c r="R19" s="118"/>
      <c r="S19" s="118"/>
      <c r="T19" s="118"/>
      <c r="U19" s="118"/>
      <c r="V19" s="118"/>
      <c r="W19" s="125"/>
      <c r="X19" s="122"/>
      <c r="Y19" s="122"/>
      <c r="Z19" s="122"/>
    </row>
    <row r="20" spans="1:26" ht="23.25" customHeight="1" x14ac:dyDescent="0.2">
      <c r="A20" s="49" t="s">
        <v>9</v>
      </c>
      <c r="B20" s="109">
        <v>4474.7605000000003</v>
      </c>
      <c r="C20" s="25">
        <f t="shared" si="0"/>
        <v>4.5600000000004002</v>
      </c>
      <c r="D20" s="24">
        <f t="shared" si="1"/>
        <v>4.5600000000004002</v>
      </c>
      <c r="E20" s="90"/>
      <c r="F20" s="82">
        <v>155.358</v>
      </c>
      <c r="G20" s="51">
        <f>F20-F19</f>
        <v>0.22050000000001546</v>
      </c>
      <c r="H20" s="50">
        <f t="shared" si="2"/>
        <v>0.22050000000001546</v>
      </c>
      <c r="I20" s="52">
        <f t="shared" si="3"/>
        <v>4.8355263157893881E-2</v>
      </c>
      <c r="J20" s="104"/>
      <c r="K20" s="83"/>
      <c r="L20" s="53"/>
      <c r="M20" s="116" t="s">
        <v>80</v>
      </c>
      <c r="N20" s="118" t="s">
        <v>99</v>
      </c>
      <c r="O20" s="118"/>
      <c r="P20" s="118"/>
      <c r="Q20" s="118" t="s">
        <v>181</v>
      </c>
      <c r="R20" s="118"/>
      <c r="S20" s="118"/>
      <c r="T20" s="118" t="s">
        <v>94</v>
      </c>
      <c r="U20" s="118"/>
      <c r="V20" s="118"/>
      <c r="W20" s="125"/>
      <c r="X20" s="122"/>
      <c r="Y20" s="122"/>
      <c r="Z20" s="122"/>
    </row>
    <row r="21" spans="1:26" ht="23.25" customHeight="1" x14ac:dyDescent="0.2">
      <c r="A21" s="49" t="s">
        <v>10</v>
      </c>
      <c r="B21" s="109">
        <v>4479.2404999999999</v>
      </c>
      <c r="C21" s="25">
        <f t="shared" si="0"/>
        <v>4.4799999999995634</v>
      </c>
      <c r="D21" s="24">
        <f t="shared" si="1"/>
        <v>4.4799999999995634</v>
      </c>
      <c r="E21" s="90"/>
      <c r="F21" s="82">
        <v>155.57599999999999</v>
      </c>
      <c r="G21" s="51">
        <f t="shared" ref="G21:G42" si="4">F21-F20</f>
        <v>0.21799999999998931</v>
      </c>
      <c r="H21" s="50">
        <f t="shared" si="2"/>
        <v>0.21799999999998931</v>
      </c>
      <c r="I21" s="52">
        <f t="shared" si="3"/>
        <v>4.8660714285716646E-2</v>
      </c>
      <c r="J21" s="104"/>
      <c r="K21" s="83"/>
      <c r="L21" s="53"/>
      <c r="M21" s="117"/>
      <c r="N21" s="119"/>
      <c r="O21" s="119"/>
      <c r="P21" s="119"/>
      <c r="Q21" s="119"/>
      <c r="R21" s="119"/>
      <c r="S21" s="119"/>
      <c r="T21" s="119"/>
      <c r="U21" s="119"/>
      <c r="V21" s="119"/>
      <c r="W21" s="127"/>
      <c r="X21" s="130"/>
      <c r="Y21" s="130"/>
      <c r="Z21" s="130"/>
    </row>
    <row r="22" spans="1:26" ht="23.25" customHeight="1" x14ac:dyDescent="0.2">
      <c r="A22" s="49" t="s">
        <v>11</v>
      </c>
      <c r="B22" s="109">
        <v>4483.6859999999997</v>
      </c>
      <c r="C22" s="25">
        <f t="shared" si="0"/>
        <v>4.4454999999998108</v>
      </c>
      <c r="D22" s="24">
        <f t="shared" si="1"/>
        <v>4.4454999999998108</v>
      </c>
      <c r="E22" s="90"/>
      <c r="F22" s="82">
        <v>155.8005</v>
      </c>
      <c r="G22" s="51">
        <f t="shared" si="4"/>
        <v>0.22450000000000614</v>
      </c>
      <c r="H22" s="50">
        <f t="shared" si="2"/>
        <v>0.22450000000000614</v>
      </c>
      <c r="I22" s="52">
        <f t="shared" si="3"/>
        <v>5.0500506129797701E-2</v>
      </c>
      <c r="J22" s="104"/>
      <c r="K22" s="83"/>
      <c r="L22" s="53"/>
      <c r="M22" s="85"/>
      <c r="N22" s="120"/>
      <c r="O22" s="120"/>
      <c r="P22" s="120"/>
      <c r="Q22" s="120"/>
      <c r="R22" s="120"/>
      <c r="S22" s="120"/>
      <c r="T22" s="120"/>
      <c r="U22" s="120"/>
      <c r="V22" s="120"/>
      <c r="W22" s="111"/>
      <c r="X22" s="112"/>
      <c r="Y22" s="112"/>
      <c r="Z22" s="112"/>
    </row>
    <row r="23" spans="1:26" ht="23.25" customHeight="1" x14ac:dyDescent="0.2">
      <c r="A23" s="49" t="s">
        <v>12</v>
      </c>
      <c r="B23" s="109">
        <v>4488.0889999999999</v>
      </c>
      <c r="C23" s="25">
        <f t="shared" si="0"/>
        <v>4.4030000000002474</v>
      </c>
      <c r="D23" s="24">
        <f t="shared" si="1"/>
        <v>4.4030000000002474</v>
      </c>
      <c r="E23" s="90"/>
      <c r="F23" s="82">
        <v>156.03100000000001</v>
      </c>
      <c r="G23" s="51">
        <f t="shared" si="4"/>
        <v>0.23050000000000637</v>
      </c>
      <c r="H23" s="50">
        <f t="shared" si="2"/>
        <v>0.23050000000000637</v>
      </c>
      <c r="I23" s="52">
        <f t="shared" si="3"/>
        <v>5.2350669997727327E-2</v>
      </c>
      <c r="J23" s="104"/>
      <c r="K23" s="83"/>
      <c r="L23" s="53"/>
      <c r="M23" s="85"/>
      <c r="N23" s="120"/>
      <c r="O23" s="120"/>
      <c r="P23" s="120"/>
      <c r="Q23" s="120"/>
      <c r="R23" s="120"/>
      <c r="S23" s="120"/>
      <c r="T23" s="120"/>
      <c r="U23" s="120"/>
      <c r="V23" s="120"/>
      <c r="W23" s="111"/>
      <c r="X23" s="112"/>
      <c r="Y23" s="112"/>
      <c r="Z23" s="112"/>
    </row>
    <row r="24" spans="1:26" ht="23.25" customHeight="1" x14ac:dyDescent="0.2">
      <c r="A24" s="49" t="s">
        <v>13</v>
      </c>
      <c r="B24" s="109">
        <v>4492.5429999999997</v>
      </c>
      <c r="C24" s="25">
        <f t="shared" si="0"/>
        <v>4.4539999999997235</v>
      </c>
      <c r="D24" s="24">
        <f t="shared" si="1"/>
        <v>4.4539999999997235</v>
      </c>
      <c r="E24" s="90"/>
      <c r="F24" s="82">
        <v>156.274</v>
      </c>
      <c r="G24" s="51">
        <f t="shared" si="4"/>
        <v>0.242999999999995</v>
      </c>
      <c r="H24" s="50">
        <f t="shared" si="2"/>
        <v>0.242999999999995</v>
      </c>
      <c r="I24" s="52">
        <f t="shared" si="3"/>
        <v>5.4557700942974872E-2</v>
      </c>
      <c r="J24" s="104"/>
      <c r="K24" s="83"/>
      <c r="L24" s="53"/>
      <c r="M24" s="85"/>
      <c r="N24" s="120"/>
      <c r="O24" s="120"/>
      <c r="P24" s="120"/>
      <c r="Q24" s="120"/>
      <c r="R24" s="120"/>
      <c r="S24" s="120"/>
      <c r="T24" s="120"/>
      <c r="U24" s="120"/>
      <c r="V24" s="120"/>
      <c r="W24" s="111"/>
      <c r="X24" s="112"/>
      <c r="Y24" s="112"/>
      <c r="Z24" s="112"/>
    </row>
    <row r="25" spans="1:26" ht="23.25" customHeight="1" x14ac:dyDescent="0.2">
      <c r="A25" s="49" t="s">
        <v>14</v>
      </c>
      <c r="B25" s="109">
        <v>4496.9534999999996</v>
      </c>
      <c r="C25" s="25">
        <f t="shared" si="0"/>
        <v>4.4104999999999563</v>
      </c>
      <c r="D25" s="24">
        <f t="shared" si="1"/>
        <v>4.4104999999999563</v>
      </c>
      <c r="E25" s="90"/>
      <c r="F25" s="82">
        <v>156.50049999999999</v>
      </c>
      <c r="G25" s="51">
        <f t="shared" si="4"/>
        <v>0.22649999999998727</v>
      </c>
      <c r="H25" s="50">
        <f t="shared" si="2"/>
        <v>0.22649999999998727</v>
      </c>
      <c r="I25" s="52">
        <f t="shared" si="3"/>
        <v>5.1354721686881197E-2</v>
      </c>
      <c r="J25" s="104"/>
      <c r="K25" s="83"/>
      <c r="L25" s="53"/>
      <c r="M25" s="85"/>
      <c r="N25" s="120"/>
      <c r="O25" s="120"/>
      <c r="P25" s="120"/>
      <c r="Q25" s="120"/>
      <c r="R25" s="120"/>
      <c r="S25" s="120"/>
      <c r="T25" s="120"/>
      <c r="U25" s="120"/>
      <c r="V25" s="120"/>
      <c r="W25" s="111"/>
      <c r="X25" s="112"/>
      <c r="Y25" s="112"/>
      <c r="Z25" s="112"/>
    </row>
    <row r="26" spans="1:26" ht="23.25" customHeight="1" x14ac:dyDescent="0.2">
      <c r="A26" s="49" t="s">
        <v>15</v>
      </c>
      <c r="B26" s="109">
        <v>4501.4835000000003</v>
      </c>
      <c r="C26" s="25">
        <f t="shared" si="0"/>
        <v>4.5300000000006548</v>
      </c>
      <c r="D26" s="24">
        <f t="shared" si="1"/>
        <v>4.5300000000006548</v>
      </c>
      <c r="E26" s="90"/>
      <c r="F26" s="82">
        <v>156.72550000000001</v>
      </c>
      <c r="G26" s="51">
        <f t="shared" si="4"/>
        <v>0.22500000000002274</v>
      </c>
      <c r="H26" s="50">
        <f t="shared" si="2"/>
        <v>0.22500000000002274</v>
      </c>
      <c r="I26" s="52">
        <f t="shared" si="3"/>
        <v>4.9668874172183269E-2</v>
      </c>
      <c r="J26" s="104"/>
      <c r="K26" s="83"/>
      <c r="L26" s="53"/>
      <c r="M26" s="85"/>
      <c r="N26" s="120"/>
      <c r="O26" s="120"/>
      <c r="P26" s="120"/>
      <c r="Q26" s="120"/>
      <c r="R26" s="120"/>
      <c r="S26" s="120"/>
      <c r="T26" s="120"/>
      <c r="U26" s="120"/>
      <c r="V26" s="120"/>
      <c r="W26" s="111"/>
      <c r="X26" s="112"/>
      <c r="Y26" s="112"/>
      <c r="Z26" s="112"/>
    </row>
    <row r="27" spans="1:26" ht="23.25" customHeight="1" x14ac:dyDescent="0.2">
      <c r="A27" s="49" t="s">
        <v>16</v>
      </c>
      <c r="B27" s="109">
        <v>4506.0934999999999</v>
      </c>
      <c r="C27" s="25">
        <f t="shared" si="0"/>
        <v>4.6099999999996726</v>
      </c>
      <c r="D27" s="24">
        <f t="shared" si="1"/>
        <v>4.6099999999996726</v>
      </c>
      <c r="E27" s="90"/>
      <c r="F27" s="82">
        <v>156.9075</v>
      </c>
      <c r="G27" s="51">
        <f t="shared" si="4"/>
        <v>0.18199999999998795</v>
      </c>
      <c r="H27" s="50">
        <f t="shared" si="2"/>
        <v>0.18199999999998795</v>
      </c>
      <c r="I27" s="52">
        <f t="shared" si="3"/>
        <v>3.9479392624729041E-2</v>
      </c>
      <c r="J27" s="104"/>
      <c r="K27" s="83"/>
      <c r="L27" s="53"/>
      <c r="M27" s="85"/>
      <c r="N27" s="120"/>
      <c r="O27" s="120"/>
      <c r="P27" s="120"/>
      <c r="Q27" s="120"/>
      <c r="R27" s="120"/>
      <c r="S27" s="120"/>
      <c r="T27" s="120"/>
      <c r="U27" s="120"/>
      <c r="V27" s="120"/>
      <c r="W27" s="111"/>
      <c r="X27" s="112"/>
      <c r="Y27" s="112"/>
      <c r="Z27" s="112"/>
    </row>
    <row r="28" spans="1:26" ht="23.25" customHeight="1" x14ac:dyDescent="0.2">
      <c r="A28" s="49" t="s">
        <v>17</v>
      </c>
      <c r="B28" s="109">
        <v>4510.8995000000004</v>
      </c>
      <c r="C28" s="25">
        <f t="shared" si="0"/>
        <v>4.8060000000004948</v>
      </c>
      <c r="D28" s="24">
        <f t="shared" si="1"/>
        <v>4.8060000000004948</v>
      </c>
      <c r="E28" s="90"/>
      <c r="F28" s="82">
        <v>157.08000000000001</v>
      </c>
      <c r="G28" s="51">
        <f t="shared" si="4"/>
        <v>0.17250000000001364</v>
      </c>
      <c r="H28" s="50">
        <f t="shared" si="2"/>
        <v>0.17250000000001364</v>
      </c>
      <c r="I28" s="52">
        <f t="shared" si="3"/>
        <v>3.5892634207240093E-2</v>
      </c>
      <c r="J28" s="104"/>
      <c r="K28" s="83"/>
      <c r="L28" s="53"/>
      <c r="M28" s="85"/>
      <c r="N28" s="120"/>
      <c r="O28" s="120"/>
      <c r="P28" s="120"/>
      <c r="Q28" s="120"/>
      <c r="R28" s="120"/>
      <c r="S28" s="120"/>
      <c r="T28" s="120"/>
      <c r="U28" s="120"/>
      <c r="V28" s="120"/>
      <c r="W28" s="111"/>
      <c r="X28" s="112"/>
      <c r="Y28" s="112"/>
      <c r="Z28" s="112"/>
    </row>
    <row r="29" spans="1:26" ht="23.25" customHeight="1" x14ac:dyDescent="0.2">
      <c r="A29" s="49" t="s">
        <v>18</v>
      </c>
      <c r="B29" s="109">
        <v>4515.7780000000002</v>
      </c>
      <c r="C29" s="25">
        <f t="shared" si="0"/>
        <v>4.8784999999998035</v>
      </c>
      <c r="D29" s="24">
        <f t="shared" si="1"/>
        <v>4.8784999999998035</v>
      </c>
      <c r="E29" s="90"/>
      <c r="F29" s="82">
        <v>157.25299999999999</v>
      </c>
      <c r="G29" s="51">
        <f t="shared" si="4"/>
        <v>0.1729999999999734</v>
      </c>
      <c r="H29" s="50">
        <f t="shared" si="2"/>
        <v>0.1729999999999734</v>
      </c>
      <c r="I29" s="52">
        <f t="shared" si="3"/>
        <v>3.5461719790915315E-2</v>
      </c>
      <c r="J29" s="104"/>
      <c r="K29" s="83"/>
      <c r="L29" s="53"/>
      <c r="M29" s="145" t="s">
        <v>95</v>
      </c>
      <c r="N29" s="145"/>
      <c r="O29" s="145"/>
      <c r="P29" s="145"/>
      <c r="Q29" s="145"/>
      <c r="R29" s="145"/>
      <c r="S29" s="145"/>
      <c r="T29" s="145"/>
      <c r="U29" s="145"/>
      <c r="V29" s="145"/>
      <c r="W29" s="145"/>
      <c r="X29" s="145"/>
      <c r="Y29" s="145"/>
      <c r="Z29" s="145"/>
    </row>
    <row r="30" spans="1:26" ht="23.25" customHeight="1" x14ac:dyDescent="0.2">
      <c r="A30" s="49" t="s">
        <v>19</v>
      </c>
      <c r="B30" s="109">
        <v>4520.6895000000004</v>
      </c>
      <c r="C30" s="25">
        <f t="shared" si="0"/>
        <v>4.9115000000001601</v>
      </c>
      <c r="D30" s="24">
        <f t="shared" si="1"/>
        <v>4.9115000000001601</v>
      </c>
      <c r="E30" s="90"/>
      <c r="F30" s="82">
        <v>157.4</v>
      </c>
      <c r="G30" s="51">
        <f t="shared" si="4"/>
        <v>0.14700000000001978</v>
      </c>
      <c r="H30" s="50">
        <f t="shared" si="2"/>
        <v>0.14700000000001978</v>
      </c>
      <c r="I30" s="52">
        <f t="shared" si="3"/>
        <v>2.9929756693477551E-2</v>
      </c>
      <c r="J30" s="104"/>
      <c r="K30" s="83"/>
      <c r="L30" s="53"/>
      <c r="M30" s="122" t="s">
        <v>97</v>
      </c>
      <c r="N30" s="122"/>
      <c r="O30" s="122"/>
      <c r="P30" s="122"/>
      <c r="Q30" s="122"/>
      <c r="R30" s="122"/>
      <c r="S30" s="122"/>
      <c r="T30" s="122"/>
      <c r="U30" s="122"/>
      <c r="V30" s="122"/>
      <c r="W30" s="122"/>
      <c r="X30" s="122"/>
      <c r="Y30" s="122"/>
      <c r="Z30" s="122"/>
    </row>
    <row r="31" spans="1:26" ht="23.25" customHeight="1" x14ac:dyDescent="0.2">
      <c r="A31" s="49" t="s">
        <v>20</v>
      </c>
      <c r="B31" s="109">
        <v>4525.6459999999997</v>
      </c>
      <c r="C31" s="25">
        <f t="shared" si="0"/>
        <v>4.9564999999993233</v>
      </c>
      <c r="D31" s="24">
        <f t="shared" si="1"/>
        <v>4.9564999999993233</v>
      </c>
      <c r="E31" s="90"/>
      <c r="F31" s="82">
        <v>157.55699999999999</v>
      </c>
      <c r="G31" s="51">
        <f t="shared" si="4"/>
        <v>0.15699999999998226</v>
      </c>
      <c r="H31" s="50">
        <f t="shared" si="2"/>
        <v>0.15699999999998226</v>
      </c>
      <c r="I31" s="52">
        <f t="shared" si="3"/>
        <v>3.1675577524463573E-2</v>
      </c>
      <c r="J31" s="104"/>
      <c r="K31" s="83"/>
      <c r="L31" s="53"/>
      <c r="M31" s="123" t="s">
        <v>79</v>
      </c>
      <c r="N31" s="121" t="s">
        <v>98</v>
      </c>
      <c r="O31" s="121"/>
      <c r="P31" s="121" t="s">
        <v>100</v>
      </c>
      <c r="Q31" s="121"/>
      <c r="R31" s="121" t="s">
        <v>93</v>
      </c>
      <c r="S31" s="121"/>
      <c r="T31" s="121" t="s">
        <v>103</v>
      </c>
      <c r="U31" s="121"/>
      <c r="V31" s="121" t="s">
        <v>179</v>
      </c>
      <c r="W31" s="121"/>
      <c r="X31" s="121"/>
      <c r="Y31" s="121" t="s">
        <v>91</v>
      </c>
      <c r="Z31" s="124"/>
    </row>
    <row r="32" spans="1:26" ht="23.25" customHeight="1" x14ac:dyDescent="0.2">
      <c r="A32" s="49" t="s">
        <v>21</v>
      </c>
      <c r="B32" s="109">
        <v>4530.6639999999998</v>
      </c>
      <c r="C32" s="25">
        <f t="shared" si="0"/>
        <v>5.0180000000000291</v>
      </c>
      <c r="D32" s="24">
        <f t="shared" si="1"/>
        <v>5.0180000000000291</v>
      </c>
      <c r="E32" s="90"/>
      <c r="F32" s="82">
        <v>157.71899999999999</v>
      </c>
      <c r="G32" s="51">
        <f t="shared" si="4"/>
        <v>0.16200000000000614</v>
      </c>
      <c r="H32" s="50">
        <f t="shared" si="2"/>
        <v>0.16200000000000614</v>
      </c>
      <c r="I32" s="52">
        <f t="shared" si="3"/>
        <v>3.2283778397769074E-2</v>
      </c>
      <c r="J32" s="104"/>
      <c r="K32" s="83"/>
      <c r="L32" s="53"/>
      <c r="M32" s="116"/>
      <c r="N32" s="118"/>
      <c r="O32" s="118"/>
      <c r="P32" s="118" t="s">
        <v>83</v>
      </c>
      <c r="Q32" s="118"/>
      <c r="R32" s="118" t="s">
        <v>102</v>
      </c>
      <c r="S32" s="118"/>
      <c r="T32" s="118" t="s">
        <v>104</v>
      </c>
      <c r="U32" s="118"/>
      <c r="V32" s="118" t="s">
        <v>105</v>
      </c>
      <c r="W32" s="118"/>
      <c r="X32" s="118"/>
      <c r="Y32" s="118"/>
      <c r="Z32" s="125"/>
    </row>
    <row r="33" spans="1:26" ht="23.25" customHeight="1" x14ac:dyDescent="0.2">
      <c r="A33" s="49" t="s">
        <v>22</v>
      </c>
      <c r="B33" s="109">
        <v>4535.6194999999998</v>
      </c>
      <c r="C33" s="25">
        <f t="shared" si="0"/>
        <v>4.9555000000000291</v>
      </c>
      <c r="D33" s="24">
        <f t="shared" si="1"/>
        <v>4.9555000000000291</v>
      </c>
      <c r="E33" s="90"/>
      <c r="F33" s="82">
        <v>157.8775</v>
      </c>
      <c r="G33" s="51">
        <f t="shared" si="4"/>
        <v>0.15850000000000364</v>
      </c>
      <c r="H33" s="50">
        <f t="shared" si="2"/>
        <v>0.15850000000000364</v>
      </c>
      <c r="I33" s="52">
        <f t="shared" si="3"/>
        <v>3.1984663505196791E-2</v>
      </c>
      <c r="J33" s="104"/>
      <c r="K33" s="83"/>
      <c r="L33" s="53"/>
      <c r="M33" s="116" t="s">
        <v>80</v>
      </c>
      <c r="N33" s="118" t="s">
        <v>99</v>
      </c>
      <c r="O33" s="118"/>
      <c r="P33" s="118" t="s">
        <v>101</v>
      </c>
      <c r="Q33" s="118"/>
      <c r="R33" s="118" t="s">
        <v>69</v>
      </c>
      <c r="S33" s="118"/>
      <c r="T33" s="118" t="s">
        <v>69</v>
      </c>
      <c r="U33" s="118"/>
      <c r="V33" s="118" t="s">
        <v>106</v>
      </c>
      <c r="W33" s="118"/>
      <c r="X33" s="118"/>
      <c r="Y33" s="118"/>
      <c r="Z33" s="125"/>
    </row>
    <row r="34" spans="1:26" ht="23.25" customHeight="1" x14ac:dyDescent="0.2">
      <c r="A34" s="49" t="s">
        <v>23</v>
      </c>
      <c r="B34" s="109">
        <v>4540.5455000000002</v>
      </c>
      <c r="C34" s="25">
        <f t="shared" si="0"/>
        <v>4.9260000000003856</v>
      </c>
      <c r="D34" s="24">
        <f t="shared" si="1"/>
        <v>4.9260000000003856</v>
      </c>
      <c r="E34" s="90"/>
      <c r="F34" s="82">
        <v>158.06200000000001</v>
      </c>
      <c r="G34" s="51">
        <f t="shared" si="4"/>
        <v>0.1845000000000141</v>
      </c>
      <c r="H34" s="50">
        <f t="shared" si="2"/>
        <v>0.1845000000000141</v>
      </c>
      <c r="I34" s="52">
        <f t="shared" si="3"/>
        <v>3.7454323995127825E-2</v>
      </c>
      <c r="J34" s="104"/>
      <c r="K34" s="83"/>
      <c r="L34" s="53"/>
      <c r="M34" s="117"/>
      <c r="N34" s="119"/>
      <c r="O34" s="119"/>
      <c r="P34" s="119"/>
      <c r="Q34" s="119"/>
      <c r="R34" s="127"/>
      <c r="S34" s="117"/>
      <c r="T34" s="127"/>
      <c r="U34" s="117"/>
      <c r="V34" s="127"/>
      <c r="W34" s="130"/>
      <c r="X34" s="117"/>
      <c r="Y34" s="119"/>
      <c r="Z34" s="127"/>
    </row>
    <row r="35" spans="1:26" ht="23.25" customHeight="1" x14ac:dyDescent="0.2">
      <c r="A35" s="49" t="s">
        <v>24</v>
      </c>
      <c r="B35" s="109">
        <v>4545.5069999999996</v>
      </c>
      <c r="C35" s="25">
        <f t="shared" si="0"/>
        <v>4.9614999999994325</v>
      </c>
      <c r="D35" s="24">
        <f t="shared" si="1"/>
        <v>4.9614999999994325</v>
      </c>
      <c r="E35" s="90"/>
      <c r="F35" s="82">
        <v>158.25200000000001</v>
      </c>
      <c r="G35" s="51">
        <f t="shared" si="4"/>
        <v>0.18999999999999773</v>
      </c>
      <c r="H35" s="50">
        <f t="shared" si="2"/>
        <v>0.18999999999999773</v>
      </c>
      <c r="I35" s="52">
        <f t="shared" si="3"/>
        <v>3.8294870502876034E-2</v>
      </c>
      <c r="J35" s="104"/>
      <c r="K35" s="83"/>
      <c r="L35" s="53"/>
      <c r="M35" s="85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11"/>
    </row>
    <row r="36" spans="1:26" ht="23.25" customHeight="1" x14ac:dyDescent="0.2">
      <c r="A36" s="49" t="s">
        <v>25</v>
      </c>
      <c r="B36" s="109">
        <v>4550.3905000000004</v>
      </c>
      <c r="C36" s="25">
        <f t="shared" si="0"/>
        <v>4.8835000000008222</v>
      </c>
      <c r="D36" s="24">
        <f t="shared" si="1"/>
        <v>4.8835000000008222</v>
      </c>
      <c r="E36" s="90"/>
      <c r="F36" s="82">
        <v>158.44300000000001</v>
      </c>
      <c r="G36" s="51">
        <f t="shared" si="4"/>
        <v>0.1910000000000025</v>
      </c>
      <c r="H36" s="50">
        <f t="shared" si="2"/>
        <v>0.1910000000000025</v>
      </c>
      <c r="I36" s="52">
        <f t="shared" si="3"/>
        <v>3.9111293129921232E-2</v>
      </c>
      <c r="J36" s="104"/>
      <c r="K36" s="83"/>
      <c r="L36" s="53"/>
      <c r="M36" s="85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11"/>
    </row>
    <row r="37" spans="1:26" ht="23.25" customHeight="1" x14ac:dyDescent="0.2">
      <c r="A37" s="49" t="s">
        <v>26</v>
      </c>
      <c r="B37" s="109">
        <v>4555.2669999999998</v>
      </c>
      <c r="C37" s="25">
        <f t="shared" si="0"/>
        <v>4.8764999999993961</v>
      </c>
      <c r="D37" s="24">
        <f t="shared" si="1"/>
        <v>4.8764999999993961</v>
      </c>
      <c r="E37" s="90"/>
      <c r="F37" s="82">
        <v>158.62350000000001</v>
      </c>
      <c r="G37" s="51">
        <f t="shared" si="4"/>
        <v>0.180499999999995</v>
      </c>
      <c r="H37" s="50">
        <f t="shared" si="2"/>
        <v>0.180499999999995</v>
      </c>
      <c r="I37" s="52">
        <f t="shared" si="3"/>
        <v>3.7014252025021503E-2</v>
      </c>
      <c r="J37" s="104"/>
      <c r="K37" s="83"/>
      <c r="L37" s="53"/>
      <c r="M37" s="85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11"/>
    </row>
    <row r="38" spans="1:26" ht="23.25" customHeight="1" x14ac:dyDescent="0.2">
      <c r="A38" s="49" t="s">
        <v>27</v>
      </c>
      <c r="B38" s="109">
        <v>4560.1584999999995</v>
      </c>
      <c r="C38" s="25">
        <f t="shared" si="0"/>
        <v>4.8914999999997235</v>
      </c>
      <c r="D38" s="24">
        <f t="shared" si="1"/>
        <v>4.8914999999997235</v>
      </c>
      <c r="E38" s="90"/>
      <c r="F38" s="82">
        <v>158.82300000000001</v>
      </c>
      <c r="G38" s="51">
        <f t="shared" si="4"/>
        <v>0.19950000000000045</v>
      </c>
      <c r="H38" s="50">
        <f t="shared" si="2"/>
        <v>0.19950000000000045</v>
      </c>
      <c r="I38" s="52">
        <f t="shared" si="3"/>
        <v>4.0785035265258451E-2</v>
      </c>
      <c r="J38" s="104"/>
      <c r="K38" s="83"/>
      <c r="L38" s="53"/>
      <c r="M38" s="85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11"/>
    </row>
    <row r="39" spans="1:26" ht="23.25" customHeight="1" x14ac:dyDescent="0.2">
      <c r="A39" s="49" t="s">
        <v>28</v>
      </c>
      <c r="B39" s="109">
        <v>4565.0325000000003</v>
      </c>
      <c r="C39" s="25">
        <f t="shared" si="0"/>
        <v>4.8740000000007058</v>
      </c>
      <c r="D39" s="24">
        <f t="shared" si="1"/>
        <v>4.8740000000007058</v>
      </c>
      <c r="E39" s="90"/>
      <c r="F39" s="82">
        <v>159.01900000000001</v>
      </c>
      <c r="G39" s="51">
        <f t="shared" si="4"/>
        <v>0.19599999999999795</v>
      </c>
      <c r="H39" s="50">
        <f t="shared" si="2"/>
        <v>0.19599999999999795</v>
      </c>
      <c r="I39" s="52">
        <f t="shared" si="3"/>
        <v>4.0213377102989244E-2</v>
      </c>
      <c r="J39" s="104"/>
      <c r="K39" s="83"/>
      <c r="L39" s="53"/>
      <c r="M39" s="85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11"/>
    </row>
    <row r="40" spans="1:26" ht="23.25" customHeight="1" x14ac:dyDescent="0.2">
      <c r="A40" s="49" t="s">
        <v>29</v>
      </c>
      <c r="B40" s="109">
        <v>4569.8770000000004</v>
      </c>
      <c r="C40" s="25">
        <f t="shared" si="0"/>
        <v>4.8445000000001528</v>
      </c>
      <c r="D40" s="24">
        <f t="shared" si="1"/>
        <v>4.8445000000001528</v>
      </c>
      <c r="E40" s="90"/>
      <c r="F40" s="82">
        <v>159.2165</v>
      </c>
      <c r="G40" s="51">
        <f t="shared" si="4"/>
        <v>0.19749999999999091</v>
      </c>
      <c r="H40" s="50">
        <f t="shared" si="2"/>
        <v>0.19749999999999091</v>
      </c>
      <c r="I40" s="52">
        <f t="shared" si="3"/>
        <v>4.0767881102277775E-2</v>
      </c>
      <c r="J40" s="104"/>
      <c r="K40" s="83"/>
      <c r="L40" s="53"/>
      <c r="M40" s="122" t="s">
        <v>109</v>
      </c>
      <c r="N40" s="122"/>
      <c r="O40" s="122"/>
      <c r="P40" s="122"/>
      <c r="Q40" s="122"/>
      <c r="R40" s="122"/>
      <c r="S40" s="122"/>
      <c r="T40" s="122"/>
      <c r="U40" s="122"/>
      <c r="V40" s="122"/>
      <c r="W40" s="122"/>
      <c r="X40" s="122"/>
      <c r="Y40" s="122"/>
      <c r="Z40" s="122"/>
    </row>
    <row r="41" spans="1:26" ht="23.25" customHeight="1" x14ac:dyDescent="0.2">
      <c r="A41" s="49" t="s">
        <v>30</v>
      </c>
      <c r="B41" s="109">
        <v>4574.7004999999999</v>
      </c>
      <c r="C41" s="25">
        <f t="shared" si="0"/>
        <v>4.8234999999995125</v>
      </c>
      <c r="D41" s="24">
        <f t="shared" si="1"/>
        <v>4.8234999999995125</v>
      </c>
      <c r="E41" s="90"/>
      <c r="F41" s="82">
        <v>159.43049999999999</v>
      </c>
      <c r="G41" s="51">
        <f t="shared" si="4"/>
        <v>0.21399999999999864</v>
      </c>
      <c r="H41" s="50">
        <f t="shared" si="2"/>
        <v>0.21399999999999864</v>
      </c>
      <c r="I41" s="52">
        <f t="shared" si="3"/>
        <v>4.4366124183688245E-2</v>
      </c>
      <c r="J41" s="104"/>
      <c r="K41" s="83"/>
      <c r="L41" s="53"/>
      <c r="M41" s="123" t="s">
        <v>79</v>
      </c>
      <c r="N41" s="121" t="s">
        <v>98</v>
      </c>
      <c r="O41" s="121"/>
      <c r="P41" s="121" t="s">
        <v>93</v>
      </c>
      <c r="Q41" s="121"/>
      <c r="R41" s="121"/>
      <c r="S41" s="121" t="s">
        <v>111</v>
      </c>
      <c r="T41" s="121" t="s">
        <v>81</v>
      </c>
      <c r="U41" s="121"/>
      <c r="V41" s="121"/>
      <c r="W41" s="121"/>
      <c r="X41" s="121" t="s">
        <v>93</v>
      </c>
      <c r="Y41" s="121"/>
      <c r="Z41" s="124"/>
    </row>
    <row r="42" spans="1:26" ht="23.25" customHeight="1" x14ac:dyDescent="0.2">
      <c r="A42" s="49" t="s">
        <v>31</v>
      </c>
      <c r="B42" s="109">
        <v>4579.3779999999997</v>
      </c>
      <c r="C42" s="25">
        <f t="shared" si="0"/>
        <v>4.6774999999997817</v>
      </c>
      <c r="D42" s="24">
        <f t="shared" si="1"/>
        <v>4.6774999999997817</v>
      </c>
      <c r="E42" s="90"/>
      <c r="F42" s="82">
        <v>159.648</v>
      </c>
      <c r="G42" s="51">
        <f t="shared" si="4"/>
        <v>0.21750000000000114</v>
      </c>
      <c r="H42" s="50">
        <f t="shared" si="2"/>
        <v>0.21750000000000114</v>
      </c>
      <c r="I42" s="52">
        <f t="shared" si="3"/>
        <v>4.6499198289687071E-2</v>
      </c>
      <c r="J42" s="104"/>
      <c r="K42" s="83"/>
      <c r="L42" s="53"/>
      <c r="M42" s="116"/>
      <c r="N42" s="118"/>
      <c r="O42" s="118"/>
      <c r="P42" s="118"/>
      <c r="Q42" s="118"/>
      <c r="R42" s="118"/>
      <c r="S42" s="118"/>
      <c r="T42" s="118"/>
      <c r="U42" s="118"/>
      <c r="V42" s="118"/>
      <c r="W42" s="118"/>
      <c r="X42" s="118"/>
      <c r="Y42" s="118"/>
      <c r="Z42" s="125"/>
    </row>
    <row r="43" spans="1:26" ht="22.5" customHeight="1" x14ac:dyDescent="0.2">
      <c r="A43" s="184" t="s">
        <v>70</v>
      </c>
      <c r="B43" s="184"/>
      <c r="C43" s="184"/>
      <c r="D43" s="50">
        <f>SUM(D18:D42)</f>
        <v>113.73799999999937</v>
      </c>
      <c r="E43" s="104"/>
      <c r="F43" s="54"/>
      <c r="G43" s="104"/>
      <c r="H43" s="50">
        <f>SUM(H18:H42)</f>
        <v>4.7340000000000089</v>
      </c>
      <c r="I43" s="52">
        <f>IF(AND(H43=0,D43=0),0,H43/D43)</f>
        <v>4.1621973307074463E-2</v>
      </c>
      <c r="J43" s="104"/>
      <c r="K43" s="104"/>
      <c r="L43" s="53"/>
      <c r="M43" s="116" t="s">
        <v>80</v>
      </c>
      <c r="N43" s="118" t="s">
        <v>99</v>
      </c>
      <c r="O43" s="118"/>
      <c r="P43" s="118" t="s">
        <v>110</v>
      </c>
      <c r="Q43" s="118"/>
      <c r="R43" s="118"/>
      <c r="S43" s="118"/>
      <c r="T43" s="118"/>
      <c r="U43" s="118"/>
      <c r="V43" s="118"/>
      <c r="W43" s="118"/>
      <c r="X43" s="118" t="s">
        <v>110</v>
      </c>
      <c r="Y43" s="118"/>
      <c r="Z43" s="125"/>
    </row>
    <row r="44" spans="1:26" ht="22.5" customHeight="1" x14ac:dyDescent="0.2">
      <c r="A44" s="183" t="s">
        <v>71</v>
      </c>
      <c r="B44" s="183"/>
      <c r="C44" s="183"/>
      <c r="D44" s="104"/>
      <c r="E44" s="104"/>
      <c r="F44" s="54"/>
      <c r="G44" s="104"/>
      <c r="H44" s="104"/>
      <c r="I44" s="104"/>
      <c r="J44" s="104"/>
      <c r="K44" s="104"/>
      <c r="L44" s="53"/>
      <c r="M44" s="117"/>
      <c r="N44" s="119"/>
      <c r="O44" s="119"/>
      <c r="P44" s="119"/>
      <c r="Q44" s="119"/>
      <c r="R44" s="119"/>
      <c r="S44" s="119"/>
      <c r="T44" s="119"/>
      <c r="U44" s="119"/>
      <c r="V44" s="119"/>
      <c r="W44" s="119"/>
      <c r="X44" s="119"/>
      <c r="Y44" s="119"/>
      <c r="Z44" s="127"/>
    </row>
    <row r="45" spans="1:26" ht="22.5" customHeight="1" x14ac:dyDescent="0.2">
      <c r="A45" s="94"/>
      <c r="B45" s="103"/>
      <c r="C45" s="103"/>
      <c r="D45" s="103"/>
      <c r="E45" s="103"/>
      <c r="F45" s="103"/>
      <c r="G45" s="103"/>
      <c r="H45" s="103"/>
      <c r="I45" s="103"/>
      <c r="J45" s="57"/>
      <c r="K45" s="57"/>
      <c r="L45" s="57"/>
      <c r="M45" s="85"/>
      <c r="N45" s="111"/>
      <c r="O45" s="113"/>
      <c r="P45" s="111"/>
      <c r="Q45" s="112"/>
      <c r="R45" s="113"/>
      <c r="S45" s="87"/>
      <c r="T45" s="111"/>
      <c r="U45" s="112"/>
      <c r="V45" s="112"/>
      <c r="W45" s="113"/>
      <c r="X45" s="111"/>
      <c r="Y45" s="112"/>
      <c r="Z45" s="112"/>
    </row>
    <row r="46" spans="1:26" ht="22.5" customHeight="1" x14ac:dyDescent="0.2">
      <c r="A46" s="182" t="s">
        <v>72</v>
      </c>
      <c r="B46" s="182"/>
      <c r="C46" s="182"/>
      <c r="D46" s="182"/>
      <c r="E46" s="182"/>
      <c r="F46" s="182"/>
      <c r="G46" s="204" t="s">
        <v>73</v>
      </c>
      <c r="H46" s="204"/>
      <c r="I46" s="204"/>
      <c r="J46" s="204"/>
      <c r="K46" s="204"/>
      <c r="L46" s="204"/>
      <c r="M46" s="85"/>
      <c r="N46" s="111"/>
      <c r="O46" s="113"/>
      <c r="P46" s="111"/>
      <c r="Q46" s="112"/>
      <c r="R46" s="113"/>
      <c r="S46" s="87"/>
      <c r="T46" s="111"/>
      <c r="U46" s="112"/>
      <c r="V46" s="112"/>
      <c r="W46" s="113"/>
      <c r="X46" s="111"/>
      <c r="Y46" s="112"/>
      <c r="Z46" s="112"/>
    </row>
    <row r="47" spans="1:26" ht="22.5" customHeight="1" x14ac:dyDescent="0.2">
      <c r="A47" s="144" t="s">
        <v>365</v>
      </c>
      <c r="B47" s="144"/>
      <c r="C47" s="144"/>
      <c r="D47" s="135" t="s">
        <v>74</v>
      </c>
      <c r="E47" s="135"/>
      <c r="F47" s="135"/>
      <c r="G47" s="103"/>
      <c r="H47" s="103"/>
      <c r="I47" s="103"/>
      <c r="J47" s="103"/>
      <c r="K47" s="103"/>
      <c r="L47" s="103"/>
      <c r="M47" s="85"/>
      <c r="N47" s="111"/>
      <c r="O47" s="113"/>
      <c r="P47" s="111"/>
      <c r="Q47" s="112"/>
      <c r="R47" s="113"/>
      <c r="S47" s="87"/>
      <c r="T47" s="111"/>
      <c r="U47" s="112"/>
      <c r="V47" s="112"/>
      <c r="W47" s="113"/>
      <c r="X47" s="111"/>
      <c r="Y47" s="112"/>
      <c r="Z47" s="112"/>
    </row>
    <row r="48" spans="1:26" ht="22.5" customHeight="1" x14ac:dyDescent="0.2">
      <c r="A48" s="175" t="s">
        <v>75</v>
      </c>
      <c r="B48" s="175"/>
      <c r="C48" s="175"/>
      <c r="D48" s="174" t="s">
        <v>76</v>
      </c>
      <c r="E48" s="174"/>
      <c r="F48" s="174"/>
      <c r="G48" s="94"/>
      <c r="H48" s="94"/>
      <c r="I48" s="94"/>
      <c r="J48" s="94"/>
      <c r="K48" s="94"/>
      <c r="L48" s="94"/>
    </row>
    <row r="49" spans="1:23" ht="22.5" customHeight="1" x14ac:dyDescent="0.2">
      <c r="A49" s="144" t="s">
        <v>366</v>
      </c>
      <c r="B49" s="144"/>
      <c r="C49" s="144"/>
      <c r="D49" s="135" t="s">
        <v>74</v>
      </c>
      <c r="E49" s="135"/>
      <c r="F49" s="135"/>
      <c r="G49" s="94"/>
      <c r="H49" s="182" t="s">
        <v>183</v>
      </c>
      <c r="I49" s="182"/>
      <c r="J49" s="182"/>
      <c r="K49" s="182" t="s">
        <v>77</v>
      </c>
      <c r="L49" s="182"/>
      <c r="N49" s="177" t="s">
        <v>150</v>
      </c>
      <c r="O49" s="177"/>
      <c r="P49" s="177"/>
      <c r="Q49" s="176" t="s">
        <v>364</v>
      </c>
      <c r="R49" s="176"/>
      <c r="S49" s="176"/>
      <c r="T49" s="176"/>
      <c r="U49" s="176"/>
      <c r="V49" s="176"/>
      <c r="W49" s="89"/>
    </row>
    <row r="50" spans="1:23" ht="22.5" customHeight="1" x14ac:dyDescent="0.2">
      <c r="A50" s="175" t="s">
        <v>75</v>
      </c>
      <c r="B50" s="175"/>
      <c r="C50" s="175"/>
      <c r="D50" s="174" t="s">
        <v>76</v>
      </c>
      <c r="E50" s="174"/>
      <c r="F50" s="174"/>
      <c r="G50" s="58"/>
      <c r="H50" s="175" t="s">
        <v>75</v>
      </c>
      <c r="I50" s="175"/>
      <c r="J50" s="175"/>
      <c r="K50" s="175" t="s">
        <v>76</v>
      </c>
      <c r="L50" s="175"/>
      <c r="S50" s="173" t="s">
        <v>76</v>
      </c>
      <c r="T50" s="173"/>
    </row>
    <row r="51" spans="1:23" ht="20.100000000000001" customHeight="1" x14ac:dyDescent="0.2">
      <c r="A51" s="144" t="s">
        <v>367</v>
      </c>
      <c r="B51" s="144"/>
      <c r="C51" s="144"/>
      <c r="D51" s="135" t="s">
        <v>74</v>
      </c>
      <c r="E51" s="135"/>
      <c r="F51" s="135"/>
      <c r="G51" s="94"/>
      <c r="H51" s="94"/>
      <c r="I51" s="94"/>
      <c r="J51" s="94"/>
      <c r="K51" s="94"/>
      <c r="L51" s="94"/>
    </row>
    <row r="52" spans="1:23" ht="20.100000000000001" customHeight="1" x14ac:dyDescent="0.2">
      <c r="A52" s="174" t="s">
        <v>75</v>
      </c>
      <c r="B52" s="174"/>
      <c r="C52" s="174"/>
      <c r="D52" s="173" t="s">
        <v>76</v>
      </c>
      <c r="E52" s="173"/>
      <c r="F52" s="173"/>
      <c r="G52" s="63"/>
      <c r="H52" s="63"/>
      <c r="I52" s="105"/>
      <c r="J52" s="105"/>
      <c r="K52" s="105"/>
      <c r="L52" s="105"/>
    </row>
  </sheetData>
  <sheetProtection sheet="1" objects="1" scenarios="1"/>
  <mergeCells count="258">
    <mergeCell ref="A1:F1"/>
    <mergeCell ref="G1:H2"/>
    <mergeCell ref="I1:L2"/>
    <mergeCell ref="M1:Z1"/>
    <mergeCell ref="A2:F2"/>
    <mergeCell ref="M2:Z2"/>
    <mergeCell ref="X3:Z6"/>
    <mergeCell ref="A4:F4"/>
    <mergeCell ref="R4:S4"/>
    <mergeCell ref="T4:U4"/>
    <mergeCell ref="V4:W4"/>
    <mergeCell ref="A5:F5"/>
    <mergeCell ref="G5:H6"/>
    <mergeCell ref="A3:F3"/>
    <mergeCell ref="G3:H4"/>
    <mergeCell ref="I3:L4"/>
    <mergeCell ref="M3:M4"/>
    <mergeCell ref="N3:O6"/>
    <mergeCell ref="P3:Q4"/>
    <mergeCell ref="I5:L6"/>
    <mergeCell ref="M5:M6"/>
    <mergeCell ref="P5:Q6"/>
    <mergeCell ref="R5:S5"/>
    <mergeCell ref="T5:U5"/>
    <mergeCell ref="V5:W5"/>
    <mergeCell ref="A6:F6"/>
    <mergeCell ref="R6:S6"/>
    <mergeCell ref="T6:U6"/>
    <mergeCell ref="V6:W6"/>
    <mergeCell ref="R3:S3"/>
    <mergeCell ref="T3:U3"/>
    <mergeCell ref="V3:W3"/>
    <mergeCell ref="X7:Z7"/>
    <mergeCell ref="A8:L8"/>
    <mergeCell ref="N8:O8"/>
    <mergeCell ref="P8:Q8"/>
    <mergeCell ref="R8:S8"/>
    <mergeCell ref="T8:U8"/>
    <mergeCell ref="V8:W8"/>
    <mergeCell ref="X8:Z8"/>
    <mergeCell ref="A7:L7"/>
    <mergeCell ref="N7:O7"/>
    <mergeCell ref="P7:Q7"/>
    <mergeCell ref="R7:S7"/>
    <mergeCell ref="T7:U7"/>
    <mergeCell ref="V7:W7"/>
    <mergeCell ref="X9:Z9"/>
    <mergeCell ref="A10:D10"/>
    <mergeCell ref="E10:G10"/>
    <mergeCell ref="H10:L10"/>
    <mergeCell ref="N10:O10"/>
    <mergeCell ref="P10:Q10"/>
    <mergeCell ref="R10:S10"/>
    <mergeCell ref="T10:U10"/>
    <mergeCell ref="V10:W10"/>
    <mergeCell ref="X10:Z10"/>
    <mergeCell ref="A9:L9"/>
    <mergeCell ref="N9:O9"/>
    <mergeCell ref="P9:Q9"/>
    <mergeCell ref="R9:S9"/>
    <mergeCell ref="T9:U9"/>
    <mergeCell ref="V9:W9"/>
    <mergeCell ref="T11:U11"/>
    <mergeCell ref="V11:W11"/>
    <mergeCell ref="X11:Z11"/>
    <mergeCell ref="A12:L12"/>
    <mergeCell ref="N12:O12"/>
    <mergeCell ref="P12:Q12"/>
    <mergeCell ref="R12:S12"/>
    <mergeCell ref="T12:U12"/>
    <mergeCell ref="V12:W12"/>
    <mergeCell ref="X12:Z12"/>
    <mergeCell ref="A11:D11"/>
    <mergeCell ref="E11:H11"/>
    <mergeCell ref="I11:L11"/>
    <mergeCell ref="N11:O11"/>
    <mergeCell ref="P11:Q11"/>
    <mergeCell ref="R11:S11"/>
    <mergeCell ref="N13:O13"/>
    <mergeCell ref="P13:Q13"/>
    <mergeCell ref="R13:S13"/>
    <mergeCell ref="T13:U13"/>
    <mergeCell ref="V13:W13"/>
    <mergeCell ref="X13:Z13"/>
    <mergeCell ref="A13:A17"/>
    <mergeCell ref="B13:C13"/>
    <mergeCell ref="D13:E13"/>
    <mergeCell ref="F13:G13"/>
    <mergeCell ref="I13:I17"/>
    <mergeCell ref="J13:K13"/>
    <mergeCell ref="B14:C14"/>
    <mergeCell ref="D14:E14"/>
    <mergeCell ref="F14:G14"/>
    <mergeCell ref="J14:K14"/>
    <mergeCell ref="E16:E17"/>
    <mergeCell ref="J16:J17"/>
    <mergeCell ref="K16:K17"/>
    <mergeCell ref="B15:C15"/>
    <mergeCell ref="D15:E15"/>
    <mergeCell ref="F15:G15"/>
    <mergeCell ref="J15:K15"/>
    <mergeCell ref="V16:W16"/>
    <mergeCell ref="W22:Z22"/>
    <mergeCell ref="N15:O15"/>
    <mergeCell ref="P15:Q15"/>
    <mergeCell ref="N14:O14"/>
    <mergeCell ref="P14:Q14"/>
    <mergeCell ref="R14:S14"/>
    <mergeCell ref="R15:S15"/>
    <mergeCell ref="T15:U15"/>
    <mergeCell ref="V15:W15"/>
    <mergeCell ref="X15:Z15"/>
    <mergeCell ref="T14:U14"/>
    <mergeCell ref="V14:W14"/>
    <mergeCell ref="X14:Z14"/>
    <mergeCell ref="N23:P23"/>
    <mergeCell ref="Q23:S23"/>
    <mergeCell ref="T23:V23"/>
    <mergeCell ref="W23:Z23"/>
    <mergeCell ref="X16:Z16"/>
    <mergeCell ref="M17:Z17"/>
    <mergeCell ref="M18:M19"/>
    <mergeCell ref="N18:P19"/>
    <mergeCell ref="Q18:S18"/>
    <mergeCell ref="T18:V19"/>
    <mergeCell ref="W18:Z21"/>
    <mergeCell ref="Q19:S19"/>
    <mergeCell ref="M20:M21"/>
    <mergeCell ref="N20:P21"/>
    <mergeCell ref="Q20:S20"/>
    <mergeCell ref="T20:V21"/>
    <mergeCell ref="Q21:S21"/>
    <mergeCell ref="N16:O16"/>
    <mergeCell ref="P16:Q16"/>
    <mergeCell ref="R16:S16"/>
    <mergeCell ref="N22:P22"/>
    <mergeCell ref="Q22:S22"/>
    <mergeCell ref="T22:V22"/>
    <mergeCell ref="T16:U16"/>
    <mergeCell ref="N24:P24"/>
    <mergeCell ref="Q24:S24"/>
    <mergeCell ref="T24:V24"/>
    <mergeCell ref="W24:Z24"/>
    <mergeCell ref="N27:P27"/>
    <mergeCell ref="Q27:S27"/>
    <mergeCell ref="T27:V27"/>
    <mergeCell ref="W27:Z27"/>
    <mergeCell ref="N28:P28"/>
    <mergeCell ref="Q28:S28"/>
    <mergeCell ref="T28:V28"/>
    <mergeCell ref="W28:Z28"/>
    <mergeCell ref="N25:P25"/>
    <mergeCell ref="Q25:S25"/>
    <mergeCell ref="T25:V25"/>
    <mergeCell ref="W25:Z25"/>
    <mergeCell ref="N26:P26"/>
    <mergeCell ref="Q26:S26"/>
    <mergeCell ref="T26:V26"/>
    <mergeCell ref="W26:Z26"/>
    <mergeCell ref="M33:M34"/>
    <mergeCell ref="N33:O34"/>
    <mergeCell ref="P33:Q33"/>
    <mergeCell ref="R33:S33"/>
    <mergeCell ref="T33:U33"/>
    <mergeCell ref="V33:X33"/>
    <mergeCell ref="P34:Q34"/>
    <mergeCell ref="M29:Z29"/>
    <mergeCell ref="M30:Z30"/>
    <mergeCell ref="M31:M32"/>
    <mergeCell ref="N31:O32"/>
    <mergeCell ref="P31:Q31"/>
    <mergeCell ref="R31:S31"/>
    <mergeCell ref="T31:U31"/>
    <mergeCell ref="V31:X31"/>
    <mergeCell ref="Y31:Z34"/>
    <mergeCell ref="P32:Q32"/>
    <mergeCell ref="R34:S34"/>
    <mergeCell ref="T34:U34"/>
    <mergeCell ref="V34:X34"/>
    <mergeCell ref="V35:X35"/>
    <mergeCell ref="R32:S32"/>
    <mergeCell ref="T32:U32"/>
    <mergeCell ref="V32:X32"/>
    <mergeCell ref="N37:O37"/>
    <mergeCell ref="P37:Q37"/>
    <mergeCell ref="R37:S37"/>
    <mergeCell ref="T37:U37"/>
    <mergeCell ref="V37:X37"/>
    <mergeCell ref="Y37:Z37"/>
    <mergeCell ref="Y35:Z35"/>
    <mergeCell ref="N36:O36"/>
    <mergeCell ref="P36:Q36"/>
    <mergeCell ref="R36:S36"/>
    <mergeCell ref="T36:U36"/>
    <mergeCell ref="V36:X36"/>
    <mergeCell ref="Y36:Z36"/>
    <mergeCell ref="N39:O39"/>
    <mergeCell ref="P39:Q39"/>
    <mergeCell ref="R39:S39"/>
    <mergeCell ref="T39:U39"/>
    <mergeCell ref="V39:X39"/>
    <mergeCell ref="Y39:Z39"/>
    <mergeCell ref="N38:O38"/>
    <mergeCell ref="P38:Q38"/>
    <mergeCell ref="R38:S38"/>
    <mergeCell ref="T38:U38"/>
    <mergeCell ref="V38:X38"/>
    <mergeCell ref="Y38:Z38"/>
    <mergeCell ref="N35:O35"/>
    <mergeCell ref="P35:Q35"/>
    <mergeCell ref="R35:S35"/>
    <mergeCell ref="T35:U35"/>
    <mergeCell ref="A43:C43"/>
    <mergeCell ref="M43:M44"/>
    <mergeCell ref="N43:O44"/>
    <mergeCell ref="P43:R44"/>
    <mergeCell ref="X43:Z44"/>
    <mergeCell ref="A44:C44"/>
    <mergeCell ref="M40:Z40"/>
    <mergeCell ref="M41:M42"/>
    <mergeCell ref="N41:O42"/>
    <mergeCell ref="P41:R42"/>
    <mergeCell ref="S41:S44"/>
    <mergeCell ref="T41:W44"/>
    <mergeCell ref="X41:Z42"/>
    <mergeCell ref="P47:R47"/>
    <mergeCell ref="T47:W47"/>
    <mergeCell ref="X47:Z47"/>
    <mergeCell ref="N45:O45"/>
    <mergeCell ref="P45:R45"/>
    <mergeCell ref="T45:W45"/>
    <mergeCell ref="X45:Z45"/>
    <mergeCell ref="A46:F46"/>
    <mergeCell ref="G46:L46"/>
    <mergeCell ref="N46:O46"/>
    <mergeCell ref="P46:R46"/>
    <mergeCell ref="T46:W46"/>
    <mergeCell ref="X46:Z46"/>
    <mergeCell ref="A48:C48"/>
    <mergeCell ref="D48:F48"/>
    <mergeCell ref="A49:C49"/>
    <mergeCell ref="D49:F49"/>
    <mergeCell ref="H49:J49"/>
    <mergeCell ref="K49:L49"/>
    <mergeCell ref="A47:C47"/>
    <mergeCell ref="D47:F47"/>
    <mergeCell ref="N47:O47"/>
    <mergeCell ref="A51:C51"/>
    <mergeCell ref="D51:F51"/>
    <mergeCell ref="A52:C52"/>
    <mergeCell ref="D52:F52"/>
    <mergeCell ref="N49:P49"/>
    <mergeCell ref="Q49:V49"/>
    <mergeCell ref="A50:C50"/>
    <mergeCell ref="D50:F50"/>
    <mergeCell ref="H50:J50"/>
    <mergeCell ref="K50:L50"/>
    <mergeCell ref="S50:T50"/>
  </mergeCells>
  <printOptions horizontalCentered="1"/>
  <pageMargins left="0.39370078740157483" right="0.39370078740157483" top="0.19685039370078741" bottom="0.19685039370078741" header="0" footer="0"/>
  <pageSetup paperSize="9" scale="63" orientation="portrait" horizontalDpi="180" verticalDpi="180" r:id="rId1"/>
  <headerFooter alignWithMargins="0"/>
  <colBreaks count="1" manualBreakCount="1">
    <brk id="12" max="1048575" man="1"/>
  </col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52"/>
  <sheetViews>
    <sheetView view="pageBreakPreview" topLeftCell="A10" zoomScale="75" zoomScaleNormal="50" zoomScaleSheetLayoutView="75" workbookViewId="0">
      <selection activeCell="M41" sqref="M41:M42"/>
    </sheetView>
  </sheetViews>
  <sheetFormatPr defaultRowHeight="18.75" x14ac:dyDescent="0.2"/>
  <cols>
    <col min="1" max="1" width="11.140625" style="88" customWidth="1"/>
    <col min="2" max="2" width="13.42578125" style="88" customWidth="1"/>
    <col min="3" max="3" width="12.140625" style="88" customWidth="1"/>
    <col min="4" max="4" width="14" style="88" customWidth="1"/>
    <col min="5" max="5" width="7.85546875" style="88" customWidth="1"/>
    <col min="6" max="6" width="13.85546875" style="88" customWidth="1"/>
    <col min="7" max="7" width="12.85546875" style="88" customWidth="1"/>
    <col min="8" max="8" width="21.5703125" style="88" customWidth="1"/>
    <col min="9" max="9" width="8.28515625" style="88" customWidth="1"/>
    <col min="10" max="11" width="8.85546875" style="88" customWidth="1"/>
    <col min="12" max="12" width="17" style="88" customWidth="1"/>
    <col min="13" max="26" width="10.28515625" style="88" customWidth="1"/>
    <col min="27" max="16384" width="9.140625" style="88"/>
  </cols>
  <sheetData>
    <row r="1" spans="1:26" ht="21.75" customHeight="1" x14ac:dyDescent="0.2">
      <c r="A1" s="115" t="s">
        <v>157</v>
      </c>
      <c r="B1" s="115"/>
      <c r="C1" s="115"/>
      <c r="D1" s="115"/>
      <c r="E1" s="115"/>
      <c r="F1" s="115"/>
      <c r="G1" s="150" t="s">
        <v>154</v>
      </c>
      <c r="H1" s="150"/>
      <c r="I1" s="115" t="s">
        <v>160</v>
      </c>
      <c r="J1" s="115"/>
      <c r="K1" s="115"/>
      <c r="L1" s="115"/>
      <c r="M1" s="122" t="s">
        <v>96</v>
      </c>
      <c r="N1" s="122"/>
      <c r="O1" s="122"/>
      <c r="P1" s="122"/>
      <c r="Q1" s="122"/>
      <c r="R1" s="122"/>
      <c r="S1" s="122"/>
      <c r="T1" s="122"/>
      <c r="U1" s="122"/>
      <c r="V1" s="122"/>
      <c r="W1" s="122"/>
      <c r="X1" s="122"/>
      <c r="Y1" s="122"/>
      <c r="Z1" s="122"/>
    </row>
    <row r="2" spans="1:26" ht="21.75" customHeight="1" x14ac:dyDescent="0.2">
      <c r="A2" s="146" t="s">
        <v>45</v>
      </c>
      <c r="B2" s="146"/>
      <c r="C2" s="146"/>
      <c r="D2" s="146"/>
      <c r="E2" s="146"/>
      <c r="F2" s="146"/>
      <c r="G2" s="150"/>
      <c r="H2" s="150"/>
      <c r="I2" s="115"/>
      <c r="J2" s="115"/>
      <c r="K2" s="115"/>
      <c r="L2" s="115"/>
      <c r="M2" s="122" t="s">
        <v>78</v>
      </c>
      <c r="N2" s="122"/>
      <c r="O2" s="122"/>
      <c r="P2" s="122"/>
      <c r="Q2" s="122"/>
      <c r="R2" s="122"/>
      <c r="S2" s="122"/>
      <c r="T2" s="122"/>
      <c r="U2" s="122"/>
      <c r="V2" s="122"/>
      <c r="W2" s="122"/>
      <c r="X2" s="122"/>
      <c r="Y2" s="122"/>
      <c r="Z2" s="122"/>
    </row>
    <row r="3" spans="1:26" ht="21.75" customHeight="1" x14ac:dyDescent="0.2">
      <c r="A3" s="115" t="s">
        <v>158</v>
      </c>
      <c r="B3" s="147"/>
      <c r="C3" s="147"/>
      <c r="D3" s="147"/>
      <c r="E3" s="147"/>
      <c r="F3" s="147"/>
      <c r="G3" s="150" t="s">
        <v>155</v>
      </c>
      <c r="H3" s="150"/>
      <c r="I3" s="115" t="s">
        <v>384</v>
      </c>
      <c r="J3" s="115"/>
      <c r="K3" s="115"/>
      <c r="L3" s="115"/>
      <c r="M3" s="123" t="s">
        <v>79</v>
      </c>
      <c r="N3" s="124" t="s">
        <v>81</v>
      </c>
      <c r="O3" s="123"/>
      <c r="P3" s="124" t="s">
        <v>65</v>
      </c>
      <c r="Q3" s="123"/>
      <c r="R3" s="124" t="s">
        <v>82</v>
      </c>
      <c r="S3" s="123"/>
      <c r="T3" s="124" t="s">
        <v>85</v>
      </c>
      <c r="U3" s="123"/>
      <c r="V3" s="124" t="s">
        <v>87</v>
      </c>
      <c r="W3" s="123"/>
      <c r="X3" s="128" t="s">
        <v>91</v>
      </c>
      <c r="Y3" s="132"/>
      <c r="Z3" s="132"/>
    </row>
    <row r="4" spans="1:26" ht="29.25" customHeight="1" x14ac:dyDescent="0.2">
      <c r="A4" s="146" t="s">
        <v>46</v>
      </c>
      <c r="B4" s="146"/>
      <c r="C4" s="146"/>
      <c r="D4" s="146"/>
      <c r="E4" s="146"/>
      <c r="F4" s="146"/>
      <c r="G4" s="150"/>
      <c r="H4" s="150"/>
      <c r="I4" s="115"/>
      <c r="J4" s="115"/>
      <c r="K4" s="115"/>
      <c r="L4" s="115"/>
      <c r="M4" s="116"/>
      <c r="N4" s="125"/>
      <c r="O4" s="116"/>
      <c r="P4" s="125"/>
      <c r="Q4" s="116"/>
      <c r="R4" s="125" t="s">
        <v>83</v>
      </c>
      <c r="S4" s="116"/>
      <c r="T4" s="125" t="s">
        <v>86</v>
      </c>
      <c r="U4" s="116"/>
      <c r="V4" s="125" t="s">
        <v>88</v>
      </c>
      <c r="W4" s="116"/>
      <c r="X4" s="128"/>
      <c r="Y4" s="132"/>
      <c r="Z4" s="132"/>
    </row>
    <row r="5" spans="1:26" ht="21.75" customHeight="1" x14ac:dyDescent="0.2">
      <c r="A5" s="115" t="s">
        <v>177</v>
      </c>
      <c r="B5" s="147"/>
      <c r="C5" s="147"/>
      <c r="D5" s="147"/>
      <c r="E5" s="147"/>
      <c r="F5" s="147"/>
      <c r="G5" s="150" t="s">
        <v>156</v>
      </c>
      <c r="H5" s="150"/>
      <c r="I5" s="115" t="s">
        <v>385</v>
      </c>
      <c r="J5" s="115"/>
      <c r="K5" s="115"/>
      <c r="L5" s="115"/>
      <c r="M5" s="116" t="s">
        <v>80</v>
      </c>
      <c r="N5" s="125"/>
      <c r="O5" s="116"/>
      <c r="P5" s="125" t="s">
        <v>182</v>
      </c>
      <c r="Q5" s="116"/>
      <c r="R5" s="133" t="s">
        <v>84</v>
      </c>
      <c r="S5" s="134"/>
      <c r="T5" s="133" t="s">
        <v>84</v>
      </c>
      <c r="U5" s="134"/>
      <c r="V5" s="125" t="s">
        <v>89</v>
      </c>
      <c r="W5" s="116"/>
      <c r="X5" s="128"/>
      <c r="Y5" s="132"/>
      <c r="Z5" s="132"/>
    </row>
    <row r="6" spans="1:26" ht="21.75" customHeight="1" x14ac:dyDescent="0.2">
      <c r="A6" s="146" t="s">
        <v>47</v>
      </c>
      <c r="B6" s="146"/>
      <c r="C6" s="146"/>
      <c r="D6" s="146"/>
      <c r="E6" s="146"/>
      <c r="F6" s="146"/>
      <c r="G6" s="150"/>
      <c r="H6" s="150"/>
      <c r="I6" s="115"/>
      <c r="J6" s="115"/>
      <c r="K6" s="115"/>
      <c r="L6" s="115"/>
      <c r="M6" s="117"/>
      <c r="N6" s="127"/>
      <c r="O6" s="117"/>
      <c r="P6" s="127"/>
      <c r="Q6" s="117"/>
      <c r="R6" s="127"/>
      <c r="S6" s="117"/>
      <c r="T6" s="127"/>
      <c r="U6" s="117"/>
      <c r="V6" s="127" t="s">
        <v>90</v>
      </c>
      <c r="W6" s="117"/>
      <c r="X6" s="128"/>
      <c r="Y6" s="132"/>
      <c r="Z6" s="132"/>
    </row>
    <row r="7" spans="1:26" ht="21.75" customHeight="1" x14ac:dyDescent="0.2">
      <c r="A7" s="122"/>
      <c r="B7" s="122"/>
      <c r="C7" s="122"/>
      <c r="D7" s="122"/>
      <c r="E7" s="122"/>
      <c r="F7" s="122"/>
      <c r="G7" s="122"/>
      <c r="H7" s="122"/>
      <c r="I7" s="122"/>
      <c r="J7" s="122"/>
      <c r="K7" s="122"/>
      <c r="L7" s="122"/>
      <c r="M7" s="85"/>
      <c r="N7" s="111"/>
      <c r="O7" s="113"/>
      <c r="P7" s="111"/>
      <c r="Q7" s="113"/>
      <c r="R7" s="111"/>
      <c r="S7" s="113"/>
      <c r="T7" s="111"/>
      <c r="U7" s="113"/>
      <c r="V7" s="111"/>
      <c r="W7" s="113"/>
      <c r="X7" s="111"/>
      <c r="Y7" s="112"/>
      <c r="Z7" s="112"/>
    </row>
    <row r="8" spans="1:26" ht="22.5" customHeight="1" x14ac:dyDescent="0.2">
      <c r="A8" s="143" t="s">
        <v>48</v>
      </c>
      <c r="B8" s="143"/>
      <c r="C8" s="143"/>
      <c r="D8" s="143"/>
      <c r="E8" s="143"/>
      <c r="F8" s="143"/>
      <c r="G8" s="143"/>
      <c r="H8" s="143"/>
      <c r="I8" s="143"/>
      <c r="J8" s="143"/>
      <c r="K8" s="143"/>
      <c r="L8" s="143"/>
      <c r="M8" s="85"/>
      <c r="N8" s="111"/>
      <c r="O8" s="113"/>
      <c r="P8" s="111"/>
      <c r="Q8" s="113"/>
      <c r="R8" s="111"/>
      <c r="S8" s="113"/>
      <c r="T8" s="111"/>
      <c r="U8" s="113"/>
      <c r="V8" s="111"/>
      <c r="W8" s="113"/>
      <c r="X8" s="111"/>
      <c r="Y8" s="112"/>
      <c r="Z8" s="112"/>
    </row>
    <row r="9" spans="1:26" ht="22.5" customHeight="1" x14ac:dyDescent="0.2">
      <c r="A9" s="156" t="s">
        <v>49</v>
      </c>
      <c r="B9" s="156"/>
      <c r="C9" s="156"/>
      <c r="D9" s="156"/>
      <c r="E9" s="156"/>
      <c r="F9" s="156"/>
      <c r="G9" s="156"/>
      <c r="H9" s="156"/>
      <c r="I9" s="156"/>
      <c r="J9" s="156"/>
      <c r="K9" s="156"/>
      <c r="L9" s="156"/>
      <c r="M9" s="85"/>
      <c r="N9" s="111"/>
      <c r="O9" s="113"/>
      <c r="P9" s="111"/>
      <c r="Q9" s="113"/>
      <c r="R9" s="111"/>
      <c r="S9" s="113"/>
      <c r="T9" s="111"/>
      <c r="U9" s="113"/>
      <c r="V9" s="111"/>
      <c r="W9" s="113"/>
      <c r="X9" s="111"/>
      <c r="Y9" s="112"/>
      <c r="Z9" s="112"/>
    </row>
    <row r="10" spans="1:26" ht="22.5" customHeight="1" x14ac:dyDescent="0.2">
      <c r="A10" s="151" t="s">
        <v>112</v>
      </c>
      <c r="B10" s="151"/>
      <c r="C10" s="151"/>
      <c r="D10" s="151"/>
      <c r="E10" s="162" t="s">
        <v>407</v>
      </c>
      <c r="F10" s="163"/>
      <c r="G10" s="163"/>
      <c r="H10" s="138" t="s">
        <v>369</v>
      </c>
      <c r="I10" s="138"/>
      <c r="J10" s="138"/>
      <c r="K10" s="138"/>
      <c r="L10" s="138"/>
      <c r="M10" s="85"/>
      <c r="N10" s="111"/>
      <c r="O10" s="113"/>
      <c r="P10" s="111"/>
      <c r="Q10" s="113"/>
      <c r="R10" s="111"/>
      <c r="S10" s="113"/>
      <c r="T10" s="111"/>
      <c r="U10" s="113"/>
      <c r="V10" s="111"/>
      <c r="W10" s="113"/>
      <c r="X10" s="111"/>
      <c r="Y10" s="112"/>
      <c r="Z10" s="112"/>
    </row>
    <row r="11" spans="1:26" ht="22.5" customHeight="1" x14ac:dyDescent="0.2">
      <c r="A11" s="151" t="s">
        <v>113</v>
      </c>
      <c r="B11" s="151"/>
      <c r="C11" s="151"/>
      <c r="D11" s="151"/>
      <c r="E11" s="161" t="s">
        <v>378</v>
      </c>
      <c r="F11" s="161"/>
      <c r="G11" s="161"/>
      <c r="H11" s="161"/>
      <c r="I11" s="138" t="s">
        <v>114</v>
      </c>
      <c r="J11" s="138"/>
      <c r="K11" s="138"/>
      <c r="L11" s="138"/>
      <c r="M11" s="85"/>
      <c r="N11" s="111"/>
      <c r="O11" s="113"/>
      <c r="P11" s="111"/>
      <c r="Q11" s="113"/>
      <c r="R11" s="111"/>
      <c r="S11" s="113"/>
      <c r="T11" s="111"/>
      <c r="U11" s="113"/>
      <c r="V11" s="111"/>
      <c r="W11" s="113"/>
      <c r="X11" s="111"/>
      <c r="Y11" s="112"/>
      <c r="Z11" s="112"/>
    </row>
    <row r="12" spans="1:26" ht="21.75" customHeight="1" x14ac:dyDescent="0.2">
      <c r="A12" s="215"/>
      <c r="B12" s="149"/>
      <c r="C12" s="149"/>
      <c r="D12" s="149"/>
      <c r="E12" s="149"/>
      <c r="F12" s="149"/>
      <c r="G12" s="149"/>
      <c r="H12" s="149"/>
      <c r="I12" s="149"/>
      <c r="J12" s="149"/>
      <c r="K12" s="149"/>
      <c r="L12" s="215"/>
      <c r="M12" s="85"/>
      <c r="N12" s="111"/>
      <c r="O12" s="113"/>
      <c r="P12" s="111"/>
      <c r="Q12" s="113"/>
      <c r="R12" s="111"/>
      <c r="S12" s="113"/>
      <c r="T12" s="111"/>
      <c r="U12" s="113"/>
      <c r="V12" s="111"/>
      <c r="W12" s="113"/>
      <c r="X12" s="111"/>
      <c r="Y12" s="112"/>
      <c r="Z12" s="112"/>
    </row>
    <row r="13" spans="1:26" ht="21.75" customHeight="1" x14ac:dyDescent="0.2">
      <c r="A13" s="187" t="s">
        <v>50</v>
      </c>
      <c r="B13" s="196" t="s">
        <v>56</v>
      </c>
      <c r="C13" s="196"/>
      <c r="D13" s="185" t="s">
        <v>386</v>
      </c>
      <c r="E13" s="186"/>
      <c r="F13" s="195" t="s">
        <v>59</v>
      </c>
      <c r="G13" s="196"/>
      <c r="H13" s="99" t="s">
        <v>386</v>
      </c>
      <c r="I13" s="197" t="s">
        <v>5</v>
      </c>
      <c r="J13" s="195" t="s">
        <v>60</v>
      </c>
      <c r="K13" s="196"/>
      <c r="L13" s="95" t="s">
        <v>65</v>
      </c>
      <c r="M13" s="85"/>
      <c r="N13" s="111"/>
      <c r="O13" s="113"/>
      <c r="P13" s="111"/>
      <c r="Q13" s="113"/>
      <c r="R13" s="111"/>
      <c r="S13" s="113"/>
      <c r="T13" s="111"/>
      <c r="U13" s="113"/>
      <c r="V13" s="111"/>
      <c r="W13" s="113"/>
      <c r="X13" s="111"/>
      <c r="Y13" s="112"/>
      <c r="Z13" s="112"/>
    </row>
    <row r="14" spans="1:26" ht="21.75" customHeight="1" x14ac:dyDescent="0.2">
      <c r="A14" s="188"/>
      <c r="B14" s="201" t="s">
        <v>57</v>
      </c>
      <c r="C14" s="201"/>
      <c r="D14" s="202" t="s">
        <v>387</v>
      </c>
      <c r="E14" s="203"/>
      <c r="F14" s="200" t="s">
        <v>57</v>
      </c>
      <c r="G14" s="201"/>
      <c r="H14" s="97" t="s">
        <v>387</v>
      </c>
      <c r="I14" s="198"/>
      <c r="J14" s="200" t="s">
        <v>61</v>
      </c>
      <c r="K14" s="201"/>
      <c r="L14" s="96" t="s">
        <v>66</v>
      </c>
      <c r="M14" s="85"/>
      <c r="N14" s="111"/>
      <c r="O14" s="113"/>
      <c r="P14" s="111"/>
      <c r="Q14" s="113"/>
      <c r="R14" s="111"/>
      <c r="S14" s="113"/>
      <c r="T14" s="111"/>
      <c r="U14" s="113"/>
      <c r="V14" s="111"/>
      <c r="W14" s="113"/>
      <c r="X14" s="111"/>
      <c r="Y14" s="112"/>
      <c r="Z14" s="112"/>
    </row>
    <row r="15" spans="1:26" ht="21.75" customHeight="1" x14ac:dyDescent="0.2">
      <c r="A15" s="188"/>
      <c r="B15" s="192" t="s">
        <v>58</v>
      </c>
      <c r="C15" s="192"/>
      <c r="D15" s="193">
        <v>1</v>
      </c>
      <c r="E15" s="194"/>
      <c r="F15" s="191" t="s">
        <v>58</v>
      </c>
      <c r="G15" s="192"/>
      <c r="H15" s="102">
        <v>1</v>
      </c>
      <c r="I15" s="198"/>
      <c r="J15" s="191" t="s">
        <v>62</v>
      </c>
      <c r="K15" s="192"/>
      <c r="L15" s="96" t="s">
        <v>67</v>
      </c>
      <c r="M15" s="85"/>
      <c r="N15" s="111"/>
      <c r="O15" s="113"/>
      <c r="P15" s="111"/>
      <c r="Q15" s="113"/>
      <c r="R15" s="111"/>
      <c r="S15" s="113"/>
      <c r="T15" s="111"/>
      <c r="U15" s="113"/>
      <c r="V15" s="111"/>
      <c r="W15" s="113"/>
      <c r="X15" s="111"/>
      <c r="Y15" s="112"/>
      <c r="Z15" s="112"/>
    </row>
    <row r="16" spans="1:26" ht="21.75" customHeight="1" x14ac:dyDescent="0.2">
      <c r="A16" s="188"/>
      <c r="B16" s="100" t="s">
        <v>51</v>
      </c>
      <c r="C16" s="91" t="s">
        <v>53</v>
      </c>
      <c r="D16" s="91" t="s">
        <v>54</v>
      </c>
      <c r="E16" s="154"/>
      <c r="F16" s="91" t="s">
        <v>51</v>
      </c>
      <c r="G16" s="91" t="s">
        <v>53</v>
      </c>
      <c r="H16" s="95" t="s">
        <v>54</v>
      </c>
      <c r="I16" s="198"/>
      <c r="J16" s="154" t="s">
        <v>63</v>
      </c>
      <c r="K16" s="154" t="s">
        <v>64</v>
      </c>
      <c r="L16" s="96" t="s">
        <v>68</v>
      </c>
      <c r="M16" s="85"/>
      <c r="N16" s="111"/>
      <c r="O16" s="113"/>
      <c r="P16" s="111"/>
      <c r="Q16" s="113"/>
      <c r="R16" s="111"/>
      <c r="S16" s="113"/>
      <c r="T16" s="111"/>
      <c r="U16" s="113"/>
      <c r="V16" s="111"/>
      <c r="W16" s="113"/>
      <c r="X16" s="111"/>
      <c r="Y16" s="112"/>
      <c r="Z16" s="112"/>
    </row>
    <row r="17" spans="1:26" ht="21.75" customHeight="1" x14ac:dyDescent="0.2">
      <c r="A17" s="189"/>
      <c r="B17" s="91" t="s">
        <v>52</v>
      </c>
      <c r="C17" s="101" t="s">
        <v>51</v>
      </c>
      <c r="D17" s="101" t="s">
        <v>55</v>
      </c>
      <c r="E17" s="190"/>
      <c r="F17" s="101" t="s">
        <v>52</v>
      </c>
      <c r="G17" s="92" t="s">
        <v>51</v>
      </c>
      <c r="H17" s="98" t="s">
        <v>55</v>
      </c>
      <c r="I17" s="199"/>
      <c r="J17" s="155"/>
      <c r="K17" s="155"/>
      <c r="L17" s="98" t="s">
        <v>69</v>
      </c>
      <c r="M17" s="130" t="s">
        <v>92</v>
      </c>
      <c r="N17" s="130"/>
      <c r="O17" s="130"/>
      <c r="P17" s="130"/>
      <c r="Q17" s="130"/>
      <c r="R17" s="130"/>
      <c r="S17" s="130"/>
      <c r="T17" s="130"/>
      <c r="U17" s="130"/>
      <c r="V17" s="130"/>
      <c r="W17" s="130"/>
      <c r="X17" s="130"/>
      <c r="Y17" s="130"/>
      <c r="Z17" s="130"/>
    </row>
    <row r="18" spans="1:26" ht="23.25" customHeight="1" x14ac:dyDescent="0.2">
      <c r="A18" s="49" t="s">
        <v>7</v>
      </c>
      <c r="B18" s="82">
        <v>4272.62</v>
      </c>
      <c r="C18" s="25"/>
      <c r="D18" s="24"/>
      <c r="E18" s="90"/>
      <c r="F18" s="82">
        <v>492.5</v>
      </c>
      <c r="G18" s="51"/>
      <c r="H18" s="50"/>
      <c r="I18" s="52"/>
      <c r="J18" s="104"/>
      <c r="K18" s="104"/>
      <c r="L18" s="73"/>
      <c r="M18" s="123" t="s">
        <v>79</v>
      </c>
      <c r="N18" s="121" t="s">
        <v>98</v>
      </c>
      <c r="O18" s="121"/>
      <c r="P18" s="121"/>
      <c r="Q18" s="121" t="s">
        <v>107</v>
      </c>
      <c r="R18" s="121"/>
      <c r="S18" s="121"/>
      <c r="T18" s="121" t="s">
        <v>93</v>
      </c>
      <c r="U18" s="121"/>
      <c r="V18" s="121"/>
      <c r="W18" s="124" t="s">
        <v>91</v>
      </c>
      <c r="X18" s="131"/>
      <c r="Y18" s="131"/>
      <c r="Z18" s="131"/>
    </row>
    <row r="19" spans="1:26" ht="23.25" customHeight="1" x14ac:dyDescent="0.2">
      <c r="A19" s="49" t="s">
        <v>8</v>
      </c>
      <c r="B19" s="82">
        <v>4275.1719999999996</v>
      </c>
      <c r="C19" s="25">
        <f t="shared" ref="C19:C42" si="0">IF(B19="","",IF(LEN(TRUNC(B18,0))-LEN(TRUNC(B19,0))=0,B19-B18,IF(LEN(TRUNC(B18,0))-LEN(TRUNC(B19,0))&gt;0,VALUE(LEFT(B18,LEN(TRUNC(B18,0))-LEN(TRUNC(B19,0))))*POWER(10,LEN(TRUNC(B19,0)))+B19-B18,B19-B18-VALUE(LEFT(B19,LEN(TRUNC(B19,0))-LEN(TRUNC(B18,0))))*POWER(10,LEN(TRUNC(B18,0))))))</f>
        <v>2.5519999999996799</v>
      </c>
      <c r="D19" s="24">
        <f t="shared" ref="D19:D42" si="1">IF(C19="","",C19*$D$15)</f>
        <v>2.5519999999996799</v>
      </c>
      <c r="E19" s="90"/>
      <c r="F19" s="82">
        <v>492.60399999999998</v>
      </c>
      <c r="G19" s="51">
        <f>F19-ReportObject15_3</f>
        <v>0.10399999999998499</v>
      </c>
      <c r="H19" s="50">
        <f t="shared" ref="H19:H42" si="2">IF(G19="","",G19*$H$15)</f>
        <v>0.10399999999998499</v>
      </c>
      <c r="I19" s="52">
        <f t="shared" ref="I19:I42" si="3">IF(H19="","",IF(D19="","",IF(AND(H19=0,D19=0),0,H19/D19)))</f>
        <v>4.0752351097177918E-2</v>
      </c>
      <c r="J19" s="104"/>
      <c r="K19" s="83"/>
      <c r="L19" s="53"/>
      <c r="M19" s="116"/>
      <c r="N19" s="118"/>
      <c r="O19" s="118"/>
      <c r="P19" s="118"/>
      <c r="Q19" s="118" t="s">
        <v>108</v>
      </c>
      <c r="R19" s="118"/>
      <c r="S19" s="118"/>
      <c r="T19" s="118"/>
      <c r="U19" s="118"/>
      <c r="V19" s="118"/>
      <c r="W19" s="125"/>
      <c r="X19" s="122"/>
      <c r="Y19" s="122"/>
      <c r="Z19" s="122"/>
    </row>
    <row r="20" spans="1:26" ht="23.25" customHeight="1" x14ac:dyDescent="0.2">
      <c r="A20" s="49" t="s">
        <v>9</v>
      </c>
      <c r="B20" s="82">
        <v>4277.74</v>
      </c>
      <c r="C20" s="25">
        <f t="shared" si="0"/>
        <v>2.568000000000211</v>
      </c>
      <c r="D20" s="24">
        <f t="shared" si="1"/>
        <v>2.568000000000211</v>
      </c>
      <c r="E20" s="90"/>
      <c r="F20" s="82">
        <v>492.71800000000002</v>
      </c>
      <c r="G20" s="51">
        <f>F20-F19</f>
        <v>0.11400000000003274</v>
      </c>
      <c r="H20" s="50">
        <f t="shared" si="2"/>
        <v>0.11400000000003274</v>
      </c>
      <c r="I20" s="52">
        <f t="shared" si="3"/>
        <v>4.4392523364495083E-2</v>
      </c>
      <c r="J20" s="104"/>
      <c r="K20" s="83"/>
      <c r="L20" s="53"/>
      <c r="M20" s="116" t="s">
        <v>80</v>
      </c>
      <c r="N20" s="118" t="s">
        <v>99</v>
      </c>
      <c r="O20" s="118"/>
      <c r="P20" s="118"/>
      <c r="Q20" s="118" t="s">
        <v>181</v>
      </c>
      <c r="R20" s="118"/>
      <c r="S20" s="118"/>
      <c r="T20" s="118" t="s">
        <v>94</v>
      </c>
      <c r="U20" s="118"/>
      <c r="V20" s="118"/>
      <c r="W20" s="125"/>
      <c r="X20" s="122"/>
      <c r="Y20" s="122"/>
      <c r="Z20" s="122"/>
    </row>
    <row r="21" spans="1:26" ht="23.25" customHeight="1" x14ac:dyDescent="0.2">
      <c r="A21" s="49" t="s">
        <v>10</v>
      </c>
      <c r="B21" s="82">
        <v>4280.28</v>
      </c>
      <c r="C21" s="25">
        <f t="shared" si="0"/>
        <v>2.5399999999999636</v>
      </c>
      <c r="D21" s="24">
        <f t="shared" si="1"/>
        <v>2.5399999999999636</v>
      </c>
      <c r="E21" s="90"/>
      <c r="F21" s="82">
        <v>492.80599999999998</v>
      </c>
      <c r="G21" s="51">
        <f t="shared" ref="G21:G42" si="4">F21-F20</f>
        <v>8.7999999999965439E-2</v>
      </c>
      <c r="H21" s="50">
        <f t="shared" si="2"/>
        <v>8.7999999999965439E-2</v>
      </c>
      <c r="I21" s="52">
        <f t="shared" si="3"/>
        <v>3.4645669291325475E-2</v>
      </c>
      <c r="J21" s="104"/>
      <c r="K21" s="83"/>
      <c r="L21" s="53"/>
      <c r="M21" s="117"/>
      <c r="N21" s="119"/>
      <c r="O21" s="119"/>
      <c r="P21" s="119"/>
      <c r="Q21" s="119"/>
      <c r="R21" s="119"/>
      <c r="S21" s="119"/>
      <c r="T21" s="119"/>
      <c r="U21" s="119"/>
      <c r="V21" s="119"/>
      <c r="W21" s="127"/>
      <c r="X21" s="130"/>
      <c r="Y21" s="130"/>
      <c r="Z21" s="130"/>
    </row>
    <row r="22" spans="1:26" ht="23.25" customHeight="1" x14ac:dyDescent="0.2">
      <c r="A22" s="49" t="s">
        <v>11</v>
      </c>
      <c r="B22" s="82">
        <v>4282.8559999999998</v>
      </c>
      <c r="C22" s="25">
        <f t="shared" si="0"/>
        <v>2.5760000000000218</v>
      </c>
      <c r="D22" s="24">
        <f t="shared" si="1"/>
        <v>2.5760000000000218</v>
      </c>
      <c r="E22" s="90"/>
      <c r="F22" s="82">
        <v>492.91199999999998</v>
      </c>
      <c r="G22" s="51">
        <f t="shared" si="4"/>
        <v>0.10599999999999454</v>
      </c>
      <c r="H22" s="50">
        <f t="shared" si="2"/>
        <v>0.10599999999999454</v>
      </c>
      <c r="I22" s="52">
        <f t="shared" si="3"/>
        <v>4.1149068322978898E-2</v>
      </c>
      <c r="J22" s="104"/>
      <c r="K22" s="83"/>
      <c r="L22" s="53"/>
      <c r="M22" s="85"/>
      <c r="N22" s="120"/>
      <c r="O22" s="120"/>
      <c r="P22" s="120"/>
      <c r="Q22" s="120"/>
      <c r="R22" s="120"/>
      <c r="S22" s="120"/>
      <c r="T22" s="120"/>
      <c r="U22" s="120"/>
      <c r="V22" s="120"/>
      <c r="W22" s="111"/>
      <c r="X22" s="112"/>
      <c r="Y22" s="112"/>
      <c r="Z22" s="112"/>
    </row>
    <row r="23" spans="1:26" ht="23.25" customHeight="1" x14ac:dyDescent="0.2">
      <c r="A23" s="49" t="s">
        <v>12</v>
      </c>
      <c r="B23" s="82">
        <v>4285.4040000000005</v>
      </c>
      <c r="C23" s="25">
        <f t="shared" si="0"/>
        <v>2.5480000000006839</v>
      </c>
      <c r="D23" s="24">
        <f t="shared" si="1"/>
        <v>2.5480000000006839</v>
      </c>
      <c r="E23" s="90"/>
      <c r="F23" s="82">
        <v>493.00599999999997</v>
      </c>
      <c r="G23" s="51">
        <f t="shared" si="4"/>
        <v>9.3999999999994088E-2</v>
      </c>
      <c r="H23" s="50">
        <f t="shared" si="2"/>
        <v>9.3999999999994088E-2</v>
      </c>
      <c r="I23" s="52">
        <f t="shared" si="3"/>
        <v>3.6891679748810385E-2</v>
      </c>
      <c r="J23" s="104"/>
      <c r="K23" s="83"/>
      <c r="L23" s="53"/>
      <c r="M23" s="85"/>
      <c r="N23" s="120"/>
      <c r="O23" s="120"/>
      <c r="P23" s="120"/>
      <c r="Q23" s="120"/>
      <c r="R23" s="120"/>
      <c r="S23" s="120"/>
      <c r="T23" s="120"/>
      <c r="U23" s="120"/>
      <c r="V23" s="120"/>
      <c r="W23" s="111"/>
      <c r="X23" s="112"/>
      <c r="Y23" s="112"/>
      <c r="Z23" s="112"/>
    </row>
    <row r="24" spans="1:26" ht="23.25" customHeight="1" x14ac:dyDescent="0.2">
      <c r="A24" s="49" t="s">
        <v>13</v>
      </c>
      <c r="B24" s="82">
        <v>4287.942</v>
      </c>
      <c r="C24" s="25">
        <f t="shared" si="0"/>
        <v>2.5379999999995562</v>
      </c>
      <c r="D24" s="24">
        <f t="shared" si="1"/>
        <v>2.5379999999995562</v>
      </c>
      <c r="E24" s="90"/>
      <c r="F24" s="82">
        <v>493.096</v>
      </c>
      <c r="G24" s="51">
        <f t="shared" si="4"/>
        <v>9.0000000000031832E-2</v>
      </c>
      <c r="H24" s="50">
        <f t="shared" si="2"/>
        <v>9.0000000000031832E-2</v>
      </c>
      <c r="I24" s="52">
        <f t="shared" si="3"/>
        <v>3.5460992907820163E-2</v>
      </c>
      <c r="J24" s="104"/>
      <c r="K24" s="83"/>
      <c r="L24" s="53"/>
      <c r="M24" s="85"/>
      <c r="N24" s="120"/>
      <c r="O24" s="120"/>
      <c r="P24" s="120"/>
      <c r="Q24" s="120"/>
      <c r="R24" s="120"/>
      <c r="S24" s="120"/>
      <c r="T24" s="120"/>
      <c r="U24" s="120"/>
      <c r="V24" s="120"/>
      <c r="W24" s="111"/>
      <c r="X24" s="112"/>
      <c r="Y24" s="112"/>
      <c r="Z24" s="112"/>
    </row>
    <row r="25" spans="1:26" ht="23.25" customHeight="1" x14ac:dyDescent="0.2">
      <c r="A25" s="49" t="s">
        <v>14</v>
      </c>
      <c r="B25" s="82">
        <v>4290.5559999999996</v>
      </c>
      <c r="C25" s="25">
        <f t="shared" si="0"/>
        <v>2.613999999999578</v>
      </c>
      <c r="D25" s="24">
        <f t="shared" si="1"/>
        <v>2.613999999999578</v>
      </c>
      <c r="E25" s="90"/>
      <c r="F25" s="82">
        <v>493.214</v>
      </c>
      <c r="G25" s="51">
        <f t="shared" si="4"/>
        <v>0.117999999999995</v>
      </c>
      <c r="H25" s="50">
        <f t="shared" si="2"/>
        <v>0.117999999999995</v>
      </c>
      <c r="I25" s="52">
        <f t="shared" si="3"/>
        <v>4.5141545524106368E-2</v>
      </c>
      <c r="J25" s="104"/>
      <c r="K25" s="83"/>
      <c r="L25" s="53"/>
      <c r="M25" s="85"/>
      <c r="N25" s="120"/>
      <c r="O25" s="120"/>
      <c r="P25" s="120"/>
      <c r="Q25" s="120"/>
      <c r="R25" s="120"/>
      <c r="S25" s="120"/>
      <c r="T25" s="120"/>
      <c r="U25" s="120"/>
      <c r="V25" s="120"/>
      <c r="W25" s="111"/>
      <c r="X25" s="112"/>
      <c r="Y25" s="112"/>
      <c r="Z25" s="112"/>
    </row>
    <row r="26" spans="1:26" ht="23.25" customHeight="1" x14ac:dyDescent="0.2">
      <c r="A26" s="49" t="s">
        <v>15</v>
      </c>
      <c r="B26" s="82">
        <v>4293.2060000000001</v>
      </c>
      <c r="C26" s="25">
        <f t="shared" si="0"/>
        <v>2.6500000000005457</v>
      </c>
      <c r="D26" s="24">
        <f t="shared" si="1"/>
        <v>2.6500000000005457</v>
      </c>
      <c r="E26" s="90"/>
      <c r="F26" s="82">
        <v>493.322</v>
      </c>
      <c r="G26" s="51">
        <f t="shared" si="4"/>
        <v>0.10800000000000409</v>
      </c>
      <c r="H26" s="50">
        <f t="shared" si="2"/>
        <v>0.10800000000000409</v>
      </c>
      <c r="I26" s="52">
        <f t="shared" si="3"/>
        <v>4.0754716981125226E-2</v>
      </c>
      <c r="J26" s="104"/>
      <c r="K26" s="83"/>
      <c r="L26" s="53"/>
      <c r="M26" s="85"/>
      <c r="N26" s="120"/>
      <c r="O26" s="120"/>
      <c r="P26" s="120"/>
      <c r="Q26" s="120"/>
      <c r="R26" s="120"/>
      <c r="S26" s="120"/>
      <c r="T26" s="120"/>
      <c r="U26" s="120"/>
      <c r="V26" s="120"/>
      <c r="W26" s="111"/>
      <c r="X26" s="112"/>
      <c r="Y26" s="112"/>
      <c r="Z26" s="112"/>
    </row>
    <row r="27" spans="1:26" ht="23.25" customHeight="1" x14ac:dyDescent="0.2">
      <c r="A27" s="49" t="s">
        <v>16</v>
      </c>
      <c r="B27" s="82">
        <v>4295.8040000000001</v>
      </c>
      <c r="C27" s="25">
        <f t="shared" si="0"/>
        <v>2.5979999999999563</v>
      </c>
      <c r="D27" s="24">
        <f t="shared" si="1"/>
        <v>2.5979999999999563</v>
      </c>
      <c r="E27" s="90"/>
      <c r="F27" s="82">
        <v>493.44</v>
      </c>
      <c r="G27" s="51">
        <f t="shared" si="4"/>
        <v>0.117999999999995</v>
      </c>
      <c r="H27" s="50">
        <f t="shared" si="2"/>
        <v>0.117999999999995</v>
      </c>
      <c r="I27" s="52">
        <f t="shared" si="3"/>
        <v>4.5419553502693215E-2</v>
      </c>
      <c r="J27" s="104"/>
      <c r="K27" s="83"/>
      <c r="L27" s="53"/>
      <c r="M27" s="85"/>
      <c r="N27" s="120"/>
      <c r="O27" s="120"/>
      <c r="P27" s="120"/>
      <c r="Q27" s="120"/>
      <c r="R27" s="120"/>
      <c r="S27" s="120"/>
      <c r="T27" s="120"/>
      <c r="U27" s="120"/>
      <c r="V27" s="120"/>
      <c r="W27" s="111"/>
      <c r="X27" s="112"/>
      <c r="Y27" s="112"/>
      <c r="Z27" s="112"/>
    </row>
    <row r="28" spans="1:26" ht="23.25" customHeight="1" x14ac:dyDescent="0.2">
      <c r="A28" s="49" t="s">
        <v>17</v>
      </c>
      <c r="B28" s="82">
        <v>4297.8</v>
      </c>
      <c r="C28" s="25">
        <f t="shared" si="0"/>
        <v>1.9960000000000946</v>
      </c>
      <c r="D28" s="24">
        <f t="shared" si="1"/>
        <v>1.9960000000000946</v>
      </c>
      <c r="E28" s="90"/>
      <c r="F28" s="82">
        <v>493.52</v>
      </c>
      <c r="G28" s="51">
        <f t="shared" si="4"/>
        <v>7.9999999999984084E-2</v>
      </c>
      <c r="H28" s="50">
        <f t="shared" si="2"/>
        <v>7.9999999999984084E-2</v>
      </c>
      <c r="I28" s="52">
        <f t="shared" si="3"/>
        <v>4.0080160320631407E-2</v>
      </c>
      <c r="J28" s="104"/>
      <c r="K28" s="83"/>
      <c r="L28" s="53"/>
      <c r="M28" s="85"/>
      <c r="N28" s="120"/>
      <c r="O28" s="120"/>
      <c r="P28" s="120"/>
      <c r="Q28" s="120"/>
      <c r="R28" s="120"/>
      <c r="S28" s="120"/>
      <c r="T28" s="120"/>
      <c r="U28" s="120"/>
      <c r="V28" s="120"/>
      <c r="W28" s="111"/>
      <c r="X28" s="112"/>
      <c r="Y28" s="112"/>
      <c r="Z28" s="112"/>
    </row>
    <row r="29" spans="1:26" ht="23.25" customHeight="1" x14ac:dyDescent="0.2">
      <c r="A29" s="49" t="s">
        <v>18</v>
      </c>
      <c r="B29" s="82">
        <v>4299.098</v>
      </c>
      <c r="C29" s="25">
        <f t="shared" si="0"/>
        <v>1.2979999999997744</v>
      </c>
      <c r="D29" s="24">
        <f t="shared" si="1"/>
        <v>1.2979999999997744</v>
      </c>
      <c r="E29" s="90"/>
      <c r="F29" s="82">
        <v>493.58600000000001</v>
      </c>
      <c r="G29" s="51">
        <f t="shared" si="4"/>
        <v>6.6000000000030923E-2</v>
      </c>
      <c r="H29" s="50">
        <f t="shared" si="2"/>
        <v>6.6000000000030923E-2</v>
      </c>
      <c r="I29" s="52">
        <f t="shared" si="3"/>
        <v>5.0847457627151302E-2</v>
      </c>
      <c r="J29" s="104"/>
      <c r="K29" s="83"/>
      <c r="L29" s="53"/>
      <c r="M29" s="145" t="s">
        <v>95</v>
      </c>
      <c r="N29" s="145"/>
      <c r="O29" s="145"/>
      <c r="P29" s="145"/>
      <c r="Q29" s="145"/>
      <c r="R29" s="145"/>
      <c r="S29" s="145"/>
      <c r="T29" s="145"/>
      <c r="U29" s="145"/>
      <c r="V29" s="145"/>
      <c r="W29" s="145"/>
      <c r="X29" s="145"/>
      <c r="Y29" s="145"/>
      <c r="Z29" s="145"/>
    </row>
    <row r="30" spans="1:26" ht="23.25" customHeight="1" x14ac:dyDescent="0.2">
      <c r="A30" s="49" t="s">
        <v>19</v>
      </c>
      <c r="B30" s="82">
        <v>4300.4719999999998</v>
      </c>
      <c r="C30" s="25">
        <f t="shared" si="0"/>
        <v>1.3739999999997963</v>
      </c>
      <c r="D30" s="24">
        <f t="shared" si="1"/>
        <v>1.3739999999997963</v>
      </c>
      <c r="E30" s="90"/>
      <c r="F30" s="82">
        <v>493.68799999999999</v>
      </c>
      <c r="G30" s="51">
        <f t="shared" si="4"/>
        <v>0.10199999999997544</v>
      </c>
      <c r="H30" s="50">
        <f t="shared" si="2"/>
        <v>0.10199999999997544</v>
      </c>
      <c r="I30" s="52">
        <f t="shared" si="3"/>
        <v>7.4235807860255146E-2</v>
      </c>
      <c r="J30" s="104"/>
      <c r="K30" s="83"/>
      <c r="L30" s="53"/>
      <c r="M30" s="122" t="s">
        <v>97</v>
      </c>
      <c r="N30" s="122"/>
      <c r="O30" s="122"/>
      <c r="P30" s="122"/>
      <c r="Q30" s="122"/>
      <c r="R30" s="122"/>
      <c r="S30" s="122"/>
      <c r="T30" s="122"/>
      <c r="U30" s="122"/>
      <c r="V30" s="122"/>
      <c r="W30" s="122"/>
      <c r="X30" s="122"/>
      <c r="Y30" s="122"/>
      <c r="Z30" s="122"/>
    </row>
    <row r="31" spans="1:26" ht="23.25" customHeight="1" x14ac:dyDescent="0.2">
      <c r="A31" s="49" t="s">
        <v>20</v>
      </c>
      <c r="B31" s="82">
        <v>4301.7759999999998</v>
      </c>
      <c r="C31" s="25">
        <f t="shared" si="0"/>
        <v>1.3040000000000873</v>
      </c>
      <c r="D31" s="24">
        <f t="shared" si="1"/>
        <v>1.3040000000000873</v>
      </c>
      <c r="E31" s="90"/>
      <c r="F31" s="82">
        <v>493.774</v>
      </c>
      <c r="G31" s="51">
        <f t="shared" si="4"/>
        <v>8.6000000000012733E-2</v>
      </c>
      <c r="H31" s="50">
        <f t="shared" si="2"/>
        <v>8.6000000000012733E-2</v>
      </c>
      <c r="I31" s="52">
        <f t="shared" si="3"/>
        <v>6.5950920245404124E-2</v>
      </c>
      <c r="J31" s="104"/>
      <c r="K31" s="83"/>
      <c r="L31" s="53"/>
      <c r="M31" s="123" t="s">
        <v>79</v>
      </c>
      <c r="N31" s="121" t="s">
        <v>98</v>
      </c>
      <c r="O31" s="121"/>
      <c r="P31" s="121" t="s">
        <v>100</v>
      </c>
      <c r="Q31" s="121"/>
      <c r="R31" s="121" t="s">
        <v>93</v>
      </c>
      <c r="S31" s="121"/>
      <c r="T31" s="121" t="s">
        <v>103</v>
      </c>
      <c r="U31" s="121"/>
      <c r="V31" s="121" t="s">
        <v>179</v>
      </c>
      <c r="W31" s="121"/>
      <c r="X31" s="121"/>
      <c r="Y31" s="121" t="s">
        <v>91</v>
      </c>
      <c r="Z31" s="124"/>
    </row>
    <row r="32" spans="1:26" ht="23.25" customHeight="1" x14ac:dyDescent="0.2">
      <c r="A32" s="49" t="s">
        <v>21</v>
      </c>
      <c r="B32" s="82">
        <v>4303.1000000000004</v>
      </c>
      <c r="C32" s="25">
        <f t="shared" si="0"/>
        <v>1.3240000000005239</v>
      </c>
      <c r="D32" s="24">
        <f t="shared" si="1"/>
        <v>1.3240000000005239</v>
      </c>
      <c r="E32" s="90"/>
      <c r="F32" s="82">
        <v>493.87</v>
      </c>
      <c r="G32" s="51">
        <f t="shared" si="4"/>
        <v>9.6000000000003638E-2</v>
      </c>
      <c r="H32" s="50">
        <f t="shared" si="2"/>
        <v>9.6000000000003638E-2</v>
      </c>
      <c r="I32" s="52">
        <f t="shared" si="3"/>
        <v>7.250755287006469E-2</v>
      </c>
      <c r="J32" s="104"/>
      <c r="K32" s="83"/>
      <c r="L32" s="53"/>
      <c r="M32" s="116"/>
      <c r="N32" s="118"/>
      <c r="O32" s="118"/>
      <c r="P32" s="118" t="s">
        <v>83</v>
      </c>
      <c r="Q32" s="118"/>
      <c r="R32" s="118" t="s">
        <v>102</v>
      </c>
      <c r="S32" s="118"/>
      <c r="T32" s="118" t="s">
        <v>104</v>
      </c>
      <c r="U32" s="118"/>
      <c r="V32" s="118" t="s">
        <v>105</v>
      </c>
      <c r="W32" s="118"/>
      <c r="X32" s="118"/>
      <c r="Y32" s="118"/>
      <c r="Z32" s="125"/>
    </row>
    <row r="33" spans="1:26" ht="23.25" customHeight="1" x14ac:dyDescent="0.2">
      <c r="A33" s="49" t="s">
        <v>22</v>
      </c>
      <c r="B33" s="82">
        <v>4304.3999999999996</v>
      </c>
      <c r="C33" s="25">
        <f t="shared" si="0"/>
        <v>1.2999999999992724</v>
      </c>
      <c r="D33" s="24">
        <f t="shared" si="1"/>
        <v>1.2999999999992724</v>
      </c>
      <c r="E33" s="90"/>
      <c r="F33" s="82">
        <v>493.95600000000002</v>
      </c>
      <c r="G33" s="51">
        <f t="shared" si="4"/>
        <v>8.6000000000012733E-2</v>
      </c>
      <c r="H33" s="50">
        <f t="shared" si="2"/>
        <v>8.6000000000012733E-2</v>
      </c>
      <c r="I33" s="52">
        <f t="shared" si="3"/>
        <v>6.615384615389297E-2</v>
      </c>
      <c r="J33" s="104"/>
      <c r="K33" s="83"/>
      <c r="L33" s="53"/>
      <c r="M33" s="116" t="s">
        <v>80</v>
      </c>
      <c r="N33" s="118" t="s">
        <v>99</v>
      </c>
      <c r="O33" s="118"/>
      <c r="P33" s="118" t="s">
        <v>101</v>
      </c>
      <c r="Q33" s="118"/>
      <c r="R33" s="118" t="s">
        <v>69</v>
      </c>
      <c r="S33" s="118"/>
      <c r="T33" s="118" t="s">
        <v>69</v>
      </c>
      <c r="U33" s="118"/>
      <c r="V33" s="118" t="s">
        <v>106</v>
      </c>
      <c r="W33" s="118"/>
      <c r="X33" s="118"/>
      <c r="Y33" s="118"/>
      <c r="Z33" s="125"/>
    </row>
    <row r="34" spans="1:26" ht="23.25" customHeight="1" x14ac:dyDescent="0.2">
      <c r="A34" s="49" t="s">
        <v>23</v>
      </c>
      <c r="B34" s="82">
        <v>4306.8519999999999</v>
      </c>
      <c r="C34" s="25">
        <f t="shared" si="0"/>
        <v>2.4520000000002256</v>
      </c>
      <c r="D34" s="24">
        <f t="shared" si="1"/>
        <v>2.4520000000002256</v>
      </c>
      <c r="E34" s="90"/>
      <c r="F34" s="82">
        <v>494.04599999999999</v>
      </c>
      <c r="G34" s="51">
        <f t="shared" si="4"/>
        <v>8.9999999999974989E-2</v>
      </c>
      <c r="H34" s="50">
        <f t="shared" si="2"/>
        <v>8.9999999999974989E-2</v>
      </c>
      <c r="I34" s="52">
        <f t="shared" si="3"/>
        <v>3.6704730831960325E-2</v>
      </c>
      <c r="J34" s="104"/>
      <c r="K34" s="83"/>
      <c r="L34" s="53"/>
      <c r="M34" s="117"/>
      <c r="N34" s="119"/>
      <c r="O34" s="119"/>
      <c r="P34" s="119"/>
      <c r="Q34" s="119"/>
      <c r="R34" s="127"/>
      <c r="S34" s="117"/>
      <c r="T34" s="127"/>
      <c r="U34" s="117"/>
      <c r="V34" s="127"/>
      <c r="W34" s="130"/>
      <c r="X34" s="117"/>
      <c r="Y34" s="119"/>
      <c r="Z34" s="127"/>
    </row>
    <row r="35" spans="1:26" ht="23.25" customHeight="1" x14ac:dyDescent="0.2">
      <c r="A35" s="49" t="s">
        <v>24</v>
      </c>
      <c r="B35" s="82">
        <v>4309.4080000000004</v>
      </c>
      <c r="C35" s="25">
        <f t="shared" si="0"/>
        <v>2.5560000000004948</v>
      </c>
      <c r="D35" s="24">
        <f t="shared" si="1"/>
        <v>2.5560000000004948</v>
      </c>
      <c r="E35" s="90"/>
      <c r="F35" s="82">
        <v>494.14</v>
      </c>
      <c r="G35" s="51">
        <f t="shared" si="4"/>
        <v>9.3999999999994088E-2</v>
      </c>
      <c r="H35" s="50">
        <f t="shared" si="2"/>
        <v>9.3999999999994088E-2</v>
      </c>
      <c r="I35" s="52">
        <f t="shared" si="3"/>
        <v>3.6776212832541427E-2</v>
      </c>
      <c r="J35" s="104"/>
      <c r="K35" s="83"/>
      <c r="L35" s="53"/>
      <c r="M35" s="85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11"/>
    </row>
    <row r="36" spans="1:26" ht="23.25" customHeight="1" x14ac:dyDescent="0.2">
      <c r="A36" s="49" t="s">
        <v>25</v>
      </c>
      <c r="B36" s="82">
        <v>4312.1319999999996</v>
      </c>
      <c r="C36" s="25">
        <f t="shared" si="0"/>
        <v>2.7239999999992506</v>
      </c>
      <c r="D36" s="24">
        <f t="shared" si="1"/>
        <v>2.7239999999992506</v>
      </c>
      <c r="E36" s="90"/>
      <c r="F36" s="82">
        <v>494.24200000000002</v>
      </c>
      <c r="G36" s="51">
        <f t="shared" si="4"/>
        <v>0.10200000000003229</v>
      </c>
      <c r="H36" s="50">
        <f t="shared" si="2"/>
        <v>0.10200000000003229</v>
      </c>
      <c r="I36" s="52">
        <f t="shared" si="3"/>
        <v>3.7444933920727001E-2</v>
      </c>
      <c r="J36" s="104"/>
      <c r="K36" s="83"/>
      <c r="L36" s="53"/>
      <c r="M36" s="85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11"/>
    </row>
    <row r="37" spans="1:26" ht="23.25" customHeight="1" x14ac:dyDescent="0.2">
      <c r="A37" s="49" t="s">
        <v>26</v>
      </c>
      <c r="B37" s="82">
        <v>4314.8559999999998</v>
      </c>
      <c r="C37" s="25">
        <f t="shared" si="0"/>
        <v>2.7240000000001601</v>
      </c>
      <c r="D37" s="24">
        <f t="shared" si="1"/>
        <v>2.7240000000001601</v>
      </c>
      <c r="E37" s="90"/>
      <c r="F37" s="82">
        <v>494.37599999999998</v>
      </c>
      <c r="G37" s="51">
        <f t="shared" si="4"/>
        <v>0.13399999999995771</v>
      </c>
      <c r="H37" s="50">
        <f t="shared" si="2"/>
        <v>0.13399999999995771</v>
      </c>
      <c r="I37" s="52">
        <f t="shared" si="3"/>
        <v>4.9192364170319323E-2</v>
      </c>
      <c r="J37" s="104"/>
      <c r="K37" s="83"/>
      <c r="L37" s="53"/>
      <c r="M37" s="85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11"/>
    </row>
    <row r="38" spans="1:26" ht="23.25" customHeight="1" x14ac:dyDescent="0.2">
      <c r="A38" s="49" t="s">
        <v>27</v>
      </c>
      <c r="B38" s="82">
        <v>4317.5039999999999</v>
      </c>
      <c r="C38" s="25">
        <f t="shared" si="0"/>
        <v>2.6480000000001382</v>
      </c>
      <c r="D38" s="24">
        <f t="shared" si="1"/>
        <v>2.6480000000001382</v>
      </c>
      <c r="E38" s="90"/>
      <c r="F38" s="82">
        <v>494.50599999999997</v>
      </c>
      <c r="G38" s="51">
        <f t="shared" si="4"/>
        <v>0.12999999999999545</v>
      </c>
      <c r="H38" s="50">
        <f t="shared" si="2"/>
        <v>0.12999999999999545</v>
      </c>
      <c r="I38" s="52">
        <f t="shared" si="3"/>
        <v>4.9093655589119586E-2</v>
      </c>
      <c r="J38" s="104"/>
      <c r="K38" s="83"/>
      <c r="L38" s="53"/>
      <c r="M38" s="85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11"/>
    </row>
    <row r="39" spans="1:26" ht="23.25" customHeight="1" x14ac:dyDescent="0.2">
      <c r="A39" s="49" t="s">
        <v>28</v>
      </c>
      <c r="B39" s="82">
        <v>4320.0619999999999</v>
      </c>
      <c r="C39" s="25">
        <f t="shared" si="0"/>
        <v>2.5579999999999927</v>
      </c>
      <c r="D39" s="24">
        <f t="shared" si="1"/>
        <v>2.5579999999999927</v>
      </c>
      <c r="E39" s="90"/>
      <c r="F39" s="82">
        <v>494.61200000000002</v>
      </c>
      <c r="G39" s="51">
        <f t="shared" si="4"/>
        <v>0.10600000000005139</v>
      </c>
      <c r="H39" s="50">
        <f t="shared" si="2"/>
        <v>0.10600000000005139</v>
      </c>
      <c r="I39" s="52">
        <f t="shared" si="3"/>
        <v>4.1438623924961566E-2</v>
      </c>
      <c r="J39" s="104"/>
      <c r="K39" s="83"/>
      <c r="L39" s="53"/>
      <c r="M39" s="85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11"/>
    </row>
    <row r="40" spans="1:26" ht="23.25" customHeight="1" x14ac:dyDescent="0.2">
      <c r="A40" s="49" t="s">
        <v>29</v>
      </c>
      <c r="B40" s="82">
        <v>4322.5959999999995</v>
      </c>
      <c r="C40" s="25">
        <f t="shared" si="0"/>
        <v>2.5339999999996508</v>
      </c>
      <c r="D40" s="24">
        <f t="shared" si="1"/>
        <v>2.5339999999996508</v>
      </c>
      <c r="E40" s="90"/>
      <c r="F40" s="82">
        <v>494.702</v>
      </c>
      <c r="G40" s="51">
        <f t="shared" si="4"/>
        <v>8.9999999999974989E-2</v>
      </c>
      <c r="H40" s="50">
        <f t="shared" si="2"/>
        <v>8.9999999999974989E-2</v>
      </c>
      <c r="I40" s="52">
        <f t="shared" si="3"/>
        <v>3.55169692186217E-2</v>
      </c>
      <c r="J40" s="104"/>
      <c r="K40" s="83"/>
      <c r="L40" s="53"/>
      <c r="M40" s="122" t="s">
        <v>109</v>
      </c>
      <c r="N40" s="122"/>
      <c r="O40" s="122"/>
      <c r="P40" s="122"/>
      <c r="Q40" s="122"/>
      <c r="R40" s="122"/>
      <c r="S40" s="122"/>
      <c r="T40" s="122"/>
      <c r="U40" s="122"/>
      <c r="V40" s="122"/>
      <c r="W40" s="122"/>
      <c r="X40" s="122"/>
      <c r="Y40" s="122"/>
      <c r="Z40" s="122"/>
    </row>
    <row r="41" spans="1:26" ht="23.25" customHeight="1" x14ac:dyDescent="0.2">
      <c r="A41" s="49" t="s">
        <v>30</v>
      </c>
      <c r="B41" s="82">
        <v>4325.16</v>
      </c>
      <c r="C41" s="25">
        <f t="shared" si="0"/>
        <v>2.5640000000003056</v>
      </c>
      <c r="D41" s="24">
        <f t="shared" si="1"/>
        <v>2.5640000000003056</v>
      </c>
      <c r="E41" s="90"/>
      <c r="F41" s="82">
        <v>494.81599999999997</v>
      </c>
      <c r="G41" s="51">
        <f t="shared" si="4"/>
        <v>0.1139999999999759</v>
      </c>
      <c r="H41" s="50">
        <f t="shared" si="2"/>
        <v>0.1139999999999759</v>
      </c>
      <c r="I41" s="52">
        <f t="shared" si="3"/>
        <v>4.4461778471124147E-2</v>
      </c>
      <c r="J41" s="104"/>
      <c r="K41" s="83"/>
      <c r="L41" s="53"/>
      <c r="M41" s="123" t="s">
        <v>79</v>
      </c>
      <c r="N41" s="121" t="s">
        <v>98</v>
      </c>
      <c r="O41" s="121"/>
      <c r="P41" s="121" t="s">
        <v>93</v>
      </c>
      <c r="Q41" s="121"/>
      <c r="R41" s="121"/>
      <c r="S41" s="121" t="s">
        <v>111</v>
      </c>
      <c r="T41" s="121" t="s">
        <v>81</v>
      </c>
      <c r="U41" s="121"/>
      <c r="V41" s="121"/>
      <c r="W41" s="121"/>
      <c r="X41" s="121" t="s">
        <v>93</v>
      </c>
      <c r="Y41" s="121"/>
      <c r="Z41" s="124"/>
    </row>
    <row r="42" spans="1:26" ht="23.25" customHeight="1" x14ac:dyDescent="0.2">
      <c r="A42" s="49" t="s">
        <v>31</v>
      </c>
      <c r="B42" s="82">
        <v>4327.7340000000004</v>
      </c>
      <c r="C42" s="25">
        <f t="shared" si="0"/>
        <v>2.5740000000005239</v>
      </c>
      <c r="D42" s="24">
        <f t="shared" si="1"/>
        <v>2.5740000000005239</v>
      </c>
      <c r="E42" s="90"/>
      <c r="F42" s="82">
        <v>494.92200000000003</v>
      </c>
      <c r="G42" s="51">
        <f t="shared" si="4"/>
        <v>0.10600000000005139</v>
      </c>
      <c r="H42" s="50">
        <f t="shared" si="2"/>
        <v>0.10600000000005139</v>
      </c>
      <c r="I42" s="52">
        <f t="shared" si="3"/>
        <v>4.1181041181052765E-2</v>
      </c>
      <c r="J42" s="104"/>
      <c r="K42" s="83"/>
      <c r="L42" s="53"/>
      <c r="M42" s="116"/>
      <c r="N42" s="118"/>
      <c r="O42" s="118"/>
      <c r="P42" s="118"/>
      <c r="Q42" s="118"/>
      <c r="R42" s="118"/>
      <c r="S42" s="118"/>
      <c r="T42" s="118"/>
      <c r="U42" s="118"/>
      <c r="V42" s="118"/>
      <c r="W42" s="118"/>
      <c r="X42" s="118"/>
      <c r="Y42" s="118"/>
      <c r="Z42" s="125"/>
    </row>
    <row r="43" spans="1:26" ht="22.5" customHeight="1" x14ac:dyDescent="0.2">
      <c r="A43" s="184" t="s">
        <v>70</v>
      </c>
      <c r="B43" s="184"/>
      <c r="C43" s="184"/>
      <c r="D43" s="50">
        <f>SUM(D18:D42)</f>
        <v>55.114000000000487</v>
      </c>
      <c r="E43" s="104"/>
      <c r="F43" s="54"/>
      <c r="G43" s="104"/>
      <c r="H43" s="50">
        <f>SUM(H18:H42)</f>
        <v>2.4220000000000255</v>
      </c>
      <c r="I43" s="52">
        <f>IF(AND(H43=0,D43=0),0,H43/D43)</f>
        <v>4.3945277062089561E-2</v>
      </c>
      <c r="J43" s="104"/>
      <c r="K43" s="104"/>
      <c r="L43" s="53"/>
      <c r="M43" s="116" t="s">
        <v>80</v>
      </c>
      <c r="N43" s="118" t="s">
        <v>99</v>
      </c>
      <c r="O43" s="118"/>
      <c r="P43" s="118" t="s">
        <v>110</v>
      </c>
      <c r="Q43" s="118"/>
      <c r="R43" s="118"/>
      <c r="S43" s="118"/>
      <c r="T43" s="118"/>
      <c r="U43" s="118"/>
      <c r="V43" s="118"/>
      <c r="W43" s="118"/>
      <c r="X43" s="118" t="s">
        <v>110</v>
      </c>
      <c r="Y43" s="118"/>
      <c r="Z43" s="125"/>
    </row>
    <row r="44" spans="1:26" ht="22.5" customHeight="1" x14ac:dyDescent="0.2">
      <c r="A44" s="183" t="s">
        <v>71</v>
      </c>
      <c r="B44" s="183"/>
      <c r="C44" s="183"/>
      <c r="D44" s="104"/>
      <c r="E44" s="104"/>
      <c r="F44" s="54"/>
      <c r="G44" s="104"/>
      <c r="H44" s="104"/>
      <c r="I44" s="104"/>
      <c r="J44" s="104"/>
      <c r="K44" s="104"/>
      <c r="L44" s="53"/>
      <c r="M44" s="117"/>
      <c r="N44" s="119"/>
      <c r="O44" s="119"/>
      <c r="P44" s="119"/>
      <c r="Q44" s="119"/>
      <c r="R44" s="119"/>
      <c r="S44" s="119"/>
      <c r="T44" s="119"/>
      <c r="U44" s="119"/>
      <c r="V44" s="119"/>
      <c r="W44" s="119"/>
      <c r="X44" s="119"/>
      <c r="Y44" s="119"/>
      <c r="Z44" s="127"/>
    </row>
    <row r="45" spans="1:26" ht="22.5" customHeight="1" x14ac:dyDescent="0.2">
      <c r="A45" s="94"/>
      <c r="B45" s="103"/>
      <c r="C45" s="103"/>
      <c r="D45" s="103"/>
      <c r="E45" s="103"/>
      <c r="F45" s="103"/>
      <c r="G45" s="103"/>
      <c r="H45" s="103"/>
      <c r="I45" s="103"/>
      <c r="J45" s="57"/>
      <c r="K45" s="57"/>
      <c r="L45" s="57"/>
      <c r="M45" s="85"/>
      <c r="N45" s="111"/>
      <c r="O45" s="113"/>
      <c r="P45" s="111"/>
      <c r="Q45" s="112"/>
      <c r="R45" s="113"/>
      <c r="S45" s="87"/>
      <c r="T45" s="111"/>
      <c r="U45" s="112"/>
      <c r="V45" s="112"/>
      <c r="W45" s="113"/>
      <c r="X45" s="111"/>
      <c r="Y45" s="112"/>
      <c r="Z45" s="112"/>
    </row>
    <row r="46" spans="1:26" ht="22.5" customHeight="1" x14ac:dyDescent="0.2">
      <c r="A46" s="182" t="s">
        <v>72</v>
      </c>
      <c r="B46" s="182"/>
      <c r="C46" s="182"/>
      <c r="D46" s="182"/>
      <c r="E46" s="182"/>
      <c r="F46" s="182"/>
      <c r="G46" s="204" t="s">
        <v>73</v>
      </c>
      <c r="H46" s="204"/>
      <c r="I46" s="204"/>
      <c r="J46" s="204"/>
      <c r="K46" s="204"/>
      <c r="L46" s="204"/>
      <c r="M46" s="85"/>
      <c r="N46" s="111"/>
      <c r="O46" s="113"/>
      <c r="P46" s="111"/>
      <c r="Q46" s="112"/>
      <c r="R46" s="113"/>
      <c r="S46" s="87"/>
      <c r="T46" s="111"/>
      <c r="U46" s="112"/>
      <c r="V46" s="112"/>
      <c r="W46" s="113"/>
      <c r="X46" s="111"/>
      <c r="Y46" s="112"/>
      <c r="Z46" s="112"/>
    </row>
    <row r="47" spans="1:26" ht="22.5" customHeight="1" x14ac:dyDescent="0.2">
      <c r="A47" s="144" t="s">
        <v>365</v>
      </c>
      <c r="B47" s="144"/>
      <c r="C47" s="144"/>
      <c r="D47" s="135" t="s">
        <v>74</v>
      </c>
      <c r="E47" s="135"/>
      <c r="F47" s="135"/>
      <c r="G47" s="103"/>
      <c r="H47" s="103"/>
      <c r="I47" s="103"/>
      <c r="J47" s="103"/>
      <c r="K47" s="103"/>
      <c r="L47" s="103"/>
      <c r="M47" s="85"/>
      <c r="N47" s="111"/>
      <c r="O47" s="113"/>
      <c r="P47" s="111"/>
      <c r="Q47" s="112"/>
      <c r="R47" s="113"/>
      <c r="S47" s="87"/>
      <c r="T47" s="111"/>
      <c r="U47" s="112"/>
      <c r="V47" s="112"/>
      <c r="W47" s="113"/>
      <c r="X47" s="111"/>
      <c r="Y47" s="112"/>
      <c r="Z47" s="112"/>
    </row>
    <row r="48" spans="1:26" ht="22.5" customHeight="1" x14ac:dyDescent="0.2">
      <c r="A48" s="175" t="s">
        <v>75</v>
      </c>
      <c r="B48" s="175"/>
      <c r="C48" s="175"/>
      <c r="D48" s="174" t="s">
        <v>76</v>
      </c>
      <c r="E48" s="174"/>
      <c r="F48" s="174"/>
      <c r="G48" s="94"/>
      <c r="H48" s="94"/>
      <c r="I48" s="94"/>
      <c r="J48" s="94"/>
      <c r="K48" s="94"/>
      <c r="L48" s="94"/>
    </row>
    <row r="49" spans="1:23" ht="22.5" customHeight="1" x14ac:dyDescent="0.2">
      <c r="A49" s="144" t="s">
        <v>366</v>
      </c>
      <c r="B49" s="144"/>
      <c r="C49" s="144"/>
      <c r="D49" s="135" t="s">
        <v>74</v>
      </c>
      <c r="E49" s="135"/>
      <c r="F49" s="135"/>
      <c r="G49" s="94"/>
      <c r="H49" s="182" t="s">
        <v>183</v>
      </c>
      <c r="I49" s="182"/>
      <c r="J49" s="182"/>
      <c r="K49" s="182" t="s">
        <v>77</v>
      </c>
      <c r="L49" s="182"/>
      <c r="N49" s="177" t="s">
        <v>150</v>
      </c>
      <c r="O49" s="177"/>
      <c r="P49" s="177"/>
      <c r="Q49" s="176" t="s">
        <v>364</v>
      </c>
      <c r="R49" s="176"/>
      <c r="S49" s="176"/>
      <c r="T49" s="176"/>
      <c r="U49" s="176"/>
      <c r="V49" s="176"/>
      <c r="W49" s="89"/>
    </row>
    <row r="50" spans="1:23" ht="22.5" customHeight="1" x14ac:dyDescent="0.2">
      <c r="A50" s="175" t="s">
        <v>75</v>
      </c>
      <c r="B50" s="175"/>
      <c r="C50" s="175"/>
      <c r="D50" s="174" t="s">
        <v>76</v>
      </c>
      <c r="E50" s="174"/>
      <c r="F50" s="174"/>
      <c r="G50" s="58"/>
      <c r="H50" s="175" t="s">
        <v>75</v>
      </c>
      <c r="I50" s="175"/>
      <c r="J50" s="175"/>
      <c r="K50" s="175" t="s">
        <v>76</v>
      </c>
      <c r="L50" s="175"/>
      <c r="S50" s="173" t="s">
        <v>76</v>
      </c>
      <c r="T50" s="173"/>
    </row>
    <row r="51" spans="1:23" ht="20.100000000000001" customHeight="1" x14ac:dyDescent="0.2">
      <c r="A51" s="144" t="s">
        <v>367</v>
      </c>
      <c r="B51" s="144"/>
      <c r="C51" s="144"/>
      <c r="D51" s="135" t="s">
        <v>74</v>
      </c>
      <c r="E51" s="135"/>
      <c r="F51" s="135"/>
      <c r="G51" s="94"/>
      <c r="H51" s="94"/>
      <c r="I51" s="94"/>
      <c r="J51" s="94"/>
      <c r="K51" s="94"/>
      <c r="L51" s="94"/>
    </row>
    <row r="52" spans="1:23" ht="20.100000000000001" customHeight="1" x14ac:dyDescent="0.2">
      <c r="A52" s="174" t="s">
        <v>75</v>
      </c>
      <c r="B52" s="174"/>
      <c r="C52" s="174"/>
      <c r="D52" s="173" t="s">
        <v>76</v>
      </c>
      <c r="E52" s="173"/>
      <c r="F52" s="173"/>
      <c r="G52" s="63"/>
      <c r="H52" s="63"/>
      <c r="I52" s="105"/>
      <c r="J52" s="105"/>
      <c r="K52" s="105"/>
      <c r="L52" s="105"/>
    </row>
  </sheetData>
  <sheetProtection sheet="1" objects="1" scenarios="1"/>
  <mergeCells count="258">
    <mergeCell ref="A1:F1"/>
    <mergeCell ref="G1:H2"/>
    <mergeCell ref="I1:L2"/>
    <mergeCell ref="M1:Z1"/>
    <mergeCell ref="A2:F2"/>
    <mergeCell ref="M2:Z2"/>
    <mergeCell ref="X3:Z6"/>
    <mergeCell ref="A4:F4"/>
    <mergeCell ref="R4:S4"/>
    <mergeCell ref="T4:U4"/>
    <mergeCell ref="V4:W4"/>
    <mergeCell ref="A5:F5"/>
    <mergeCell ref="G5:H6"/>
    <mergeCell ref="A3:F3"/>
    <mergeCell ref="G3:H4"/>
    <mergeCell ref="I3:L4"/>
    <mergeCell ref="M3:M4"/>
    <mergeCell ref="N3:O6"/>
    <mergeCell ref="P3:Q4"/>
    <mergeCell ref="I5:L6"/>
    <mergeCell ref="M5:M6"/>
    <mergeCell ref="P5:Q6"/>
    <mergeCell ref="R5:S5"/>
    <mergeCell ref="T5:U5"/>
    <mergeCell ref="V5:W5"/>
    <mergeCell ref="A6:F6"/>
    <mergeCell ref="R6:S6"/>
    <mergeCell ref="T6:U6"/>
    <mergeCell ref="V6:W6"/>
    <mergeCell ref="R3:S3"/>
    <mergeCell ref="T3:U3"/>
    <mergeCell ref="V3:W3"/>
    <mergeCell ref="X7:Z7"/>
    <mergeCell ref="A8:L8"/>
    <mergeCell ref="N8:O8"/>
    <mergeCell ref="P8:Q8"/>
    <mergeCell ref="R8:S8"/>
    <mergeCell ref="T8:U8"/>
    <mergeCell ref="V8:W8"/>
    <mergeCell ref="X8:Z8"/>
    <mergeCell ref="A7:L7"/>
    <mergeCell ref="N7:O7"/>
    <mergeCell ref="P7:Q7"/>
    <mergeCell ref="R7:S7"/>
    <mergeCell ref="T7:U7"/>
    <mergeCell ref="V7:W7"/>
    <mergeCell ref="X9:Z9"/>
    <mergeCell ref="A10:D10"/>
    <mergeCell ref="E10:G10"/>
    <mergeCell ref="H10:L10"/>
    <mergeCell ref="N10:O10"/>
    <mergeCell ref="P10:Q10"/>
    <mergeCell ref="R10:S10"/>
    <mergeCell ref="T10:U10"/>
    <mergeCell ref="V10:W10"/>
    <mergeCell ref="X10:Z10"/>
    <mergeCell ref="A9:L9"/>
    <mergeCell ref="N9:O9"/>
    <mergeCell ref="P9:Q9"/>
    <mergeCell ref="R9:S9"/>
    <mergeCell ref="T9:U9"/>
    <mergeCell ref="V9:W9"/>
    <mergeCell ref="T11:U11"/>
    <mergeCell ref="V11:W11"/>
    <mergeCell ref="X11:Z11"/>
    <mergeCell ref="A12:L12"/>
    <mergeCell ref="N12:O12"/>
    <mergeCell ref="P12:Q12"/>
    <mergeCell ref="R12:S12"/>
    <mergeCell ref="T12:U12"/>
    <mergeCell ref="V12:W12"/>
    <mergeCell ref="X12:Z12"/>
    <mergeCell ref="A11:D11"/>
    <mergeCell ref="E11:H11"/>
    <mergeCell ref="I11:L11"/>
    <mergeCell ref="N11:O11"/>
    <mergeCell ref="P11:Q11"/>
    <mergeCell ref="R11:S11"/>
    <mergeCell ref="N13:O13"/>
    <mergeCell ref="P13:Q13"/>
    <mergeCell ref="R13:S13"/>
    <mergeCell ref="T13:U13"/>
    <mergeCell ref="V13:W13"/>
    <mergeCell ref="X13:Z13"/>
    <mergeCell ref="A13:A17"/>
    <mergeCell ref="B13:C13"/>
    <mergeCell ref="D13:E13"/>
    <mergeCell ref="F13:G13"/>
    <mergeCell ref="I13:I17"/>
    <mergeCell ref="J13:K13"/>
    <mergeCell ref="B14:C14"/>
    <mergeCell ref="D14:E14"/>
    <mergeCell ref="F14:G14"/>
    <mergeCell ref="J14:K14"/>
    <mergeCell ref="E16:E17"/>
    <mergeCell ref="J16:J17"/>
    <mergeCell ref="K16:K17"/>
    <mergeCell ref="B15:C15"/>
    <mergeCell ref="D15:E15"/>
    <mergeCell ref="F15:G15"/>
    <mergeCell ref="J15:K15"/>
    <mergeCell ref="V16:W16"/>
    <mergeCell ref="W22:Z22"/>
    <mergeCell ref="N15:O15"/>
    <mergeCell ref="P15:Q15"/>
    <mergeCell ref="N14:O14"/>
    <mergeCell ref="P14:Q14"/>
    <mergeCell ref="R14:S14"/>
    <mergeCell ref="R15:S15"/>
    <mergeCell ref="T15:U15"/>
    <mergeCell ref="V15:W15"/>
    <mergeCell ref="X15:Z15"/>
    <mergeCell ref="T14:U14"/>
    <mergeCell ref="V14:W14"/>
    <mergeCell ref="X14:Z14"/>
    <mergeCell ref="N23:P23"/>
    <mergeCell ref="Q23:S23"/>
    <mergeCell ref="T23:V23"/>
    <mergeCell ref="W23:Z23"/>
    <mergeCell ref="X16:Z16"/>
    <mergeCell ref="M17:Z17"/>
    <mergeCell ref="M18:M19"/>
    <mergeCell ref="N18:P19"/>
    <mergeCell ref="Q18:S18"/>
    <mergeCell ref="T18:V19"/>
    <mergeCell ref="W18:Z21"/>
    <mergeCell ref="Q19:S19"/>
    <mergeCell ref="M20:M21"/>
    <mergeCell ref="N20:P21"/>
    <mergeCell ref="Q20:S20"/>
    <mergeCell ref="T20:V21"/>
    <mergeCell ref="Q21:S21"/>
    <mergeCell ref="N16:O16"/>
    <mergeCell ref="P16:Q16"/>
    <mergeCell ref="R16:S16"/>
    <mergeCell ref="N22:P22"/>
    <mergeCell ref="Q22:S22"/>
    <mergeCell ref="T22:V22"/>
    <mergeCell ref="T16:U16"/>
    <mergeCell ref="N24:P24"/>
    <mergeCell ref="Q24:S24"/>
    <mergeCell ref="T24:V24"/>
    <mergeCell ref="W24:Z24"/>
    <mergeCell ref="N27:P27"/>
    <mergeCell ref="Q27:S27"/>
    <mergeCell ref="T27:V27"/>
    <mergeCell ref="W27:Z27"/>
    <mergeCell ref="N28:P28"/>
    <mergeCell ref="Q28:S28"/>
    <mergeCell ref="T28:V28"/>
    <mergeCell ref="W28:Z28"/>
    <mergeCell ref="N25:P25"/>
    <mergeCell ref="Q25:S25"/>
    <mergeCell ref="T25:V25"/>
    <mergeCell ref="W25:Z25"/>
    <mergeCell ref="N26:P26"/>
    <mergeCell ref="Q26:S26"/>
    <mergeCell ref="T26:V26"/>
    <mergeCell ref="W26:Z26"/>
    <mergeCell ref="M33:M34"/>
    <mergeCell ref="N33:O34"/>
    <mergeCell ref="P33:Q33"/>
    <mergeCell ref="R33:S33"/>
    <mergeCell ref="T33:U33"/>
    <mergeCell ref="V33:X33"/>
    <mergeCell ref="P34:Q34"/>
    <mergeCell ref="M29:Z29"/>
    <mergeCell ref="M30:Z30"/>
    <mergeCell ref="M31:M32"/>
    <mergeCell ref="N31:O32"/>
    <mergeCell ref="P31:Q31"/>
    <mergeCell ref="R31:S31"/>
    <mergeCell ref="T31:U31"/>
    <mergeCell ref="V31:X31"/>
    <mergeCell ref="Y31:Z34"/>
    <mergeCell ref="P32:Q32"/>
    <mergeCell ref="R34:S34"/>
    <mergeCell ref="T34:U34"/>
    <mergeCell ref="V34:X34"/>
    <mergeCell ref="V35:X35"/>
    <mergeCell ref="R32:S32"/>
    <mergeCell ref="T32:U32"/>
    <mergeCell ref="V32:X32"/>
    <mergeCell ref="N37:O37"/>
    <mergeCell ref="P37:Q37"/>
    <mergeCell ref="R37:S37"/>
    <mergeCell ref="T37:U37"/>
    <mergeCell ref="V37:X37"/>
    <mergeCell ref="Y37:Z37"/>
    <mergeCell ref="Y35:Z35"/>
    <mergeCell ref="N36:O36"/>
    <mergeCell ref="P36:Q36"/>
    <mergeCell ref="R36:S36"/>
    <mergeCell ref="T36:U36"/>
    <mergeCell ref="V36:X36"/>
    <mergeCell ref="Y36:Z36"/>
    <mergeCell ref="N39:O39"/>
    <mergeCell ref="P39:Q39"/>
    <mergeCell ref="R39:S39"/>
    <mergeCell ref="T39:U39"/>
    <mergeCell ref="V39:X39"/>
    <mergeCell ref="Y39:Z39"/>
    <mergeCell ref="N38:O38"/>
    <mergeCell ref="P38:Q38"/>
    <mergeCell ref="R38:S38"/>
    <mergeCell ref="T38:U38"/>
    <mergeCell ref="V38:X38"/>
    <mergeCell ref="Y38:Z38"/>
    <mergeCell ref="N35:O35"/>
    <mergeCell ref="P35:Q35"/>
    <mergeCell ref="R35:S35"/>
    <mergeCell ref="T35:U35"/>
    <mergeCell ref="A43:C43"/>
    <mergeCell ref="M43:M44"/>
    <mergeCell ref="N43:O44"/>
    <mergeCell ref="P43:R44"/>
    <mergeCell ref="X43:Z44"/>
    <mergeCell ref="A44:C44"/>
    <mergeCell ref="M40:Z40"/>
    <mergeCell ref="M41:M42"/>
    <mergeCell ref="N41:O42"/>
    <mergeCell ref="P41:R42"/>
    <mergeCell ref="S41:S44"/>
    <mergeCell ref="T41:W44"/>
    <mergeCell ref="X41:Z42"/>
    <mergeCell ref="P47:R47"/>
    <mergeCell ref="T47:W47"/>
    <mergeCell ref="X47:Z47"/>
    <mergeCell ref="N45:O45"/>
    <mergeCell ref="P45:R45"/>
    <mergeCell ref="T45:W45"/>
    <mergeCell ref="X45:Z45"/>
    <mergeCell ref="A46:F46"/>
    <mergeCell ref="G46:L46"/>
    <mergeCell ref="N46:O46"/>
    <mergeCell ref="P46:R46"/>
    <mergeCell ref="T46:W46"/>
    <mergeCell ref="X46:Z46"/>
    <mergeCell ref="A48:C48"/>
    <mergeCell ref="D48:F48"/>
    <mergeCell ref="A49:C49"/>
    <mergeCell ref="D49:F49"/>
    <mergeCell ref="H49:J49"/>
    <mergeCell ref="K49:L49"/>
    <mergeCell ref="A47:C47"/>
    <mergeCell ref="D47:F47"/>
    <mergeCell ref="N47:O47"/>
    <mergeCell ref="A51:C51"/>
    <mergeCell ref="D51:F51"/>
    <mergeCell ref="A52:C52"/>
    <mergeCell ref="D52:F52"/>
    <mergeCell ref="N49:P49"/>
    <mergeCell ref="Q49:V49"/>
    <mergeCell ref="A50:C50"/>
    <mergeCell ref="D50:F50"/>
    <mergeCell ref="H50:J50"/>
    <mergeCell ref="K50:L50"/>
    <mergeCell ref="S50:T50"/>
  </mergeCells>
  <printOptions horizontalCentered="1"/>
  <pageMargins left="0.39370078740157483" right="0.39370078740157483" top="0.19685039370078741" bottom="0.19685039370078741" header="0" footer="0"/>
  <pageSetup paperSize="9" scale="64" orientation="portrait" horizontalDpi="180" verticalDpi="180" r:id="rId1"/>
  <headerFooter alignWithMargins="0"/>
  <colBreaks count="1" manualBreakCount="1">
    <brk id="12" max="1048575" man="1"/>
  </colBreak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52"/>
  <sheetViews>
    <sheetView view="pageBreakPreview" topLeftCell="A10" zoomScale="75" zoomScaleNormal="50" zoomScaleSheetLayoutView="75" workbookViewId="0">
      <selection activeCell="H43" sqref="H43"/>
    </sheetView>
  </sheetViews>
  <sheetFormatPr defaultRowHeight="18.75" x14ac:dyDescent="0.2"/>
  <cols>
    <col min="1" max="1" width="11.140625" style="88" customWidth="1"/>
    <col min="2" max="2" width="13.42578125" style="88" customWidth="1"/>
    <col min="3" max="3" width="11.140625" style="88" customWidth="1"/>
    <col min="4" max="4" width="14.7109375" style="88" customWidth="1"/>
    <col min="5" max="5" width="10" style="88" customWidth="1"/>
    <col min="6" max="6" width="13.140625" style="88" customWidth="1"/>
    <col min="7" max="7" width="11.85546875" style="88" customWidth="1"/>
    <col min="8" max="8" width="25" style="88" customWidth="1"/>
    <col min="9" max="9" width="8.28515625" style="88" customWidth="1"/>
    <col min="10" max="11" width="8.85546875" style="88" customWidth="1"/>
    <col min="12" max="12" width="17" style="88" customWidth="1"/>
    <col min="13" max="26" width="10.28515625" style="88" customWidth="1"/>
    <col min="27" max="16384" width="9.140625" style="88"/>
  </cols>
  <sheetData>
    <row r="1" spans="1:26" ht="21.75" customHeight="1" x14ac:dyDescent="0.2">
      <c r="A1" s="115" t="s">
        <v>157</v>
      </c>
      <c r="B1" s="115"/>
      <c r="C1" s="115"/>
      <c r="D1" s="115"/>
      <c r="E1" s="115"/>
      <c r="F1" s="115"/>
      <c r="G1" s="150" t="s">
        <v>154</v>
      </c>
      <c r="H1" s="150"/>
      <c r="I1" s="115" t="s">
        <v>160</v>
      </c>
      <c r="J1" s="115"/>
      <c r="K1" s="115"/>
      <c r="L1" s="115"/>
      <c r="M1" s="122" t="s">
        <v>96</v>
      </c>
      <c r="N1" s="122"/>
      <c r="O1" s="122"/>
      <c r="P1" s="122"/>
      <c r="Q1" s="122"/>
      <c r="R1" s="122"/>
      <c r="S1" s="122"/>
      <c r="T1" s="122"/>
      <c r="U1" s="122"/>
      <c r="V1" s="122"/>
      <c r="W1" s="122"/>
      <c r="X1" s="122"/>
      <c r="Y1" s="122"/>
      <c r="Z1" s="122"/>
    </row>
    <row r="2" spans="1:26" ht="21.75" customHeight="1" x14ac:dyDescent="0.2">
      <c r="A2" s="146" t="s">
        <v>45</v>
      </c>
      <c r="B2" s="146"/>
      <c r="C2" s="146"/>
      <c r="D2" s="146"/>
      <c r="E2" s="146"/>
      <c r="F2" s="146"/>
      <c r="G2" s="150"/>
      <c r="H2" s="150"/>
      <c r="I2" s="115"/>
      <c r="J2" s="115"/>
      <c r="K2" s="115"/>
      <c r="L2" s="115"/>
      <c r="M2" s="122" t="s">
        <v>78</v>
      </c>
      <c r="N2" s="122"/>
      <c r="O2" s="122"/>
      <c r="P2" s="122"/>
      <c r="Q2" s="122"/>
      <c r="R2" s="122"/>
      <c r="S2" s="122"/>
      <c r="T2" s="122"/>
      <c r="U2" s="122"/>
      <c r="V2" s="122"/>
      <c r="W2" s="122"/>
      <c r="X2" s="122"/>
      <c r="Y2" s="122"/>
      <c r="Z2" s="122"/>
    </row>
    <row r="3" spans="1:26" ht="21.75" customHeight="1" x14ac:dyDescent="0.2">
      <c r="A3" s="115" t="s">
        <v>158</v>
      </c>
      <c r="B3" s="147"/>
      <c r="C3" s="147"/>
      <c r="D3" s="147"/>
      <c r="E3" s="147"/>
      <c r="F3" s="147"/>
      <c r="G3" s="150" t="s">
        <v>155</v>
      </c>
      <c r="H3" s="150"/>
      <c r="I3" s="115" t="s">
        <v>403</v>
      </c>
      <c r="J3" s="115"/>
      <c r="K3" s="115"/>
      <c r="L3" s="115"/>
      <c r="M3" s="123" t="s">
        <v>79</v>
      </c>
      <c r="N3" s="124" t="s">
        <v>81</v>
      </c>
      <c r="O3" s="123"/>
      <c r="P3" s="124" t="s">
        <v>65</v>
      </c>
      <c r="Q3" s="123"/>
      <c r="R3" s="124" t="s">
        <v>82</v>
      </c>
      <c r="S3" s="123"/>
      <c r="T3" s="124" t="s">
        <v>85</v>
      </c>
      <c r="U3" s="123"/>
      <c r="V3" s="124" t="s">
        <v>87</v>
      </c>
      <c r="W3" s="123"/>
      <c r="X3" s="128" t="s">
        <v>91</v>
      </c>
      <c r="Y3" s="132"/>
      <c r="Z3" s="132"/>
    </row>
    <row r="4" spans="1:26" ht="29.25" customHeight="1" x14ac:dyDescent="0.2">
      <c r="A4" s="146" t="s">
        <v>46</v>
      </c>
      <c r="B4" s="146"/>
      <c r="C4" s="146"/>
      <c r="D4" s="146"/>
      <c r="E4" s="146"/>
      <c r="F4" s="146"/>
      <c r="G4" s="150"/>
      <c r="H4" s="150"/>
      <c r="I4" s="115"/>
      <c r="J4" s="115"/>
      <c r="K4" s="115"/>
      <c r="L4" s="115"/>
      <c r="M4" s="116"/>
      <c r="N4" s="125"/>
      <c r="O4" s="116"/>
      <c r="P4" s="125"/>
      <c r="Q4" s="116"/>
      <c r="R4" s="125" t="s">
        <v>83</v>
      </c>
      <c r="S4" s="116"/>
      <c r="T4" s="125" t="s">
        <v>86</v>
      </c>
      <c r="U4" s="116"/>
      <c r="V4" s="125" t="s">
        <v>88</v>
      </c>
      <c r="W4" s="116"/>
      <c r="X4" s="128"/>
      <c r="Y4" s="132"/>
      <c r="Z4" s="132"/>
    </row>
    <row r="5" spans="1:26" ht="21.75" customHeight="1" x14ac:dyDescent="0.2">
      <c r="A5" s="115" t="s">
        <v>177</v>
      </c>
      <c r="B5" s="147"/>
      <c r="C5" s="147"/>
      <c r="D5" s="147"/>
      <c r="E5" s="147"/>
      <c r="F5" s="147"/>
      <c r="G5" s="150" t="s">
        <v>156</v>
      </c>
      <c r="H5" s="150"/>
      <c r="I5" s="115" t="s">
        <v>404</v>
      </c>
      <c r="J5" s="115"/>
      <c r="K5" s="115"/>
      <c r="L5" s="115"/>
      <c r="M5" s="116" t="s">
        <v>80</v>
      </c>
      <c r="N5" s="125"/>
      <c r="O5" s="116"/>
      <c r="P5" s="125" t="s">
        <v>182</v>
      </c>
      <c r="Q5" s="116"/>
      <c r="R5" s="133" t="s">
        <v>84</v>
      </c>
      <c r="S5" s="134"/>
      <c r="T5" s="133" t="s">
        <v>84</v>
      </c>
      <c r="U5" s="134"/>
      <c r="V5" s="125" t="s">
        <v>89</v>
      </c>
      <c r="W5" s="116"/>
      <c r="X5" s="128"/>
      <c r="Y5" s="132"/>
      <c r="Z5" s="132"/>
    </row>
    <row r="6" spans="1:26" ht="21.75" customHeight="1" x14ac:dyDescent="0.2">
      <c r="A6" s="146" t="s">
        <v>47</v>
      </c>
      <c r="B6" s="146"/>
      <c r="C6" s="146"/>
      <c r="D6" s="146"/>
      <c r="E6" s="146"/>
      <c r="F6" s="146"/>
      <c r="G6" s="150"/>
      <c r="H6" s="150"/>
      <c r="I6" s="115"/>
      <c r="J6" s="115"/>
      <c r="K6" s="115"/>
      <c r="L6" s="115"/>
      <c r="M6" s="117"/>
      <c r="N6" s="127"/>
      <c r="O6" s="117"/>
      <c r="P6" s="127"/>
      <c r="Q6" s="117"/>
      <c r="R6" s="127"/>
      <c r="S6" s="117"/>
      <c r="T6" s="127"/>
      <c r="U6" s="117"/>
      <c r="V6" s="127" t="s">
        <v>90</v>
      </c>
      <c r="W6" s="117"/>
      <c r="X6" s="128"/>
      <c r="Y6" s="132"/>
      <c r="Z6" s="132"/>
    </row>
    <row r="7" spans="1:26" ht="21.75" customHeight="1" x14ac:dyDescent="0.2">
      <c r="A7" s="122"/>
      <c r="B7" s="122"/>
      <c r="C7" s="122"/>
      <c r="D7" s="122"/>
      <c r="E7" s="122"/>
      <c r="F7" s="122"/>
      <c r="G7" s="122"/>
      <c r="H7" s="122"/>
      <c r="I7" s="122"/>
      <c r="J7" s="122"/>
      <c r="K7" s="122"/>
      <c r="L7" s="122"/>
      <c r="M7" s="85"/>
      <c r="N7" s="111"/>
      <c r="O7" s="113"/>
      <c r="P7" s="111"/>
      <c r="Q7" s="113"/>
      <c r="R7" s="111"/>
      <c r="S7" s="113"/>
      <c r="T7" s="111"/>
      <c r="U7" s="113"/>
      <c r="V7" s="111"/>
      <c r="W7" s="113"/>
      <c r="X7" s="111"/>
      <c r="Y7" s="112"/>
      <c r="Z7" s="112"/>
    </row>
    <row r="8" spans="1:26" ht="22.5" customHeight="1" x14ac:dyDescent="0.2">
      <c r="A8" s="143" t="s">
        <v>48</v>
      </c>
      <c r="B8" s="143"/>
      <c r="C8" s="143"/>
      <c r="D8" s="143"/>
      <c r="E8" s="143"/>
      <c r="F8" s="143"/>
      <c r="G8" s="143"/>
      <c r="H8" s="143"/>
      <c r="I8" s="143"/>
      <c r="J8" s="143"/>
      <c r="K8" s="143"/>
      <c r="L8" s="143"/>
      <c r="M8" s="85"/>
      <c r="N8" s="111"/>
      <c r="O8" s="113"/>
      <c r="P8" s="111"/>
      <c r="Q8" s="113"/>
      <c r="R8" s="111"/>
      <c r="S8" s="113"/>
      <c r="T8" s="111"/>
      <c r="U8" s="113"/>
      <c r="V8" s="111"/>
      <c r="W8" s="113"/>
      <c r="X8" s="111"/>
      <c r="Y8" s="112"/>
      <c r="Z8" s="112"/>
    </row>
    <row r="9" spans="1:26" ht="22.5" customHeight="1" x14ac:dyDescent="0.2">
      <c r="A9" s="156" t="s">
        <v>49</v>
      </c>
      <c r="B9" s="156"/>
      <c r="C9" s="156"/>
      <c r="D9" s="156"/>
      <c r="E9" s="156"/>
      <c r="F9" s="156"/>
      <c r="G9" s="156"/>
      <c r="H9" s="156"/>
      <c r="I9" s="156"/>
      <c r="J9" s="156"/>
      <c r="K9" s="156"/>
      <c r="L9" s="156"/>
      <c r="M9" s="85"/>
      <c r="N9" s="111"/>
      <c r="O9" s="113"/>
      <c r="P9" s="111"/>
      <c r="Q9" s="113"/>
      <c r="R9" s="111"/>
      <c r="S9" s="113"/>
      <c r="T9" s="111"/>
      <c r="U9" s="113"/>
      <c r="V9" s="111"/>
      <c r="W9" s="113"/>
      <c r="X9" s="111"/>
      <c r="Y9" s="112"/>
      <c r="Z9" s="112"/>
    </row>
    <row r="10" spans="1:26" ht="22.5" customHeight="1" x14ac:dyDescent="0.2">
      <c r="A10" s="151" t="s">
        <v>112</v>
      </c>
      <c r="B10" s="151"/>
      <c r="C10" s="151"/>
      <c r="D10" s="151"/>
      <c r="E10" s="162" t="s">
        <v>407</v>
      </c>
      <c r="F10" s="163"/>
      <c r="G10" s="163"/>
      <c r="H10" s="138" t="s">
        <v>369</v>
      </c>
      <c r="I10" s="138"/>
      <c r="J10" s="138"/>
      <c r="K10" s="138"/>
      <c r="L10" s="138"/>
      <c r="M10" s="85"/>
      <c r="N10" s="111"/>
      <c r="O10" s="113"/>
      <c r="P10" s="111"/>
      <c r="Q10" s="113"/>
      <c r="R10" s="111"/>
      <c r="S10" s="113"/>
      <c r="T10" s="111"/>
      <c r="U10" s="113"/>
      <c r="V10" s="111"/>
      <c r="W10" s="113"/>
      <c r="X10" s="111"/>
      <c r="Y10" s="112"/>
      <c r="Z10" s="112"/>
    </row>
    <row r="11" spans="1:26" ht="22.5" customHeight="1" x14ac:dyDescent="0.2">
      <c r="A11" s="151" t="s">
        <v>113</v>
      </c>
      <c r="B11" s="151"/>
      <c r="C11" s="151"/>
      <c r="D11" s="151"/>
      <c r="E11" s="161" t="s">
        <v>378</v>
      </c>
      <c r="F11" s="161"/>
      <c r="G11" s="161"/>
      <c r="H11" s="161"/>
      <c r="I11" s="138" t="s">
        <v>114</v>
      </c>
      <c r="J11" s="138"/>
      <c r="K11" s="138"/>
      <c r="L11" s="138"/>
      <c r="M11" s="85"/>
      <c r="N11" s="111"/>
      <c r="O11" s="113"/>
      <c r="P11" s="111"/>
      <c r="Q11" s="113"/>
      <c r="R11" s="111"/>
      <c r="S11" s="113"/>
      <c r="T11" s="111"/>
      <c r="U11" s="113"/>
      <c r="V11" s="111"/>
      <c r="W11" s="113"/>
      <c r="X11" s="111"/>
      <c r="Y11" s="112"/>
      <c r="Z11" s="112"/>
    </row>
    <row r="12" spans="1:26" ht="21.75" customHeight="1" x14ac:dyDescent="0.2">
      <c r="A12" s="215"/>
      <c r="B12" s="149"/>
      <c r="C12" s="149"/>
      <c r="D12" s="149"/>
      <c r="E12" s="149"/>
      <c r="F12" s="149"/>
      <c r="G12" s="149"/>
      <c r="H12" s="149"/>
      <c r="I12" s="149"/>
      <c r="J12" s="149"/>
      <c r="K12" s="149"/>
      <c r="L12" s="215"/>
      <c r="M12" s="85"/>
      <c r="N12" s="111"/>
      <c r="O12" s="113"/>
      <c r="P12" s="111"/>
      <c r="Q12" s="113"/>
      <c r="R12" s="111"/>
      <c r="S12" s="113"/>
      <c r="T12" s="111"/>
      <c r="U12" s="113"/>
      <c r="V12" s="111"/>
      <c r="W12" s="113"/>
      <c r="X12" s="111"/>
      <c r="Y12" s="112"/>
      <c r="Z12" s="112"/>
    </row>
    <row r="13" spans="1:26" ht="21.75" customHeight="1" x14ac:dyDescent="0.2">
      <c r="A13" s="187" t="s">
        <v>50</v>
      </c>
      <c r="B13" s="196" t="s">
        <v>56</v>
      </c>
      <c r="C13" s="196"/>
      <c r="D13" s="185" t="s">
        <v>386</v>
      </c>
      <c r="E13" s="186"/>
      <c r="F13" s="195" t="s">
        <v>59</v>
      </c>
      <c r="G13" s="196"/>
      <c r="H13" s="99" t="s">
        <v>386</v>
      </c>
      <c r="I13" s="197" t="s">
        <v>5</v>
      </c>
      <c r="J13" s="195" t="s">
        <v>60</v>
      </c>
      <c r="K13" s="196"/>
      <c r="L13" s="95" t="s">
        <v>65</v>
      </c>
      <c r="M13" s="85"/>
      <c r="N13" s="111"/>
      <c r="O13" s="113"/>
      <c r="P13" s="111"/>
      <c r="Q13" s="113"/>
      <c r="R13" s="111"/>
      <c r="S13" s="113"/>
      <c r="T13" s="111"/>
      <c r="U13" s="113"/>
      <c r="V13" s="111"/>
      <c r="W13" s="113"/>
      <c r="X13" s="111"/>
      <c r="Y13" s="112"/>
      <c r="Z13" s="112"/>
    </row>
    <row r="14" spans="1:26" ht="21.75" customHeight="1" x14ac:dyDescent="0.2">
      <c r="A14" s="188"/>
      <c r="B14" s="201" t="s">
        <v>57</v>
      </c>
      <c r="C14" s="201"/>
      <c r="D14" s="202" t="s">
        <v>405</v>
      </c>
      <c r="E14" s="203"/>
      <c r="F14" s="200" t="s">
        <v>57</v>
      </c>
      <c r="G14" s="201"/>
      <c r="H14" s="97" t="s">
        <v>405</v>
      </c>
      <c r="I14" s="198"/>
      <c r="J14" s="200" t="s">
        <v>61</v>
      </c>
      <c r="K14" s="201"/>
      <c r="L14" s="96" t="s">
        <v>66</v>
      </c>
      <c r="M14" s="85"/>
      <c r="N14" s="111"/>
      <c r="O14" s="113"/>
      <c r="P14" s="111"/>
      <c r="Q14" s="113"/>
      <c r="R14" s="111"/>
      <c r="S14" s="113"/>
      <c r="T14" s="111"/>
      <c r="U14" s="113"/>
      <c r="V14" s="111"/>
      <c r="W14" s="113"/>
      <c r="X14" s="111"/>
      <c r="Y14" s="112"/>
      <c r="Z14" s="112"/>
    </row>
    <row r="15" spans="1:26" ht="21.75" customHeight="1" x14ac:dyDescent="0.2">
      <c r="A15" s="188"/>
      <c r="B15" s="192" t="s">
        <v>58</v>
      </c>
      <c r="C15" s="192"/>
      <c r="D15" s="193">
        <v>1</v>
      </c>
      <c r="E15" s="194"/>
      <c r="F15" s="191" t="s">
        <v>58</v>
      </c>
      <c r="G15" s="192"/>
      <c r="H15" s="102">
        <v>1</v>
      </c>
      <c r="I15" s="198"/>
      <c r="J15" s="191" t="s">
        <v>62</v>
      </c>
      <c r="K15" s="192"/>
      <c r="L15" s="96" t="s">
        <v>67</v>
      </c>
      <c r="M15" s="85"/>
      <c r="N15" s="111"/>
      <c r="O15" s="113"/>
      <c r="P15" s="111"/>
      <c r="Q15" s="113"/>
      <c r="R15" s="111"/>
      <c r="S15" s="113"/>
      <c r="T15" s="111"/>
      <c r="U15" s="113"/>
      <c r="V15" s="111"/>
      <c r="W15" s="113"/>
      <c r="X15" s="111"/>
      <c r="Y15" s="112"/>
      <c r="Z15" s="112"/>
    </row>
    <row r="16" spans="1:26" ht="21.75" customHeight="1" x14ac:dyDescent="0.2">
      <c r="A16" s="188"/>
      <c r="B16" s="100" t="s">
        <v>51</v>
      </c>
      <c r="C16" s="91" t="s">
        <v>53</v>
      </c>
      <c r="D16" s="91" t="s">
        <v>54</v>
      </c>
      <c r="E16" s="154"/>
      <c r="F16" s="91" t="s">
        <v>51</v>
      </c>
      <c r="G16" s="91" t="s">
        <v>53</v>
      </c>
      <c r="H16" s="95" t="s">
        <v>54</v>
      </c>
      <c r="I16" s="198"/>
      <c r="J16" s="154" t="s">
        <v>63</v>
      </c>
      <c r="K16" s="154" t="s">
        <v>64</v>
      </c>
      <c r="L16" s="96" t="s">
        <v>68</v>
      </c>
      <c r="M16" s="85"/>
      <c r="N16" s="111"/>
      <c r="O16" s="113"/>
      <c r="P16" s="111"/>
      <c r="Q16" s="113"/>
      <c r="R16" s="111"/>
      <c r="S16" s="113"/>
      <c r="T16" s="111"/>
      <c r="U16" s="113"/>
      <c r="V16" s="111"/>
      <c r="W16" s="113"/>
      <c r="X16" s="111"/>
      <c r="Y16" s="112"/>
      <c r="Z16" s="112"/>
    </row>
    <row r="17" spans="1:26" ht="21.75" customHeight="1" x14ac:dyDescent="0.2">
      <c r="A17" s="189"/>
      <c r="B17" s="91" t="s">
        <v>52</v>
      </c>
      <c r="C17" s="101" t="s">
        <v>51</v>
      </c>
      <c r="D17" s="101" t="s">
        <v>55</v>
      </c>
      <c r="E17" s="190"/>
      <c r="F17" s="101" t="s">
        <v>52</v>
      </c>
      <c r="G17" s="92" t="s">
        <v>51</v>
      </c>
      <c r="H17" s="98" t="s">
        <v>55</v>
      </c>
      <c r="I17" s="199"/>
      <c r="J17" s="155"/>
      <c r="K17" s="155"/>
      <c r="L17" s="98" t="s">
        <v>69</v>
      </c>
      <c r="M17" s="130" t="s">
        <v>92</v>
      </c>
      <c r="N17" s="130"/>
      <c r="O17" s="130"/>
      <c r="P17" s="130"/>
      <c r="Q17" s="130"/>
      <c r="R17" s="130"/>
      <c r="S17" s="130"/>
      <c r="T17" s="130"/>
      <c r="U17" s="130"/>
      <c r="V17" s="130"/>
      <c r="W17" s="130"/>
      <c r="X17" s="130"/>
      <c r="Y17" s="130"/>
      <c r="Z17" s="130"/>
    </row>
    <row r="18" spans="1:26" ht="23.25" customHeight="1" x14ac:dyDescent="0.2">
      <c r="A18" s="49" t="s">
        <v>7</v>
      </c>
      <c r="B18" s="82">
        <v>5788.0360000000001</v>
      </c>
      <c r="C18" s="25"/>
      <c r="D18" s="24"/>
      <c r="E18" s="90"/>
      <c r="F18" s="82">
        <v>1629.86</v>
      </c>
      <c r="G18" s="51"/>
      <c r="H18" s="50"/>
      <c r="I18" s="52"/>
      <c r="J18" s="104"/>
      <c r="K18" s="104"/>
      <c r="L18" s="73"/>
      <c r="M18" s="123" t="s">
        <v>79</v>
      </c>
      <c r="N18" s="121" t="s">
        <v>98</v>
      </c>
      <c r="O18" s="121"/>
      <c r="P18" s="121"/>
      <c r="Q18" s="121" t="s">
        <v>107</v>
      </c>
      <c r="R18" s="121"/>
      <c r="S18" s="121"/>
      <c r="T18" s="121" t="s">
        <v>93</v>
      </c>
      <c r="U18" s="121"/>
      <c r="V18" s="121"/>
      <c r="W18" s="124" t="s">
        <v>91</v>
      </c>
      <c r="X18" s="131"/>
      <c r="Y18" s="131"/>
      <c r="Z18" s="131"/>
    </row>
    <row r="19" spans="1:26" ht="23.25" customHeight="1" x14ac:dyDescent="0.2">
      <c r="A19" s="49" t="s">
        <v>8</v>
      </c>
      <c r="B19" s="82">
        <v>5788.2039999999997</v>
      </c>
      <c r="C19" s="25">
        <f t="shared" ref="C19:C42" si="0">IF(B19="","",IF(LEN(TRUNC(B18,0))-LEN(TRUNC(B19,0))=0,B19-B18,IF(LEN(TRUNC(B18,0))-LEN(TRUNC(B19,0))&gt;0,VALUE(LEFT(B18,LEN(TRUNC(B18,0))-LEN(TRUNC(B19,0))))*POWER(10,LEN(TRUNC(B19,0)))+B19-B18,B19-B18-VALUE(LEFT(B19,LEN(TRUNC(B19,0))-LEN(TRUNC(B18,0))))*POWER(10,LEN(TRUNC(B18,0))))))</f>
        <v>0.16799999999966531</v>
      </c>
      <c r="D19" s="24">
        <f t="shared" ref="D19:D42" si="1">IF(C19="","",C19*$D$15)</f>
        <v>0.16799999999966531</v>
      </c>
      <c r="E19" s="90"/>
      <c r="F19" s="82">
        <v>1629.8620000000001</v>
      </c>
      <c r="G19" s="51">
        <f>F19-ReportObject15_3</f>
        <v>2.00000000018008E-3</v>
      </c>
      <c r="H19" s="50">
        <f t="shared" ref="H19:H42" si="2">IF(G19="","",G19*$H$15)</f>
        <v>2.00000000018008E-3</v>
      </c>
      <c r="I19" s="52">
        <f t="shared" ref="I19:I42" si="3">IF(H19="","",IF(D19="","",IF(AND(H19=0,D19=0),0,H19/D19)))</f>
        <v>1.1904761905857526E-2</v>
      </c>
      <c r="J19" s="104"/>
      <c r="K19" s="83"/>
      <c r="L19" s="53"/>
      <c r="M19" s="116"/>
      <c r="N19" s="118"/>
      <c r="O19" s="118"/>
      <c r="P19" s="118"/>
      <c r="Q19" s="118" t="s">
        <v>108</v>
      </c>
      <c r="R19" s="118"/>
      <c r="S19" s="118"/>
      <c r="T19" s="118"/>
      <c r="U19" s="118"/>
      <c r="V19" s="118"/>
      <c r="W19" s="125"/>
      <c r="X19" s="122"/>
      <c r="Y19" s="122"/>
      <c r="Z19" s="122"/>
    </row>
    <row r="20" spans="1:26" ht="23.25" customHeight="1" x14ac:dyDescent="0.2">
      <c r="A20" s="49" t="s">
        <v>9</v>
      </c>
      <c r="B20" s="82">
        <v>5788.37</v>
      </c>
      <c r="C20" s="25">
        <f t="shared" si="0"/>
        <v>0.16600000000016735</v>
      </c>
      <c r="D20" s="24">
        <f t="shared" si="1"/>
        <v>0.16600000000016735</v>
      </c>
      <c r="E20" s="90"/>
      <c r="F20" s="82">
        <v>1629.8620000000001</v>
      </c>
      <c r="G20" s="51">
        <f>F20-F19</f>
        <v>0</v>
      </c>
      <c r="H20" s="50">
        <f t="shared" si="2"/>
        <v>0</v>
      </c>
      <c r="I20" s="52">
        <f t="shared" si="3"/>
        <v>0</v>
      </c>
      <c r="J20" s="104"/>
      <c r="K20" s="83"/>
      <c r="L20" s="53"/>
      <c r="M20" s="116" t="s">
        <v>80</v>
      </c>
      <c r="N20" s="118" t="s">
        <v>99</v>
      </c>
      <c r="O20" s="118"/>
      <c r="P20" s="118"/>
      <c r="Q20" s="118" t="s">
        <v>181</v>
      </c>
      <c r="R20" s="118"/>
      <c r="S20" s="118"/>
      <c r="T20" s="118" t="s">
        <v>94</v>
      </c>
      <c r="U20" s="118"/>
      <c r="V20" s="118"/>
      <c r="W20" s="125"/>
      <c r="X20" s="122"/>
      <c r="Y20" s="122"/>
      <c r="Z20" s="122"/>
    </row>
    <row r="21" spans="1:26" ht="23.25" customHeight="1" x14ac:dyDescent="0.2">
      <c r="A21" s="49" t="s">
        <v>10</v>
      </c>
      <c r="B21" s="82">
        <v>5788.54</v>
      </c>
      <c r="C21" s="25">
        <f t="shared" si="0"/>
        <v>0.17000000000007276</v>
      </c>
      <c r="D21" s="24">
        <f t="shared" si="1"/>
        <v>0.17000000000007276</v>
      </c>
      <c r="E21" s="90"/>
      <c r="F21" s="82">
        <v>1629.8620000000001</v>
      </c>
      <c r="G21" s="51">
        <f t="shared" ref="G21:G42" si="4">F21-F20</f>
        <v>0</v>
      </c>
      <c r="H21" s="50">
        <f t="shared" si="2"/>
        <v>0</v>
      </c>
      <c r="I21" s="52">
        <f t="shared" si="3"/>
        <v>0</v>
      </c>
      <c r="J21" s="104"/>
      <c r="K21" s="83"/>
      <c r="L21" s="53"/>
      <c r="M21" s="117"/>
      <c r="N21" s="119"/>
      <c r="O21" s="119"/>
      <c r="P21" s="119"/>
      <c r="Q21" s="119"/>
      <c r="R21" s="119"/>
      <c r="S21" s="119"/>
      <c r="T21" s="119"/>
      <c r="U21" s="119"/>
      <c r="V21" s="119"/>
      <c r="W21" s="127"/>
      <c r="X21" s="130"/>
      <c r="Y21" s="130"/>
      <c r="Z21" s="130"/>
    </row>
    <row r="22" spans="1:26" ht="23.25" customHeight="1" x14ac:dyDescent="0.2">
      <c r="A22" s="49" t="s">
        <v>11</v>
      </c>
      <c r="B22" s="82">
        <v>5788.6940000000004</v>
      </c>
      <c r="C22" s="25">
        <f t="shared" si="0"/>
        <v>0.15400000000045111</v>
      </c>
      <c r="D22" s="24">
        <f t="shared" si="1"/>
        <v>0.15400000000045111</v>
      </c>
      <c r="E22" s="90"/>
      <c r="F22" s="82">
        <v>1629.8620000000001</v>
      </c>
      <c r="G22" s="51">
        <f t="shared" si="4"/>
        <v>0</v>
      </c>
      <c r="H22" s="50">
        <f t="shared" si="2"/>
        <v>0</v>
      </c>
      <c r="I22" s="52">
        <f t="shared" si="3"/>
        <v>0</v>
      </c>
      <c r="J22" s="104"/>
      <c r="K22" s="83"/>
      <c r="L22" s="53"/>
      <c r="M22" s="85"/>
      <c r="N22" s="120"/>
      <c r="O22" s="120"/>
      <c r="P22" s="120"/>
      <c r="Q22" s="120"/>
      <c r="R22" s="120"/>
      <c r="S22" s="120"/>
      <c r="T22" s="120"/>
      <c r="U22" s="120"/>
      <c r="V22" s="120"/>
      <c r="W22" s="111"/>
      <c r="X22" s="112"/>
      <c r="Y22" s="112"/>
      <c r="Z22" s="112"/>
    </row>
    <row r="23" spans="1:26" ht="23.25" customHeight="1" x14ac:dyDescent="0.2">
      <c r="A23" s="49" t="s">
        <v>12</v>
      </c>
      <c r="B23" s="82">
        <v>5788.866</v>
      </c>
      <c r="C23" s="25">
        <f t="shared" si="0"/>
        <v>0.17199999999957072</v>
      </c>
      <c r="D23" s="24">
        <f t="shared" si="1"/>
        <v>0.17199999999957072</v>
      </c>
      <c r="E23" s="90"/>
      <c r="F23" s="82">
        <v>1629.864</v>
      </c>
      <c r="G23" s="51">
        <f t="shared" si="4"/>
        <v>1.9999999999527063E-3</v>
      </c>
      <c r="H23" s="50">
        <f t="shared" si="2"/>
        <v>1.9999999999527063E-3</v>
      </c>
      <c r="I23" s="52">
        <f t="shared" si="3"/>
        <v>1.1627906976498244E-2</v>
      </c>
      <c r="J23" s="104"/>
      <c r="K23" s="83"/>
      <c r="L23" s="53"/>
      <c r="M23" s="85"/>
      <c r="N23" s="120"/>
      <c r="O23" s="120"/>
      <c r="P23" s="120"/>
      <c r="Q23" s="120"/>
      <c r="R23" s="120"/>
      <c r="S23" s="120"/>
      <c r="T23" s="120"/>
      <c r="U23" s="120"/>
      <c r="V23" s="120"/>
      <c r="W23" s="111"/>
      <c r="X23" s="112"/>
      <c r="Y23" s="112"/>
      <c r="Z23" s="112"/>
    </row>
    <row r="24" spans="1:26" ht="23.25" customHeight="1" x14ac:dyDescent="0.2">
      <c r="A24" s="49" t="s">
        <v>13</v>
      </c>
      <c r="B24" s="82">
        <v>5789.0320000000002</v>
      </c>
      <c r="C24" s="25">
        <f t="shared" si="0"/>
        <v>0.16600000000016735</v>
      </c>
      <c r="D24" s="24">
        <f t="shared" si="1"/>
        <v>0.16600000000016735</v>
      </c>
      <c r="E24" s="90"/>
      <c r="F24" s="82">
        <v>1629.864</v>
      </c>
      <c r="G24" s="51">
        <f t="shared" si="4"/>
        <v>0</v>
      </c>
      <c r="H24" s="50">
        <f t="shared" si="2"/>
        <v>0</v>
      </c>
      <c r="I24" s="52">
        <f t="shared" si="3"/>
        <v>0</v>
      </c>
      <c r="J24" s="104"/>
      <c r="K24" s="83"/>
      <c r="L24" s="53"/>
      <c r="M24" s="85"/>
      <c r="N24" s="120"/>
      <c r="O24" s="120"/>
      <c r="P24" s="120"/>
      <c r="Q24" s="120"/>
      <c r="R24" s="120"/>
      <c r="S24" s="120"/>
      <c r="T24" s="120"/>
      <c r="U24" s="120"/>
      <c r="V24" s="120"/>
      <c r="W24" s="111"/>
      <c r="X24" s="112"/>
      <c r="Y24" s="112"/>
      <c r="Z24" s="112"/>
    </row>
    <row r="25" spans="1:26" ht="23.25" customHeight="1" x14ac:dyDescent="0.2">
      <c r="A25" s="49" t="s">
        <v>14</v>
      </c>
      <c r="B25" s="82">
        <v>5789.1859999999997</v>
      </c>
      <c r="C25" s="25">
        <f t="shared" si="0"/>
        <v>0.15399999999954161</v>
      </c>
      <c r="D25" s="24">
        <f t="shared" si="1"/>
        <v>0.15399999999954161</v>
      </c>
      <c r="E25" s="90"/>
      <c r="F25" s="82">
        <v>1629.864</v>
      </c>
      <c r="G25" s="51">
        <f t="shared" si="4"/>
        <v>0</v>
      </c>
      <c r="H25" s="50">
        <f t="shared" si="2"/>
        <v>0</v>
      </c>
      <c r="I25" s="52">
        <f t="shared" si="3"/>
        <v>0</v>
      </c>
      <c r="J25" s="104"/>
      <c r="K25" s="83"/>
      <c r="L25" s="53"/>
      <c r="M25" s="85"/>
      <c r="N25" s="120"/>
      <c r="O25" s="120"/>
      <c r="P25" s="120"/>
      <c r="Q25" s="120"/>
      <c r="R25" s="120"/>
      <c r="S25" s="120"/>
      <c r="T25" s="120"/>
      <c r="U25" s="120"/>
      <c r="V25" s="120"/>
      <c r="W25" s="111"/>
      <c r="X25" s="112"/>
      <c r="Y25" s="112"/>
      <c r="Z25" s="112"/>
    </row>
    <row r="26" spans="1:26" ht="23.25" customHeight="1" x14ac:dyDescent="0.2">
      <c r="A26" s="49" t="s">
        <v>15</v>
      </c>
      <c r="B26" s="82">
        <v>5789.3559999999998</v>
      </c>
      <c r="C26" s="25">
        <f t="shared" si="0"/>
        <v>0.17000000000007276</v>
      </c>
      <c r="D26" s="24">
        <f t="shared" si="1"/>
        <v>0.17000000000007276</v>
      </c>
      <c r="E26" s="90"/>
      <c r="F26" s="82">
        <v>1629.864</v>
      </c>
      <c r="G26" s="51">
        <f t="shared" si="4"/>
        <v>0</v>
      </c>
      <c r="H26" s="50">
        <f t="shared" si="2"/>
        <v>0</v>
      </c>
      <c r="I26" s="52">
        <f t="shared" si="3"/>
        <v>0</v>
      </c>
      <c r="J26" s="104"/>
      <c r="K26" s="83"/>
      <c r="L26" s="53"/>
      <c r="M26" s="85"/>
      <c r="N26" s="120"/>
      <c r="O26" s="120"/>
      <c r="P26" s="120"/>
      <c r="Q26" s="120"/>
      <c r="R26" s="120"/>
      <c r="S26" s="120"/>
      <c r="T26" s="120"/>
      <c r="U26" s="120"/>
      <c r="V26" s="120"/>
      <c r="W26" s="111"/>
      <c r="X26" s="112"/>
      <c r="Y26" s="112"/>
      <c r="Z26" s="112"/>
    </row>
    <row r="27" spans="1:26" ht="23.25" customHeight="1" x14ac:dyDescent="0.2">
      <c r="A27" s="49" t="s">
        <v>16</v>
      </c>
      <c r="B27" s="82">
        <v>5789.9160000000002</v>
      </c>
      <c r="C27" s="25">
        <f t="shared" si="0"/>
        <v>0.56000000000040018</v>
      </c>
      <c r="D27" s="24">
        <f t="shared" si="1"/>
        <v>0.56000000000040018</v>
      </c>
      <c r="E27" s="90"/>
      <c r="F27" s="82">
        <v>1629.866</v>
      </c>
      <c r="G27" s="51">
        <f t="shared" si="4"/>
        <v>1.9999999999527063E-3</v>
      </c>
      <c r="H27" s="50">
        <f t="shared" si="2"/>
        <v>1.9999999999527063E-3</v>
      </c>
      <c r="I27" s="52">
        <f t="shared" si="3"/>
        <v>3.5714285713415663E-3</v>
      </c>
      <c r="J27" s="104"/>
      <c r="K27" s="83"/>
      <c r="L27" s="53"/>
      <c r="M27" s="85"/>
      <c r="N27" s="120"/>
      <c r="O27" s="120"/>
      <c r="P27" s="120"/>
      <c r="Q27" s="120"/>
      <c r="R27" s="120"/>
      <c r="S27" s="120"/>
      <c r="T27" s="120"/>
      <c r="U27" s="120"/>
      <c r="V27" s="120"/>
      <c r="W27" s="111"/>
      <c r="X27" s="112"/>
      <c r="Y27" s="112"/>
      <c r="Z27" s="112"/>
    </row>
    <row r="28" spans="1:26" ht="23.25" customHeight="1" x14ac:dyDescent="0.2">
      <c r="A28" s="49" t="s">
        <v>17</v>
      </c>
      <c r="B28" s="82">
        <v>5790.93</v>
      </c>
      <c r="C28" s="25">
        <f t="shared" si="0"/>
        <v>1.0140000000001237</v>
      </c>
      <c r="D28" s="24">
        <f t="shared" si="1"/>
        <v>1.0140000000001237</v>
      </c>
      <c r="E28" s="90"/>
      <c r="F28" s="82">
        <v>1629.93</v>
      </c>
      <c r="G28" s="51">
        <f t="shared" si="4"/>
        <v>6.4000000000078217E-2</v>
      </c>
      <c r="H28" s="50">
        <f t="shared" si="2"/>
        <v>6.4000000000078217E-2</v>
      </c>
      <c r="I28" s="52">
        <f t="shared" si="3"/>
        <v>6.3116370808747935E-2</v>
      </c>
      <c r="J28" s="104"/>
      <c r="K28" s="83"/>
      <c r="L28" s="53"/>
      <c r="M28" s="85"/>
      <c r="N28" s="120"/>
      <c r="O28" s="120"/>
      <c r="P28" s="120"/>
      <c r="Q28" s="120"/>
      <c r="R28" s="120"/>
      <c r="S28" s="120"/>
      <c r="T28" s="120"/>
      <c r="U28" s="120"/>
      <c r="V28" s="120"/>
      <c r="W28" s="111"/>
      <c r="X28" s="112"/>
      <c r="Y28" s="112"/>
      <c r="Z28" s="112"/>
    </row>
    <row r="29" spans="1:26" ht="23.25" customHeight="1" x14ac:dyDescent="0.2">
      <c r="A29" s="49" t="s">
        <v>18</v>
      </c>
      <c r="B29" s="82">
        <v>5791.9979999999996</v>
      </c>
      <c r="C29" s="25">
        <f t="shared" si="0"/>
        <v>1.0679999999993015</v>
      </c>
      <c r="D29" s="24">
        <f t="shared" si="1"/>
        <v>1.0679999999993015</v>
      </c>
      <c r="E29" s="90"/>
      <c r="F29" s="82">
        <v>1630.0239999999999</v>
      </c>
      <c r="G29" s="51">
        <f t="shared" si="4"/>
        <v>9.3999999999823558E-2</v>
      </c>
      <c r="H29" s="50">
        <f t="shared" si="2"/>
        <v>9.3999999999823558E-2</v>
      </c>
      <c r="I29" s="52">
        <f t="shared" si="3"/>
        <v>8.8014981273300597E-2</v>
      </c>
      <c r="J29" s="104"/>
      <c r="K29" s="83"/>
      <c r="L29" s="53"/>
      <c r="M29" s="145" t="s">
        <v>95</v>
      </c>
      <c r="N29" s="145"/>
      <c r="O29" s="145"/>
      <c r="P29" s="145"/>
      <c r="Q29" s="145"/>
      <c r="R29" s="145"/>
      <c r="S29" s="145"/>
      <c r="T29" s="145"/>
      <c r="U29" s="145"/>
      <c r="V29" s="145"/>
      <c r="W29" s="145"/>
      <c r="X29" s="145"/>
      <c r="Y29" s="145"/>
      <c r="Z29" s="145"/>
    </row>
    <row r="30" spans="1:26" ht="23.25" customHeight="1" x14ac:dyDescent="0.2">
      <c r="A30" s="49" t="s">
        <v>19</v>
      </c>
      <c r="B30" s="82">
        <v>5793.0339999999997</v>
      </c>
      <c r="C30" s="25">
        <f t="shared" si="0"/>
        <v>1.0360000000000582</v>
      </c>
      <c r="D30" s="24">
        <f t="shared" si="1"/>
        <v>1.0360000000000582</v>
      </c>
      <c r="E30" s="90"/>
      <c r="F30" s="82">
        <v>1630.04</v>
      </c>
      <c r="G30" s="51">
        <f t="shared" si="4"/>
        <v>1.6000000000076398E-2</v>
      </c>
      <c r="H30" s="50">
        <f t="shared" si="2"/>
        <v>1.6000000000076398E-2</v>
      </c>
      <c r="I30" s="52">
        <f t="shared" si="3"/>
        <v>1.5444015444088318E-2</v>
      </c>
      <c r="J30" s="104"/>
      <c r="K30" s="83"/>
      <c r="L30" s="53"/>
      <c r="M30" s="122" t="s">
        <v>97</v>
      </c>
      <c r="N30" s="122"/>
      <c r="O30" s="122"/>
      <c r="P30" s="122"/>
      <c r="Q30" s="122"/>
      <c r="R30" s="122"/>
      <c r="S30" s="122"/>
      <c r="T30" s="122"/>
      <c r="U30" s="122"/>
      <c r="V30" s="122"/>
      <c r="W30" s="122"/>
      <c r="X30" s="122"/>
      <c r="Y30" s="122"/>
      <c r="Z30" s="122"/>
    </row>
    <row r="31" spans="1:26" ht="23.25" customHeight="1" x14ac:dyDescent="0.2">
      <c r="A31" s="49" t="s">
        <v>20</v>
      </c>
      <c r="B31" s="82">
        <v>5794.058</v>
      </c>
      <c r="C31" s="25">
        <f t="shared" si="0"/>
        <v>1.024000000000342</v>
      </c>
      <c r="D31" s="24">
        <f t="shared" si="1"/>
        <v>1.024000000000342</v>
      </c>
      <c r="E31" s="90"/>
      <c r="F31" s="82">
        <v>1630.0519999999999</v>
      </c>
      <c r="G31" s="51">
        <f t="shared" si="4"/>
        <v>1.1999999999943611E-2</v>
      </c>
      <c r="H31" s="50">
        <f t="shared" si="2"/>
        <v>1.1999999999943611E-2</v>
      </c>
      <c r="I31" s="52">
        <f t="shared" si="3"/>
        <v>1.1718749999941019E-2</v>
      </c>
      <c r="J31" s="104"/>
      <c r="K31" s="83"/>
      <c r="L31" s="53"/>
      <c r="M31" s="123" t="s">
        <v>79</v>
      </c>
      <c r="N31" s="121" t="s">
        <v>98</v>
      </c>
      <c r="O31" s="121"/>
      <c r="P31" s="121" t="s">
        <v>100</v>
      </c>
      <c r="Q31" s="121"/>
      <c r="R31" s="121" t="s">
        <v>93</v>
      </c>
      <c r="S31" s="121"/>
      <c r="T31" s="121" t="s">
        <v>103</v>
      </c>
      <c r="U31" s="121"/>
      <c r="V31" s="121" t="s">
        <v>179</v>
      </c>
      <c r="W31" s="121"/>
      <c r="X31" s="121"/>
      <c r="Y31" s="121" t="s">
        <v>91</v>
      </c>
      <c r="Z31" s="124"/>
    </row>
    <row r="32" spans="1:26" ht="23.25" customHeight="1" x14ac:dyDescent="0.2">
      <c r="A32" s="49" t="s">
        <v>21</v>
      </c>
      <c r="B32" s="82">
        <v>5795.0559999999996</v>
      </c>
      <c r="C32" s="25">
        <f t="shared" si="0"/>
        <v>0.99799999999959255</v>
      </c>
      <c r="D32" s="24">
        <f t="shared" si="1"/>
        <v>0.99799999999959255</v>
      </c>
      <c r="E32" s="90"/>
      <c r="F32" s="82">
        <v>1630.056</v>
      </c>
      <c r="G32" s="51">
        <f t="shared" si="4"/>
        <v>4.0000000001327862E-3</v>
      </c>
      <c r="H32" s="50">
        <f t="shared" si="2"/>
        <v>4.0000000001327862E-3</v>
      </c>
      <c r="I32" s="52">
        <f t="shared" si="3"/>
        <v>4.0080160321988171E-3</v>
      </c>
      <c r="J32" s="104"/>
      <c r="K32" s="83"/>
      <c r="L32" s="53"/>
      <c r="M32" s="116"/>
      <c r="N32" s="118"/>
      <c r="O32" s="118"/>
      <c r="P32" s="118" t="s">
        <v>83</v>
      </c>
      <c r="Q32" s="118"/>
      <c r="R32" s="118" t="s">
        <v>102</v>
      </c>
      <c r="S32" s="118"/>
      <c r="T32" s="118" t="s">
        <v>104</v>
      </c>
      <c r="U32" s="118"/>
      <c r="V32" s="118" t="s">
        <v>105</v>
      </c>
      <c r="W32" s="118"/>
      <c r="X32" s="118"/>
      <c r="Y32" s="118"/>
      <c r="Z32" s="125"/>
    </row>
    <row r="33" spans="1:26" ht="23.25" customHeight="1" x14ac:dyDescent="0.2">
      <c r="A33" s="49" t="s">
        <v>22</v>
      </c>
      <c r="B33" s="82">
        <v>5795.91</v>
      </c>
      <c r="C33" s="25">
        <f t="shared" si="0"/>
        <v>0.85400000000026921</v>
      </c>
      <c r="D33" s="24">
        <f t="shared" si="1"/>
        <v>0.85400000000026921</v>
      </c>
      <c r="E33" s="90"/>
      <c r="F33" s="82">
        <v>1630.06</v>
      </c>
      <c r="G33" s="51">
        <f t="shared" si="4"/>
        <v>3.9999999999054126E-3</v>
      </c>
      <c r="H33" s="50">
        <f t="shared" si="2"/>
        <v>3.9999999999054126E-3</v>
      </c>
      <c r="I33" s="52">
        <f t="shared" si="3"/>
        <v>4.683840749302285E-3</v>
      </c>
      <c r="J33" s="104"/>
      <c r="K33" s="83"/>
      <c r="L33" s="53"/>
      <c r="M33" s="116" t="s">
        <v>80</v>
      </c>
      <c r="N33" s="118" t="s">
        <v>99</v>
      </c>
      <c r="O33" s="118"/>
      <c r="P33" s="118" t="s">
        <v>101</v>
      </c>
      <c r="Q33" s="118"/>
      <c r="R33" s="118" t="s">
        <v>69</v>
      </c>
      <c r="S33" s="118"/>
      <c r="T33" s="118" t="s">
        <v>69</v>
      </c>
      <c r="U33" s="118"/>
      <c r="V33" s="118" t="s">
        <v>106</v>
      </c>
      <c r="W33" s="118"/>
      <c r="X33" s="118"/>
      <c r="Y33" s="118"/>
      <c r="Z33" s="125"/>
    </row>
    <row r="34" spans="1:26" ht="23.25" customHeight="1" x14ac:dyDescent="0.2">
      <c r="A34" s="49" t="s">
        <v>23</v>
      </c>
      <c r="B34" s="82">
        <v>5796.6180000000004</v>
      </c>
      <c r="C34" s="25">
        <f t="shared" si="0"/>
        <v>0.70800000000053842</v>
      </c>
      <c r="D34" s="24">
        <f t="shared" si="1"/>
        <v>0.70800000000053842</v>
      </c>
      <c r="E34" s="90"/>
      <c r="F34" s="82">
        <v>1630.06</v>
      </c>
      <c r="G34" s="51">
        <f t="shared" si="4"/>
        <v>0</v>
      </c>
      <c r="H34" s="50">
        <f t="shared" si="2"/>
        <v>0</v>
      </c>
      <c r="I34" s="52">
        <f t="shared" si="3"/>
        <v>0</v>
      </c>
      <c r="J34" s="104"/>
      <c r="K34" s="83"/>
      <c r="L34" s="53"/>
      <c r="M34" s="117"/>
      <c r="N34" s="119"/>
      <c r="O34" s="119"/>
      <c r="P34" s="119"/>
      <c r="Q34" s="119"/>
      <c r="R34" s="127"/>
      <c r="S34" s="117"/>
      <c r="T34" s="127"/>
      <c r="U34" s="117"/>
      <c r="V34" s="127"/>
      <c r="W34" s="130"/>
      <c r="X34" s="117"/>
      <c r="Y34" s="119"/>
      <c r="Z34" s="127"/>
    </row>
    <row r="35" spans="1:26" ht="23.25" customHeight="1" x14ac:dyDescent="0.2">
      <c r="A35" s="49" t="s">
        <v>24</v>
      </c>
      <c r="B35" s="82">
        <v>5797.4</v>
      </c>
      <c r="C35" s="25">
        <f t="shared" si="0"/>
        <v>0.7819999999992433</v>
      </c>
      <c r="D35" s="24">
        <f t="shared" si="1"/>
        <v>0.7819999999992433</v>
      </c>
      <c r="E35" s="90"/>
      <c r="F35" s="82">
        <v>1630.06</v>
      </c>
      <c r="G35" s="51">
        <f t="shared" si="4"/>
        <v>0</v>
      </c>
      <c r="H35" s="50">
        <f t="shared" si="2"/>
        <v>0</v>
      </c>
      <c r="I35" s="52">
        <f t="shared" si="3"/>
        <v>0</v>
      </c>
      <c r="J35" s="104"/>
      <c r="K35" s="83"/>
      <c r="L35" s="53"/>
      <c r="M35" s="85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11"/>
    </row>
    <row r="36" spans="1:26" ht="23.25" customHeight="1" x14ac:dyDescent="0.2">
      <c r="A36" s="49" t="s">
        <v>25</v>
      </c>
      <c r="B36" s="82">
        <v>5798.2020000000002</v>
      </c>
      <c r="C36" s="25">
        <f t="shared" si="0"/>
        <v>0.80200000000058935</v>
      </c>
      <c r="D36" s="24">
        <f t="shared" si="1"/>
        <v>0.80200000000058935</v>
      </c>
      <c r="E36" s="90"/>
      <c r="F36" s="82">
        <v>1630.06</v>
      </c>
      <c r="G36" s="51">
        <f t="shared" si="4"/>
        <v>0</v>
      </c>
      <c r="H36" s="50">
        <f t="shared" si="2"/>
        <v>0</v>
      </c>
      <c r="I36" s="52">
        <f t="shared" si="3"/>
        <v>0</v>
      </c>
      <c r="J36" s="104"/>
      <c r="K36" s="83"/>
      <c r="L36" s="53"/>
      <c r="M36" s="85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11"/>
    </row>
    <row r="37" spans="1:26" ht="23.25" customHeight="1" x14ac:dyDescent="0.2">
      <c r="A37" s="49" t="s">
        <v>26</v>
      </c>
      <c r="B37" s="82">
        <v>5798.5720000000001</v>
      </c>
      <c r="C37" s="25">
        <f t="shared" si="0"/>
        <v>0.36999999999989086</v>
      </c>
      <c r="D37" s="24">
        <f t="shared" si="1"/>
        <v>0.36999999999989086</v>
      </c>
      <c r="E37" s="90"/>
      <c r="F37" s="82">
        <v>1630.066</v>
      </c>
      <c r="G37" s="51">
        <f t="shared" si="4"/>
        <v>6.0000000000854925E-3</v>
      </c>
      <c r="H37" s="50">
        <f t="shared" si="2"/>
        <v>6.0000000000854925E-3</v>
      </c>
      <c r="I37" s="52">
        <f t="shared" si="3"/>
        <v>1.621621621645206E-2</v>
      </c>
      <c r="J37" s="104"/>
      <c r="K37" s="83"/>
      <c r="L37" s="53"/>
      <c r="M37" s="85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11"/>
    </row>
    <row r="38" spans="1:26" ht="23.25" customHeight="1" x14ac:dyDescent="0.2">
      <c r="A38" s="49" t="s">
        <v>27</v>
      </c>
      <c r="B38" s="82">
        <v>5798.9340000000002</v>
      </c>
      <c r="C38" s="25">
        <f t="shared" si="0"/>
        <v>0.36200000000008004</v>
      </c>
      <c r="D38" s="24">
        <f t="shared" si="1"/>
        <v>0.36200000000008004</v>
      </c>
      <c r="E38" s="90"/>
      <c r="F38" s="82">
        <v>1630.076</v>
      </c>
      <c r="G38" s="51">
        <f t="shared" si="4"/>
        <v>9.9999999999909051E-3</v>
      </c>
      <c r="H38" s="50">
        <f t="shared" si="2"/>
        <v>9.9999999999909051E-3</v>
      </c>
      <c r="I38" s="52">
        <f t="shared" si="3"/>
        <v>2.762430939223396E-2</v>
      </c>
      <c r="J38" s="104"/>
      <c r="K38" s="83"/>
      <c r="L38" s="53"/>
      <c r="M38" s="85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11"/>
    </row>
    <row r="39" spans="1:26" ht="23.25" customHeight="1" x14ac:dyDescent="0.2">
      <c r="A39" s="49" t="s">
        <v>28</v>
      </c>
      <c r="B39" s="82">
        <v>5799.1639999999998</v>
      </c>
      <c r="C39" s="25">
        <f t="shared" si="0"/>
        <v>0.22999999999956344</v>
      </c>
      <c r="D39" s="24">
        <f t="shared" si="1"/>
        <v>0.22999999999956344</v>
      </c>
      <c r="E39" s="90"/>
      <c r="F39" s="82">
        <v>1630.0820000000001</v>
      </c>
      <c r="G39" s="51">
        <f t="shared" si="4"/>
        <v>6.0000000000854925E-3</v>
      </c>
      <c r="H39" s="50">
        <f t="shared" si="2"/>
        <v>6.0000000000854925E-3</v>
      </c>
      <c r="I39" s="52">
        <f t="shared" si="3"/>
        <v>2.6086956522160351E-2</v>
      </c>
      <c r="J39" s="104"/>
      <c r="K39" s="83"/>
      <c r="L39" s="53"/>
      <c r="M39" s="85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11"/>
    </row>
    <row r="40" spans="1:26" ht="23.25" customHeight="1" x14ac:dyDescent="0.2">
      <c r="A40" s="49" t="s">
        <v>29</v>
      </c>
      <c r="B40" s="82">
        <v>5799.3339999999998</v>
      </c>
      <c r="C40" s="25">
        <f t="shared" si="0"/>
        <v>0.17000000000007276</v>
      </c>
      <c r="D40" s="24">
        <f t="shared" si="1"/>
        <v>0.17000000000007276</v>
      </c>
      <c r="E40" s="90"/>
      <c r="F40" s="82">
        <v>1630.0840000000001</v>
      </c>
      <c r="G40" s="51">
        <f t="shared" si="4"/>
        <v>1.9999999999527063E-3</v>
      </c>
      <c r="H40" s="50">
        <f t="shared" si="2"/>
        <v>1.9999999999527063E-3</v>
      </c>
      <c r="I40" s="52">
        <f t="shared" si="3"/>
        <v>1.1764705882069708E-2</v>
      </c>
      <c r="J40" s="104"/>
      <c r="K40" s="83"/>
      <c r="L40" s="53"/>
      <c r="M40" s="122" t="s">
        <v>109</v>
      </c>
      <c r="N40" s="122"/>
      <c r="O40" s="122"/>
      <c r="P40" s="122"/>
      <c r="Q40" s="122"/>
      <c r="R40" s="122"/>
      <c r="S40" s="122"/>
      <c r="T40" s="122"/>
      <c r="U40" s="122"/>
      <c r="V40" s="122"/>
      <c r="W40" s="122"/>
      <c r="X40" s="122"/>
      <c r="Y40" s="122"/>
      <c r="Z40" s="122"/>
    </row>
    <row r="41" spans="1:26" ht="23.25" customHeight="1" x14ac:dyDescent="0.2">
      <c r="A41" s="49" t="s">
        <v>30</v>
      </c>
      <c r="B41" s="82">
        <v>5799.5020000000004</v>
      </c>
      <c r="C41" s="25">
        <f t="shared" si="0"/>
        <v>0.1680000000005748</v>
      </c>
      <c r="D41" s="24">
        <f t="shared" si="1"/>
        <v>0.1680000000005748</v>
      </c>
      <c r="E41" s="90"/>
      <c r="F41" s="82">
        <v>1630.0840000000001</v>
      </c>
      <c r="G41" s="51">
        <f t="shared" si="4"/>
        <v>0</v>
      </c>
      <c r="H41" s="50">
        <f t="shared" si="2"/>
        <v>0</v>
      </c>
      <c r="I41" s="52">
        <f t="shared" si="3"/>
        <v>0</v>
      </c>
      <c r="J41" s="104"/>
      <c r="K41" s="83"/>
      <c r="L41" s="53"/>
      <c r="M41" s="123" t="s">
        <v>79</v>
      </c>
      <c r="N41" s="121" t="s">
        <v>98</v>
      </c>
      <c r="O41" s="121"/>
      <c r="P41" s="121" t="s">
        <v>93</v>
      </c>
      <c r="Q41" s="121"/>
      <c r="R41" s="121"/>
      <c r="S41" s="121" t="s">
        <v>111</v>
      </c>
      <c r="T41" s="121" t="s">
        <v>81</v>
      </c>
      <c r="U41" s="121"/>
      <c r="V41" s="121"/>
      <c r="W41" s="121"/>
      <c r="X41" s="121" t="s">
        <v>93</v>
      </c>
      <c r="Y41" s="121"/>
      <c r="Z41" s="124"/>
    </row>
    <row r="42" spans="1:26" ht="23.25" customHeight="1" x14ac:dyDescent="0.2">
      <c r="A42" s="49" t="s">
        <v>31</v>
      </c>
      <c r="B42" s="82">
        <v>5799.67</v>
      </c>
      <c r="C42" s="25">
        <f t="shared" si="0"/>
        <v>0.16799999999966531</v>
      </c>
      <c r="D42" s="24">
        <f t="shared" si="1"/>
        <v>0.16799999999966531</v>
      </c>
      <c r="E42" s="90"/>
      <c r="F42" s="82">
        <v>1630.0840000000001</v>
      </c>
      <c r="G42" s="51">
        <f t="shared" si="4"/>
        <v>0</v>
      </c>
      <c r="H42" s="50">
        <f t="shared" si="2"/>
        <v>0</v>
      </c>
      <c r="I42" s="52">
        <f t="shared" si="3"/>
        <v>0</v>
      </c>
      <c r="J42" s="104"/>
      <c r="K42" s="83"/>
      <c r="L42" s="53"/>
      <c r="M42" s="116"/>
      <c r="N42" s="118"/>
      <c r="O42" s="118"/>
      <c r="P42" s="118"/>
      <c r="Q42" s="118"/>
      <c r="R42" s="118"/>
      <c r="S42" s="118"/>
      <c r="T42" s="118"/>
      <c r="U42" s="118"/>
      <c r="V42" s="118"/>
      <c r="W42" s="118"/>
      <c r="X42" s="118"/>
      <c r="Y42" s="118"/>
      <c r="Z42" s="125"/>
    </row>
    <row r="43" spans="1:26" ht="22.5" customHeight="1" x14ac:dyDescent="0.2">
      <c r="A43" s="184" t="s">
        <v>70</v>
      </c>
      <c r="B43" s="184"/>
      <c r="C43" s="184"/>
      <c r="D43" s="50">
        <f>SUM(D18:D42)</f>
        <v>11.634000000000015</v>
      </c>
      <c r="E43" s="104"/>
      <c r="F43" s="54"/>
      <c r="G43" s="104"/>
      <c r="H43" s="110">
        <f>SUM(H18:H42)</f>
        <v>0.22400000000016007</v>
      </c>
      <c r="I43" s="52">
        <f>IF(AND(H43=0,D43=0),0,H43/D43)</f>
        <v>1.9253910950675589E-2</v>
      </c>
      <c r="J43" s="104"/>
      <c r="K43" s="104"/>
      <c r="L43" s="53"/>
      <c r="M43" s="116" t="s">
        <v>80</v>
      </c>
      <c r="N43" s="118" t="s">
        <v>99</v>
      </c>
      <c r="O43" s="118"/>
      <c r="P43" s="118" t="s">
        <v>110</v>
      </c>
      <c r="Q43" s="118"/>
      <c r="R43" s="118"/>
      <c r="S43" s="118"/>
      <c r="T43" s="118"/>
      <c r="U43" s="118"/>
      <c r="V43" s="118"/>
      <c r="W43" s="118"/>
      <c r="X43" s="118" t="s">
        <v>110</v>
      </c>
      <c r="Y43" s="118"/>
      <c r="Z43" s="125"/>
    </row>
    <row r="44" spans="1:26" ht="22.5" customHeight="1" x14ac:dyDescent="0.2">
      <c r="A44" s="183" t="s">
        <v>71</v>
      </c>
      <c r="B44" s="183"/>
      <c r="C44" s="183"/>
      <c r="D44" s="104"/>
      <c r="E44" s="104"/>
      <c r="F44" s="54"/>
      <c r="G44" s="104"/>
      <c r="H44" s="104"/>
      <c r="I44" s="104"/>
      <c r="J44" s="104"/>
      <c r="K44" s="104"/>
      <c r="L44" s="53"/>
      <c r="M44" s="117"/>
      <c r="N44" s="119"/>
      <c r="O44" s="119"/>
      <c r="P44" s="119"/>
      <c r="Q44" s="119"/>
      <c r="R44" s="119"/>
      <c r="S44" s="119"/>
      <c r="T44" s="119"/>
      <c r="U44" s="119"/>
      <c r="V44" s="119"/>
      <c r="W44" s="119"/>
      <c r="X44" s="119"/>
      <c r="Y44" s="119"/>
      <c r="Z44" s="127"/>
    </row>
    <row r="45" spans="1:26" ht="22.5" customHeight="1" x14ac:dyDescent="0.2">
      <c r="A45" s="94"/>
      <c r="B45" s="103"/>
      <c r="C45" s="103"/>
      <c r="D45" s="103"/>
      <c r="E45" s="103"/>
      <c r="F45" s="103"/>
      <c r="G45" s="103"/>
      <c r="H45" s="103"/>
      <c r="I45" s="103"/>
      <c r="J45" s="57"/>
      <c r="K45" s="57"/>
      <c r="L45" s="57"/>
      <c r="M45" s="85"/>
      <c r="N45" s="111"/>
      <c r="O45" s="113"/>
      <c r="P45" s="111"/>
      <c r="Q45" s="112"/>
      <c r="R45" s="113"/>
      <c r="S45" s="87"/>
      <c r="T45" s="111"/>
      <c r="U45" s="112"/>
      <c r="V45" s="112"/>
      <c r="W45" s="113"/>
      <c r="X45" s="111"/>
      <c r="Y45" s="112"/>
      <c r="Z45" s="112"/>
    </row>
    <row r="46" spans="1:26" ht="22.5" customHeight="1" x14ac:dyDescent="0.2">
      <c r="A46" s="182" t="s">
        <v>72</v>
      </c>
      <c r="B46" s="182"/>
      <c r="C46" s="182"/>
      <c r="D46" s="182"/>
      <c r="E46" s="182"/>
      <c r="F46" s="182"/>
      <c r="G46" s="204" t="s">
        <v>73</v>
      </c>
      <c r="H46" s="204"/>
      <c r="I46" s="204"/>
      <c r="J46" s="204"/>
      <c r="K46" s="204"/>
      <c r="L46" s="204"/>
      <c r="M46" s="85"/>
      <c r="N46" s="111"/>
      <c r="O46" s="113"/>
      <c r="P46" s="111"/>
      <c r="Q46" s="112"/>
      <c r="R46" s="113"/>
      <c r="S46" s="87"/>
      <c r="T46" s="111"/>
      <c r="U46" s="112"/>
      <c r="V46" s="112"/>
      <c r="W46" s="113"/>
      <c r="X46" s="111"/>
      <c r="Y46" s="112"/>
      <c r="Z46" s="112"/>
    </row>
    <row r="47" spans="1:26" ht="22.5" customHeight="1" x14ac:dyDescent="0.2">
      <c r="A47" s="144" t="s">
        <v>365</v>
      </c>
      <c r="B47" s="144"/>
      <c r="C47" s="144"/>
      <c r="D47" s="135" t="s">
        <v>74</v>
      </c>
      <c r="E47" s="135"/>
      <c r="F47" s="135"/>
      <c r="G47" s="103"/>
      <c r="H47" s="103"/>
      <c r="I47" s="103"/>
      <c r="J47" s="103"/>
      <c r="K47" s="103"/>
      <c r="L47" s="103"/>
      <c r="M47" s="85"/>
      <c r="N47" s="111"/>
      <c r="O47" s="113"/>
      <c r="P47" s="111"/>
      <c r="Q47" s="112"/>
      <c r="R47" s="113"/>
      <c r="S47" s="87"/>
      <c r="T47" s="111"/>
      <c r="U47" s="112"/>
      <c r="V47" s="112"/>
      <c r="W47" s="113"/>
      <c r="X47" s="111"/>
      <c r="Y47" s="112"/>
      <c r="Z47" s="112"/>
    </row>
    <row r="48" spans="1:26" ht="22.5" customHeight="1" x14ac:dyDescent="0.2">
      <c r="A48" s="175" t="s">
        <v>75</v>
      </c>
      <c r="B48" s="175"/>
      <c r="C48" s="175"/>
      <c r="D48" s="174" t="s">
        <v>76</v>
      </c>
      <c r="E48" s="174"/>
      <c r="F48" s="174"/>
      <c r="G48" s="94"/>
      <c r="H48" s="94"/>
      <c r="I48" s="94"/>
      <c r="J48" s="94"/>
      <c r="K48" s="94"/>
      <c r="L48" s="94"/>
    </row>
    <row r="49" spans="1:23" ht="22.5" customHeight="1" x14ac:dyDescent="0.2">
      <c r="A49" s="144" t="s">
        <v>366</v>
      </c>
      <c r="B49" s="144"/>
      <c r="C49" s="144"/>
      <c r="D49" s="135" t="s">
        <v>74</v>
      </c>
      <c r="E49" s="135"/>
      <c r="F49" s="135"/>
      <c r="G49" s="94"/>
      <c r="H49" s="182" t="s">
        <v>183</v>
      </c>
      <c r="I49" s="182"/>
      <c r="J49" s="182"/>
      <c r="K49" s="182" t="s">
        <v>77</v>
      </c>
      <c r="L49" s="182"/>
      <c r="N49" s="177" t="s">
        <v>150</v>
      </c>
      <c r="O49" s="177"/>
      <c r="P49" s="177"/>
      <c r="Q49" s="176" t="s">
        <v>364</v>
      </c>
      <c r="R49" s="176"/>
      <c r="S49" s="176"/>
      <c r="T49" s="176"/>
      <c r="U49" s="176"/>
      <c r="V49" s="176"/>
      <c r="W49" s="89"/>
    </row>
    <row r="50" spans="1:23" ht="22.5" customHeight="1" x14ac:dyDescent="0.2">
      <c r="A50" s="175" t="s">
        <v>75</v>
      </c>
      <c r="B50" s="175"/>
      <c r="C50" s="175"/>
      <c r="D50" s="174" t="s">
        <v>76</v>
      </c>
      <c r="E50" s="174"/>
      <c r="F50" s="174"/>
      <c r="G50" s="58"/>
      <c r="H50" s="175" t="s">
        <v>75</v>
      </c>
      <c r="I50" s="175"/>
      <c r="J50" s="175"/>
      <c r="K50" s="175" t="s">
        <v>76</v>
      </c>
      <c r="L50" s="175"/>
      <c r="S50" s="173" t="s">
        <v>76</v>
      </c>
      <c r="T50" s="173"/>
    </row>
    <row r="51" spans="1:23" ht="20.100000000000001" customHeight="1" x14ac:dyDescent="0.2">
      <c r="A51" s="144" t="s">
        <v>367</v>
      </c>
      <c r="B51" s="144"/>
      <c r="C51" s="144"/>
      <c r="D51" s="135" t="s">
        <v>74</v>
      </c>
      <c r="E51" s="135"/>
      <c r="F51" s="135"/>
      <c r="G51" s="94"/>
      <c r="H51" s="94"/>
      <c r="I51" s="94"/>
      <c r="J51" s="94"/>
      <c r="K51" s="94"/>
      <c r="L51" s="94"/>
    </row>
    <row r="52" spans="1:23" ht="20.100000000000001" customHeight="1" x14ac:dyDescent="0.2">
      <c r="A52" s="174" t="s">
        <v>75</v>
      </c>
      <c r="B52" s="174"/>
      <c r="C52" s="174"/>
      <c r="D52" s="173" t="s">
        <v>76</v>
      </c>
      <c r="E52" s="173"/>
      <c r="F52" s="173"/>
      <c r="G52" s="63"/>
      <c r="H52" s="63"/>
      <c r="I52" s="105"/>
      <c r="J52" s="105"/>
      <c r="K52" s="105"/>
      <c r="L52" s="105"/>
    </row>
  </sheetData>
  <sheetProtection sheet="1" objects="1" scenarios="1"/>
  <mergeCells count="258">
    <mergeCell ref="A1:F1"/>
    <mergeCell ref="G1:H2"/>
    <mergeCell ref="I1:L2"/>
    <mergeCell ref="M1:Z1"/>
    <mergeCell ref="A2:F2"/>
    <mergeCell ref="M2:Z2"/>
    <mergeCell ref="X3:Z6"/>
    <mergeCell ref="A4:F4"/>
    <mergeCell ref="R4:S4"/>
    <mergeCell ref="T4:U4"/>
    <mergeCell ref="V4:W4"/>
    <mergeCell ref="A5:F5"/>
    <mergeCell ref="G5:H6"/>
    <mergeCell ref="A3:F3"/>
    <mergeCell ref="G3:H4"/>
    <mergeCell ref="I3:L4"/>
    <mergeCell ref="M3:M4"/>
    <mergeCell ref="N3:O6"/>
    <mergeCell ref="P3:Q4"/>
    <mergeCell ref="I5:L6"/>
    <mergeCell ref="M5:M6"/>
    <mergeCell ref="P5:Q6"/>
    <mergeCell ref="R5:S5"/>
    <mergeCell ref="T5:U5"/>
    <mergeCell ref="V5:W5"/>
    <mergeCell ref="A6:F6"/>
    <mergeCell ref="R6:S6"/>
    <mergeCell ref="T6:U6"/>
    <mergeCell ref="V6:W6"/>
    <mergeCell ref="R3:S3"/>
    <mergeCell ref="T3:U3"/>
    <mergeCell ref="V3:W3"/>
    <mergeCell ref="X7:Z7"/>
    <mergeCell ref="A8:L8"/>
    <mergeCell ref="N8:O8"/>
    <mergeCell ref="P8:Q8"/>
    <mergeCell ref="R8:S8"/>
    <mergeCell ref="T8:U8"/>
    <mergeCell ref="V8:W8"/>
    <mergeCell ref="X8:Z8"/>
    <mergeCell ref="A7:L7"/>
    <mergeCell ref="N7:O7"/>
    <mergeCell ref="P7:Q7"/>
    <mergeCell ref="R7:S7"/>
    <mergeCell ref="T7:U7"/>
    <mergeCell ref="V7:W7"/>
    <mergeCell ref="X9:Z9"/>
    <mergeCell ref="A10:D10"/>
    <mergeCell ref="E10:G10"/>
    <mergeCell ref="H10:L10"/>
    <mergeCell ref="N10:O10"/>
    <mergeCell ref="P10:Q10"/>
    <mergeCell ref="R10:S10"/>
    <mergeCell ref="T10:U10"/>
    <mergeCell ref="V10:W10"/>
    <mergeCell ref="X10:Z10"/>
    <mergeCell ref="A9:L9"/>
    <mergeCell ref="N9:O9"/>
    <mergeCell ref="P9:Q9"/>
    <mergeCell ref="R9:S9"/>
    <mergeCell ref="T9:U9"/>
    <mergeCell ref="V9:W9"/>
    <mergeCell ref="T11:U11"/>
    <mergeCell ref="V11:W11"/>
    <mergeCell ref="X11:Z11"/>
    <mergeCell ref="A12:L12"/>
    <mergeCell ref="N12:O12"/>
    <mergeCell ref="P12:Q12"/>
    <mergeCell ref="R12:S12"/>
    <mergeCell ref="T12:U12"/>
    <mergeCell ref="V12:W12"/>
    <mergeCell ref="X12:Z12"/>
    <mergeCell ref="A11:D11"/>
    <mergeCell ref="E11:H11"/>
    <mergeCell ref="I11:L11"/>
    <mergeCell ref="N11:O11"/>
    <mergeCell ref="P11:Q11"/>
    <mergeCell ref="R11:S11"/>
    <mergeCell ref="N13:O13"/>
    <mergeCell ref="P13:Q13"/>
    <mergeCell ref="R13:S13"/>
    <mergeCell ref="T13:U13"/>
    <mergeCell ref="V13:W13"/>
    <mergeCell ref="X13:Z13"/>
    <mergeCell ref="A13:A17"/>
    <mergeCell ref="B13:C13"/>
    <mergeCell ref="D13:E13"/>
    <mergeCell ref="F13:G13"/>
    <mergeCell ref="I13:I17"/>
    <mergeCell ref="J13:K13"/>
    <mergeCell ref="B14:C14"/>
    <mergeCell ref="D14:E14"/>
    <mergeCell ref="F14:G14"/>
    <mergeCell ref="J14:K14"/>
    <mergeCell ref="E16:E17"/>
    <mergeCell ref="J16:J17"/>
    <mergeCell ref="K16:K17"/>
    <mergeCell ref="B15:C15"/>
    <mergeCell ref="D15:E15"/>
    <mergeCell ref="F15:G15"/>
    <mergeCell ref="J15:K15"/>
    <mergeCell ref="V16:W16"/>
    <mergeCell ref="W22:Z22"/>
    <mergeCell ref="N15:O15"/>
    <mergeCell ref="P15:Q15"/>
    <mergeCell ref="N14:O14"/>
    <mergeCell ref="P14:Q14"/>
    <mergeCell ref="R14:S14"/>
    <mergeCell ref="R15:S15"/>
    <mergeCell ref="T15:U15"/>
    <mergeCell ref="V15:W15"/>
    <mergeCell ref="X15:Z15"/>
    <mergeCell ref="T14:U14"/>
    <mergeCell ref="V14:W14"/>
    <mergeCell ref="X14:Z14"/>
    <mergeCell ref="N23:P23"/>
    <mergeCell ref="Q23:S23"/>
    <mergeCell ref="T23:V23"/>
    <mergeCell ref="W23:Z23"/>
    <mergeCell ref="X16:Z16"/>
    <mergeCell ref="M17:Z17"/>
    <mergeCell ref="M18:M19"/>
    <mergeCell ref="N18:P19"/>
    <mergeCell ref="Q18:S18"/>
    <mergeCell ref="T18:V19"/>
    <mergeCell ref="W18:Z21"/>
    <mergeCell ref="Q19:S19"/>
    <mergeCell ref="M20:M21"/>
    <mergeCell ref="N20:P21"/>
    <mergeCell ref="Q20:S20"/>
    <mergeCell ref="T20:V21"/>
    <mergeCell ref="Q21:S21"/>
    <mergeCell ref="N16:O16"/>
    <mergeCell ref="P16:Q16"/>
    <mergeCell ref="R16:S16"/>
    <mergeCell ref="N22:P22"/>
    <mergeCell ref="Q22:S22"/>
    <mergeCell ref="T22:V22"/>
    <mergeCell ref="T16:U16"/>
    <mergeCell ref="N24:P24"/>
    <mergeCell ref="Q24:S24"/>
    <mergeCell ref="T24:V24"/>
    <mergeCell ref="W24:Z24"/>
    <mergeCell ref="N27:P27"/>
    <mergeCell ref="Q27:S27"/>
    <mergeCell ref="T27:V27"/>
    <mergeCell ref="W27:Z27"/>
    <mergeCell ref="N28:P28"/>
    <mergeCell ref="Q28:S28"/>
    <mergeCell ref="T28:V28"/>
    <mergeCell ref="W28:Z28"/>
    <mergeCell ref="N25:P25"/>
    <mergeCell ref="Q25:S25"/>
    <mergeCell ref="T25:V25"/>
    <mergeCell ref="W25:Z25"/>
    <mergeCell ref="N26:P26"/>
    <mergeCell ref="Q26:S26"/>
    <mergeCell ref="T26:V26"/>
    <mergeCell ref="W26:Z26"/>
    <mergeCell ref="M33:M34"/>
    <mergeCell ref="N33:O34"/>
    <mergeCell ref="P33:Q33"/>
    <mergeCell ref="R33:S33"/>
    <mergeCell ref="T33:U33"/>
    <mergeCell ref="V33:X33"/>
    <mergeCell ref="P34:Q34"/>
    <mergeCell ref="M29:Z29"/>
    <mergeCell ref="M30:Z30"/>
    <mergeCell ref="M31:M32"/>
    <mergeCell ref="N31:O32"/>
    <mergeCell ref="P31:Q31"/>
    <mergeCell ref="R31:S31"/>
    <mergeCell ref="T31:U31"/>
    <mergeCell ref="V31:X31"/>
    <mergeCell ref="Y31:Z34"/>
    <mergeCell ref="P32:Q32"/>
    <mergeCell ref="R34:S34"/>
    <mergeCell ref="T34:U34"/>
    <mergeCell ref="V34:X34"/>
    <mergeCell ref="V35:X35"/>
    <mergeCell ref="R32:S32"/>
    <mergeCell ref="T32:U32"/>
    <mergeCell ref="V32:X32"/>
    <mergeCell ref="N37:O37"/>
    <mergeCell ref="P37:Q37"/>
    <mergeCell ref="R37:S37"/>
    <mergeCell ref="T37:U37"/>
    <mergeCell ref="V37:X37"/>
    <mergeCell ref="Y37:Z37"/>
    <mergeCell ref="Y35:Z35"/>
    <mergeCell ref="N36:O36"/>
    <mergeCell ref="P36:Q36"/>
    <mergeCell ref="R36:S36"/>
    <mergeCell ref="T36:U36"/>
    <mergeCell ref="V36:X36"/>
    <mergeCell ref="Y36:Z36"/>
    <mergeCell ref="N39:O39"/>
    <mergeCell ref="P39:Q39"/>
    <mergeCell ref="R39:S39"/>
    <mergeCell ref="T39:U39"/>
    <mergeCell ref="V39:X39"/>
    <mergeCell ref="Y39:Z39"/>
    <mergeCell ref="N38:O38"/>
    <mergeCell ref="P38:Q38"/>
    <mergeCell ref="R38:S38"/>
    <mergeCell ref="T38:U38"/>
    <mergeCell ref="V38:X38"/>
    <mergeCell ref="Y38:Z38"/>
    <mergeCell ref="N35:O35"/>
    <mergeCell ref="P35:Q35"/>
    <mergeCell ref="R35:S35"/>
    <mergeCell ref="T35:U35"/>
    <mergeCell ref="A43:C43"/>
    <mergeCell ref="M43:M44"/>
    <mergeCell ref="N43:O44"/>
    <mergeCell ref="P43:R44"/>
    <mergeCell ref="X43:Z44"/>
    <mergeCell ref="A44:C44"/>
    <mergeCell ref="M40:Z40"/>
    <mergeCell ref="M41:M42"/>
    <mergeCell ref="N41:O42"/>
    <mergeCell ref="P41:R42"/>
    <mergeCell ref="S41:S44"/>
    <mergeCell ref="T41:W44"/>
    <mergeCell ref="X41:Z42"/>
    <mergeCell ref="P47:R47"/>
    <mergeCell ref="T47:W47"/>
    <mergeCell ref="X47:Z47"/>
    <mergeCell ref="N45:O45"/>
    <mergeCell ref="P45:R45"/>
    <mergeCell ref="T45:W45"/>
    <mergeCell ref="X45:Z45"/>
    <mergeCell ref="A46:F46"/>
    <mergeCell ref="G46:L46"/>
    <mergeCell ref="N46:O46"/>
    <mergeCell ref="P46:R46"/>
    <mergeCell ref="T46:W46"/>
    <mergeCell ref="X46:Z46"/>
    <mergeCell ref="A48:C48"/>
    <mergeCell ref="D48:F48"/>
    <mergeCell ref="A49:C49"/>
    <mergeCell ref="D49:F49"/>
    <mergeCell ref="H49:J49"/>
    <mergeCell ref="K49:L49"/>
    <mergeCell ref="A47:C47"/>
    <mergeCell ref="D47:F47"/>
    <mergeCell ref="N47:O47"/>
    <mergeCell ref="A51:C51"/>
    <mergeCell ref="D51:F51"/>
    <mergeCell ref="A52:C52"/>
    <mergeCell ref="D52:F52"/>
    <mergeCell ref="N49:P49"/>
    <mergeCell ref="Q49:V49"/>
    <mergeCell ref="A50:C50"/>
    <mergeCell ref="D50:F50"/>
    <mergeCell ref="H50:J50"/>
    <mergeCell ref="K50:L50"/>
    <mergeCell ref="S50:T50"/>
  </mergeCells>
  <printOptions horizontalCentered="1"/>
  <pageMargins left="0.39370078740157483" right="0.39370078740157483" top="0.19685039370078741" bottom="0.19685039370078741" header="0" footer="0"/>
  <pageSetup paperSize="9" scale="63" orientation="portrait" horizontalDpi="180" verticalDpi="180" r:id="rId1"/>
  <headerFooter alignWithMargins="0"/>
  <colBreaks count="1" manualBreakCount="1">
    <brk id="12" max="1048575" man="1"/>
  </colBreak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9"/>
  <dimension ref="A1:X51"/>
  <sheetViews>
    <sheetView view="pageBreakPreview" topLeftCell="A4" zoomScale="75" zoomScaleNormal="50" zoomScaleSheetLayoutView="75" workbookViewId="0">
      <selection activeCell="A36" sqref="A36"/>
    </sheetView>
  </sheetViews>
  <sheetFormatPr defaultRowHeight="18.75" x14ac:dyDescent="0.2"/>
  <cols>
    <col min="1" max="1" width="17" style="2" customWidth="1"/>
    <col min="2" max="2" width="15.7109375" style="2" customWidth="1"/>
    <col min="3" max="3" width="6.28515625" style="2" customWidth="1"/>
    <col min="4" max="4" width="22.7109375" style="2" customWidth="1"/>
    <col min="5" max="5" width="3.42578125" style="2" customWidth="1"/>
    <col min="6" max="8" width="9.140625" style="2"/>
    <col min="9" max="9" width="9.7109375" style="2" customWidth="1"/>
    <col min="10" max="10" width="6" style="2" customWidth="1"/>
    <col min="11" max="11" width="6.140625" style="2" customWidth="1"/>
    <col min="12" max="12" width="9.7109375" style="2" customWidth="1"/>
    <col min="13" max="13" width="8.42578125" style="2" customWidth="1"/>
    <col min="14" max="18" width="10.7109375" style="2" customWidth="1"/>
    <col min="19" max="20" width="13.7109375" style="2" customWidth="1"/>
    <col min="21" max="21" width="11.85546875" style="2" customWidth="1"/>
    <col min="22" max="22" width="24" style="2" customWidth="1"/>
    <col min="23" max="23" width="13.28515625" style="2" customWidth="1"/>
    <col min="24" max="28" width="10.28515625" style="2" customWidth="1"/>
    <col min="29" max="16384" width="9.140625" style="2"/>
  </cols>
  <sheetData>
    <row r="1" spans="1:23" ht="26.25" x14ac:dyDescent="0.2">
      <c r="A1" s="115" t="s">
        <v>161</v>
      </c>
      <c r="B1" s="115"/>
      <c r="C1" s="115"/>
      <c r="D1" s="115"/>
      <c r="E1" s="115"/>
      <c r="F1" s="150" t="s">
        <v>154</v>
      </c>
      <c r="G1" s="150"/>
      <c r="H1" s="150"/>
      <c r="I1" s="115" t="s">
        <v>163</v>
      </c>
      <c r="J1" s="115"/>
      <c r="K1" s="115"/>
      <c r="L1" s="115"/>
      <c r="M1" s="123" t="s">
        <v>115</v>
      </c>
      <c r="N1" s="121" t="s">
        <v>116</v>
      </c>
      <c r="O1" s="121"/>
      <c r="P1" s="121"/>
      <c r="Q1" s="121"/>
      <c r="R1" s="219" t="s">
        <v>117</v>
      </c>
      <c r="S1" s="219"/>
      <c r="T1" s="219"/>
      <c r="U1" s="219" t="s">
        <v>118</v>
      </c>
      <c r="V1" s="219"/>
      <c r="W1" s="128"/>
    </row>
    <row r="2" spans="1:23" ht="18.75" customHeight="1" x14ac:dyDescent="0.2">
      <c r="A2" s="146" t="s">
        <v>45</v>
      </c>
      <c r="B2" s="146"/>
      <c r="C2" s="146"/>
      <c r="D2" s="146"/>
      <c r="E2" s="146"/>
      <c r="F2" s="150"/>
      <c r="G2" s="150"/>
      <c r="H2" s="150"/>
      <c r="I2" s="115"/>
      <c r="J2" s="115"/>
      <c r="K2" s="115"/>
      <c r="L2" s="115"/>
      <c r="M2" s="116"/>
      <c r="N2" s="118"/>
      <c r="O2" s="118"/>
      <c r="P2" s="118"/>
      <c r="Q2" s="118"/>
      <c r="R2" s="118" t="s">
        <v>119</v>
      </c>
      <c r="S2" s="118" t="s">
        <v>120</v>
      </c>
      <c r="T2" s="118"/>
      <c r="U2" s="118" t="s">
        <v>119</v>
      </c>
      <c r="V2" s="118" t="s">
        <v>120</v>
      </c>
      <c r="W2" s="125"/>
    </row>
    <row r="3" spans="1:23" ht="21.75" customHeight="1" x14ac:dyDescent="0.2">
      <c r="A3" s="115" t="s">
        <v>162</v>
      </c>
      <c r="B3" s="115"/>
      <c r="C3" s="115"/>
      <c r="D3" s="115"/>
      <c r="E3" s="115"/>
      <c r="F3" s="150" t="s">
        <v>155</v>
      </c>
      <c r="G3" s="150"/>
      <c r="H3" s="150"/>
      <c r="I3" s="115" t="s">
        <v>222</v>
      </c>
      <c r="J3" s="115"/>
      <c r="K3" s="115"/>
      <c r="L3" s="115"/>
      <c r="M3" s="117"/>
      <c r="N3" s="119"/>
      <c r="O3" s="119"/>
      <c r="P3" s="119"/>
      <c r="Q3" s="119"/>
      <c r="R3" s="119"/>
      <c r="S3" s="119" t="s">
        <v>121</v>
      </c>
      <c r="T3" s="119"/>
      <c r="U3" s="119"/>
      <c r="V3" s="119" t="s">
        <v>121</v>
      </c>
      <c r="W3" s="127"/>
    </row>
    <row r="4" spans="1:23" ht="29.25" customHeight="1" x14ac:dyDescent="0.2">
      <c r="A4" s="146" t="s">
        <v>46</v>
      </c>
      <c r="B4" s="146"/>
      <c r="C4" s="146"/>
      <c r="D4" s="146"/>
      <c r="E4" s="146"/>
      <c r="F4" s="150"/>
      <c r="G4" s="150"/>
      <c r="H4" s="150"/>
      <c r="I4" s="115"/>
      <c r="J4" s="115"/>
      <c r="K4" s="115"/>
      <c r="L4" s="115"/>
      <c r="M4" s="9"/>
      <c r="N4" s="216" t="s">
        <v>122</v>
      </c>
      <c r="O4" s="216"/>
      <c r="P4" s="216"/>
      <c r="Q4" s="216"/>
      <c r="R4" s="7"/>
      <c r="S4" s="8"/>
      <c r="T4" s="7"/>
      <c r="U4" s="7"/>
      <c r="V4" s="7"/>
      <c r="W4" s="18"/>
    </row>
    <row r="5" spans="1:23" ht="18" customHeight="1" x14ac:dyDescent="0.2">
      <c r="A5" s="230" t="s">
        <v>176</v>
      </c>
      <c r="B5" s="230"/>
      <c r="C5" s="230"/>
      <c r="D5" s="230"/>
      <c r="E5" s="230"/>
      <c r="F5" s="150" t="s">
        <v>156</v>
      </c>
      <c r="G5" s="150"/>
      <c r="H5" s="150"/>
      <c r="I5" s="115" t="s">
        <v>249</v>
      </c>
      <c r="J5" s="115"/>
      <c r="K5" s="115"/>
      <c r="L5" s="115"/>
      <c r="M5" s="9"/>
      <c r="N5" s="217" t="s">
        <v>123</v>
      </c>
      <c r="O5" s="217"/>
      <c r="P5" s="217"/>
      <c r="Q5" s="217"/>
      <c r="R5" s="7"/>
      <c r="S5" s="8"/>
      <c r="T5" s="7"/>
      <c r="U5" s="7"/>
      <c r="V5" s="7"/>
      <c r="W5" s="18"/>
    </row>
    <row r="6" spans="1:23" x14ac:dyDescent="0.2">
      <c r="A6" s="146" t="s">
        <v>47</v>
      </c>
      <c r="B6" s="146"/>
      <c r="C6" s="146"/>
      <c r="D6" s="146"/>
      <c r="E6" s="146"/>
      <c r="F6" s="150"/>
      <c r="G6" s="150"/>
      <c r="H6" s="150"/>
      <c r="I6" s="115"/>
      <c r="J6" s="115"/>
      <c r="K6" s="115"/>
      <c r="L6" s="115"/>
      <c r="M6" s="9"/>
      <c r="N6" s="217" t="s">
        <v>124</v>
      </c>
      <c r="O6" s="217"/>
      <c r="P6" s="217"/>
      <c r="Q6" s="217"/>
      <c r="R6" s="7"/>
      <c r="S6" s="8"/>
      <c r="T6" s="7"/>
      <c r="U6" s="7"/>
      <c r="V6" s="7"/>
      <c r="W6" s="18"/>
    </row>
    <row r="7" spans="1:23" x14ac:dyDescent="0.2">
      <c r="A7" s="122"/>
      <c r="B7" s="122"/>
      <c r="C7" s="122"/>
      <c r="D7" s="122"/>
      <c r="E7" s="122"/>
      <c r="F7" s="122"/>
      <c r="G7" s="122"/>
      <c r="H7" s="122"/>
      <c r="I7" s="122"/>
      <c r="J7" s="122"/>
      <c r="K7" s="122"/>
      <c r="L7" s="122"/>
      <c r="M7" s="9"/>
      <c r="N7" s="218" t="s">
        <v>125</v>
      </c>
      <c r="O7" s="218"/>
      <c r="P7" s="218"/>
      <c r="Q7" s="218"/>
      <c r="R7" s="7"/>
      <c r="S7" s="8"/>
      <c r="T7" s="7"/>
      <c r="U7" s="7"/>
      <c r="V7" s="7"/>
      <c r="W7" s="18"/>
    </row>
    <row r="8" spans="1:23" ht="22.5" x14ac:dyDescent="0.2">
      <c r="A8" s="143" t="s">
        <v>0</v>
      </c>
      <c r="B8" s="143"/>
      <c r="C8" s="143"/>
      <c r="D8" s="143"/>
      <c r="E8" s="143"/>
      <c r="F8" s="143"/>
      <c r="G8" s="143"/>
      <c r="H8" s="143"/>
      <c r="I8" s="143"/>
      <c r="J8" s="143"/>
      <c r="K8" s="143"/>
      <c r="L8" s="143"/>
      <c r="M8" s="9"/>
      <c r="N8" s="217" t="s">
        <v>126</v>
      </c>
      <c r="O8" s="217"/>
      <c r="P8" s="217"/>
      <c r="Q8" s="217"/>
      <c r="R8" s="7"/>
      <c r="S8" s="8"/>
      <c r="T8" s="7"/>
      <c r="U8" s="7"/>
      <c r="V8" s="7"/>
      <c r="W8" s="18"/>
    </row>
    <row r="9" spans="1:23" ht="18.75" customHeight="1" x14ac:dyDescent="0.2">
      <c r="A9" s="220" t="s">
        <v>152</v>
      </c>
      <c r="B9" s="220"/>
      <c r="C9" s="220"/>
      <c r="D9" s="220"/>
      <c r="E9" s="220"/>
      <c r="F9" s="162" t="s">
        <v>407</v>
      </c>
      <c r="G9" s="163"/>
      <c r="H9" s="163"/>
      <c r="I9" s="138" t="s">
        <v>369</v>
      </c>
      <c r="J9" s="138"/>
      <c r="K9" s="138"/>
      <c r="L9" s="138"/>
      <c r="M9" s="138"/>
      <c r="N9" s="217" t="s">
        <v>127</v>
      </c>
      <c r="O9" s="217"/>
      <c r="P9" s="217"/>
      <c r="Q9" s="217"/>
      <c r="R9" s="7"/>
      <c r="S9" s="8"/>
      <c r="T9" s="7"/>
      <c r="U9" s="7"/>
      <c r="V9" s="7"/>
      <c r="W9" s="18"/>
    </row>
    <row r="10" spans="1:23" ht="19.5" customHeight="1" x14ac:dyDescent="0.2">
      <c r="A10" s="220" t="s">
        <v>151</v>
      </c>
      <c r="B10" s="220"/>
      <c r="C10" s="163" t="s">
        <v>248</v>
      </c>
      <c r="D10" s="163"/>
      <c r="E10" s="163"/>
      <c r="F10" s="163"/>
      <c r="G10" s="163"/>
      <c r="H10" s="163"/>
      <c r="I10" s="3"/>
      <c r="J10" s="3"/>
      <c r="K10" s="3"/>
      <c r="L10" s="3"/>
      <c r="M10" s="9"/>
      <c r="N10" s="218" t="s">
        <v>128</v>
      </c>
      <c r="O10" s="218"/>
      <c r="P10" s="218"/>
      <c r="Q10" s="218"/>
      <c r="R10" s="7"/>
      <c r="S10" s="8"/>
      <c r="T10" s="7"/>
      <c r="U10" s="7"/>
      <c r="V10" s="7"/>
      <c r="W10" s="18"/>
    </row>
    <row r="11" spans="1:23" x14ac:dyDescent="0.2">
      <c r="A11" s="215" t="s">
        <v>1</v>
      </c>
      <c r="B11" s="215"/>
      <c r="C11" s="215"/>
      <c r="D11" s="215"/>
      <c r="E11" s="215"/>
      <c r="F11" s="215"/>
      <c r="G11" s="215"/>
      <c r="H11" s="215"/>
      <c r="I11" s="215"/>
      <c r="J11" s="215"/>
      <c r="K11" s="215"/>
      <c r="L11" s="215"/>
      <c r="M11" s="9"/>
      <c r="N11" s="223" t="s">
        <v>129</v>
      </c>
      <c r="O11" s="223"/>
      <c r="P11" s="223"/>
      <c r="Q11" s="223"/>
      <c r="R11" s="7"/>
      <c r="S11" s="8">
        <v>1125</v>
      </c>
      <c r="T11" s="7"/>
      <c r="U11" s="7"/>
      <c r="V11" s="7">
        <v>200</v>
      </c>
      <c r="W11" s="18"/>
    </row>
    <row r="12" spans="1:23" ht="20.100000000000001" customHeight="1" x14ac:dyDescent="0.2">
      <c r="A12" s="129" t="s">
        <v>2</v>
      </c>
      <c r="B12" s="219" t="s">
        <v>36</v>
      </c>
      <c r="C12" s="219"/>
      <c r="D12" s="219"/>
      <c r="E12" s="219"/>
      <c r="F12" s="219" t="s">
        <v>5</v>
      </c>
      <c r="G12" s="219"/>
      <c r="H12" s="124" t="s">
        <v>34</v>
      </c>
      <c r="I12" s="131"/>
      <c r="J12" s="131"/>
      <c r="K12" s="131"/>
      <c r="L12" s="131"/>
      <c r="N12" s="1"/>
      <c r="O12" s="1"/>
      <c r="P12" s="1"/>
      <c r="Q12" s="1"/>
    </row>
    <row r="13" spans="1:23" ht="20.100000000000001" customHeight="1" x14ac:dyDescent="0.2">
      <c r="A13" s="129"/>
      <c r="B13" s="219" t="s">
        <v>3</v>
      </c>
      <c r="C13" s="219"/>
      <c r="D13" s="219" t="s">
        <v>4</v>
      </c>
      <c r="E13" s="219"/>
      <c r="F13" s="219"/>
      <c r="G13" s="219"/>
      <c r="H13" s="127" t="s">
        <v>35</v>
      </c>
      <c r="I13" s="130"/>
      <c r="J13" s="130"/>
      <c r="K13" s="130"/>
      <c r="L13" s="130"/>
    </row>
    <row r="14" spans="1:23" ht="20.100000000000001" customHeight="1" x14ac:dyDescent="0.2">
      <c r="A14" s="5" t="s">
        <v>6</v>
      </c>
      <c r="B14" s="7"/>
      <c r="C14" s="5"/>
      <c r="D14" s="120"/>
      <c r="E14" s="120"/>
      <c r="F14" s="221" t="str">
        <f>IF(OR(B14="",D14=""),"",IF(ISERROR(D14/B14),IF(D14=0,0,""),D14/B14))</f>
        <v/>
      </c>
      <c r="G14" s="221"/>
      <c r="H14" s="120"/>
      <c r="I14" s="120"/>
      <c r="J14" s="120"/>
      <c r="K14" s="120"/>
      <c r="L14" s="120"/>
      <c r="M14" s="129" t="s">
        <v>115</v>
      </c>
      <c r="N14" s="219" t="s">
        <v>116</v>
      </c>
      <c r="O14" s="219"/>
      <c r="P14" s="219"/>
      <c r="Q14" s="219"/>
      <c r="R14" s="219" t="s">
        <v>117</v>
      </c>
      <c r="S14" s="219"/>
      <c r="T14" s="219"/>
      <c r="U14" s="219" t="s">
        <v>130</v>
      </c>
      <c r="V14" s="219" t="s">
        <v>69</v>
      </c>
      <c r="W14" s="128" t="s">
        <v>131</v>
      </c>
    </row>
    <row r="15" spans="1:23" ht="20.100000000000001" customHeight="1" x14ac:dyDescent="0.2">
      <c r="A15" s="5" t="s">
        <v>7</v>
      </c>
      <c r="B15" s="5"/>
      <c r="C15" s="5"/>
      <c r="D15" s="219"/>
      <c r="E15" s="219"/>
      <c r="F15" s="221" t="str">
        <f t="shared" ref="F15:F39" si="0">IF(OR(B15="",D15=""),"",IF(ISERROR(D15/B15),IF(D15=0,0,""),D15/B15))</f>
        <v/>
      </c>
      <c r="G15" s="221"/>
      <c r="H15" s="120"/>
      <c r="I15" s="120"/>
      <c r="J15" s="120"/>
      <c r="K15" s="120"/>
      <c r="L15" s="120"/>
      <c r="M15" s="129"/>
      <c r="N15" s="219"/>
      <c r="O15" s="219"/>
      <c r="P15" s="219"/>
      <c r="Q15" s="219"/>
      <c r="R15" s="224" t="s">
        <v>130</v>
      </c>
      <c r="S15" s="219" t="s">
        <v>69</v>
      </c>
      <c r="T15" s="219" t="s">
        <v>131</v>
      </c>
      <c r="U15" s="219"/>
      <c r="V15" s="219"/>
      <c r="W15" s="128"/>
    </row>
    <row r="16" spans="1:23" ht="20.100000000000001" customHeight="1" x14ac:dyDescent="0.2">
      <c r="A16" s="5" t="s">
        <v>8</v>
      </c>
      <c r="B16" s="21">
        <f>'Ячейка 24'!D19+'Ячейка 2'!D19</f>
        <v>4267.7999999723397</v>
      </c>
      <c r="C16" s="21"/>
      <c r="D16" s="225">
        <f>'Ячейка 24'!H19+'Ячейка 2'!H19</f>
        <v>1796.3999999910811</v>
      </c>
      <c r="E16" s="225"/>
      <c r="F16" s="221">
        <f t="shared" si="0"/>
        <v>0.42091944327351888</v>
      </c>
      <c r="G16" s="221"/>
      <c r="H16" s="120"/>
      <c r="I16" s="120"/>
      <c r="J16" s="120"/>
      <c r="K16" s="120"/>
      <c r="L16" s="120"/>
      <c r="M16" s="129"/>
      <c r="N16" s="219"/>
      <c r="O16" s="219"/>
      <c r="P16" s="219"/>
      <c r="Q16" s="219"/>
      <c r="R16" s="224"/>
      <c r="S16" s="219"/>
      <c r="T16" s="219"/>
      <c r="U16" s="219"/>
      <c r="V16" s="219"/>
      <c r="W16" s="128"/>
    </row>
    <row r="17" spans="1:23" ht="20.100000000000001" customHeight="1" x14ac:dyDescent="0.2">
      <c r="A17" s="5" t="s">
        <v>9</v>
      </c>
      <c r="B17" s="21">
        <f>'Ячейка 24'!D20+'Ячейка 2'!D20</f>
        <v>4179.6000000067579</v>
      </c>
      <c r="C17" s="21"/>
      <c r="D17" s="225">
        <f>'Ячейка 24'!H20+'Ячейка 2'!H20</f>
        <v>1769.4000000183223</v>
      </c>
      <c r="E17" s="225"/>
      <c r="F17" s="221">
        <f t="shared" si="0"/>
        <v>0.4233419466014598</v>
      </c>
      <c r="G17" s="221"/>
      <c r="H17" s="120"/>
      <c r="I17" s="120"/>
      <c r="J17" s="120"/>
      <c r="K17" s="120"/>
      <c r="L17" s="120"/>
      <c r="M17" s="129"/>
      <c r="N17" s="219"/>
      <c r="O17" s="219"/>
      <c r="P17" s="219"/>
      <c r="Q17" s="219"/>
      <c r="R17" s="224"/>
      <c r="S17" s="219"/>
      <c r="T17" s="219"/>
      <c r="U17" s="219"/>
      <c r="V17" s="219"/>
      <c r="W17" s="128"/>
    </row>
    <row r="18" spans="1:23" ht="20.100000000000001" customHeight="1" x14ac:dyDescent="0.2">
      <c r="A18" s="5" t="s">
        <v>10</v>
      </c>
      <c r="B18" s="21">
        <f>'Ячейка 24'!D21+'Ячейка 2'!D21</f>
        <v>4102.2000000139087</v>
      </c>
      <c r="C18" s="21"/>
      <c r="D18" s="225">
        <f>'Ячейка 24'!H21+'Ячейка 2'!H21</f>
        <v>1756.7999999928361</v>
      </c>
      <c r="E18" s="225"/>
      <c r="F18" s="221">
        <f t="shared" si="0"/>
        <v>0.42825800789500257</v>
      </c>
      <c r="G18" s="221"/>
      <c r="H18" s="120"/>
      <c r="I18" s="120"/>
      <c r="J18" s="120"/>
      <c r="K18" s="120"/>
      <c r="L18" s="120"/>
      <c r="M18" s="129"/>
      <c r="N18" s="219"/>
      <c r="O18" s="219"/>
      <c r="P18" s="219"/>
      <c r="Q18" s="219"/>
      <c r="R18" s="224"/>
      <c r="S18" s="219"/>
      <c r="T18" s="219"/>
      <c r="U18" s="219"/>
      <c r="V18" s="219"/>
      <c r="W18" s="128"/>
    </row>
    <row r="19" spans="1:23" ht="20.100000000000001" customHeight="1" x14ac:dyDescent="0.2">
      <c r="A19" s="5" t="s">
        <v>11</v>
      </c>
      <c r="B19" s="21">
        <f>'Ячейка 24'!D22+'Ячейка 2'!D22</f>
        <v>4206.5999999795167</v>
      </c>
      <c r="C19" s="21"/>
      <c r="D19" s="225">
        <f>'Ячейка 24'!H22+'Ячейка 2'!H22</f>
        <v>1839.5999999966079</v>
      </c>
      <c r="E19" s="225"/>
      <c r="F19" s="221">
        <f t="shared" si="0"/>
        <v>0.43731279418189645</v>
      </c>
      <c r="G19" s="221"/>
      <c r="H19" s="120"/>
      <c r="I19" s="120"/>
      <c r="J19" s="120"/>
      <c r="K19" s="120"/>
      <c r="L19" s="120"/>
      <c r="M19" s="9"/>
      <c r="N19" s="216" t="s">
        <v>132</v>
      </c>
      <c r="O19" s="216"/>
      <c r="P19" s="216"/>
      <c r="Q19" s="216"/>
      <c r="R19" s="7"/>
      <c r="S19" s="7"/>
      <c r="T19" s="7"/>
      <c r="U19" s="7"/>
      <c r="V19" s="7"/>
      <c r="W19" s="8"/>
    </row>
    <row r="20" spans="1:23" ht="20.100000000000001" customHeight="1" x14ac:dyDescent="0.2">
      <c r="A20" s="5" t="s">
        <v>12</v>
      </c>
      <c r="B20" s="21">
        <f>'Ячейка 24'!D23+'Ячейка 2'!D23</f>
        <v>4213.8000000104512</v>
      </c>
      <c r="C20" s="21"/>
      <c r="D20" s="225">
        <f>'Ячейка 24'!H23+'Ячейка 2'!H23</f>
        <v>1881.0000000148648</v>
      </c>
      <c r="E20" s="225"/>
      <c r="F20" s="221">
        <f t="shared" si="0"/>
        <v>0.44639043144197627</v>
      </c>
      <c r="G20" s="221"/>
      <c r="H20" s="120"/>
      <c r="I20" s="120"/>
      <c r="J20" s="120"/>
      <c r="K20" s="120"/>
      <c r="L20" s="120"/>
      <c r="M20" s="9"/>
      <c r="N20" s="217" t="s">
        <v>133</v>
      </c>
      <c r="O20" s="217"/>
      <c r="P20" s="217"/>
      <c r="Q20" s="217"/>
      <c r="R20" s="7"/>
      <c r="S20" s="7">
        <v>1240</v>
      </c>
      <c r="T20" s="7"/>
      <c r="U20" s="7"/>
      <c r="V20" s="7">
        <v>500</v>
      </c>
      <c r="W20" s="8"/>
    </row>
    <row r="21" spans="1:23" ht="20.100000000000001" customHeight="1" x14ac:dyDescent="0.2">
      <c r="A21" s="5" t="s">
        <v>13</v>
      </c>
      <c r="B21" s="21">
        <f>'Ячейка 24'!D24+'Ячейка 2'!D24</f>
        <v>4231.7999999977474</v>
      </c>
      <c r="C21" s="21"/>
      <c r="D21" s="225">
        <f>'Ячейка 24'!H24+'Ячейка 2'!H24</f>
        <v>1837.7999999929671</v>
      </c>
      <c r="E21" s="225"/>
      <c r="F21" s="221">
        <f t="shared" si="0"/>
        <v>0.4342832837076292</v>
      </c>
      <c r="G21" s="221"/>
      <c r="H21" s="120"/>
      <c r="I21" s="120"/>
      <c r="J21" s="120"/>
      <c r="K21" s="120"/>
      <c r="L21" s="120"/>
      <c r="M21" s="9"/>
      <c r="N21" s="222" t="s">
        <v>134</v>
      </c>
      <c r="O21" s="222"/>
      <c r="P21" s="222"/>
      <c r="Q21" s="222"/>
      <c r="R21" s="7"/>
      <c r="S21" s="7">
        <v>1392</v>
      </c>
      <c r="T21" s="7"/>
      <c r="U21" s="7"/>
      <c r="V21" s="7">
        <v>0</v>
      </c>
      <c r="W21" s="8"/>
    </row>
    <row r="22" spans="1:23" ht="20.100000000000001" customHeight="1" x14ac:dyDescent="0.2">
      <c r="A22" s="5" t="s">
        <v>14</v>
      </c>
      <c r="B22" s="21">
        <f>'Ячейка 24'!D25+'Ячейка 2'!D25</f>
        <v>4312.8000000142492</v>
      </c>
      <c r="C22" s="21"/>
      <c r="D22" s="225">
        <f>'Ячейка 24'!H25+'Ячейка 2'!H25</f>
        <v>1773.0000000010477</v>
      </c>
      <c r="E22" s="225"/>
      <c r="F22" s="221">
        <f t="shared" si="0"/>
        <v>0.41110183639287468</v>
      </c>
      <c r="G22" s="221"/>
      <c r="H22" s="120"/>
      <c r="I22" s="120"/>
      <c r="J22" s="120"/>
      <c r="K22" s="120"/>
      <c r="L22" s="120"/>
    </row>
    <row r="23" spans="1:23" ht="20.100000000000001" customHeight="1" x14ac:dyDescent="0.2">
      <c r="A23" s="5" t="s">
        <v>15</v>
      </c>
      <c r="B23" s="21">
        <f>'Ячейка 24'!D26+'Ячейка 2'!D26</f>
        <v>4571.9999999982974</v>
      </c>
      <c r="C23" s="21"/>
      <c r="D23" s="225">
        <f>'Ячейка 24'!H26+'Ячейка 2'!H26</f>
        <v>1767.5999999901251</v>
      </c>
      <c r="E23" s="225"/>
      <c r="F23" s="221">
        <f t="shared" si="0"/>
        <v>0.38661417322633057</v>
      </c>
      <c r="G23" s="221"/>
      <c r="H23" s="120"/>
      <c r="I23" s="120"/>
      <c r="J23" s="120"/>
      <c r="K23" s="120"/>
      <c r="L23" s="120"/>
    </row>
    <row r="24" spans="1:23" ht="20.100000000000001" customHeight="1" x14ac:dyDescent="0.2">
      <c r="A24" s="5" t="s">
        <v>16</v>
      </c>
      <c r="B24" s="21">
        <f>'Ячейка 24'!D27+'Ячейка 2'!D27</f>
        <v>4917.5999999933993</v>
      </c>
      <c r="C24" s="21"/>
      <c r="D24" s="225">
        <f>'Ячейка 24'!H27+'Ячейка 2'!H27</f>
        <v>1949.399999997695</v>
      </c>
      <c r="E24" s="225"/>
      <c r="F24" s="221">
        <f t="shared" si="0"/>
        <v>0.39641288433388472</v>
      </c>
      <c r="G24" s="221"/>
      <c r="H24" s="120"/>
      <c r="I24" s="120"/>
      <c r="J24" s="120"/>
      <c r="K24" s="120"/>
      <c r="L24" s="120"/>
      <c r="N24" s="145" t="s">
        <v>135</v>
      </c>
      <c r="O24" s="145"/>
      <c r="P24" s="145"/>
      <c r="Q24" s="145"/>
      <c r="R24" s="145"/>
      <c r="S24" s="145"/>
      <c r="T24" s="145"/>
      <c r="U24" s="145"/>
      <c r="V24" s="145"/>
    </row>
    <row r="25" spans="1:23" ht="20.100000000000001" customHeight="1" x14ac:dyDescent="0.2">
      <c r="A25" s="5" t="s">
        <v>17</v>
      </c>
      <c r="B25" s="21">
        <f>'Ячейка 24'!D28+'Ячейка 2'!D28</f>
        <v>5264.999999992142</v>
      </c>
      <c r="C25" s="21"/>
      <c r="D25" s="225">
        <f>'Ячейка 24'!H28+'Ячейка 2'!H28</f>
        <v>2145.6000000098356</v>
      </c>
      <c r="E25" s="225"/>
      <c r="F25" s="221">
        <f t="shared" si="0"/>
        <v>0.40752136752384388</v>
      </c>
      <c r="G25" s="221"/>
      <c r="H25" s="120"/>
      <c r="I25" s="120"/>
      <c r="J25" s="120"/>
      <c r="K25" s="120"/>
      <c r="L25" s="120"/>
      <c r="N25" s="17" t="s">
        <v>136</v>
      </c>
      <c r="O25" s="145" t="s">
        <v>137</v>
      </c>
      <c r="P25" s="145"/>
      <c r="Q25" s="145"/>
      <c r="R25" s="145"/>
      <c r="S25" s="145"/>
      <c r="T25" s="145"/>
      <c r="U25" s="145"/>
      <c r="V25" s="145"/>
    </row>
    <row r="26" spans="1:23" ht="20.100000000000001" customHeight="1" x14ac:dyDescent="0.2">
      <c r="A26" s="5" t="s">
        <v>18</v>
      </c>
      <c r="B26" s="21">
        <f>'Ячейка 24'!D29+'Ячейка 2'!D29</f>
        <v>5187.5999999992928</v>
      </c>
      <c r="C26" s="21"/>
      <c r="D26" s="225">
        <f>'Ячейка 24'!H29+'Ячейка 2'!H29</f>
        <v>2168.9999999916836</v>
      </c>
      <c r="E26" s="225"/>
      <c r="F26" s="221">
        <f t="shared" si="0"/>
        <v>0.41811242192766968</v>
      </c>
      <c r="G26" s="221"/>
      <c r="H26" s="120"/>
      <c r="I26" s="120"/>
      <c r="J26" s="120"/>
      <c r="K26" s="120"/>
      <c r="L26" s="120"/>
      <c r="N26" s="17" t="s">
        <v>138</v>
      </c>
      <c r="O26" s="145" t="s">
        <v>180</v>
      </c>
      <c r="P26" s="145"/>
      <c r="Q26" s="145"/>
      <c r="R26" s="145"/>
      <c r="S26" s="145"/>
      <c r="T26" s="145"/>
      <c r="U26" s="145"/>
      <c r="V26" s="145"/>
    </row>
    <row r="27" spans="1:23" ht="20.100000000000001" customHeight="1" x14ac:dyDescent="0.2">
      <c r="A27" s="5" t="s">
        <v>19</v>
      </c>
      <c r="B27" s="21">
        <f>'Ячейка 24'!D30+'Ячейка 2'!D30</f>
        <v>5097.5999999973283</v>
      </c>
      <c r="C27" s="21"/>
      <c r="D27" s="225">
        <f>'Ячейка 24'!H30+'Ячейка 2'!H30</f>
        <v>2185.2000000080807</v>
      </c>
      <c r="E27" s="225"/>
      <c r="F27" s="221">
        <f t="shared" si="0"/>
        <v>0.42867231638599068</v>
      </c>
      <c r="G27" s="221"/>
      <c r="H27" s="120"/>
      <c r="I27" s="120"/>
      <c r="J27" s="120"/>
      <c r="K27" s="120"/>
      <c r="L27" s="120"/>
      <c r="N27" s="17" t="s">
        <v>139</v>
      </c>
      <c r="O27" s="145" t="s">
        <v>140</v>
      </c>
      <c r="P27" s="145"/>
      <c r="Q27" s="145"/>
      <c r="R27" s="145"/>
      <c r="S27" s="145"/>
      <c r="T27" s="145"/>
      <c r="U27" s="145"/>
      <c r="V27" s="145"/>
    </row>
    <row r="28" spans="1:23" ht="20.100000000000001" customHeight="1" x14ac:dyDescent="0.2">
      <c r="A28" s="5" t="s">
        <v>20</v>
      </c>
      <c r="B28" s="21">
        <f>'Ячейка 24'!D31+'Ячейка 2'!D31</f>
        <v>4915.8000000061293</v>
      </c>
      <c r="C28" s="21"/>
      <c r="D28" s="225">
        <f>'Ячейка 24'!H31+'Ячейка 2'!H31</f>
        <v>2113.1999999934123</v>
      </c>
      <c r="E28" s="225"/>
      <c r="F28" s="221">
        <f t="shared" si="0"/>
        <v>0.42987916513909791</v>
      </c>
      <c r="G28" s="221"/>
      <c r="H28" s="120"/>
      <c r="I28" s="120"/>
      <c r="J28" s="120"/>
      <c r="K28" s="120"/>
      <c r="L28" s="120"/>
      <c r="N28" s="17"/>
      <c r="O28" s="145" t="s">
        <v>141</v>
      </c>
      <c r="P28" s="145"/>
      <c r="Q28" s="145"/>
      <c r="R28" s="145"/>
      <c r="S28" s="145"/>
      <c r="T28" s="145"/>
      <c r="U28" s="145"/>
      <c r="V28" s="145"/>
    </row>
    <row r="29" spans="1:23" ht="20.100000000000001" customHeight="1" x14ac:dyDescent="0.2">
      <c r="A29" s="5" t="s">
        <v>21</v>
      </c>
      <c r="B29" s="21">
        <f>'Ячейка 24'!D32+'Ячейка 2'!D32</f>
        <v>5111.9999999937136</v>
      </c>
      <c r="C29" s="21"/>
      <c r="D29" s="225">
        <f>'Ячейка 24'!H32+'Ячейка 2'!H32</f>
        <v>2275.2000000018597</v>
      </c>
      <c r="E29" s="225"/>
      <c r="F29" s="221">
        <f t="shared" si="0"/>
        <v>0.44507042253612239</v>
      </c>
      <c r="G29" s="221"/>
      <c r="H29" s="120"/>
      <c r="I29" s="120"/>
      <c r="J29" s="120"/>
      <c r="K29" s="120"/>
      <c r="L29" s="120"/>
      <c r="N29" s="17"/>
      <c r="O29" s="145" t="s">
        <v>142</v>
      </c>
      <c r="P29" s="145"/>
      <c r="Q29" s="145"/>
      <c r="R29" s="145"/>
      <c r="S29" s="145"/>
      <c r="T29" s="145"/>
      <c r="U29" s="145"/>
      <c r="V29" s="145"/>
    </row>
    <row r="30" spans="1:23" ht="20.100000000000001" customHeight="1" x14ac:dyDescent="0.2">
      <c r="A30" s="5" t="s">
        <v>22</v>
      </c>
      <c r="B30" s="21">
        <f>'Ячейка 24'!D33+'Ячейка 2'!D33</f>
        <v>5097.6000000136992</v>
      </c>
      <c r="C30" s="21"/>
      <c r="D30" s="225">
        <f>'Ячейка 24'!H33+'Ячейка 2'!H33</f>
        <v>2284.2000000036933</v>
      </c>
      <c r="E30" s="225"/>
      <c r="F30" s="221">
        <f t="shared" si="0"/>
        <v>0.44809322033850335</v>
      </c>
      <c r="G30" s="221"/>
      <c r="H30" s="120"/>
      <c r="I30" s="120"/>
      <c r="J30" s="120"/>
      <c r="K30" s="120"/>
      <c r="L30" s="120"/>
      <c r="N30" s="17" t="s">
        <v>143</v>
      </c>
      <c r="O30" s="145" t="s">
        <v>144</v>
      </c>
      <c r="P30" s="145"/>
      <c r="Q30" s="145"/>
      <c r="R30" s="145"/>
      <c r="S30" s="145"/>
      <c r="T30" s="145"/>
      <c r="U30" s="145"/>
      <c r="V30" s="145"/>
    </row>
    <row r="31" spans="1:23" ht="20.100000000000001" customHeight="1" x14ac:dyDescent="0.2">
      <c r="A31" s="5" t="s">
        <v>23</v>
      </c>
      <c r="B31" s="21">
        <f>'Ячейка 24'!D34+'Ячейка 2'!D34</f>
        <v>5094.0000000064174</v>
      </c>
      <c r="C31" s="21"/>
      <c r="D31" s="225">
        <f>'Ячейка 24'!H34+'Ячейка 2'!H34</f>
        <v>2282.4000000000524</v>
      </c>
      <c r="E31" s="225"/>
      <c r="F31" s="221">
        <f t="shared" si="0"/>
        <v>0.44805653710191934</v>
      </c>
      <c r="G31" s="221"/>
      <c r="H31" s="120"/>
      <c r="I31" s="120"/>
      <c r="J31" s="120"/>
      <c r="K31" s="120"/>
      <c r="L31" s="120"/>
      <c r="N31" s="17"/>
      <c r="O31" s="145" t="s">
        <v>145</v>
      </c>
      <c r="P31" s="145"/>
      <c r="Q31" s="145"/>
      <c r="R31" s="145"/>
      <c r="S31" s="145"/>
      <c r="T31" s="145"/>
      <c r="U31" s="145"/>
      <c r="V31" s="145"/>
    </row>
    <row r="32" spans="1:23" ht="20.100000000000001" customHeight="1" x14ac:dyDescent="0.2">
      <c r="A32" s="5" t="s">
        <v>24</v>
      </c>
      <c r="B32" s="21">
        <f>'Ячейка 24'!D35+'Ячейка 2'!D35</f>
        <v>4935.5999999806954</v>
      </c>
      <c r="C32" s="21"/>
      <c r="D32" s="225">
        <f>'Ячейка 24'!H35+'Ячейка 2'!H35</f>
        <v>2028.5999999941851</v>
      </c>
      <c r="E32" s="225"/>
      <c r="F32" s="221">
        <f t="shared" si="0"/>
        <v>0.41101385849787653</v>
      </c>
      <c r="G32" s="221"/>
      <c r="H32" s="120"/>
      <c r="I32" s="120"/>
      <c r="J32" s="120"/>
      <c r="K32" s="120"/>
      <c r="L32" s="120"/>
      <c r="N32" s="17" t="s">
        <v>146</v>
      </c>
      <c r="O32" s="145" t="s">
        <v>147</v>
      </c>
      <c r="P32" s="145"/>
      <c r="Q32" s="145"/>
      <c r="R32" s="145"/>
      <c r="S32" s="145"/>
      <c r="T32" s="145"/>
      <c r="U32" s="145"/>
      <c r="V32" s="145"/>
    </row>
    <row r="33" spans="1:24" ht="20.100000000000001" customHeight="1" x14ac:dyDescent="0.2">
      <c r="A33" s="5" t="s">
        <v>25</v>
      </c>
      <c r="B33" s="21">
        <f>'Ячейка 24'!D36+'Ячейка 2'!D36</f>
        <v>4793.4000000041124</v>
      </c>
      <c r="C33" s="21"/>
      <c r="D33" s="225">
        <f>'Ячейка 24'!H36+'Ячейка 2'!H36</f>
        <v>1949.399999997695</v>
      </c>
      <c r="E33" s="225"/>
      <c r="F33" s="221">
        <f t="shared" si="0"/>
        <v>0.40668419076146839</v>
      </c>
      <c r="G33" s="221"/>
      <c r="H33" s="120"/>
      <c r="I33" s="120"/>
      <c r="J33" s="120"/>
      <c r="K33" s="120"/>
      <c r="L33" s="120"/>
      <c r="N33" s="17" t="s">
        <v>148</v>
      </c>
      <c r="O33" s="145" t="s">
        <v>149</v>
      </c>
      <c r="P33" s="145"/>
      <c r="Q33" s="145"/>
      <c r="R33" s="145"/>
      <c r="S33" s="145"/>
      <c r="T33" s="145"/>
      <c r="U33" s="145"/>
      <c r="V33" s="145"/>
    </row>
    <row r="34" spans="1:24" ht="20.100000000000001" customHeight="1" x14ac:dyDescent="0.2">
      <c r="A34" s="5" t="s">
        <v>26</v>
      </c>
      <c r="B34" s="21">
        <f>'Ячейка 24'!D37+'Ячейка 2'!D37</f>
        <v>4577.3999999928492</v>
      </c>
      <c r="C34" s="21"/>
      <c r="D34" s="225">
        <f>'Ячейка 24'!H37+'Ячейка 2'!H37</f>
        <v>1706.4000000054875</v>
      </c>
      <c r="E34" s="225"/>
      <c r="F34" s="221">
        <f t="shared" si="0"/>
        <v>0.37278804561719608</v>
      </c>
      <c r="G34" s="221"/>
      <c r="H34" s="120"/>
      <c r="I34" s="120"/>
      <c r="J34" s="120"/>
      <c r="K34" s="120"/>
      <c r="L34" s="120"/>
    </row>
    <row r="35" spans="1:24" ht="20.100000000000001" customHeight="1" x14ac:dyDescent="0.2">
      <c r="A35" s="5" t="s">
        <v>27</v>
      </c>
      <c r="B35" s="21">
        <f>'Ячейка 24'!D38+'Ячейка 2'!D38</f>
        <v>4703.4000000021479</v>
      </c>
      <c r="C35" s="21"/>
      <c r="D35" s="225">
        <f>'Ячейка 24'!H38+'Ячейка 2'!H38</f>
        <v>1661.3999999963198</v>
      </c>
      <c r="E35" s="225"/>
      <c r="F35" s="221">
        <f t="shared" si="0"/>
        <v>0.3532338308448274</v>
      </c>
      <c r="G35" s="221"/>
      <c r="H35" s="120"/>
      <c r="I35" s="120"/>
      <c r="J35" s="120"/>
      <c r="K35" s="120"/>
      <c r="L35" s="120"/>
    </row>
    <row r="36" spans="1:24" ht="20.100000000000001" customHeight="1" x14ac:dyDescent="0.2">
      <c r="A36" s="5" t="s">
        <v>28</v>
      </c>
      <c r="B36" s="21">
        <f>'Ячейка 24'!D39+'Ячейка 2'!D39</f>
        <v>4624.2000000220287</v>
      </c>
      <c r="C36" s="21"/>
      <c r="D36" s="225">
        <f>'Ячейка 24'!H39+'Ячейка 2'!H39</f>
        <v>1715.4000000073211</v>
      </c>
      <c r="E36" s="225"/>
      <c r="F36" s="221">
        <f t="shared" si="0"/>
        <v>0.37096146360433141</v>
      </c>
      <c r="G36" s="221"/>
      <c r="H36" s="120"/>
      <c r="I36" s="120"/>
      <c r="J36" s="120"/>
      <c r="K36" s="120"/>
      <c r="L36" s="120"/>
    </row>
    <row r="37" spans="1:24" ht="20.100000000000001" customHeight="1" x14ac:dyDescent="0.2">
      <c r="A37" s="5" t="s">
        <v>29</v>
      </c>
      <c r="B37" s="21">
        <f>'Ячейка 24'!D40+'Ячейка 2'!D40</f>
        <v>4591.7999999892345</v>
      </c>
      <c r="C37" s="21"/>
      <c r="D37" s="225">
        <f>'Ячейка 24'!H40+'Ячейка 2'!H40</f>
        <v>1735.2000000064436</v>
      </c>
      <c r="E37" s="225"/>
      <c r="F37" s="221">
        <f t="shared" si="0"/>
        <v>0.37789102313047429</v>
      </c>
      <c r="G37" s="221"/>
      <c r="H37" s="120"/>
      <c r="I37" s="120"/>
      <c r="J37" s="120"/>
      <c r="K37" s="120"/>
      <c r="L37" s="120"/>
    </row>
    <row r="38" spans="1:24" ht="20.100000000000001" customHeight="1" x14ac:dyDescent="0.2">
      <c r="A38" s="5" t="s">
        <v>30</v>
      </c>
      <c r="B38" s="21">
        <f>'Ячейка 24'!D41+'Ячейка 2'!D41</f>
        <v>4559.400000005553</v>
      </c>
      <c r="C38" s="21"/>
      <c r="D38" s="225">
        <f>'Ячейка 24'!H41+'Ячейка 2'!H41</f>
        <v>1808.9999999838255</v>
      </c>
      <c r="E38" s="225"/>
      <c r="F38" s="221">
        <f t="shared" si="0"/>
        <v>0.39676273193438222</v>
      </c>
      <c r="G38" s="221"/>
      <c r="H38" s="120"/>
      <c r="I38" s="120"/>
      <c r="J38" s="120"/>
      <c r="K38" s="120"/>
      <c r="L38" s="120"/>
    </row>
    <row r="39" spans="1:24" ht="20.100000000000001" customHeight="1" x14ac:dyDescent="0.2">
      <c r="A39" s="5" t="s">
        <v>31</v>
      </c>
      <c r="B39" s="21">
        <f>'Ячейка 24'!D42+'Ячейка 2'!D42</f>
        <v>4368.5999999797787</v>
      </c>
      <c r="C39" s="21"/>
      <c r="D39" s="225">
        <f>'Ячейка 24'!H42+'Ячейка 2'!H42</f>
        <v>1783.8000000065222</v>
      </c>
      <c r="E39" s="225"/>
      <c r="F39" s="221">
        <f t="shared" si="0"/>
        <v>0.40832303255385682</v>
      </c>
      <c r="G39" s="221"/>
      <c r="H39" s="120"/>
      <c r="I39" s="120"/>
      <c r="J39" s="120"/>
      <c r="K39" s="120"/>
      <c r="L39" s="120"/>
      <c r="P39" s="177" t="s">
        <v>150</v>
      </c>
      <c r="Q39" s="177"/>
      <c r="R39" s="177"/>
      <c r="S39" s="176" t="s">
        <v>364</v>
      </c>
      <c r="T39" s="176"/>
      <c r="U39" s="176"/>
      <c r="V39" s="176"/>
      <c r="W39" s="176"/>
      <c r="X39" s="176"/>
    </row>
    <row r="40" spans="1:24" ht="20.100000000000001" customHeight="1" x14ac:dyDescent="0.2">
      <c r="A40" s="5" t="s">
        <v>32</v>
      </c>
      <c r="B40" s="21">
        <f>SUM(B15:B39)</f>
        <v>111927.59999997179</v>
      </c>
      <c r="C40" s="21"/>
      <c r="D40" s="225">
        <f>SUM(D15:E39)</f>
        <v>46215.000000001965</v>
      </c>
      <c r="E40" s="225"/>
      <c r="F40" s="221">
        <f>IF(OR(B40="",D40=""),"",IF(ISERROR(D40/B40),IF(D40=0,0,""),D40/B40))</f>
        <v>0.41290083947135126</v>
      </c>
      <c r="G40" s="221"/>
      <c r="H40" s="120"/>
      <c r="I40" s="120"/>
      <c r="J40" s="120"/>
      <c r="K40" s="120"/>
      <c r="L40" s="120"/>
    </row>
    <row r="41" spans="1:24" ht="20.100000000000001" customHeight="1" x14ac:dyDescent="0.2">
      <c r="A41" s="5" t="s">
        <v>33</v>
      </c>
      <c r="B41" s="5"/>
      <c r="C41" s="5"/>
      <c r="D41" s="219"/>
      <c r="E41" s="219"/>
      <c r="F41" s="221"/>
      <c r="G41" s="221"/>
      <c r="H41" s="120"/>
      <c r="I41" s="120"/>
      <c r="J41" s="120"/>
      <c r="K41" s="120"/>
      <c r="L41" s="120"/>
    </row>
    <row r="42" spans="1:24" ht="20.100000000000001" customHeight="1" x14ac:dyDescent="0.2">
      <c r="A42" s="129" t="s">
        <v>2</v>
      </c>
      <c r="B42" s="128" t="s">
        <v>37</v>
      </c>
      <c r="C42" s="132"/>
      <c r="D42" s="129"/>
      <c r="E42" s="128" t="s">
        <v>40</v>
      </c>
      <c r="F42" s="132"/>
      <c r="G42" s="132"/>
      <c r="H42" s="132"/>
      <c r="I42" s="129"/>
      <c r="J42" s="124" t="s">
        <v>5</v>
      </c>
      <c r="K42" s="131"/>
      <c r="L42" s="131"/>
    </row>
    <row r="43" spans="1:24" ht="36" customHeight="1" x14ac:dyDescent="0.2">
      <c r="A43" s="129"/>
      <c r="B43" s="219" t="s">
        <v>38</v>
      </c>
      <c r="C43" s="219"/>
      <c r="D43" s="5" t="s">
        <v>39</v>
      </c>
      <c r="E43" s="128" t="s">
        <v>41</v>
      </c>
      <c r="F43" s="132"/>
      <c r="G43" s="129"/>
      <c r="H43" s="128" t="s">
        <v>42</v>
      </c>
      <c r="I43" s="129"/>
      <c r="J43" s="127"/>
      <c r="K43" s="130"/>
      <c r="L43" s="130"/>
    </row>
    <row r="44" spans="1:24" ht="20.100000000000001" customHeight="1" x14ac:dyDescent="0.2">
      <c r="A44" s="4" t="s">
        <v>153</v>
      </c>
      <c r="B44" s="226">
        <f>SUM(B24:B26)</f>
        <v>15370.199999984834</v>
      </c>
      <c r="C44" s="227"/>
      <c r="D44" s="21">
        <f>SUM(D24:E26)</f>
        <v>6263.9999999992142</v>
      </c>
      <c r="E44" s="226">
        <f>B44/3</f>
        <v>5123.3999999949447</v>
      </c>
      <c r="F44" s="231"/>
      <c r="G44" s="227"/>
      <c r="H44" s="226">
        <f>D44/3</f>
        <v>2087.9999999997381</v>
      </c>
      <c r="I44" s="227"/>
      <c r="J44" s="228">
        <f>H44/E44</f>
        <v>0.40754186672947618</v>
      </c>
      <c r="K44" s="229"/>
      <c r="L44" s="229"/>
    </row>
    <row r="45" spans="1:24" ht="20.100000000000001" customHeight="1" x14ac:dyDescent="0.2">
      <c r="A45" s="4" t="s">
        <v>43</v>
      </c>
      <c r="B45" s="226">
        <f>SUM(B33:B36)</f>
        <v>18698.400000021138</v>
      </c>
      <c r="C45" s="227"/>
      <c r="D45" s="21">
        <f>SUM(D33:E36)</f>
        <v>7032.6000000068234</v>
      </c>
      <c r="E45" s="226">
        <f>B45/4</f>
        <v>4674.6000000052845</v>
      </c>
      <c r="F45" s="231"/>
      <c r="G45" s="227"/>
      <c r="H45" s="226">
        <f>D45/4</f>
        <v>1758.1500000017058</v>
      </c>
      <c r="I45" s="227"/>
      <c r="J45" s="228">
        <f>H45/E45</f>
        <v>0.37610704659216154</v>
      </c>
      <c r="K45" s="229"/>
      <c r="L45" s="229"/>
    </row>
    <row r="46" spans="1:24" ht="20.100000000000001" customHeight="1" x14ac:dyDescent="0.2">
      <c r="A46" s="4" t="s">
        <v>44</v>
      </c>
      <c r="B46" s="226">
        <f>SUM(B16:B39)</f>
        <v>111927.59999997179</v>
      </c>
      <c r="C46" s="227"/>
      <c r="D46" s="21">
        <f>SUM(D16:E39)</f>
        <v>46215.000000001965</v>
      </c>
      <c r="E46" s="226">
        <f>B46/24</f>
        <v>4663.6499999988246</v>
      </c>
      <c r="F46" s="231"/>
      <c r="G46" s="227"/>
      <c r="H46" s="226">
        <f>D46/24</f>
        <v>1925.6250000000819</v>
      </c>
      <c r="I46" s="227"/>
      <c r="J46" s="228">
        <f>H46/E46</f>
        <v>0.41290083947135126</v>
      </c>
      <c r="K46" s="229"/>
      <c r="L46" s="229"/>
    </row>
    <row r="47" spans="1:24" ht="20.100000000000001" customHeight="1" x14ac:dyDescent="0.2"/>
    <row r="48" spans="1:24" ht="20.100000000000001" customHeight="1" x14ac:dyDescent="0.2"/>
    <row r="49" spans="3:9" ht="20.100000000000001" customHeight="1" x14ac:dyDescent="0.2"/>
    <row r="50" spans="3:9" ht="20.100000000000001" customHeight="1" x14ac:dyDescent="0.2">
      <c r="C50" s="122" t="s">
        <v>186</v>
      </c>
      <c r="D50" s="122"/>
      <c r="E50" s="122"/>
      <c r="F50" s="122"/>
      <c r="G50" s="122"/>
      <c r="H50" s="122"/>
      <c r="I50" s="122"/>
    </row>
    <row r="51" spans="3:9" ht="20.100000000000001" customHeight="1" x14ac:dyDescent="0.2"/>
  </sheetData>
  <sheetProtection sheet="1" objects="1" scenarios="1"/>
  <mergeCells count="173">
    <mergeCell ref="J46:L46"/>
    <mergeCell ref="J42:L43"/>
    <mergeCell ref="A1:E1"/>
    <mergeCell ref="A2:E2"/>
    <mergeCell ref="A3:E3"/>
    <mergeCell ref="A4:E4"/>
    <mergeCell ref="A5:E5"/>
    <mergeCell ref="A6:E6"/>
    <mergeCell ref="B46:C46"/>
    <mergeCell ref="E46:G46"/>
    <mergeCell ref="H46:I46"/>
    <mergeCell ref="E42:I42"/>
    <mergeCell ref="E43:G43"/>
    <mergeCell ref="H43:I43"/>
    <mergeCell ref="E44:G44"/>
    <mergeCell ref="H44:I44"/>
    <mergeCell ref="H41:L41"/>
    <mergeCell ref="B42:D42"/>
    <mergeCell ref="B44:C44"/>
    <mergeCell ref="B45:C45"/>
    <mergeCell ref="J44:L44"/>
    <mergeCell ref="J45:L45"/>
    <mergeCell ref="D41:E41"/>
    <mergeCell ref="E45:G45"/>
    <mergeCell ref="H45:I45"/>
    <mergeCell ref="F41:G41"/>
    <mergeCell ref="H35:L35"/>
    <mergeCell ref="H36:L36"/>
    <mergeCell ref="H37:L37"/>
    <mergeCell ref="H38:L38"/>
    <mergeCell ref="H39:L39"/>
    <mergeCell ref="H40:L40"/>
    <mergeCell ref="H29:L29"/>
    <mergeCell ref="H30:L30"/>
    <mergeCell ref="H31:L31"/>
    <mergeCell ref="H32:L32"/>
    <mergeCell ref="H33:L33"/>
    <mergeCell ref="H34:L34"/>
    <mergeCell ref="F35:G35"/>
    <mergeCell ref="F36:G36"/>
    <mergeCell ref="F37:G37"/>
    <mergeCell ref="F38:G38"/>
    <mergeCell ref="F39:G39"/>
    <mergeCell ref="F40:G40"/>
    <mergeCell ref="F29:G29"/>
    <mergeCell ref="F30:G30"/>
    <mergeCell ref="F31:G31"/>
    <mergeCell ref="F32:G32"/>
    <mergeCell ref="H28:L28"/>
    <mergeCell ref="D22:E22"/>
    <mergeCell ref="F27:G27"/>
    <mergeCell ref="F28:G28"/>
    <mergeCell ref="H14:L14"/>
    <mergeCell ref="H15:L15"/>
    <mergeCell ref="H16:L16"/>
    <mergeCell ref="H17:L17"/>
    <mergeCell ref="H18:L18"/>
    <mergeCell ref="H19:L19"/>
    <mergeCell ref="H20:L20"/>
    <mergeCell ref="H21:L21"/>
    <mergeCell ref="H22:L22"/>
    <mergeCell ref="F15:G15"/>
    <mergeCell ref="F16:G16"/>
    <mergeCell ref="F17:G17"/>
    <mergeCell ref="F22:G22"/>
    <mergeCell ref="F18:G18"/>
    <mergeCell ref="F19:G19"/>
    <mergeCell ref="F20:G20"/>
    <mergeCell ref="D14:E14"/>
    <mergeCell ref="D15:E15"/>
    <mergeCell ref="D16:E16"/>
    <mergeCell ref="D17:E17"/>
    <mergeCell ref="D24:E24"/>
    <mergeCell ref="F23:G23"/>
    <mergeCell ref="F24:G24"/>
    <mergeCell ref="F25:G25"/>
    <mergeCell ref="F26:G26"/>
    <mergeCell ref="F33:G33"/>
    <mergeCell ref="D25:E25"/>
    <mergeCell ref="D26:E26"/>
    <mergeCell ref="D29:E29"/>
    <mergeCell ref="D18:E18"/>
    <mergeCell ref="D19:E19"/>
    <mergeCell ref="D20:E20"/>
    <mergeCell ref="C50:I50"/>
    <mergeCell ref="A10:B10"/>
    <mergeCell ref="C10:H10"/>
    <mergeCell ref="A11:L11"/>
    <mergeCell ref="H13:L13"/>
    <mergeCell ref="A12:A13"/>
    <mergeCell ref="B13:C13"/>
    <mergeCell ref="D13:E13"/>
    <mergeCell ref="B12:E12"/>
    <mergeCell ref="A42:A43"/>
    <mergeCell ref="B43:C43"/>
    <mergeCell ref="D27:E27"/>
    <mergeCell ref="D28:E28"/>
    <mergeCell ref="D40:E40"/>
    <mergeCell ref="D33:E33"/>
    <mergeCell ref="D34:E34"/>
    <mergeCell ref="D35:E35"/>
    <mergeCell ref="D36:E36"/>
    <mergeCell ref="D38:E38"/>
    <mergeCell ref="D39:E39"/>
    <mergeCell ref="D37:E37"/>
    <mergeCell ref="F21:G21"/>
    <mergeCell ref="D21:E21"/>
    <mergeCell ref="O30:V30"/>
    <mergeCell ref="O31:V31"/>
    <mergeCell ref="O32:V32"/>
    <mergeCell ref="O33:V33"/>
    <mergeCell ref="P39:R39"/>
    <mergeCell ref="N24:V24"/>
    <mergeCell ref="O25:V25"/>
    <mergeCell ref="O26:V26"/>
    <mergeCell ref="O27:V27"/>
    <mergeCell ref="O28:V28"/>
    <mergeCell ref="O29:V29"/>
    <mergeCell ref="S39:X39"/>
    <mergeCell ref="H23:L23"/>
    <mergeCell ref="H24:L24"/>
    <mergeCell ref="H25:L25"/>
    <mergeCell ref="H26:L26"/>
    <mergeCell ref="H27:L27"/>
    <mergeCell ref="F34:G34"/>
    <mergeCell ref="D30:E30"/>
    <mergeCell ref="D31:E31"/>
    <mergeCell ref="D32:E32"/>
    <mergeCell ref="D23:E23"/>
    <mergeCell ref="N19:Q19"/>
    <mergeCell ref="N20:Q20"/>
    <mergeCell ref="N21:Q21"/>
    <mergeCell ref="N10:Q10"/>
    <mergeCell ref="N11:Q11"/>
    <mergeCell ref="M14:M18"/>
    <mergeCell ref="N14:Q18"/>
    <mergeCell ref="R14:T14"/>
    <mergeCell ref="T15:T18"/>
    <mergeCell ref="S15:S18"/>
    <mergeCell ref="R15:R18"/>
    <mergeCell ref="N7:Q7"/>
    <mergeCell ref="N8:Q8"/>
    <mergeCell ref="N9:Q9"/>
    <mergeCell ref="M1:M3"/>
    <mergeCell ref="N1:Q3"/>
    <mergeCell ref="R1:T1"/>
    <mergeCell ref="U14:U18"/>
    <mergeCell ref="V14:V18"/>
    <mergeCell ref="W14:W18"/>
    <mergeCell ref="U1:W1"/>
    <mergeCell ref="R2:R3"/>
    <mergeCell ref="U2:U3"/>
    <mergeCell ref="S2:T2"/>
    <mergeCell ref="S3:T3"/>
    <mergeCell ref="V2:W2"/>
    <mergeCell ref="V3:W3"/>
    <mergeCell ref="I9:M9"/>
    <mergeCell ref="A7:L7"/>
    <mergeCell ref="F12:G13"/>
    <mergeCell ref="H12:L12"/>
    <mergeCell ref="F9:H9"/>
    <mergeCell ref="A9:E9"/>
    <mergeCell ref="A8:L8"/>
    <mergeCell ref="F14:G14"/>
    <mergeCell ref="F5:H6"/>
    <mergeCell ref="I5:L6"/>
    <mergeCell ref="F3:H4"/>
    <mergeCell ref="I3:L4"/>
    <mergeCell ref="F1:H2"/>
    <mergeCell ref="I1:L2"/>
    <mergeCell ref="N4:Q4"/>
    <mergeCell ref="N5:Q5"/>
    <mergeCell ref="N6:Q6"/>
  </mergeCells>
  <phoneticPr fontId="0" type="noConversion"/>
  <printOptions horizontalCentered="1"/>
  <pageMargins left="0.39370078740157483" right="0.39370078740157483" top="0.19685039370078741" bottom="0.19685039370078741" header="0" footer="0"/>
  <pageSetup paperSize="9" scale="69" orientation="portrait" horizontalDpi="180" verticalDpi="180" r:id="rId1"/>
  <headerFooter alignWithMargins="0"/>
  <rowBreaks count="1" manualBreakCount="1">
    <brk id="50" max="22" man="1"/>
  </rowBreaks>
  <colBreaks count="1" manualBreakCount="1">
    <brk id="12" max="49" man="1"/>
  </colBreak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0"/>
  <dimension ref="A1:X51"/>
  <sheetViews>
    <sheetView view="pageBreakPreview" zoomScale="75" zoomScaleNormal="100" workbookViewId="0">
      <selection activeCell="F9" sqref="F9:H9"/>
    </sheetView>
  </sheetViews>
  <sheetFormatPr defaultRowHeight="18.75" x14ac:dyDescent="0.2"/>
  <cols>
    <col min="1" max="1" width="16.7109375" style="2" customWidth="1"/>
    <col min="2" max="2" width="15.7109375" style="2" customWidth="1"/>
    <col min="3" max="3" width="6.28515625" style="2" customWidth="1"/>
    <col min="4" max="4" width="22.7109375" style="2" customWidth="1"/>
    <col min="5" max="5" width="3.42578125" style="2" customWidth="1"/>
    <col min="6" max="8" width="9.140625" style="2"/>
    <col min="9" max="9" width="9.7109375" style="2" customWidth="1"/>
    <col min="10" max="10" width="6" style="2" customWidth="1"/>
    <col min="11" max="11" width="6.140625" style="2" customWidth="1"/>
    <col min="12" max="12" width="6.85546875" style="2" customWidth="1"/>
    <col min="13" max="13" width="8.42578125" style="2" customWidth="1"/>
    <col min="14" max="18" width="10.7109375" style="2" customWidth="1"/>
    <col min="19" max="19" width="13.85546875" style="2" customWidth="1"/>
    <col min="20" max="20" width="14.42578125" style="2" customWidth="1"/>
    <col min="21" max="21" width="12.7109375" style="2" customWidth="1"/>
    <col min="22" max="22" width="11.85546875" style="2" customWidth="1"/>
    <col min="23" max="23" width="14.28515625" style="2" customWidth="1"/>
    <col min="24" max="28" width="10.28515625" style="2" customWidth="1"/>
    <col min="29" max="16384" width="9.140625" style="2"/>
  </cols>
  <sheetData>
    <row r="1" spans="1:23" ht="26.25" x14ac:dyDescent="0.2">
      <c r="A1" s="115" t="s">
        <v>161</v>
      </c>
      <c r="B1" s="115"/>
      <c r="C1" s="115"/>
      <c r="D1" s="115"/>
      <c r="E1" s="115"/>
      <c r="F1" s="150" t="s">
        <v>154</v>
      </c>
      <c r="G1" s="150"/>
      <c r="H1" s="150"/>
      <c r="I1" s="115" t="s">
        <v>163</v>
      </c>
      <c r="J1" s="115"/>
      <c r="K1" s="115"/>
      <c r="L1" s="115"/>
      <c r="M1" s="123" t="s">
        <v>115</v>
      </c>
      <c r="N1" s="121" t="s">
        <v>116</v>
      </c>
      <c r="O1" s="121"/>
      <c r="P1" s="121"/>
      <c r="Q1" s="121"/>
      <c r="R1" s="219" t="s">
        <v>117</v>
      </c>
      <c r="S1" s="219"/>
      <c r="T1" s="219"/>
      <c r="U1" s="219" t="s">
        <v>118</v>
      </c>
      <c r="V1" s="219"/>
      <c r="W1" s="128"/>
    </row>
    <row r="2" spans="1:23" ht="18.75" customHeight="1" x14ac:dyDescent="0.2">
      <c r="A2" s="146" t="s">
        <v>45</v>
      </c>
      <c r="B2" s="146"/>
      <c r="C2" s="146"/>
      <c r="D2" s="146"/>
      <c r="E2" s="146"/>
      <c r="F2" s="150"/>
      <c r="G2" s="150"/>
      <c r="H2" s="150"/>
      <c r="I2" s="115"/>
      <c r="J2" s="115"/>
      <c r="K2" s="115"/>
      <c r="L2" s="115"/>
      <c r="M2" s="116"/>
      <c r="N2" s="118"/>
      <c r="O2" s="118"/>
      <c r="P2" s="118"/>
      <c r="Q2" s="118"/>
      <c r="R2" s="118" t="s">
        <v>119</v>
      </c>
      <c r="S2" s="118" t="s">
        <v>120</v>
      </c>
      <c r="T2" s="118"/>
      <c r="U2" s="118" t="s">
        <v>119</v>
      </c>
      <c r="V2" s="118" t="s">
        <v>120</v>
      </c>
      <c r="W2" s="125"/>
    </row>
    <row r="3" spans="1:23" ht="21.75" customHeight="1" x14ac:dyDescent="0.2">
      <c r="A3" s="115" t="s">
        <v>162</v>
      </c>
      <c r="B3" s="115"/>
      <c r="C3" s="115"/>
      <c r="D3" s="115"/>
      <c r="E3" s="115"/>
      <c r="F3" s="150" t="s">
        <v>155</v>
      </c>
      <c r="G3" s="150"/>
      <c r="H3" s="150"/>
      <c r="I3" s="115" t="s">
        <v>223</v>
      </c>
      <c r="J3" s="115"/>
      <c r="K3" s="115"/>
      <c r="L3" s="115"/>
      <c r="M3" s="117"/>
      <c r="N3" s="119"/>
      <c r="O3" s="119"/>
      <c r="P3" s="119"/>
      <c r="Q3" s="119"/>
      <c r="R3" s="119"/>
      <c r="S3" s="119" t="s">
        <v>121</v>
      </c>
      <c r="T3" s="119"/>
      <c r="U3" s="119"/>
      <c r="V3" s="119" t="s">
        <v>121</v>
      </c>
      <c r="W3" s="127"/>
    </row>
    <row r="4" spans="1:23" ht="29.25" customHeight="1" x14ac:dyDescent="0.2">
      <c r="A4" s="146" t="s">
        <v>46</v>
      </c>
      <c r="B4" s="146"/>
      <c r="C4" s="146"/>
      <c r="D4" s="146"/>
      <c r="E4" s="146"/>
      <c r="F4" s="150"/>
      <c r="G4" s="150"/>
      <c r="H4" s="150"/>
      <c r="I4" s="115"/>
      <c r="J4" s="115"/>
      <c r="K4" s="115"/>
      <c r="L4" s="115"/>
      <c r="M4" s="9"/>
      <c r="N4" s="216" t="s">
        <v>122</v>
      </c>
      <c r="O4" s="216"/>
      <c r="P4" s="216"/>
      <c r="Q4" s="216"/>
      <c r="R4" s="7"/>
      <c r="S4" s="8"/>
      <c r="T4" s="9"/>
      <c r="U4" s="7"/>
      <c r="V4" s="8"/>
      <c r="W4" s="18"/>
    </row>
    <row r="5" spans="1:23" ht="18" customHeight="1" x14ac:dyDescent="0.2">
      <c r="A5" s="230" t="s">
        <v>176</v>
      </c>
      <c r="B5" s="230"/>
      <c r="C5" s="230"/>
      <c r="D5" s="230"/>
      <c r="E5" s="230"/>
      <c r="F5" s="150" t="s">
        <v>156</v>
      </c>
      <c r="G5" s="150"/>
      <c r="H5" s="150"/>
      <c r="I5" s="115" t="s">
        <v>247</v>
      </c>
      <c r="J5" s="115"/>
      <c r="K5" s="115"/>
      <c r="L5" s="115"/>
      <c r="M5" s="9"/>
      <c r="N5" s="217" t="s">
        <v>123</v>
      </c>
      <c r="O5" s="217"/>
      <c r="P5" s="217"/>
      <c r="Q5" s="217"/>
      <c r="R5" s="7"/>
      <c r="S5" s="8"/>
      <c r="T5" s="9"/>
      <c r="U5" s="7"/>
      <c r="V5" s="8"/>
      <c r="W5" s="18"/>
    </row>
    <row r="6" spans="1:23" x14ac:dyDescent="0.2">
      <c r="A6" s="146" t="s">
        <v>47</v>
      </c>
      <c r="B6" s="146"/>
      <c r="C6" s="146"/>
      <c r="D6" s="146"/>
      <c r="E6" s="146"/>
      <c r="F6" s="150"/>
      <c r="G6" s="150"/>
      <c r="H6" s="150"/>
      <c r="I6" s="115"/>
      <c r="J6" s="115"/>
      <c r="K6" s="115"/>
      <c r="L6" s="115"/>
      <c r="M6" s="9"/>
      <c r="N6" s="217" t="s">
        <v>124</v>
      </c>
      <c r="O6" s="217"/>
      <c r="P6" s="217"/>
      <c r="Q6" s="217"/>
      <c r="R6" s="7"/>
      <c r="S6" s="8"/>
      <c r="T6" s="9"/>
      <c r="U6" s="7"/>
      <c r="V6" s="8"/>
      <c r="W6" s="18"/>
    </row>
    <row r="7" spans="1:23" x14ac:dyDescent="0.2">
      <c r="A7" s="122"/>
      <c r="B7" s="122"/>
      <c r="C7" s="122"/>
      <c r="D7" s="122"/>
      <c r="E7" s="122"/>
      <c r="F7" s="122"/>
      <c r="G7" s="122"/>
      <c r="H7" s="122"/>
      <c r="I7" s="122"/>
      <c r="J7" s="122"/>
      <c r="K7" s="122"/>
      <c r="L7" s="122"/>
      <c r="M7" s="9"/>
      <c r="N7" s="218" t="s">
        <v>125</v>
      </c>
      <c r="O7" s="218"/>
      <c r="P7" s="218"/>
      <c r="Q7" s="218"/>
      <c r="R7" s="7"/>
      <c r="S7" s="8"/>
      <c r="T7" s="9"/>
      <c r="U7" s="7"/>
      <c r="V7" s="8"/>
      <c r="W7" s="18"/>
    </row>
    <row r="8" spans="1:23" ht="22.5" x14ac:dyDescent="0.2">
      <c r="A8" s="143" t="s">
        <v>0</v>
      </c>
      <c r="B8" s="143"/>
      <c r="C8" s="143"/>
      <c r="D8" s="143"/>
      <c r="E8" s="143"/>
      <c r="F8" s="143"/>
      <c r="G8" s="143"/>
      <c r="H8" s="143"/>
      <c r="I8" s="143"/>
      <c r="J8" s="143"/>
      <c r="K8" s="143"/>
      <c r="L8" s="143"/>
      <c r="M8" s="9"/>
      <c r="N8" s="217" t="s">
        <v>126</v>
      </c>
      <c r="O8" s="217"/>
      <c r="P8" s="217"/>
      <c r="Q8" s="217"/>
      <c r="R8" s="7"/>
      <c r="S8" s="8"/>
      <c r="T8" s="9"/>
      <c r="U8" s="7"/>
      <c r="V8" s="8"/>
      <c r="W8" s="18"/>
    </row>
    <row r="9" spans="1:23" ht="18.75" customHeight="1" x14ac:dyDescent="0.2">
      <c r="A9" s="220" t="s">
        <v>152</v>
      </c>
      <c r="B9" s="220"/>
      <c r="C9" s="220"/>
      <c r="D9" s="220"/>
      <c r="E9" s="220"/>
      <c r="F9" s="162" t="s">
        <v>407</v>
      </c>
      <c r="G9" s="163"/>
      <c r="H9" s="163"/>
      <c r="I9" s="138" t="s">
        <v>369</v>
      </c>
      <c r="J9" s="138"/>
      <c r="K9" s="138"/>
      <c r="L9" s="138"/>
      <c r="M9" s="138"/>
      <c r="N9" s="217" t="s">
        <v>127</v>
      </c>
      <c r="O9" s="217"/>
      <c r="P9" s="217"/>
      <c r="Q9" s="217"/>
      <c r="R9" s="7"/>
      <c r="S9" s="8"/>
      <c r="T9" s="9"/>
      <c r="U9" s="7"/>
      <c r="V9" s="8"/>
      <c r="W9" s="18"/>
    </row>
    <row r="10" spans="1:23" ht="19.5" customHeight="1" x14ac:dyDescent="0.2">
      <c r="A10" s="220" t="s">
        <v>151</v>
      </c>
      <c r="B10" s="220"/>
      <c r="C10" s="163" t="s">
        <v>246</v>
      </c>
      <c r="D10" s="163"/>
      <c r="E10" s="163"/>
      <c r="F10" s="163"/>
      <c r="G10" s="163"/>
      <c r="H10" s="163"/>
      <c r="I10" s="3"/>
      <c r="J10" s="3"/>
      <c r="K10" s="3"/>
      <c r="L10" s="3"/>
      <c r="M10" s="9"/>
      <c r="N10" s="218" t="s">
        <v>128</v>
      </c>
      <c r="O10" s="218"/>
      <c r="P10" s="218"/>
      <c r="Q10" s="218"/>
      <c r="R10" s="7"/>
      <c r="S10" s="8"/>
      <c r="T10" s="9"/>
      <c r="U10" s="7"/>
      <c r="V10" s="8"/>
      <c r="W10" s="18"/>
    </row>
    <row r="11" spans="1:23" x14ac:dyDescent="0.2">
      <c r="A11" s="215" t="s">
        <v>1</v>
      </c>
      <c r="B11" s="215"/>
      <c r="C11" s="215"/>
      <c r="D11" s="215"/>
      <c r="E11" s="215"/>
      <c r="F11" s="215"/>
      <c r="G11" s="215"/>
      <c r="H11" s="215"/>
      <c r="I11" s="215"/>
      <c r="J11" s="215"/>
      <c r="K11" s="215"/>
      <c r="L11" s="215"/>
      <c r="M11" s="9"/>
      <c r="N11" s="223" t="s">
        <v>129</v>
      </c>
      <c r="O11" s="223"/>
      <c r="P11" s="223"/>
      <c r="Q11" s="223"/>
      <c r="R11" s="7"/>
      <c r="S11" s="8"/>
      <c r="T11" s="9"/>
      <c r="U11" s="7"/>
      <c r="V11" s="8"/>
      <c r="W11" s="18"/>
    </row>
    <row r="12" spans="1:23" ht="20.100000000000001" customHeight="1" x14ac:dyDescent="0.2">
      <c r="A12" s="129" t="s">
        <v>2</v>
      </c>
      <c r="B12" s="219" t="s">
        <v>36</v>
      </c>
      <c r="C12" s="219"/>
      <c r="D12" s="219"/>
      <c r="E12" s="219"/>
      <c r="F12" s="219" t="s">
        <v>5</v>
      </c>
      <c r="G12" s="219"/>
      <c r="H12" s="124" t="s">
        <v>34</v>
      </c>
      <c r="I12" s="131"/>
      <c r="J12" s="131"/>
      <c r="K12" s="131"/>
      <c r="L12" s="131"/>
      <c r="N12" s="1"/>
      <c r="O12" s="1"/>
      <c r="P12" s="1"/>
      <c r="Q12" s="1"/>
    </row>
    <row r="13" spans="1:23" ht="20.100000000000001" customHeight="1" x14ac:dyDescent="0.2">
      <c r="A13" s="129"/>
      <c r="B13" s="219" t="s">
        <v>3</v>
      </c>
      <c r="C13" s="219"/>
      <c r="D13" s="219" t="s">
        <v>4</v>
      </c>
      <c r="E13" s="219"/>
      <c r="F13" s="219"/>
      <c r="G13" s="219"/>
      <c r="H13" s="127" t="s">
        <v>35</v>
      </c>
      <c r="I13" s="130"/>
      <c r="J13" s="130"/>
      <c r="K13" s="130"/>
      <c r="L13" s="130"/>
    </row>
    <row r="14" spans="1:23" ht="20.100000000000001" customHeight="1" x14ac:dyDescent="0.2">
      <c r="A14" s="5" t="s">
        <v>6</v>
      </c>
      <c r="B14" s="7"/>
      <c r="C14" s="5"/>
      <c r="D14" s="111"/>
      <c r="E14" s="113"/>
      <c r="F14" s="228" t="str">
        <f t="shared" ref="F14:F40" si="0">IF(OR(B14="",D14=""),"",IF(ISERROR(D14/B14),IF(D14=0,0,""),D14/B14))</f>
        <v/>
      </c>
      <c r="G14" s="232"/>
      <c r="H14" s="111"/>
      <c r="I14" s="112"/>
      <c r="J14" s="112"/>
      <c r="K14" s="112"/>
      <c r="L14" s="112"/>
      <c r="M14" s="129" t="s">
        <v>115</v>
      </c>
      <c r="N14" s="219" t="s">
        <v>116</v>
      </c>
      <c r="O14" s="219"/>
      <c r="P14" s="219"/>
      <c r="Q14" s="219"/>
      <c r="R14" s="219" t="s">
        <v>117</v>
      </c>
      <c r="S14" s="219"/>
      <c r="T14" s="219"/>
      <c r="U14" s="219" t="s">
        <v>130</v>
      </c>
      <c r="V14" s="219" t="s">
        <v>69</v>
      </c>
      <c r="W14" s="128" t="s">
        <v>131</v>
      </c>
    </row>
    <row r="15" spans="1:23" ht="20.100000000000001" customHeight="1" x14ac:dyDescent="0.2">
      <c r="A15" s="5" t="s">
        <v>7</v>
      </c>
      <c r="B15" s="5"/>
      <c r="C15" s="5"/>
      <c r="D15" s="128"/>
      <c r="E15" s="129"/>
      <c r="F15" s="228" t="str">
        <f t="shared" si="0"/>
        <v/>
      </c>
      <c r="G15" s="232"/>
      <c r="H15" s="111"/>
      <c r="I15" s="112"/>
      <c r="J15" s="112"/>
      <c r="K15" s="112"/>
      <c r="L15" s="112"/>
      <c r="M15" s="129"/>
      <c r="N15" s="219"/>
      <c r="O15" s="219"/>
      <c r="P15" s="219"/>
      <c r="Q15" s="219"/>
      <c r="R15" s="224" t="s">
        <v>130</v>
      </c>
      <c r="S15" s="219" t="s">
        <v>69</v>
      </c>
      <c r="T15" s="219" t="s">
        <v>131</v>
      </c>
      <c r="U15" s="219"/>
      <c r="V15" s="219"/>
      <c r="W15" s="128"/>
    </row>
    <row r="16" spans="1:23" ht="20.100000000000001" customHeight="1" x14ac:dyDescent="0.2">
      <c r="A16" s="5" t="s">
        <v>8</v>
      </c>
      <c r="B16" s="21">
        <f>'Ячейка 3'!D19+'Ячейка 4'!D19</f>
        <v>3556.799999991199</v>
      </c>
      <c r="C16" s="21"/>
      <c r="D16" s="226">
        <f>'Ячейка 3'!H19+'Ячейка 4'!H19</f>
        <v>2390.400000005684</v>
      </c>
      <c r="E16" s="227"/>
      <c r="F16" s="228">
        <f t="shared" si="0"/>
        <v>0.67206477733119629</v>
      </c>
      <c r="G16" s="232"/>
      <c r="H16" s="111"/>
      <c r="I16" s="112"/>
      <c r="J16" s="112"/>
      <c r="K16" s="112"/>
      <c r="L16" s="112"/>
      <c r="M16" s="129"/>
      <c r="N16" s="219"/>
      <c r="O16" s="219"/>
      <c r="P16" s="219"/>
      <c r="Q16" s="219"/>
      <c r="R16" s="224"/>
      <c r="S16" s="219"/>
      <c r="T16" s="219"/>
      <c r="U16" s="219"/>
      <c r="V16" s="219"/>
      <c r="W16" s="128"/>
    </row>
    <row r="17" spans="1:23" ht="20.100000000000001" customHeight="1" x14ac:dyDescent="0.2">
      <c r="A17" s="5" t="s">
        <v>9</v>
      </c>
      <c r="B17" s="21">
        <f>'Ячейка 3'!D20+'Ячейка 4'!D20</f>
        <v>3463.1999999983236</v>
      </c>
      <c r="C17" s="21"/>
      <c r="D17" s="226">
        <f>'Ячейка 3'!H20+'Ячейка 4'!H20</f>
        <v>2354.3999999819789</v>
      </c>
      <c r="E17" s="227"/>
      <c r="F17" s="228">
        <f t="shared" si="0"/>
        <v>0.67983367982880527</v>
      </c>
      <c r="G17" s="232"/>
      <c r="H17" s="111"/>
      <c r="I17" s="112"/>
      <c r="J17" s="112"/>
      <c r="K17" s="112"/>
      <c r="L17" s="112"/>
      <c r="M17" s="129"/>
      <c r="N17" s="219"/>
      <c r="O17" s="219"/>
      <c r="P17" s="219"/>
      <c r="Q17" s="219"/>
      <c r="R17" s="224"/>
      <c r="S17" s="219"/>
      <c r="T17" s="219"/>
      <c r="U17" s="219"/>
      <c r="V17" s="219"/>
      <c r="W17" s="128"/>
    </row>
    <row r="18" spans="1:23" ht="20.100000000000001" customHeight="1" x14ac:dyDescent="0.2">
      <c r="A18" s="5" t="s">
        <v>10</v>
      </c>
      <c r="B18" s="21">
        <f>'Ячейка 3'!D21+'Ячейка 4'!D21</f>
        <v>3448.8000000183092</v>
      </c>
      <c r="C18" s="21"/>
      <c r="D18" s="226">
        <f>'Ячейка 3'!H21+'Ячейка 4'!H21</f>
        <v>2354.4000000147207</v>
      </c>
      <c r="E18" s="227"/>
      <c r="F18" s="228">
        <f t="shared" si="0"/>
        <v>0.68267223382110342</v>
      </c>
      <c r="G18" s="232"/>
      <c r="H18" s="111"/>
      <c r="I18" s="112"/>
      <c r="J18" s="112"/>
      <c r="K18" s="112"/>
      <c r="L18" s="112"/>
      <c r="M18" s="129"/>
      <c r="N18" s="219"/>
      <c r="O18" s="219"/>
      <c r="P18" s="219"/>
      <c r="Q18" s="219"/>
      <c r="R18" s="224"/>
      <c r="S18" s="219"/>
      <c r="T18" s="219"/>
      <c r="U18" s="219"/>
      <c r="V18" s="219"/>
      <c r="W18" s="128"/>
    </row>
    <row r="19" spans="1:23" ht="20.100000000000001" customHeight="1" x14ac:dyDescent="0.2">
      <c r="A19" s="5" t="s">
        <v>11</v>
      </c>
      <c r="B19" s="21">
        <f>'Ячейка 3'!D22+'Ячейка 4'!D22</f>
        <v>3567.5999999803025</v>
      </c>
      <c r="C19" s="21"/>
      <c r="D19" s="226">
        <f>'Ячейка 3'!H22+'Ячейка 4'!H22</f>
        <v>2426.3999999802763</v>
      </c>
      <c r="E19" s="227"/>
      <c r="F19" s="228">
        <f t="shared" si="0"/>
        <v>0.68012108980650099</v>
      </c>
      <c r="G19" s="232"/>
      <c r="H19" s="111"/>
      <c r="I19" s="112"/>
      <c r="J19" s="112"/>
      <c r="K19" s="112"/>
      <c r="L19" s="112"/>
      <c r="M19" s="9"/>
      <c r="N19" s="216" t="s">
        <v>132</v>
      </c>
      <c r="O19" s="216"/>
      <c r="P19" s="216"/>
      <c r="Q19" s="216"/>
      <c r="R19" s="7"/>
      <c r="S19" s="7"/>
      <c r="T19" s="7"/>
      <c r="U19" s="7"/>
      <c r="V19" s="7"/>
      <c r="W19" s="8"/>
    </row>
    <row r="20" spans="1:23" ht="20.100000000000001" customHeight="1" x14ac:dyDescent="0.2">
      <c r="A20" s="5" t="s">
        <v>12</v>
      </c>
      <c r="B20" s="21">
        <f>'Ячейка 3'!D23+'Ячейка 4'!D23</f>
        <v>3528.0000000147993</v>
      </c>
      <c r="C20" s="21"/>
      <c r="D20" s="226">
        <f>'Ячейка 3'!H23+'Ячейка 4'!H23</f>
        <v>2408.4000000093511</v>
      </c>
      <c r="E20" s="227"/>
      <c r="F20" s="228">
        <f t="shared" si="0"/>
        <v>0.68265306122427671</v>
      </c>
      <c r="G20" s="232"/>
      <c r="H20" s="111"/>
      <c r="I20" s="112"/>
      <c r="J20" s="112"/>
      <c r="K20" s="112"/>
      <c r="L20" s="112"/>
      <c r="M20" s="9"/>
      <c r="N20" s="217" t="s">
        <v>133</v>
      </c>
      <c r="O20" s="217"/>
      <c r="P20" s="217"/>
      <c r="Q20" s="217"/>
      <c r="R20" s="7"/>
      <c r="S20" s="7"/>
      <c r="T20" s="7"/>
      <c r="U20" s="7"/>
      <c r="V20" s="7"/>
      <c r="W20" s="8"/>
    </row>
    <row r="21" spans="1:23" ht="20.100000000000001" customHeight="1" x14ac:dyDescent="0.2">
      <c r="A21" s="5" t="s">
        <v>13</v>
      </c>
      <c r="B21" s="21">
        <f>'Ячейка 3'!D24+'Ячейка 4'!D24</f>
        <v>3538.7999999875319</v>
      </c>
      <c r="C21" s="21"/>
      <c r="D21" s="226">
        <f>'Ячейка 3'!H24+'Ячейка 4'!H24</f>
        <v>2383.2000000074913</v>
      </c>
      <c r="E21" s="227"/>
      <c r="F21" s="228">
        <f t="shared" si="0"/>
        <v>0.67344862665759242</v>
      </c>
      <c r="G21" s="232"/>
      <c r="H21" s="111"/>
      <c r="I21" s="112"/>
      <c r="J21" s="112"/>
      <c r="K21" s="112"/>
      <c r="L21" s="112"/>
      <c r="M21" s="9"/>
      <c r="N21" s="222" t="s">
        <v>134</v>
      </c>
      <c r="O21" s="222"/>
      <c r="P21" s="222"/>
      <c r="Q21" s="222"/>
      <c r="R21" s="7"/>
      <c r="S21" s="7"/>
      <c r="T21" s="7"/>
      <c r="U21" s="7"/>
      <c r="V21" s="7"/>
      <c r="W21" s="8"/>
    </row>
    <row r="22" spans="1:23" ht="20.100000000000001" customHeight="1" x14ac:dyDescent="0.2">
      <c r="A22" s="5" t="s">
        <v>14</v>
      </c>
      <c r="B22" s="21">
        <f>'Ячейка 3'!D25+'Ячейка 4'!D25</f>
        <v>3567.6000000130443</v>
      </c>
      <c r="C22" s="21"/>
      <c r="D22" s="226">
        <f>'Ячейка 3'!H25+'Ячейка 4'!H25</f>
        <v>2372.399999985646</v>
      </c>
      <c r="E22" s="227"/>
      <c r="F22" s="228">
        <f t="shared" si="0"/>
        <v>0.66498486376751087</v>
      </c>
      <c r="G22" s="232"/>
      <c r="H22" s="111"/>
      <c r="I22" s="112"/>
      <c r="J22" s="112"/>
      <c r="K22" s="112"/>
      <c r="L22" s="112"/>
    </row>
    <row r="23" spans="1:23" ht="20.100000000000001" customHeight="1" x14ac:dyDescent="0.2">
      <c r="A23" s="5" t="s">
        <v>15</v>
      </c>
      <c r="B23" s="21">
        <f>'Ячейка 3'!D26+'Ячейка 4'!D26</f>
        <v>3794.3999999970401</v>
      </c>
      <c r="C23" s="21"/>
      <c r="D23" s="226">
        <f>'Ячейка 3'!H26+'Ячейка 4'!H26</f>
        <v>2444.4000000166852</v>
      </c>
      <c r="E23" s="227"/>
      <c r="F23" s="228">
        <f t="shared" si="0"/>
        <v>0.6442125237240649</v>
      </c>
      <c r="G23" s="232"/>
      <c r="H23" s="111"/>
      <c r="I23" s="112"/>
      <c r="J23" s="112"/>
      <c r="K23" s="112"/>
      <c r="L23" s="112"/>
    </row>
    <row r="24" spans="1:23" ht="20.100000000000001" customHeight="1" x14ac:dyDescent="0.2">
      <c r="A24" s="5" t="s">
        <v>16</v>
      </c>
      <c r="B24" s="21">
        <f>'Ячейка 3'!D27+'Ячейка 4'!D27</f>
        <v>4175.9999999831052</v>
      </c>
      <c r="C24" s="21"/>
      <c r="D24" s="226">
        <f>'Ячейка 3'!H27+'Ячейка 4'!H27</f>
        <v>2645.9999999988213</v>
      </c>
      <c r="E24" s="227"/>
      <c r="F24" s="228">
        <f t="shared" si="0"/>
        <v>0.63362068965745355</v>
      </c>
      <c r="G24" s="232"/>
      <c r="H24" s="111"/>
      <c r="I24" s="112"/>
      <c r="J24" s="112"/>
      <c r="K24" s="112"/>
      <c r="L24" s="112"/>
      <c r="N24" s="145" t="s">
        <v>135</v>
      </c>
      <c r="O24" s="145"/>
      <c r="P24" s="145"/>
      <c r="Q24" s="145"/>
      <c r="R24" s="145"/>
      <c r="S24" s="145"/>
      <c r="T24" s="145"/>
      <c r="U24" s="145"/>
      <c r="V24" s="145"/>
    </row>
    <row r="25" spans="1:23" ht="20.100000000000001" customHeight="1" x14ac:dyDescent="0.2">
      <c r="A25" s="5" t="s">
        <v>17</v>
      </c>
      <c r="B25" s="21">
        <f>'Ячейка 3'!D28+'Ячейка 4'!D28</f>
        <v>4233.6000000177592</v>
      </c>
      <c r="C25" s="21"/>
      <c r="D25" s="226">
        <f>'Ячейка 3'!H28+'Ячейка 4'!H28</f>
        <v>2667.6000000097702</v>
      </c>
      <c r="E25" s="227"/>
      <c r="F25" s="228">
        <f t="shared" si="0"/>
        <v>0.63010204081599108</v>
      </c>
      <c r="G25" s="232"/>
      <c r="H25" s="111"/>
      <c r="I25" s="112"/>
      <c r="J25" s="112"/>
      <c r="K25" s="112"/>
      <c r="L25" s="112"/>
      <c r="N25" s="17" t="s">
        <v>136</v>
      </c>
      <c r="O25" s="145" t="s">
        <v>137</v>
      </c>
      <c r="P25" s="145"/>
      <c r="Q25" s="145"/>
      <c r="R25" s="145"/>
      <c r="S25" s="145"/>
      <c r="T25" s="145"/>
      <c r="U25" s="145"/>
      <c r="V25" s="145"/>
    </row>
    <row r="26" spans="1:23" ht="20.100000000000001" customHeight="1" x14ac:dyDescent="0.2">
      <c r="A26" s="5" t="s">
        <v>18</v>
      </c>
      <c r="B26" s="21">
        <f>'Ячейка 3'!D29+'Ячейка 4'!D29</f>
        <v>3895.1999999717373</v>
      </c>
      <c r="C26" s="21"/>
      <c r="D26" s="226">
        <f>'Ячейка 3'!H29+'Ячейка 4'!H29</f>
        <v>2465.9999999948923</v>
      </c>
      <c r="E26" s="227"/>
      <c r="F26" s="228">
        <f t="shared" si="0"/>
        <v>0.6330868761585503</v>
      </c>
      <c r="G26" s="232"/>
      <c r="H26" s="111"/>
      <c r="I26" s="112"/>
      <c r="J26" s="112"/>
      <c r="K26" s="112"/>
      <c r="L26" s="112"/>
      <c r="N26" s="17" t="s">
        <v>138</v>
      </c>
      <c r="O26" s="145" t="s">
        <v>180</v>
      </c>
      <c r="P26" s="145"/>
      <c r="Q26" s="145"/>
      <c r="R26" s="145"/>
      <c r="S26" s="145"/>
      <c r="T26" s="145"/>
      <c r="U26" s="145"/>
      <c r="V26" s="145"/>
    </row>
    <row r="27" spans="1:23" ht="20.100000000000001" customHeight="1" x14ac:dyDescent="0.2">
      <c r="A27" s="5" t="s">
        <v>19</v>
      </c>
      <c r="B27" s="21">
        <f>'Ячейка 3'!D30+'Ячейка 4'!D30</f>
        <v>3848.4000000080414</v>
      </c>
      <c r="C27" s="21"/>
      <c r="D27" s="226">
        <f>'Ячейка 3'!H30+'Ячейка 4'!H30</f>
        <v>2469.5999999858032</v>
      </c>
      <c r="E27" s="227"/>
      <c r="F27" s="228">
        <f t="shared" si="0"/>
        <v>0.64172123479384757</v>
      </c>
      <c r="G27" s="232"/>
      <c r="H27" s="111"/>
      <c r="I27" s="112"/>
      <c r="J27" s="112"/>
      <c r="K27" s="112"/>
      <c r="L27" s="112"/>
      <c r="N27" s="17" t="s">
        <v>139</v>
      </c>
      <c r="O27" s="145" t="s">
        <v>140</v>
      </c>
      <c r="P27" s="145"/>
      <c r="Q27" s="145"/>
      <c r="R27" s="145"/>
      <c r="S27" s="145"/>
      <c r="T27" s="145"/>
      <c r="U27" s="145"/>
      <c r="V27" s="145"/>
    </row>
    <row r="28" spans="1:23" ht="20.100000000000001" customHeight="1" x14ac:dyDescent="0.2">
      <c r="A28" s="5" t="s">
        <v>20</v>
      </c>
      <c r="B28" s="21">
        <f>'Ячейка 3'!D31+'Ячейка 4'!D31</f>
        <v>3607.2000000112894</v>
      </c>
      <c r="C28" s="21"/>
      <c r="D28" s="226">
        <f>'Ячейка 3'!H31+'Ячейка 4'!H31</f>
        <v>2394.0000000129658</v>
      </c>
      <c r="E28" s="227"/>
      <c r="F28" s="228">
        <f t="shared" si="0"/>
        <v>0.6636726546921361</v>
      </c>
      <c r="G28" s="232"/>
      <c r="H28" s="111"/>
      <c r="I28" s="112"/>
      <c r="J28" s="112"/>
      <c r="K28" s="112"/>
      <c r="L28" s="112"/>
      <c r="N28" s="17"/>
      <c r="O28" s="145" t="s">
        <v>141</v>
      </c>
      <c r="P28" s="145"/>
      <c r="Q28" s="145"/>
      <c r="R28" s="145"/>
      <c r="S28" s="145"/>
      <c r="T28" s="145"/>
      <c r="U28" s="145"/>
      <c r="V28" s="145"/>
    </row>
    <row r="29" spans="1:23" ht="20.100000000000001" customHeight="1" x14ac:dyDescent="0.2">
      <c r="A29" s="5" t="s">
        <v>21</v>
      </c>
      <c r="B29" s="21">
        <f>'Ячейка 3'!D32+'Ячейка 4'!D32</f>
        <v>3722.3999999823718</v>
      </c>
      <c r="C29" s="21"/>
      <c r="D29" s="226">
        <f>'Ячейка 3'!H32+'Ячейка 4'!H32</f>
        <v>2505.5999999931373</v>
      </c>
      <c r="E29" s="227"/>
      <c r="F29" s="228">
        <f t="shared" si="0"/>
        <v>0.67311411992397463</v>
      </c>
      <c r="G29" s="232"/>
      <c r="H29" s="111"/>
      <c r="I29" s="112"/>
      <c r="J29" s="112"/>
      <c r="K29" s="112"/>
      <c r="L29" s="112"/>
      <c r="N29" s="17"/>
      <c r="O29" s="145" t="s">
        <v>142</v>
      </c>
      <c r="P29" s="145"/>
      <c r="Q29" s="145"/>
      <c r="R29" s="145"/>
      <c r="S29" s="145"/>
      <c r="T29" s="145"/>
      <c r="U29" s="145"/>
      <c r="V29" s="145"/>
    </row>
    <row r="30" spans="1:23" ht="20.100000000000001" customHeight="1" x14ac:dyDescent="0.2">
      <c r="A30" s="5" t="s">
        <v>22</v>
      </c>
      <c r="B30" s="21">
        <f>'Ячейка 3'!D33+'Ячейка 4'!D33</f>
        <v>3841.2000000098487</v>
      </c>
      <c r="C30" s="21"/>
      <c r="D30" s="226">
        <f>'Ячейка 3'!H33+'Ячейка 4'!H33</f>
        <v>2624.4000000042433</v>
      </c>
      <c r="E30" s="227"/>
      <c r="F30" s="228">
        <f t="shared" si="0"/>
        <v>0.68322399250169596</v>
      </c>
      <c r="G30" s="232"/>
      <c r="H30" s="111"/>
      <c r="I30" s="112"/>
      <c r="J30" s="112"/>
      <c r="K30" s="112"/>
      <c r="L30" s="112"/>
      <c r="N30" s="17" t="s">
        <v>143</v>
      </c>
      <c r="O30" s="145" t="s">
        <v>144</v>
      </c>
      <c r="P30" s="145"/>
      <c r="Q30" s="145"/>
      <c r="R30" s="145"/>
      <c r="S30" s="145"/>
      <c r="T30" s="145"/>
      <c r="U30" s="145"/>
      <c r="V30" s="145"/>
    </row>
    <row r="31" spans="1:23" ht="20.100000000000001" customHeight="1" x14ac:dyDescent="0.2">
      <c r="A31" s="5" t="s">
        <v>23</v>
      </c>
      <c r="B31" s="21">
        <f>'Ячейка 3'!D34+'Ячейка 4'!D34</f>
        <v>3618.0000000167638</v>
      </c>
      <c r="C31" s="21"/>
      <c r="D31" s="226">
        <f>'Ячейка 3'!H34+'Ячейка 4'!H34</f>
        <v>2451.599999998507</v>
      </c>
      <c r="E31" s="227"/>
      <c r="F31" s="228">
        <f t="shared" si="0"/>
        <v>0.67761194029495508</v>
      </c>
      <c r="G31" s="232"/>
      <c r="H31" s="111"/>
      <c r="I31" s="112"/>
      <c r="J31" s="112"/>
      <c r="K31" s="112"/>
      <c r="L31" s="112"/>
      <c r="N31" s="17"/>
      <c r="O31" s="145" t="s">
        <v>145</v>
      </c>
      <c r="P31" s="145"/>
      <c r="Q31" s="145"/>
      <c r="R31" s="145"/>
      <c r="S31" s="145"/>
      <c r="T31" s="145"/>
      <c r="U31" s="145"/>
      <c r="V31" s="145"/>
    </row>
    <row r="32" spans="1:23" ht="20.100000000000001" customHeight="1" x14ac:dyDescent="0.2">
      <c r="A32" s="5" t="s">
        <v>24</v>
      </c>
      <c r="B32" s="21">
        <f>'Ячейка 3'!D35+'Ячейка 4'!D35</f>
        <v>3603.5999999876367</v>
      </c>
      <c r="C32" s="21"/>
      <c r="D32" s="226">
        <f>'Ячейка 3'!H35+'Ячейка 4'!H35</f>
        <v>2386.7999999984022</v>
      </c>
      <c r="E32" s="227"/>
      <c r="F32" s="228">
        <f t="shared" si="0"/>
        <v>0.66233766233949132</v>
      </c>
      <c r="G32" s="232"/>
      <c r="H32" s="111"/>
      <c r="I32" s="112"/>
      <c r="J32" s="112"/>
      <c r="K32" s="112"/>
      <c r="L32" s="112"/>
      <c r="N32" s="17" t="s">
        <v>146</v>
      </c>
      <c r="O32" s="145" t="s">
        <v>147</v>
      </c>
      <c r="P32" s="145"/>
      <c r="Q32" s="145"/>
      <c r="R32" s="145"/>
      <c r="S32" s="145"/>
      <c r="T32" s="145"/>
      <c r="U32" s="145"/>
      <c r="V32" s="145"/>
    </row>
    <row r="33" spans="1:24" ht="20.100000000000001" customHeight="1" x14ac:dyDescent="0.2">
      <c r="A33" s="5" t="s">
        <v>25</v>
      </c>
      <c r="B33" s="21">
        <f>'Ячейка 3'!D36+'Ячейка 4'!D36</f>
        <v>3639.6000000113418</v>
      </c>
      <c r="C33" s="21"/>
      <c r="D33" s="226">
        <f>'Ячейка 3'!H36+'Ячейка 4'!H36</f>
        <v>2393.9999999965949</v>
      </c>
      <c r="E33" s="227"/>
      <c r="F33" s="228">
        <f t="shared" si="0"/>
        <v>0.65776458951234607</v>
      </c>
      <c r="G33" s="232"/>
      <c r="H33" s="111"/>
      <c r="I33" s="112"/>
      <c r="J33" s="112"/>
      <c r="K33" s="112"/>
      <c r="L33" s="112"/>
      <c r="N33" s="17" t="s">
        <v>148</v>
      </c>
      <c r="O33" s="145" t="s">
        <v>149</v>
      </c>
      <c r="P33" s="145"/>
      <c r="Q33" s="145"/>
      <c r="R33" s="145"/>
      <c r="S33" s="145"/>
      <c r="T33" s="145"/>
      <c r="U33" s="145"/>
      <c r="V33" s="145"/>
    </row>
    <row r="34" spans="1:24" ht="20.100000000000001" customHeight="1" x14ac:dyDescent="0.2">
      <c r="A34" s="5" t="s">
        <v>26</v>
      </c>
      <c r="B34" s="21">
        <f>'Ячейка 3'!D37+'Ячейка 4'!D37</f>
        <v>3711.5999999932683</v>
      </c>
      <c r="C34" s="21"/>
      <c r="D34" s="226">
        <f>'Ячейка 3'!H37+'Ячейка 4'!H37</f>
        <v>2321.9999999982974</v>
      </c>
      <c r="E34" s="227"/>
      <c r="F34" s="228">
        <f t="shared" si="0"/>
        <v>0.62560620756614638</v>
      </c>
      <c r="G34" s="232"/>
      <c r="H34" s="111"/>
      <c r="I34" s="112"/>
      <c r="J34" s="112"/>
      <c r="K34" s="112"/>
      <c r="L34" s="112"/>
    </row>
    <row r="35" spans="1:24" ht="20.100000000000001" customHeight="1" x14ac:dyDescent="0.2">
      <c r="A35" s="5" t="s">
        <v>27</v>
      </c>
      <c r="B35" s="21">
        <f>'Ячейка 3'!D38+'Ячейка 4'!D38</f>
        <v>3672.0000000113941</v>
      </c>
      <c r="C35" s="21"/>
      <c r="D35" s="226">
        <f>'Ячейка 3'!H38+'Ячейка 4'!H38</f>
        <v>2268.0000000036671</v>
      </c>
      <c r="E35" s="227"/>
      <c r="F35" s="228">
        <f t="shared" si="0"/>
        <v>0.61764705882261151</v>
      </c>
      <c r="G35" s="232"/>
      <c r="H35" s="111"/>
      <c r="I35" s="112"/>
      <c r="J35" s="112"/>
      <c r="K35" s="112"/>
      <c r="L35" s="112"/>
    </row>
    <row r="36" spans="1:24" ht="20.100000000000001" customHeight="1" x14ac:dyDescent="0.2">
      <c r="A36" s="5" t="s">
        <v>28</v>
      </c>
      <c r="B36" s="21">
        <f>'Ячейка 3'!D39+'Ячейка 4'!D39</f>
        <v>3546.0000000020955</v>
      </c>
      <c r="C36" s="21"/>
      <c r="D36" s="226">
        <f>'Ячейка 3'!H39+'Ячейка 4'!H39</f>
        <v>2250</v>
      </c>
      <c r="E36" s="227"/>
      <c r="F36" s="228">
        <f t="shared" si="0"/>
        <v>0.63451776649708702</v>
      </c>
      <c r="G36" s="232"/>
      <c r="H36" s="111"/>
      <c r="I36" s="112"/>
      <c r="J36" s="112"/>
      <c r="K36" s="112"/>
      <c r="L36" s="112"/>
    </row>
    <row r="37" spans="1:24" ht="20.100000000000001" customHeight="1" x14ac:dyDescent="0.2">
      <c r="A37" s="5" t="s">
        <v>29</v>
      </c>
      <c r="B37" s="21">
        <f>'Ячейка 3'!D40+'Ячейка 4'!D40</f>
        <v>3596.4000000058149</v>
      </c>
      <c r="C37" s="21"/>
      <c r="D37" s="226">
        <f>'Ячейка 3'!H40+'Ячейка 4'!H40</f>
        <v>2318.4000000073866</v>
      </c>
      <c r="E37" s="227"/>
      <c r="F37" s="228">
        <f t="shared" si="0"/>
        <v>0.64464464464565618</v>
      </c>
      <c r="G37" s="232"/>
      <c r="H37" s="111"/>
      <c r="I37" s="112"/>
      <c r="J37" s="112"/>
      <c r="K37" s="112"/>
      <c r="L37" s="112"/>
    </row>
    <row r="38" spans="1:24" ht="20.100000000000001" customHeight="1" x14ac:dyDescent="0.2">
      <c r="A38" s="5" t="s">
        <v>30</v>
      </c>
      <c r="B38" s="21">
        <f>'Ячейка 3'!D41+'Ячейка 4'!D41</f>
        <v>3679.199999976845</v>
      </c>
      <c r="C38" s="21"/>
      <c r="D38" s="226">
        <f>'Ячейка 3'!H41+'Ячейка 4'!H41</f>
        <v>2408.3999999766093</v>
      </c>
      <c r="E38" s="227"/>
      <c r="F38" s="228">
        <f t="shared" si="0"/>
        <v>0.65459882582946471</v>
      </c>
      <c r="G38" s="232"/>
      <c r="H38" s="111"/>
      <c r="I38" s="112"/>
      <c r="J38" s="112"/>
      <c r="K38" s="112"/>
      <c r="L38" s="112"/>
    </row>
    <row r="39" spans="1:24" ht="20.100000000000001" customHeight="1" x14ac:dyDescent="0.2">
      <c r="A39" s="5" t="s">
        <v>31</v>
      </c>
      <c r="B39" s="21">
        <f>'Ячейка 3'!D42+'Ячейка 4'!D42</f>
        <v>3491.9999999910942</v>
      </c>
      <c r="C39" s="21"/>
      <c r="D39" s="226">
        <f>'Ячейка 3'!H42+'Ячейка 4'!H42</f>
        <v>2347.2000000165281</v>
      </c>
      <c r="E39" s="227"/>
      <c r="F39" s="228">
        <f t="shared" si="0"/>
        <v>0.67216494846005559</v>
      </c>
      <c r="G39" s="232"/>
      <c r="H39" s="111"/>
      <c r="I39" s="112"/>
      <c r="J39" s="112"/>
      <c r="K39" s="112"/>
      <c r="L39" s="112"/>
      <c r="P39" s="177" t="s">
        <v>150</v>
      </c>
      <c r="Q39" s="177"/>
      <c r="R39" s="177"/>
      <c r="S39" s="176" t="s">
        <v>364</v>
      </c>
      <c r="T39" s="176"/>
      <c r="U39" s="176"/>
      <c r="V39" s="176"/>
      <c r="W39" s="176"/>
      <c r="X39" s="176"/>
    </row>
    <row r="40" spans="1:24" ht="20.100000000000001" customHeight="1" x14ac:dyDescent="0.2">
      <c r="A40" s="5" t="s">
        <v>32</v>
      </c>
      <c r="B40" s="21">
        <f>SUM(B15:B39)</f>
        <v>88347.599999980957</v>
      </c>
      <c r="C40" s="21"/>
      <c r="D40" s="226">
        <f>SUM(D15:E39)</f>
        <v>58053.599999997459</v>
      </c>
      <c r="E40" s="227"/>
      <c r="F40" s="228">
        <f t="shared" si="0"/>
        <v>0.65710443747209857</v>
      </c>
      <c r="G40" s="232"/>
      <c r="H40" s="111"/>
      <c r="I40" s="112"/>
      <c r="J40" s="112"/>
      <c r="K40" s="112"/>
      <c r="L40" s="112"/>
    </row>
    <row r="41" spans="1:24" ht="20.100000000000001" customHeight="1" x14ac:dyDescent="0.2">
      <c r="A41" s="5" t="s">
        <v>33</v>
      </c>
      <c r="B41" s="5"/>
      <c r="C41" s="5"/>
      <c r="D41" s="128"/>
      <c r="E41" s="129"/>
      <c r="F41" s="228"/>
      <c r="G41" s="232"/>
      <c r="H41" s="111"/>
      <c r="I41" s="112"/>
      <c r="J41" s="112"/>
      <c r="K41" s="112"/>
      <c r="L41" s="112"/>
    </row>
    <row r="42" spans="1:24" ht="20.100000000000001" customHeight="1" x14ac:dyDescent="0.2">
      <c r="A42" s="129" t="s">
        <v>2</v>
      </c>
      <c r="B42" s="128" t="s">
        <v>37</v>
      </c>
      <c r="C42" s="132"/>
      <c r="D42" s="129"/>
      <c r="E42" s="128" t="s">
        <v>40</v>
      </c>
      <c r="F42" s="132"/>
      <c r="G42" s="132"/>
      <c r="H42" s="132"/>
      <c r="I42" s="129"/>
      <c r="J42" s="124" t="s">
        <v>5</v>
      </c>
      <c r="K42" s="131"/>
      <c r="L42" s="131"/>
    </row>
    <row r="43" spans="1:24" ht="39" customHeight="1" x14ac:dyDescent="0.2">
      <c r="A43" s="129"/>
      <c r="B43" s="219" t="s">
        <v>38</v>
      </c>
      <c r="C43" s="219"/>
      <c r="D43" s="5" t="s">
        <v>39</v>
      </c>
      <c r="E43" s="128" t="s">
        <v>41</v>
      </c>
      <c r="F43" s="132"/>
      <c r="G43" s="129"/>
      <c r="H43" s="128" t="s">
        <v>42</v>
      </c>
      <c r="I43" s="129"/>
      <c r="J43" s="127"/>
      <c r="K43" s="130"/>
      <c r="L43" s="130"/>
    </row>
    <row r="44" spans="1:24" ht="20.100000000000001" customHeight="1" x14ac:dyDescent="0.2">
      <c r="A44" s="4" t="s">
        <v>153</v>
      </c>
      <c r="B44" s="226">
        <f>SUM(B24:B26)</f>
        <v>12304.799999972602</v>
      </c>
      <c r="C44" s="227"/>
      <c r="D44" s="21">
        <f>SUM(D24:E26)</f>
        <v>7779.6000000034837</v>
      </c>
      <c r="E44" s="226">
        <f>B44/3</f>
        <v>4101.5999999908672</v>
      </c>
      <c r="F44" s="231"/>
      <c r="G44" s="227"/>
      <c r="H44" s="226">
        <f>D44/3</f>
        <v>2593.2000000011612</v>
      </c>
      <c r="I44" s="227"/>
      <c r="J44" s="228">
        <f>H44/E44</f>
        <v>0.6322410766547043</v>
      </c>
      <c r="K44" s="229"/>
      <c r="L44" s="229"/>
    </row>
    <row r="45" spans="1:24" ht="20.100000000000001" customHeight="1" x14ac:dyDescent="0.2">
      <c r="A45" s="4" t="s">
        <v>43</v>
      </c>
      <c r="B45" s="226">
        <f>SUM(B33:B36)</f>
        <v>14569.2000000181</v>
      </c>
      <c r="C45" s="227"/>
      <c r="D45" s="21">
        <f>SUM(D33:E36)</f>
        <v>9233.9999999985594</v>
      </c>
      <c r="E45" s="226">
        <f>B45/4</f>
        <v>3642.3000000045249</v>
      </c>
      <c r="F45" s="231"/>
      <c r="G45" s="227"/>
      <c r="H45" s="226">
        <f>D45/4</f>
        <v>2308.4999999996398</v>
      </c>
      <c r="I45" s="227"/>
      <c r="J45" s="228">
        <f>H45/E45</f>
        <v>0.6338028169005222</v>
      </c>
      <c r="K45" s="229"/>
      <c r="L45" s="229"/>
    </row>
    <row r="46" spans="1:24" ht="20.100000000000001" customHeight="1" x14ac:dyDescent="0.2">
      <c r="A46" s="4" t="s">
        <v>44</v>
      </c>
      <c r="B46" s="226">
        <f>SUM(B16:B39)</f>
        <v>88347.599999980957</v>
      </c>
      <c r="C46" s="227"/>
      <c r="D46" s="21">
        <f>SUM(D16:E39)</f>
        <v>58053.599999997459</v>
      </c>
      <c r="E46" s="226">
        <f>B46/24</f>
        <v>3681.1499999992066</v>
      </c>
      <c r="F46" s="231"/>
      <c r="G46" s="227"/>
      <c r="H46" s="226">
        <f>D46/24</f>
        <v>2418.8999999998941</v>
      </c>
      <c r="I46" s="227"/>
      <c r="J46" s="228">
        <f>H46/E46</f>
        <v>0.65710443747209857</v>
      </c>
      <c r="K46" s="229"/>
      <c r="L46" s="229"/>
    </row>
    <row r="47" spans="1:24" ht="20.100000000000001" customHeight="1" x14ac:dyDescent="0.2"/>
    <row r="48" spans="1:24" ht="20.100000000000001" customHeight="1" x14ac:dyDescent="0.2"/>
    <row r="49" spans="3:9" ht="20.100000000000001" customHeight="1" x14ac:dyDescent="0.2"/>
    <row r="50" spans="3:9" ht="20.100000000000001" customHeight="1" x14ac:dyDescent="0.2">
      <c r="C50" s="122" t="s">
        <v>186</v>
      </c>
      <c r="D50" s="122"/>
      <c r="E50" s="122"/>
      <c r="F50" s="122"/>
      <c r="G50" s="122"/>
      <c r="H50" s="122"/>
      <c r="I50" s="122"/>
    </row>
    <row r="51" spans="3:9" ht="20.100000000000001" customHeight="1" x14ac:dyDescent="0.2"/>
  </sheetData>
  <sheetProtection sheet="1" objects="1" scenarios="1"/>
  <mergeCells count="173">
    <mergeCell ref="F1:H2"/>
    <mergeCell ref="I1:L2"/>
    <mergeCell ref="M1:M3"/>
    <mergeCell ref="N1:Q3"/>
    <mergeCell ref="F5:H6"/>
    <mergeCell ref="I5:L6"/>
    <mergeCell ref="F3:H4"/>
    <mergeCell ref="I3:L4"/>
    <mergeCell ref="R1:T1"/>
    <mergeCell ref="U1:W1"/>
    <mergeCell ref="R2:R3"/>
    <mergeCell ref="U2:U3"/>
    <mergeCell ref="S2:T2"/>
    <mergeCell ref="S3:T3"/>
    <mergeCell ref="V2:W2"/>
    <mergeCell ref="V3:W3"/>
    <mergeCell ref="N8:Q8"/>
    <mergeCell ref="N9:Q9"/>
    <mergeCell ref="N4:Q4"/>
    <mergeCell ref="N5:Q5"/>
    <mergeCell ref="N6:Q6"/>
    <mergeCell ref="N7:Q7"/>
    <mergeCell ref="W14:W18"/>
    <mergeCell ref="N19:Q19"/>
    <mergeCell ref="M14:M18"/>
    <mergeCell ref="N14:Q18"/>
    <mergeCell ref="R14:T14"/>
    <mergeCell ref="T15:T18"/>
    <mergeCell ref="S15:S18"/>
    <mergeCell ref="R15:R18"/>
    <mergeCell ref="N21:Q21"/>
    <mergeCell ref="N24:V24"/>
    <mergeCell ref="O25:V25"/>
    <mergeCell ref="U14:U18"/>
    <mergeCell ref="V14:V18"/>
    <mergeCell ref="O30:V30"/>
    <mergeCell ref="O31:V31"/>
    <mergeCell ref="O32:V32"/>
    <mergeCell ref="N10:Q10"/>
    <mergeCell ref="N11:Q11"/>
    <mergeCell ref="O33:V33"/>
    <mergeCell ref="O26:V26"/>
    <mergeCell ref="O27:V27"/>
    <mergeCell ref="O28:V28"/>
    <mergeCell ref="O29:V29"/>
    <mergeCell ref="P39:R39"/>
    <mergeCell ref="C50:I50"/>
    <mergeCell ref="A10:B10"/>
    <mergeCell ref="C10:H10"/>
    <mergeCell ref="A11:L11"/>
    <mergeCell ref="H13:L13"/>
    <mergeCell ref="A12:A13"/>
    <mergeCell ref="B13:C13"/>
    <mergeCell ref="D13:E13"/>
    <mergeCell ref="D20:E20"/>
    <mergeCell ref="D27:E27"/>
    <mergeCell ref="B12:E12"/>
    <mergeCell ref="D16:E16"/>
    <mergeCell ref="D17:E17"/>
    <mergeCell ref="D18:E18"/>
    <mergeCell ref="D19:E19"/>
    <mergeCell ref="D23:E23"/>
    <mergeCell ref="D24:E24"/>
    <mergeCell ref="N20:Q20"/>
    <mergeCell ref="D35:E35"/>
    <mergeCell ref="D36:E36"/>
    <mergeCell ref="F38:G38"/>
    <mergeCell ref="A7:L7"/>
    <mergeCell ref="F12:G13"/>
    <mergeCell ref="H12:L12"/>
    <mergeCell ref="F9:H9"/>
    <mergeCell ref="A9:E9"/>
    <mergeCell ref="A8:L8"/>
    <mergeCell ref="D14:E14"/>
    <mergeCell ref="D15:E15"/>
    <mergeCell ref="F14:G14"/>
    <mergeCell ref="F15:G15"/>
    <mergeCell ref="H14:L14"/>
    <mergeCell ref="H15:L15"/>
    <mergeCell ref="H16:L16"/>
    <mergeCell ref="H17:L17"/>
    <mergeCell ref="H18:L18"/>
    <mergeCell ref="H21:L21"/>
    <mergeCell ref="H22:L22"/>
    <mergeCell ref="H23:L23"/>
    <mergeCell ref="H37:L37"/>
    <mergeCell ref="F32:G32"/>
    <mergeCell ref="H25:L25"/>
    <mergeCell ref="A42:A43"/>
    <mergeCell ref="B43:C43"/>
    <mergeCell ref="D26:E26"/>
    <mergeCell ref="D40:E40"/>
    <mergeCell ref="D33:E33"/>
    <mergeCell ref="D34:E34"/>
    <mergeCell ref="D28:E28"/>
    <mergeCell ref="D39:E39"/>
    <mergeCell ref="F21:G21"/>
    <mergeCell ref="F22:G22"/>
    <mergeCell ref="D37:E37"/>
    <mergeCell ref="D25:E25"/>
    <mergeCell ref="F24:G24"/>
    <mergeCell ref="F25:G25"/>
    <mergeCell ref="F26:G26"/>
    <mergeCell ref="D21:E21"/>
    <mergeCell ref="D22:E22"/>
    <mergeCell ref="D29:E29"/>
    <mergeCell ref="D30:E30"/>
    <mergeCell ref="D31:E31"/>
    <mergeCell ref="D32:E32"/>
    <mergeCell ref="F36:G36"/>
    <mergeCell ref="F37:G37"/>
    <mergeCell ref="F31:G31"/>
    <mergeCell ref="H26:L26"/>
    <mergeCell ref="H27:L27"/>
    <mergeCell ref="H20:L20"/>
    <mergeCell ref="F33:G33"/>
    <mergeCell ref="F34:G34"/>
    <mergeCell ref="F27:G27"/>
    <mergeCell ref="F28:G28"/>
    <mergeCell ref="F29:G29"/>
    <mergeCell ref="F30:G30"/>
    <mergeCell ref="H28:L28"/>
    <mergeCell ref="H24:L24"/>
    <mergeCell ref="H33:L33"/>
    <mergeCell ref="H34:L34"/>
    <mergeCell ref="A1:E1"/>
    <mergeCell ref="A2:E2"/>
    <mergeCell ref="A3:E3"/>
    <mergeCell ref="A4:E4"/>
    <mergeCell ref="A5:E5"/>
    <mergeCell ref="A6:E6"/>
    <mergeCell ref="B46:C46"/>
    <mergeCell ref="E46:G46"/>
    <mergeCell ref="B44:C44"/>
    <mergeCell ref="B45:C45"/>
    <mergeCell ref="D41:E41"/>
    <mergeCell ref="E45:G45"/>
    <mergeCell ref="F41:G41"/>
    <mergeCell ref="B42:D42"/>
    <mergeCell ref="F40:G40"/>
    <mergeCell ref="D38:E38"/>
    <mergeCell ref="F23:G23"/>
    <mergeCell ref="F39:G39"/>
    <mergeCell ref="F16:G16"/>
    <mergeCell ref="F17:G17"/>
    <mergeCell ref="F18:G18"/>
    <mergeCell ref="F19:G19"/>
    <mergeCell ref="F20:G20"/>
    <mergeCell ref="F35:G35"/>
    <mergeCell ref="I9:M9"/>
    <mergeCell ref="S39:X39"/>
    <mergeCell ref="H46:I46"/>
    <mergeCell ref="E42:I42"/>
    <mergeCell ref="E43:G43"/>
    <mergeCell ref="H43:I43"/>
    <mergeCell ref="E44:G44"/>
    <mergeCell ref="H44:I44"/>
    <mergeCell ref="J46:L46"/>
    <mergeCell ref="J42:L43"/>
    <mergeCell ref="J44:L44"/>
    <mergeCell ref="J45:L45"/>
    <mergeCell ref="H45:I45"/>
    <mergeCell ref="H41:L41"/>
    <mergeCell ref="H40:L40"/>
    <mergeCell ref="H35:L35"/>
    <mergeCell ref="H36:L36"/>
    <mergeCell ref="H19:L19"/>
    <mergeCell ref="H38:L38"/>
    <mergeCell ref="H39:L39"/>
    <mergeCell ref="H29:L29"/>
    <mergeCell ref="H30:L30"/>
    <mergeCell ref="H31:L31"/>
    <mergeCell ref="H32:L32"/>
  </mergeCells>
  <phoneticPr fontId="0" type="noConversion"/>
  <printOptions horizontalCentered="1"/>
  <pageMargins left="0.39370078740157483" right="0.39370078740157483" top="0.19685039370078741" bottom="0.19685039370078741" header="0" footer="0"/>
  <pageSetup paperSize="9" scale="75" orientation="portrait" horizontalDpi="180" verticalDpi="180" r:id="rId1"/>
  <headerFooter alignWithMargins="0"/>
  <rowBreaks count="1" manualBreakCount="1">
    <brk id="50" max="22" man="1"/>
  </rowBreaks>
  <colBreaks count="1" manualBreakCount="1">
    <brk id="12" max="49" man="1"/>
  </colBreak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1"/>
  <dimension ref="A1:X51"/>
  <sheetViews>
    <sheetView view="pageBreakPreview" zoomScale="75" zoomScaleNormal="100" workbookViewId="0">
      <selection activeCell="F9" sqref="F9:H9"/>
    </sheetView>
  </sheetViews>
  <sheetFormatPr defaultRowHeight="18.75" x14ac:dyDescent="0.2"/>
  <cols>
    <col min="1" max="1" width="15" style="2" customWidth="1"/>
    <col min="2" max="2" width="15.7109375" style="2" customWidth="1"/>
    <col min="3" max="3" width="6.28515625" style="2" customWidth="1"/>
    <col min="4" max="4" width="22.7109375" style="2" customWidth="1"/>
    <col min="5" max="5" width="3.42578125" style="2" customWidth="1"/>
    <col min="6" max="8" width="9.140625" style="2"/>
    <col min="9" max="9" width="9.7109375" style="2" customWidth="1"/>
    <col min="10" max="10" width="6" style="2" customWidth="1"/>
    <col min="11" max="11" width="6.140625" style="2" customWidth="1"/>
    <col min="12" max="12" width="6.85546875" style="2" customWidth="1"/>
    <col min="13" max="13" width="8.42578125" style="2" customWidth="1"/>
    <col min="14" max="18" width="10.7109375" style="2" customWidth="1"/>
    <col min="19" max="19" width="13.85546875" style="2" customWidth="1"/>
    <col min="20" max="21" width="12.7109375" style="2" customWidth="1"/>
    <col min="22" max="22" width="13.28515625" style="2" customWidth="1"/>
    <col min="23" max="23" width="14.7109375" style="2" customWidth="1"/>
    <col min="24" max="28" width="10.28515625" style="2" customWidth="1"/>
    <col min="29" max="16384" width="9.140625" style="2"/>
  </cols>
  <sheetData>
    <row r="1" spans="1:23" ht="26.25" x14ac:dyDescent="0.2">
      <c r="A1" s="115" t="s">
        <v>161</v>
      </c>
      <c r="B1" s="115"/>
      <c r="C1" s="115"/>
      <c r="D1" s="115"/>
      <c r="E1" s="115"/>
      <c r="F1" s="150" t="s">
        <v>154</v>
      </c>
      <c r="G1" s="150"/>
      <c r="H1" s="150"/>
      <c r="I1" s="115" t="s">
        <v>163</v>
      </c>
      <c r="J1" s="115"/>
      <c r="K1" s="115"/>
      <c r="L1" s="115"/>
      <c r="M1" s="123" t="s">
        <v>115</v>
      </c>
      <c r="N1" s="121" t="s">
        <v>116</v>
      </c>
      <c r="O1" s="121"/>
      <c r="P1" s="121"/>
      <c r="Q1" s="121"/>
      <c r="R1" s="219" t="s">
        <v>117</v>
      </c>
      <c r="S1" s="219"/>
      <c r="T1" s="219"/>
      <c r="U1" s="219" t="s">
        <v>118</v>
      </c>
      <c r="V1" s="219"/>
      <c r="W1" s="128"/>
    </row>
    <row r="2" spans="1:23" ht="18.75" customHeight="1" x14ac:dyDescent="0.2">
      <c r="A2" s="146" t="s">
        <v>45</v>
      </c>
      <c r="B2" s="146"/>
      <c r="C2" s="146"/>
      <c r="D2" s="146"/>
      <c r="E2" s="146"/>
      <c r="F2" s="150"/>
      <c r="G2" s="150"/>
      <c r="H2" s="150"/>
      <c r="I2" s="115"/>
      <c r="J2" s="115"/>
      <c r="K2" s="115"/>
      <c r="L2" s="115"/>
      <c r="M2" s="116"/>
      <c r="N2" s="118"/>
      <c r="O2" s="118"/>
      <c r="P2" s="118"/>
      <c r="Q2" s="118"/>
      <c r="R2" s="118" t="s">
        <v>119</v>
      </c>
      <c r="S2" s="118" t="s">
        <v>120</v>
      </c>
      <c r="T2" s="118"/>
      <c r="U2" s="118" t="s">
        <v>119</v>
      </c>
      <c r="V2" s="118" t="s">
        <v>120</v>
      </c>
      <c r="W2" s="125"/>
    </row>
    <row r="3" spans="1:23" ht="21.75" customHeight="1" x14ac:dyDescent="0.2">
      <c r="A3" s="115" t="s">
        <v>162</v>
      </c>
      <c r="B3" s="115"/>
      <c r="C3" s="115"/>
      <c r="D3" s="115"/>
      <c r="E3" s="115"/>
      <c r="F3" s="150" t="s">
        <v>155</v>
      </c>
      <c r="G3" s="150"/>
      <c r="H3" s="150"/>
      <c r="I3" s="115" t="s">
        <v>223</v>
      </c>
      <c r="J3" s="115"/>
      <c r="K3" s="115"/>
      <c r="L3" s="115"/>
      <c r="M3" s="117"/>
      <c r="N3" s="119"/>
      <c r="O3" s="119"/>
      <c r="P3" s="119"/>
      <c r="Q3" s="119"/>
      <c r="R3" s="119"/>
      <c r="S3" s="119" t="s">
        <v>121</v>
      </c>
      <c r="T3" s="119"/>
      <c r="U3" s="119"/>
      <c r="V3" s="119" t="s">
        <v>121</v>
      </c>
      <c r="W3" s="127"/>
    </row>
    <row r="4" spans="1:23" ht="29.25" customHeight="1" x14ac:dyDescent="0.2">
      <c r="A4" s="146" t="s">
        <v>46</v>
      </c>
      <c r="B4" s="146"/>
      <c r="C4" s="146"/>
      <c r="D4" s="146"/>
      <c r="E4" s="146"/>
      <c r="F4" s="150"/>
      <c r="G4" s="150"/>
      <c r="H4" s="150"/>
      <c r="I4" s="115"/>
      <c r="J4" s="115"/>
      <c r="K4" s="115"/>
      <c r="L4" s="115"/>
      <c r="M4" s="9"/>
      <c r="N4" s="216" t="s">
        <v>122</v>
      </c>
      <c r="O4" s="216"/>
      <c r="P4" s="216"/>
      <c r="Q4" s="216"/>
      <c r="R4" s="7"/>
      <c r="S4" s="8"/>
      <c r="T4" s="9"/>
      <c r="U4" s="7"/>
      <c r="V4" s="8"/>
      <c r="W4" s="18"/>
    </row>
    <row r="5" spans="1:23" ht="18" customHeight="1" x14ac:dyDescent="0.2">
      <c r="A5" s="230" t="s">
        <v>175</v>
      </c>
      <c r="B5" s="230"/>
      <c r="C5" s="230"/>
      <c r="D5" s="230"/>
      <c r="E5" s="230"/>
      <c r="F5" s="150" t="s">
        <v>156</v>
      </c>
      <c r="G5" s="150"/>
      <c r="H5" s="150"/>
      <c r="I5" s="115" t="s">
        <v>245</v>
      </c>
      <c r="J5" s="115"/>
      <c r="K5" s="115"/>
      <c r="L5" s="115"/>
      <c r="M5" s="9"/>
      <c r="N5" s="217" t="s">
        <v>123</v>
      </c>
      <c r="O5" s="217"/>
      <c r="P5" s="217"/>
      <c r="Q5" s="217"/>
      <c r="R5" s="7"/>
      <c r="S5" s="8"/>
      <c r="T5" s="9"/>
      <c r="U5" s="7"/>
      <c r="V5" s="8"/>
      <c r="W5" s="18"/>
    </row>
    <row r="6" spans="1:23" x14ac:dyDescent="0.2">
      <c r="A6" s="146" t="s">
        <v>47</v>
      </c>
      <c r="B6" s="146"/>
      <c r="C6" s="146"/>
      <c r="D6" s="146"/>
      <c r="E6" s="146"/>
      <c r="F6" s="150"/>
      <c r="G6" s="150"/>
      <c r="H6" s="150"/>
      <c r="I6" s="115"/>
      <c r="J6" s="115"/>
      <c r="K6" s="115"/>
      <c r="L6" s="115"/>
      <c r="M6" s="9"/>
      <c r="N6" s="217" t="s">
        <v>124</v>
      </c>
      <c r="O6" s="217"/>
      <c r="P6" s="217"/>
      <c r="Q6" s="217"/>
      <c r="R6" s="7"/>
      <c r="S6" s="8"/>
      <c r="T6" s="9"/>
      <c r="U6" s="7"/>
      <c r="V6" s="8"/>
      <c r="W6" s="18"/>
    </row>
    <row r="7" spans="1:23" x14ac:dyDescent="0.2">
      <c r="A7" s="122"/>
      <c r="B7" s="122"/>
      <c r="C7" s="122"/>
      <c r="D7" s="122"/>
      <c r="E7" s="122"/>
      <c r="F7" s="122"/>
      <c r="G7" s="122"/>
      <c r="H7" s="122"/>
      <c r="I7" s="122"/>
      <c r="J7" s="122"/>
      <c r="K7" s="122"/>
      <c r="L7" s="122"/>
      <c r="M7" s="9"/>
      <c r="N7" s="218" t="s">
        <v>125</v>
      </c>
      <c r="O7" s="218"/>
      <c r="P7" s="218"/>
      <c r="Q7" s="218"/>
      <c r="R7" s="7"/>
      <c r="S7" s="8"/>
      <c r="T7" s="9"/>
      <c r="U7" s="7"/>
      <c r="V7" s="8"/>
      <c r="W7" s="18"/>
    </row>
    <row r="8" spans="1:23" ht="22.5" x14ac:dyDescent="0.2">
      <c r="A8" s="143" t="s">
        <v>0</v>
      </c>
      <c r="B8" s="143"/>
      <c r="C8" s="143"/>
      <c r="D8" s="143"/>
      <c r="E8" s="143"/>
      <c r="F8" s="143"/>
      <c r="G8" s="143"/>
      <c r="H8" s="143"/>
      <c r="I8" s="143"/>
      <c r="J8" s="143"/>
      <c r="K8" s="143"/>
      <c r="L8" s="143"/>
      <c r="M8" s="9"/>
      <c r="N8" s="217" t="s">
        <v>126</v>
      </c>
      <c r="O8" s="217"/>
      <c r="P8" s="217"/>
      <c r="Q8" s="217"/>
      <c r="R8" s="7"/>
      <c r="S8" s="8"/>
      <c r="T8" s="9"/>
      <c r="U8" s="7"/>
      <c r="V8" s="8"/>
      <c r="W8" s="18"/>
    </row>
    <row r="9" spans="1:23" ht="18.75" customHeight="1" x14ac:dyDescent="0.2">
      <c r="A9" s="220" t="s">
        <v>152</v>
      </c>
      <c r="B9" s="220"/>
      <c r="C9" s="220"/>
      <c r="D9" s="220"/>
      <c r="E9" s="220"/>
      <c r="F9" s="162" t="s">
        <v>407</v>
      </c>
      <c r="G9" s="163"/>
      <c r="H9" s="163"/>
      <c r="I9" s="138" t="s">
        <v>369</v>
      </c>
      <c r="J9" s="138"/>
      <c r="K9" s="138"/>
      <c r="L9" s="138"/>
      <c r="M9" s="138"/>
      <c r="N9" s="217" t="s">
        <v>127</v>
      </c>
      <c r="O9" s="217"/>
      <c r="P9" s="217"/>
      <c r="Q9" s="217"/>
      <c r="R9" s="7"/>
      <c r="S9" s="8"/>
      <c r="T9" s="9"/>
      <c r="U9" s="7"/>
      <c r="V9" s="8"/>
      <c r="W9" s="18"/>
    </row>
    <row r="10" spans="1:23" ht="19.5" customHeight="1" x14ac:dyDescent="0.2">
      <c r="A10" s="220" t="s">
        <v>151</v>
      </c>
      <c r="B10" s="220"/>
      <c r="C10" s="163" t="s">
        <v>244</v>
      </c>
      <c r="D10" s="163"/>
      <c r="E10" s="163"/>
      <c r="F10" s="163"/>
      <c r="G10" s="163"/>
      <c r="H10" s="163"/>
      <c r="I10" s="3"/>
      <c r="J10" s="3"/>
      <c r="K10" s="3"/>
      <c r="L10" s="3"/>
      <c r="M10" s="9"/>
      <c r="N10" s="218" t="s">
        <v>128</v>
      </c>
      <c r="O10" s="218"/>
      <c r="P10" s="218"/>
      <c r="Q10" s="218"/>
      <c r="R10" s="7"/>
      <c r="S10" s="8"/>
      <c r="T10" s="9"/>
      <c r="U10" s="7"/>
      <c r="V10" s="8"/>
      <c r="W10" s="18"/>
    </row>
    <row r="11" spans="1:23" x14ac:dyDescent="0.2">
      <c r="A11" s="215" t="s">
        <v>1</v>
      </c>
      <c r="B11" s="215"/>
      <c r="C11" s="215"/>
      <c r="D11" s="215"/>
      <c r="E11" s="215"/>
      <c r="F11" s="215"/>
      <c r="G11" s="215"/>
      <c r="H11" s="215"/>
      <c r="I11" s="215"/>
      <c r="J11" s="215"/>
      <c r="K11" s="215"/>
      <c r="L11" s="215"/>
      <c r="M11" s="9"/>
      <c r="N11" s="223" t="s">
        <v>129</v>
      </c>
      <c r="O11" s="223"/>
      <c r="P11" s="223"/>
      <c r="Q11" s="223"/>
      <c r="R11" s="7"/>
      <c r="S11" s="8"/>
      <c r="T11" s="9"/>
      <c r="U11" s="7"/>
      <c r="V11" s="8"/>
      <c r="W11" s="18"/>
    </row>
    <row r="12" spans="1:23" ht="20.100000000000001" customHeight="1" x14ac:dyDescent="0.2">
      <c r="A12" s="129" t="s">
        <v>2</v>
      </c>
      <c r="B12" s="219" t="s">
        <v>36</v>
      </c>
      <c r="C12" s="219"/>
      <c r="D12" s="219"/>
      <c r="E12" s="219"/>
      <c r="F12" s="219" t="s">
        <v>5</v>
      </c>
      <c r="G12" s="219"/>
      <c r="H12" s="124" t="s">
        <v>34</v>
      </c>
      <c r="I12" s="131"/>
      <c r="J12" s="131"/>
      <c r="K12" s="131"/>
      <c r="L12" s="131"/>
      <c r="N12" s="1"/>
      <c r="O12" s="1"/>
      <c r="P12" s="1"/>
      <c r="Q12" s="1"/>
    </row>
    <row r="13" spans="1:23" ht="20.100000000000001" customHeight="1" x14ac:dyDescent="0.2">
      <c r="A13" s="129"/>
      <c r="B13" s="219" t="s">
        <v>3</v>
      </c>
      <c r="C13" s="219"/>
      <c r="D13" s="219" t="s">
        <v>4</v>
      </c>
      <c r="E13" s="219"/>
      <c r="F13" s="219"/>
      <c r="G13" s="219"/>
      <c r="H13" s="127" t="s">
        <v>35</v>
      </c>
      <c r="I13" s="130"/>
      <c r="J13" s="130"/>
      <c r="K13" s="130"/>
      <c r="L13" s="130"/>
    </row>
    <row r="14" spans="1:23" ht="20.100000000000001" customHeight="1" x14ac:dyDescent="0.2">
      <c r="A14" s="5" t="s">
        <v>6</v>
      </c>
      <c r="B14" s="7"/>
      <c r="C14" s="5"/>
      <c r="D14" s="111"/>
      <c r="E14" s="113"/>
      <c r="F14" s="228" t="str">
        <f t="shared" ref="F14:F40" si="0">IF(OR(B14="",D14=""),"",IF(ISERROR(D14/B14),IF(D14=0,0,""),D14/B14))</f>
        <v/>
      </c>
      <c r="G14" s="232"/>
      <c r="H14" s="111"/>
      <c r="I14" s="112"/>
      <c r="J14" s="112"/>
      <c r="K14" s="112"/>
      <c r="L14" s="112"/>
      <c r="M14" s="129" t="s">
        <v>115</v>
      </c>
      <c r="N14" s="219" t="s">
        <v>116</v>
      </c>
      <c r="O14" s="219"/>
      <c r="P14" s="219"/>
      <c r="Q14" s="219"/>
      <c r="R14" s="219" t="s">
        <v>117</v>
      </c>
      <c r="S14" s="219"/>
      <c r="T14" s="219"/>
      <c r="U14" s="219" t="s">
        <v>130</v>
      </c>
      <c r="V14" s="219" t="s">
        <v>69</v>
      </c>
      <c r="W14" s="128" t="s">
        <v>131</v>
      </c>
    </row>
    <row r="15" spans="1:23" ht="20.100000000000001" customHeight="1" x14ac:dyDescent="0.2">
      <c r="A15" s="5" t="s">
        <v>7</v>
      </c>
      <c r="B15" s="5"/>
      <c r="C15" s="5"/>
      <c r="D15" s="128"/>
      <c r="E15" s="129"/>
      <c r="F15" s="228" t="str">
        <f t="shared" si="0"/>
        <v/>
      </c>
      <c r="G15" s="232"/>
      <c r="H15" s="111"/>
      <c r="I15" s="112"/>
      <c r="J15" s="112"/>
      <c r="K15" s="112"/>
      <c r="L15" s="112"/>
      <c r="M15" s="129"/>
      <c r="N15" s="219"/>
      <c r="O15" s="219"/>
      <c r="P15" s="219"/>
      <c r="Q15" s="219"/>
      <c r="R15" s="224" t="s">
        <v>130</v>
      </c>
      <c r="S15" s="219" t="s">
        <v>69</v>
      </c>
      <c r="T15" s="219" t="s">
        <v>131</v>
      </c>
      <c r="U15" s="219"/>
      <c r="V15" s="219"/>
      <c r="W15" s="128"/>
    </row>
    <row r="16" spans="1:23" ht="20.100000000000001" customHeight="1" x14ac:dyDescent="0.2">
      <c r="A16" s="5" t="s">
        <v>8</v>
      </c>
      <c r="B16" s="21">
        <f>'Ячейка 36'!D19+'Ячейка 37'!D19</f>
        <v>2843.9999999900465</v>
      </c>
      <c r="C16" s="21"/>
      <c r="D16" s="226">
        <f>'Ячейка 36'!H19+'Ячейка 37'!H19</f>
        <v>2123.9999999988868</v>
      </c>
      <c r="E16" s="227"/>
      <c r="F16" s="228">
        <f t="shared" si="0"/>
        <v>0.746835443040197</v>
      </c>
      <c r="G16" s="232"/>
      <c r="H16" s="111"/>
      <c r="I16" s="112"/>
      <c r="J16" s="112"/>
      <c r="K16" s="112"/>
      <c r="L16" s="112"/>
      <c r="M16" s="129"/>
      <c r="N16" s="219"/>
      <c r="O16" s="219"/>
      <c r="P16" s="219"/>
      <c r="Q16" s="219"/>
      <c r="R16" s="224"/>
      <c r="S16" s="219"/>
      <c r="T16" s="219"/>
      <c r="U16" s="219"/>
      <c r="V16" s="219"/>
      <c r="W16" s="128"/>
    </row>
    <row r="17" spans="1:23" ht="20.100000000000001" customHeight="1" x14ac:dyDescent="0.2">
      <c r="A17" s="5" t="s">
        <v>9</v>
      </c>
      <c r="B17" s="21">
        <f>'Ячейка 36'!D20+'Ячейка 37'!D20</f>
        <v>2851.200000020981</v>
      </c>
      <c r="C17" s="21"/>
      <c r="D17" s="226">
        <f>'Ячейка 36'!H20+'Ячейка 37'!H20</f>
        <v>2131.1999999970794</v>
      </c>
      <c r="E17" s="227"/>
      <c r="F17" s="228">
        <f t="shared" si="0"/>
        <v>0.74747474746822273</v>
      </c>
      <c r="G17" s="232"/>
      <c r="H17" s="111"/>
      <c r="I17" s="112"/>
      <c r="J17" s="112"/>
      <c r="K17" s="112"/>
      <c r="L17" s="112"/>
      <c r="M17" s="129"/>
      <c r="N17" s="219"/>
      <c r="O17" s="219"/>
      <c r="P17" s="219"/>
      <c r="Q17" s="219"/>
      <c r="R17" s="224"/>
      <c r="S17" s="219"/>
      <c r="T17" s="219"/>
      <c r="U17" s="219"/>
      <c r="V17" s="219"/>
      <c r="W17" s="128"/>
    </row>
    <row r="18" spans="1:23" ht="20.100000000000001" customHeight="1" x14ac:dyDescent="0.2">
      <c r="A18" s="5" t="s">
        <v>10</v>
      </c>
      <c r="B18" s="21">
        <f>'Ячейка 36'!D21+'Ячейка 37'!D21</f>
        <v>2822.3999999790976</v>
      </c>
      <c r="C18" s="21"/>
      <c r="D18" s="226">
        <f>'Ячейка 36'!H21+'Ячейка 37'!H21</f>
        <v>2120.399999991605</v>
      </c>
      <c r="E18" s="227"/>
      <c r="F18" s="228">
        <f t="shared" si="0"/>
        <v>0.75127551020667105</v>
      </c>
      <c r="G18" s="232"/>
      <c r="H18" s="111"/>
      <c r="I18" s="112"/>
      <c r="J18" s="112"/>
      <c r="K18" s="112"/>
      <c r="L18" s="112"/>
      <c r="M18" s="129"/>
      <c r="N18" s="219"/>
      <c r="O18" s="219"/>
      <c r="P18" s="219"/>
      <c r="Q18" s="219"/>
      <c r="R18" s="224"/>
      <c r="S18" s="219"/>
      <c r="T18" s="219"/>
      <c r="U18" s="219"/>
      <c r="V18" s="219"/>
      <c r="W18" s="128"/>
    </row>
    <row r="19" spans="1:23" ht="20.100000000000001" customHeight="1" x14ac:dyDescent="0.2">
      <c r="A19" s="5" t="s">
        <v>11</v>
      </c>
      <c r="B19" s="21">
        <f>'Ячейка 36'!D22+'Ячейка 37'!D22</f>
        <v>2826.0000000191212</v>
      </c>
      <c r="C19" s="21"/>
      <c r="D19" s="226">
        <f>'Ячейка 36'!H22+'Ячейка 37'!H22</f>
        <v>2138.400000011643</v>
      </c>
      <c r="E19" s="227"/>
      <c r="F19" s="228">
        <f t="shared" si="0"/>
        <v>0.75668789808817205</v>
      </c>
      <c r="G19" s="232"/>
      <c r="H19" s="111"/>
      <c r="I19" s="112"/>
      <c r="J19" s="112"/>
      <c r="K19" s="112"/>
      <c r="L19" s="112"/>
      <c r="M19" s="9"/>
      <c r="N19" s="216" t="s">
        <v>132</v>
      </c>
      <c r="O19" s="216"/>
      <c r="P19" s="216"/>
      <c r="Q19" s="216"/>
      <c r="R19" s="7"/>
      <c r="S19" s="7"/>
      <c r="T19" s="7"/>
      <c r="U19" s="7"/>
      <c r="V19" s="7"/>
      <c r="W19" s="8"/>
    </row>
    <row r="20" spans="1:23" ht="20.100000000000001" customHeight="1" x14ac:dyDescent="0.2">
      <c r="A20" s="5" t="s">
        <v>12</v>
      </c>
      <c r="B20" s="21">
        <f>'Ячейка 36'!D23+'Ячейка 37'!D23</f>
        <v>2865.6000000009954</v>
      </c>
      <c r="C20" s="21"/>
      <c r="D20" s="226">
        <f>'Ячейка 36'!H23+'Ячейка 37'!H23</f>
        <v>2145.5999999934647</v>
      </c>
      <c r="E20" s="227"/>
      <c r="F20" s="228">
        <f t="shared" si="0"/>
        <v>0.74874371859042421</v>
      </c>
      <c r="G20" s="232"/>
      <c r="H20" s="111"/>
      <c r="I20" s="112"/>
      <c r="J20" s="112"/>
      <c r="K20" s="112"/>
      <c r="L20" s="112"/>
      <c r="M20" s="9"/>
      <c r="N20" s="217" t="s">
        <v>133</v>
      </c>
      <c r="O20" s="217"/>
      <c r="P20" s="217"/>
      <c r="Q20" s="217"/>
      <c r="R20" s="7"/>
      <c r="S20" s="7"/>
      <c r="T20" s="7"/>
      <c r="U20" s="7"/>
      <c r="V20" s="7"/>
      <c r="W20" s="8"/>
    </row>
    <row r="21" spans="1:23" ht="20.100000000000001" customHeight="1" x14ac:dyDescent="0.2">
      <c r="A21" s="5" t="s">
        <v>13</v>
      </c>
      <c r="B21" s="21">
        <f>'Ячейка 36'!D24+'Ячейка 37'!D24</f>
        <v>2854.79999997915</v>
      </c>
      <c r="C21" s="21"/>
      <c r="D21" s="226">
        <f>'Ячейка 36'!H24+'Ячейка 37'!H24</f>
        <v>2142.0000000025539</v>
      </c>
      <c r="E21" s="227"/>
      <c r="F21" s="228">
        <f t="shared" si="0"/>
        <v>0.75031525851835434</v>
      </c>
      <c r="G21" s="232"/>
      <c r="H21" s="111"/>
      <c r="I21" s="112"/>
      <c r="J21" s="112"/>
      <c r="K21" s="112"/>
      <c r="L21" s="112"/>
      <c r="M21" s="9"/>
      <c r="N21" s="222" t="s">
        <v>134</v>
      </c>
      <c r="O21" s="222"/>
      <c r="P21" s="222"/>
      <c r="Q21" s="222"/>
      <c r="R21" s="7"/>
      <c r="S21" s="7"/>
      <c r="T21" s="7"/>
      <c r="U21" s="7"/>
      <c r="V21" s="7"/>
      <c r="W21" s="8"/>
    </row>
    <row r="22" spans="1:23" ht="20.100000000000001" customHeight="1" x14ac:dyDescent="0.2">
      <c r="A22" s="5" t="s">
        <v>14</v>
      </c>
      <c r="B22" s="21">
        <f>'Ячейка 36'!D25+'Ячейка 37'!D25</f>
        <v>2916.0000000210857</v>
      </c>
      <c r="C22" s="21"/>
      <c r="D22" s="226">
        <f>'Ячейка 36'!H25+'Ячейка 37'!H25</f>
        <v>2113.2000000015978</v>
      </c>
      <c r="E22" s="227"/>
      <c r="F22" s="228">
        <f t="shared" si="0"/>
        <v>0.72469135801999907</v>
      </c>
      <c r="G22" s="232"/>
      <c r="H22" s="111"/>
      <c r="I22" s="112"/>
      <c r="J22" s="112"/>
      <c r="K22" s="112"/>
      <c r="L22" s="112"/>
    </row>
    <row r="23" spans="1:23" ht="20.100000000000001" customHeight="1" x14ac:dyDescent="0.2">
      <c r="A23" s="5" t="s">
        <v>15</v>
      </c>
      <c r="B23" s="21">
        <f>'Ячейка 36'!D26+'Ячейка 37'!D26</f>
        <v>2944.7999999811145</v>
      </c>
      <c r="C23" s="21"/>
      <c r="D23" s="226">
        <f>'Ячейка 36'!H26+'Ячейка 37'!H26</f>
        <v>2095.1999999979307</v>
      </c>
      <c r="E23" s="227"/>
      <c r="F23" s="228">
        <f t="shared" si="0"/>
        <v>0.71149144254664753</v>
      </c>
      <c r="G23" s="232"/>
      <c r="H23" s="111"/>
      <c r="I23" s="112"/>
      <c r="J23" s="112"/>
      <c r="K23" s="112"/>
      <c r="L23" s="112"/>
    </row>
    <row r="24" spans="1:23" ht="20.100000000000001" customHeight="1" x14ac:dyDescent="0.2">
      <c r="A24" s="5" t="s">
        <v>16</v>
      </c>
      <c r="B24" s="21">
        <f>'Ячейка 36'!D27+'Ячейка 37'!D27</f>
        <v>2844.0000000064174</v>
      </c>
      <c r="C24" s="21"/>
      <c r="D24" s="226">
        <f>'Ячейка 36'!H27+'Ячейка 37'!H27</f>
        <v>2033.9999999969223</v>
      </c>
      <c r="E24" s="227"/>
      <c r="F24" s="228">
        <f t="shared" si="0"/>
        <v>0.71518987341502549</v>
      </c>
      <c r="G24" s="232"/>
      <c r="H24" s="111"/>
      <c r="I24" s="112"/>
      <c r="J24" s="112"/>
      <c r="K24" s="112"/>
      <c r="L24" s="112"/>
      <c r="N24" s="145" t="s">
        <v>135</v>
      </c>
      <c r="O24" s="145"/>
      <c r="P24" s="145"/>
      <c r="Q24" s="145"/>
      <c r="R24" s="145"/>
      <c r="S24" s="145"/>
      <c r="T24" s="145"/>
      <c r="U24" s="145"/>
      <c r="V24" s="145"/>
    </row>
    <row r="25" spans="1:23" ht="20.100000000000001" customHeight="1" x14ac:dyDescent="0.2">
      <c r="A25" s="5" t="s">
        <v>17</v>
      </c>
      <c r="B25" s="21">
        <f>'Ячейка 36'!D28+'Ячейка 37'!D28</f>
        <v>2880.0000000137516</v>
      </c>
      <c r="C25" s="21"/>
      <c r="D25" s="226">
        <f>'Ячейка 36'!H28+'Ячейка 37'!H28</f>
        <v>2066.4000000051601</v>
      </c>
      <c r="E25" s="227"/>
      <c r="F25" s="228">
        <f t="shared" si="0"/>
        <v>0.71749999999836578</v>
      </c>
      <c r="G25" s="232"/>
      <c r="H25" s="111"/>
      <c r="I25" s="112"/>
      <c r="J25" s="112"/>
      <c r="K25" s="112"/>
      <c r="L25" s="112"/>
      <c r="N25" s="17" t="s">
        <v>136</v>
      </c>
      <c r="O25" s="145" t="s">
        <v>137</v>
      </c>
      <c r="P25" s="145"/>
      <c r="Q25" s="145"/>
      <c r="R25" s="145"/>
      <c r="S25" s="145"/>
      <c r="T25" s="145"/>
      <c r="U25" s="145"/>
      <c r="V25" s="145"/>
    </row>
    <row r="26" spans="1:23" ht="20.100000000000001" customHeight="1" x14ac:dyDescent="0.2">
      <c r="A26" s="5" t="s">
        <v>18</v>
      </c>
      <c r="B26" s="21">
        <f>'Ячейка 36'!D29+'Ячейка 37'!D29</f>
        <v>2962.7999999847816</v>
      </c>
      <c r="C26" s="21"/>
      <c r="D26" s="226">
        <f>'Ячейка 36'!H29+'Ячейка 37'!H29</f>
        <v>2116.8000000006941</v>
      </c>
      <c r="E26" s="227"/>
      <c r="F26" s="228">
        <f t="shared" si="0"/>
        <v>0.71445929526514351</v>
      </c>
      <c r="G26" s="232"/>
      <c r="H26" s="111"/>
      <c r="I26" s="112"/>
      <c r="J26" s="112"/>
      <c r="K26" s="112"/>
      <c r="L26" s="112"/>
      <c r="N26" s="17" t="s">
        <v>138</v>
      </c>
      <c r="O26" s="145" t="s">
        <v>180</v>
      </c>
      <c r="P26" s="145"/>
      <c r="Q26" s="145"/>
      <c r="R26" s="145"/>
      <c r="S26" s="145"/>
      <c r="T26" s="145"/>
      <c r="U26" s="145"/>
      <c r="V26" s="145"/>
    </row>
    <row r="27" spans="1:23" ht="20.100000000000001" customHeight="1" x14ac:dyDescent="0.2">
      <c r="A27" s="5" t="s">
        <v>19</v>
      </c>
      <c r="B27" s="21">
        <f>'Ячейка 36'!D30+'Ячейка 37'!D30</f>
        <v>2959.2000000102416</v>
      </c>
      <c r="C27" s="21"/>
      <c r="D27" s="226">
        <f>'Ячейка 36'!H30+'Ячейка 37'!H30</f>
        <v>2127.5999999979831</v>
      </c>
      <c r="E27" s="227"/>
      <c r="F27" s="228">
        <f t="shared" si="0"/>
        <v>0.71897810218661107</v>
      </c>
      <c r="G27" s="232"/>
      <c r="H27" s="111"/>
      <c r="I27" s="112"/>
      <c r="J27" s="112"/>
      <c r="K27" s="112"/>
      <c r="L27" s="112"/>
      <c r="N27" s="17" t="s">
        <v>139</v>
      </c>
      <c r="O27" s="145" t="s">
        <v>140</v>
      </c>
      <c r="P27" s="145"/>
      <c r="Q27" s="145"/>
      <c r="R27" s="145"/>
      <c r="S27" s="145"/>
      <c r="T27" s="145"/>
      <c r="U27" s="145"/>
      <c r="V27" s="145"/>
    </row>
    <row r="28" spans="1:23" ht="20.100000000000001" customHeight="1" x14ac:dyDescent="0.2">
      <c r="A28" s="5" t="s">
        <v>20</v>
      </c>
      <c r="B28" s="21">
        <f>'Ячейка 36'!D31+'Ячейка 37'!D31</f>
        <v>2887.1999999955733</v>
      </c>
      <c r="C28" s="21"/>
      <c r="D28" s="226">
        <f>'Ячейка 36'!H31+'Ячейка 37'!H31</f>
        <v>2116.8000000006941</v>
      </c>
      <c r="E28" s="227"/>
      <c r="F28" s="228">
        <f t="shared" si="0"/>
        <v>0.73316708229562888</v>
      </c>
      <c r="G28" s="232"/>
      <c r="H28" s="111"/>
      <c r="I28" s="112"/>
      <c r="J28" s="112"/>
      <c r="K28" s="112"/>
      <c r="L28" s="112"/>
      <c r="N28" s="17"/>
      <c r="O28" s="145" t="s">
        <v>141</v>
      </c>
      <c r="P28" s="145"/>
      <c r="Q28" s="145"/>
      <c r="R28" s="145"/>
      <c r="S28" s="145"/>
      <c r="T28" s="145"/>
      <c r="U28" s="145"/>
      <c r="V28" s="145"/>
    </row>
    <row r="29" spans="1:23" ht="20.100000000000001" customHeight="1" x14ac:dyDescent="0.2">
      <c r="A29" s="5" t="s">
        <v>21</v>
      </c>
      <c r="B29" s="21">
        <f>'Ячейка 36'!D32+'Ячейка 37'!D32</f>
        <v>2890.7999999864842</v>
      </c>
      <c r="C29" s="21"/>
      <c r="D29" s="226">
        <f>'Ячейка 36'!H32+'Ячейка 37'!H32</f>
        <v>2095.1999999979307</v>
      </c>
      <c r="E29" s="227"/>
      <c r="F29" s="228">
        <f t="shared" si="0"/>
        <v>0.72478206725049354</v>
      </c>
      <c r="G29" s="232"/>
      <c r="H29" s="111"/>
      <c r="I29" s="112"/>
      <c r="J29" s="112"/>
      <c r="K29" s="112"/>
      <c r="L29" s="112"/>
      <c r="N29" s="17"/>
      <c r="O29" s="145" t="s">
        <v>142</v>
      </c>
      <c r="P29" s="145"/>
      <c r="Q29" s="145"/>
      <c r="R29" s="145"/>
      <c r="S29" s="145"/>
      <c r="T29" s="145"/>
      <c r="U29" s="145"/>
      <c r="V29" s="145"/>
    </row>
    <row r="30" spans="1:23" ht="20.100000000000001" customHeight="1" x14ac:dyDescent="0.2">
      <c r="A30" s="5" t="s">
        <v>22</v>
      </c>
      <c r="B30" s="21">
        <f>'Ячейка 36'!D33+'Ячейка 37'!D33</f>
        <v>2919.6000000119966</v>
      </c>
      <c r="C30" s="21"/>
      <c r="D30" s="226">
        <f>'Ячейка 36'!H33+'Ячейка 37'!H33</f>
        <v>2102.4000000043088</v>
      </c>
      <c r="E30" s="227"/>
      <c r="F30" s="228">
        <f t="shared" si="0"/>
        <v>0.72009864364833198</v>
      </c>
      <c r="G30" s="232"/>
      <c r="H30" s="111"/>
      <c r="I30" s="112"/>
      <c r="J30" s="112"/>
      <c r="K30" s="112"/>
      <c r="L30" s="112"/>
      <c r="N30" s="17" t="s">
        <v>143</v>
      </c>
      <c r="O30" s="145" t="s">
        <v>144</v>
      </c>
      <c r="P30" s="145"/>
      <c r="Q30" s="145"/>
      <c r="R30" s="145"/>
      <c r="S30" s="145"/>
      <c r="T30" s="145"/>
      <c r="U30" s="145"/>
      <c r="V30" s="145"/>
    </row>
    <row r="31" spans="1:23" ht="20.100000000000001" customHeight="1" x14ac:dyDescent="0.2">
      <c r="A31" s="5" t="s">
        <v>23</v>
      </c>
      <c r="B31" s="21">
        <f>'Ячейка 36'!D34+'Ячейка 37'!D34</f>
        <v>2951.9999999956781</v>
      </c>
      <c r="C31" s="21"/>
      <c r="D31" s="226">
        <f>'Ячейка 36'!H34+'Ячейка 37'!H34</f>
        <v>2113.2000000015978</v>
      </c>
      <c r="E31" s="227"/>
      <c r="F31" s="228">
        <f t="shared" si="0"/>
        <v>0.71585365853817473</v>
      </c>
      <c r="G31" s="232"/>
      <c r="H31" s="111"/>
      <c r="I31" s="112"/>
      <c r="J31" s="112"/>
      <c r="K31" s="112"/>
      <c r="L31" s="112"/>
      <c r="N31" s="17"/>
      <c r="O31" s="145" t="s">
        <v>145</v>
      </c>
      <c r="P31" s="145"/>
      <c r="Q31" s="145"/>
      <c r="R31" s="145"/>
      <c r="S31" s="145"/>
      <c r="T31" s="145"/>
      <c r="U31" s="145"/>
      <c r="V31" s="145"/>
    </row>
    <row r="32" spans="1:23" ht="20.100000000000001" customHeight="1" x14ac:dyDescent="0.2">
      <c r="A32" s="5" t="s">
        <v>24</v>
      </c>
      <c r="B32" s="21">
        <f>'Ячейка 36'!D35+'Ячейка 37'!D35</f>
        <v>3031.2000000085391</v>
      </c>
      <c r="C32" s="21"/>
      <c r="D32" s="226">
        <f>'Ячейка 36'!H35+'Ячейка 37'!H35</f>
        <v>2113.1999999934123</v>
      </c>
      <c r="E32" s="227"/>
      <c r="F32" s="228">
        <f t="shared" si="0"/>
        <v>0.69714964370132604</v>
      </c>
      <c r="G32" s="232"/>
      <c r="H32" s="111"/>
      <c r="I32" s="112"/>
      <c r="J32" s="112"/>
      <c r="K32" s="112"/>
      <c r="L32" s="112"/>
      <c r="N32" s="17" t="s">
        <v>146</v>
      </c>
      <c r="O32" s="145" t="s">
        <v>147</v>
      </c>
      <c r="P32" s="145"/>
      <c r="Q32" s="145"/>
      <c r="R32" s="145"/>
      <c r="S32" s="145"/>
      <c r="T32" s="145"/>
      <c r="U32" s="145"/>
      <c r="V32" s="145"/>
    </row>
    <row r="33" spans="1:24" ht="20.100000000000001" customHeight="1" x14ac:dyDescent="0.2">
      <c r="A33" s="5" t="s">
        <v>25</v>
      </c>
      <c r="B33" s="21">
        <f>'Ячейка 36'!D36+'Ячейка 37'!D36</f>
        <v>2941.1999999902037</v>
      </c>
      <c r="C33" s="21"/>
      <c r="D33" s="226">
        <f>'Ячейка 36'!H36+'Ячейка 37'!H36</f>
        <v>2113.2000000015978</v>
      </c>
      <c r="E33" s="227"/>
      <c r="F33" s="228">
        <f t="shared" si="0"/>
        <v>0.71848225214491923</v>
      </c>
      <c r="G33" s="232"/>
      <c r="H33" s="111"/>
      <c r="I33" s="112"/>
      <c r="J33" s="112"/>
      <c r="K33" s="112"/>
      <c r="L33" s="112"/>
      <c r="N33" s="17" t="s">
        <v>148</v>
      </c>
      <c r="O33" s="145" t="s">
        <v>149</v>
      </c>
      <c r="P33" s="145"/>
      <c r="Q33" s="145"/>
      <c r="R33" s="145"/>
      <c r="S33" s="145"/>
      <c r="T33" s="145"/>
      <c r="U33" s="145"/>
      <c r="V33" s="145"/>
    </row>
    <row r="34" spans="1:24" ht="20.100000000000001" customHeight="1" x14ac:dyDescent="0.2">
      <c r="A34" s="5" t="s">
        <v>26</v>
      </c>
      <c r="B34" s="21">
        <f>'Ячейка 36'!D37+'Ячейка 37'!D37</f>
        <v>2944.8000000138563</v>
      </c>
      <c r="C34" s="21"/>
      <c r="D34" s="226">
        <f>'Ячейка 36'!H37+'Ячейка 37'!H37</f>
        <v>2055.6000000078711</v>
      </c>
      <c r="E34" s="227"/>
      <c r="F34" s="228">
        <f t="shared" si="0"/>
        <v>0.69804400977933945</v>
      </c>
      <c r="G34" s="232"/>
      <c r="H34" s="111"/>
      <c r="I34" s="112"/>
      <c r="J34" s="112"/>
      <c r="K34" s="112"/>
      <c r="L34" s="112"/>
    </row>
    <row r="35" spans="1:24" ht="20.100000000000001" customHeight="1" x14ac:dyDescent="0.2">
      <c r="A35" s="5" t="s">
        <v>27</v>
      </c>
      <c r="B35" s="21">
        <f>'Ячейка 36'!D38+'Ячейка 37'!D38</f>
        <v>3038.3999999903608</v>
      </c>
      <c r="C35" s="21"/>
      <c r="D35" s="226">
        <f>'Ячейка 36'!H38+'Ячейка 37'!H38</f>
        <v>2091.5999999906489</v>
      </c>
      <c r="E35" s="227"/>
      <c r="F35" s="228">
        <f t="shared" si="0"/>
        <v>0.68838862559152336</v>
      </c>
      <c r="G35" s="232"/>
      <c r="H35" s="111"/>
      <c r="I35" s="112"/>
      <c r="J35" s="112"/>
      <c r="K35" s="112"/>
      <c r="L35" s="112"/>
    </row>
    <row r="36" spans="1:24" ht="20.100000000000001" customHeight="1" x14ac:dyDescent="0.2">
      <c r="A36" s="5" t="s">
        <v>28</v>
      </c>
      <c r="B36" s="21">
        <f>'Ячейка 36'!D39+'Ячейка 37'!D39</f>
        <v>2901.5999999919586</v>
      </c>
      <c r="C36" s="21"/>
      <c r="D36" s="226">
        <f>'Ячейка 36'!H39+'Ячейка 37'!H39</f>
        <v>2106.0000000034051</v>
      </c>
      <c r="E36" s="227"/>
      <c r="F36" s="228">
        <f t="shared" si="0"/>
        <v>0.72580645161608826</v>
      </c>
      <c r="G36" s="232"/>
      <c r="H36" s="111"/>
      <c r="I36" s="112"/>
      <c r="J36" s="112"/>
      <c r="K36" s="112"/>
      <c r="L36" s="112"/>
    </row>
    <row r="37" spans="1:24" ht="20.100000000000001" customHeight="1" x14ac:dyDescent="0.2">
      <c r="A37" s="5" t="s">
        <v>29</v>
      </c>
      <c r="B37" s="21">
        <f>'Ячейка 36'!D40+'Ячейка 37'!D40</f>
        <v>2941.2000000065746</v>
      </c>
      <c r="C37" s="21"/>
      <c r="D37" s="226">
        <f>'Ячейка 36'!H40+'Ячейка 37'!H40</f>
        <v>2159.99999998985</v>
      </c>
      <c r="E37" s="227"/>
      <c r="F37" s="228">
        <f t="shared" si="0"/>
        <v>0.73439412484190869</v>
      </c>
      <c r="G37" s="232"/>
      <c r="H37" s="111"/>
      <c r="I37" s="112"/>
      <c r="J37" s="112"/>
      <c r="K37" s="112"/>
      <c r="L37" s="112"/>
    </row>
    <row r="38" spans="1:24" ht="20.100000000000001" customHeight="1" x14ac:dyDescent="0.2">
      <c r="A38" s="5" t="s">
        <v>30</v>
      </c>
      <c r="B38" s="21">
        <f>'Ячейка 36'!D41+'Ячейка 37'!D41</f>
        <v>2966.3999999920634</v>
      </c>
      <c r="C38" s="21"/>
      <c r="D38" s="226">
        <f>'Ячейка 36'!H41+'Ячейка 37'!H41</f>
        <v>2206.8000000108441</v>
      </c>
      <c r="E38" s="227"/>
      <c r="F38" s="228">
        <f t="shared" si="0"/>
        <v>0.74393203884059744</v>
      </c>
      <c r="G38" s="232"/>
      <c r="H38" s="111"/>
      <c r="I38" s="112"/>
      <c r="J38" s="112"/>
      <c r="K38" s="112"/>
      <c r="L38" s="112"/>
    </row>
    <row r="39" spans="1:24" ht="20.100000000000001" customHeight="1" x14ac:dyDescent="0.2">
      <c r="A39" s="5" t="s">
        <v>31</v>
      </c>
      <c r="B39" s="21">
        <f>'Ячейка 36'!D42+'Ячейка 37'!D42</f>
        <v>2952.000000012049</v>
      </c>
      <c r="C39" s="21"/>
      <c r="D39" s="226">
        <f>'Ячейка 36'!H42+'Ячейка 37'!H42</f>
        <v>2206.7999999944732</v>
      </c>
      <c r="E39" s="227"/>
      <c r="F39" s="228">
        <f t="shared" si="0"/>
        <v>0.74756097560483259</v>
      </c>
      <c r="G39" s="232"/>
      <c r="H39" s="111"/>
      <c r="I39" s="112"/>
      <c r="J39" s="112"/>
      <c r="K39" s="112"/>
      <c r="L39" s="112"/>
      <c r="P39" s="177" t="s">
        <v>150</v>
      </c>
      <c r="Q39" s="177"/>
      <c r="R39" s="177"/>
      <c r="S39" s="176" t="s">
        <v>364</v>
      </c>
      <c r="T39" s="176"/>
      <c r="U39" s="176"/>
      <c r="V39" s="176"/>
      <c r="W39" s="176"/>
      <c r="X39" s="176"/>
    </row>
    <row r="40" spans="1:24" ht="20.100000000000001" customHeight="1" x14ac:dyDescent="0.2">
      <c r="A40" s="5" t="s">
        <v>32</v>
      </c>
      <c r="B40" s="21">
        <f>SUM(B15:B39)</f>
        <v>69937.200000002122</v>
      </c>
      <c r="C40" s="21"/>
      <c r="D40" s="226">
        <f>SUM(D15:E39)</f>
        <v>50835.599999992155</v>
      </c>
      <c r="E40" s="227"/>
      <c r="F40" s="228">
        <f t="shared" si="0"/>
        <v>0.72687496782814598</v>
      </c>
      <c r="G40" s="232"/>
      <c r="H40" s="111"/>
      <c r="I40" s="112"/>
      <c r="J40" s="112"/>
      <c r="K40" s="112"/>
      <c r="L40" s="112"/>
    </row>
    <row r="41" spans="1:24" ht="20.100000000000001" customHeight="1" x14ac:dyDescent="0.2">
      <c r="A41" s="5" t="s">
        <v>33</v>
      </c>
      <c r="B41" s="5"/>
      <c r="C41" s="5"/>
      <c r="D41" s="128"/>
      <c r="E41" s="129"/>
      <c r="F41" s="228"/>
      <c r="G41" s="232"/>
      <c r="H41" s="111"/>
      <c r="I41" s="112"/>
      <c r="J41" s="112"/>
      <c r="K41" s="112"/>
      <c r="L41" s="112"/>
    </row>
    <row r="42" spans="1:24" ht="20.100000000000001" customHeight="1" x14ac:dyDescent="0.2">
      <c r="A42" s="129" t="s">
        <v>2</v>
      </c>
      <c r="B42" s="128" t="s">
        <v>37</v>
      </c>
      <c r="C42" s="132"/>
      <c r="D42" s="129"/>
      <c r="E42" s="128" t="s">
        <v>40</v>
      </c>
      <c r="F42" s="132"/>
      <c r="G42" s="132"/>
      <c r="H42" s="132"/>
      <c r="I42" s="129"/>
      <c r="J42" s="124" t="s">
        <v>5</v>
      </c>
      <c r="K42" s="131"/>
      <c r="L42" s="131"/>
    </row>
    <row r="43" spans="1:24" ht="37.5" customHeight="1" x14ac:dyDescent="0.2">
      <c r="A43" s="129"/>
      <c r="B43" s="219" t="s">
        <v>38</v>
      </c>
      <c r="C43" s="219"/>
      <c r="D43" s="5" t="s">
        <v>39</v>
      </c>
      <c r="E43" s="128" t="s">
        <v>41</v>
      </c>
      <c r="F43" s="132"/>
      <c r="G43" s="129"/>
      <c r="H43" s="128" t="s">
        <v>42</v>
      </c>
      <c r="I43" s="129"/>
      <c r="J43" s="127"/>
      <c r="K43" s="130"/>
      <c r="L43" s="130"/>
    </row>
    <row r="44" spans="1:24" ht="20.100000000000001" customHeight="1" x14ac:dyDescent="0.2">
      <c r="A44" s="4" t="s">
        <v>153</v>
      </c>
      <c r="B44" s="226">
        <f>SUM(B24:B26)</f>
        <v>8686.8000000049506</v>
      </c>
      <c r="C44" s="227"/>
      <c r="D44" s="21">
        <f>SUM(D24:E26)</f>
        <v>6217.2000000027765</v>
      </c>
      <c r="E44" s="226">
        <f>B44/3</f>
        <v>2895.6000000016502</v>
      </c>
      <c r="F44" s="231"/>
      <c r="G44" s="227"/>
      <c r="H44" s="226">
        <f>D44/3</f>
        <v>2072.4000000009255</v>
      </c>
      <c r="I44" s="227"/>
      <c r="J44" s="228">
        <f>H44/E44</f>
        <v>0.71570658930782716</v>
      </c>
      <c r="K44" s="229"/>
      <c r="L44" s="229"/>
    </row>
    <row r="45" spans="1:24" ht="20.100000000000001" customHeight="1" x14ac:dyDescent="0.2">
      <c r="A45" s="4" t="s">
        <v>43</v>
      </c>
      <c r="B45" s="226">
        <f>SUM(B33:B36)</f>
        <v>11825.999999986379</v>
      </c>
      <c r="C45" s="227"/>
      <c r="D45" s="21">
        <f>SUM(D33:E36)</f>
        <v>8366.400000003523</v>
      </c>
      <c r="E45" s="226">
        <f>B45/4</f>
        <v>2956.4999999965949</v>
      </c>
      <c r="F45" s="231"/>
      <c r="G45" s="227"/>
      <c r="H45" s="226">
        <f>D45/4</f>
        <v>2091.6000000008808</v>
      </c>
      <c r="I45" s="227"/>
      <c r="J45" s="228">
        <f>H45/E45</f>
        <v>0.7074581430756941</v>
      </c>
      <c r="K45" s="229"/>
      <c r="L45" s="229"/>
    </row>
    <row r="46" spans="1:24" ht="20.100000000000001" customHeight="1" x14ac:dyDescent="0.2">
      <c r="A46" s="4" t="s">
        <v>44</v>
      </c>
      <c r="B46" s="226">
        <f>SUM(B16:B39)</f>
        <v>69937.200000002122</v>
      </c>
      <c r="C46" s="227"/>
      <c r="D46" s="21">
        <f>SUM(D16:E39)</f>
        <v>50835.599999992155</v>
      </c>
      <c r="E46" s="226">
        <f>B46/24</f>
        <v>2914.0500000000884</v>
      </c>
      <c r="F46" s="231"/>
      <c r="G46" s="227"/>
      <c r="H46" s="226">
        <f>D46/24</f>
        <v>2118.1499999996731</v>
      </c>
      <c r="I46" s="227"/>
      <c r="J46" s="228">
        <f>H46/E46</f>
        <v>0.72687496782814598</v>
      </c>
      <c r="K46" s="229"/>
      <c r="L46" s="229"/>
    </row>
    <row r="47" spans="1:24" ht="20.100000000000001" customHeight="1" x14ac:dyDescent="0.2"/>
    <row r="48" spans="1:24" ht="20.100000000000001" customHeight="1" x14ac:dyDescent="0.2"/>
    <row r="49" spans="3:9" ht="20.100000000000001" customHeight="1" x14ac:dyDescent="0.2"/>
    <row r="50" spans="3:9" ht="20.100000000000001" customHeight="1" x14ac:dyDescent="0.2">
      <c r="C50" s="122" t="s">
        <v>186</v>
      </c>
      <c r="D50" s="122"/>
      <c r="E50" s="122"/>
      <c r="F50" s="122"/>
      <c r="G50" s="122"/>
      <c r="H50" s="122"/>
      <c r="I50" s="122"/>
    </row>
    <row r="51" spans="3:9" ht="20.100000000000001" customHeight="1" x14ac:dyDescent="0.2"/>
  </sheetData>
  <sheetProtection sheet="1" objects="1" scenarios="1"/>
  <mergeCells count="173">
    <mergeCell ref="F1:H2"/>
    <mergeCell ref="I1:L2"/>
    <mergeCell ref="M1:M3"/>
    <mergeCell ref="N1:Q3"/>
    <mergeCell ref="F5:H6"/>
    <mergeCell ref="I5:L6"/>
    <mergeCell ref="F3:H4"/>
    <mergeCell ref="I3:L4"/>
    <mergeCell ref="R1:T1"/>
    <mergeCell ref="U1:W1"/>
    <mergeCell ref="R2:R3"/>
    <mergeCell ref="U2:U3"/>
    <mergeCell ref="S2:T2"/>
    <mergeCell ref="S3:T3"/>
    <mergeCell ref="V2:W2"/>
    <mergeCell ref="V3:W3"/>
    <mergeCell ref="N8:Q8"/>
    <mergeCell ref="N9:Q9"/>
    <mergeCell ref="N4:Q4"/>
    <mergeCell ref="N5:Q5"/>
    <mergeCell ref="N6:Q6"/>
    <mergeCell ref="N7:Q7"/>
    <mergeCell ref="W14:W18"/>
    <mergeCell ref="N19:Q19"/>
    <mergeCell ref="M14:M18"/>
    <mergeCell ref="N14:Q18"/>
    <mergeCell ref="R14:T14"/>
    <mergeCell ref="T15:T18"/>
    <mergeCell ref="S15:S18"/>
    <mergeCell ref="R15:R18"/>
    <mergeCell ref="N21:Q21"/>
    <mergeCell ref="N24:V24"/>
    <mergeCell ref="O25:V25"/>
    <mergeCell ref="U14:U18"/>
    <mergeCell ref="V14:V18"/>
    <mergeCell ref="O30:V30"/>
    <mergeCell ref="O31:V31"/>
    <mergeCell ref="O32:V32"/>
    <mergeCell ref="N10:Q10"/>
    <mergeCell ref="N11:Q11"/>
    <mergeCell ref="O33:V33"/>
    <mergeCell ref="O26:V26"/>
    <mergeCell ref="O27:V27"/>
    <mergeCell ref="O28:V28"/>
    <mergeCell ref="O29:V29"/>
    <mergeCell ref="P39:R39"/>
    <mergeCell ref="C50:I50"/>
    <mergeCell ref="A10:B10"/>
    <mergeCell ref="C10:H10"/>
    <mergeCell ref="A11:L11"/>
    <mergeCell ref="H13:L13"/>
    <mergeCell ref="A12:A13"/>
    <mergeCell ref="B13:C13"/>
    <mergeCell ref="D13:E13"/>
    <mergeCell ref="D20:E20"/>
    <mergeCell ref="D27:E27"/>
    <mergeCell ref="B12:E12"/>
    <mergeCell ref="D16:E16"/>
    <mergeCell ref="D17:E17"/>
    <mergeCell ref="D18:E18"/>
    <mergeCell ref="D19:E19"/>
    <mergeCell ref="D23:E23"/>
    <mergeCell ref="D24:E24"/>
    <mergeCell ref="N20:Q20"/>
    <mergeCell ref="D35:E35"/>
    <mergeCell ref="D36:E36"/>
    <mergeCell ref="F38:G38"/>
    <mergeCell ref="A7:L7"/>
    <mergeCell ref="F12:G13"/>
    <mergeCell ref="H12:L12"/>
    <mergeCell ref="F9:H9"/>
    <mergeCell ref="A9:E9"/>
    <mergeCell ref="A8:L8"/>
    <mergeCell ref="D14:E14"/>
    <mergeCell ref="D15:E15"/>
    <mergeCell ref="F14:G14"/>
    <mergeCell ref="F15:G15"/>
    <mergeCell ref="H14:L14"/>
    <mergeCell ref="H15:L15"/>
    <mergeCell ref="H16:L16"/>
    <mergeCell ref="H17:L17"/>
    <mergeCell ref="H18:L18"/>
    <mergeCell ref="H21:L21"/>
    <mergeCell ref="H22:L22"/>
    <mergeCell ref="H23:L23"/>
    <mergeCell ref="H37:L37"/>
    <mergeCell ref="F32:G32"/>
    <mergeCell ref="H25:L25"/>
    <mergeCell ref="A42:A43"/>
    <mergeCell ref="B43:C43"/>
    <mergeCell ref="D26:E26"/>
    <mergeCell ref="D40:E40"/>
    <mergeCell ref="D33:E33"/>
    <mergeCell ref="D34:E34"/>
    <mergeCell ref="D28:E28"/>
    <mergeCell ref="D39:E39"/>
    <mergeCell ref="F21:G21"/>
    <mergeCell ref="F22:G22"/>
    <mergeCell ref="D37:E37"/>
    <mergeCell ref="D25:E25"/>
    <mergeCell ref="F24:G24"/>
    <mergeCell ref="F25:G25"/>
    <mergeCell ref="F26:G26"/>
    <mergeCell ref="D21:E21"/>
    <mergeCell ref="D22:E22"/>
    <mergeCell ref="D29:E29"/>
    <mergeCell ref="D30:E30"/>
    <mergeCell ref="D31:E31"/>
    <mergeCell ref="D32:E32"/>
    <mergeCell ref="F36:G36"/>
    <mergeCell ref="F37:G37"/>
    <mergeCell ref="F31:G31"/>
    <mergeCell ref="H26:L26"/>
    <mergeCell ref="H27:L27"/>
    <mergeCell ref="H20:L20"/>
    <mergeCell ref="F33:G33"/>
    <mergeCell ref="F34:G34"/>
    <mergeCell ref="F27:G27"/>
    <mergeCell ref="F28:G28"/>
    <mergeCell ref="F29:G29"/>
    <mergeCell ref="F30:G30"/>
    <mergeCell ref="H28:L28"/>
    <mergeCell ref="H24:L24"/>
    <mergeCell ref="H33:L33"/>
    <mergeCell ref="H34:L34"/>
    <mergeCell ref="A1:E1"/>
    <mergeCell ref="A2:E2"/>
    <mergeCell ref="A3:E3"/>
    <mergeCell ref="A4:E4"/>
    <mergeCell ref="A5:E5"/>
    <mergeCell ref="A6:E6"/>
    <mergeCell ref="B46:C46"/>
    <mergeCell ref="E46:G46"/>
    <mergeCell ref="B44:C44"/>
    <mergeCell ref="B45:C45"/>
    <mergeCell ref="D41:E41"/>
    <mergeCell ref="E45:G45"/>
    <mergeCell ref="F41:G41"/>
    <mergeCell ref="B42:D42"/>
    <mergeCell ref="F40:G40"/>
    <mergeCell ref="D38:E38"/>
    <mergeCell ref="F23:G23"/>
    <mergeCell ref="F39:G39"/>
    <mergeCell ref="F16:G16"/>
    <mergeCell ref="F17:G17"/>
    <mergeCell ref="F18:G18"/>
    <mergeCell ref="F19:G19"/>
    <mergeCell ref="F20:G20"/>
    <mergeCell ref="F35:G35"/>
    <mergeCell ref="I9:M9"/>
    <mergeCell ref="S39:X39"/>
    <mergeCell ref="H46:I46"/>
    <mergeCell ref="E42:I42"/>
    <mergeCell ref="E43:G43"/>
    <mergeCell ref="H43:I43"/>
    <mergeCell ref="E44:G44"/>
    <mergeCell ref="H44:I44"/>
    <mergeCell ref="J46:L46"/>
    <mergeCell ref="J42:L43"/>
    <mergeCell ref="J44:L44"/>
    <mergeCell ref="J45:L45"/>
    <mergeCell ref="H45:I45"/>
    <mergeCell ref="H41:L41"/>
    <mergeCell ref="H40:L40"/>
    <mergeCell ref="H35:L35"/>
    <mergeCell ref="H36:L36"/>
    <mergeCell ref="H19:L19"/>
    <mergeCell ref="H38:L38"/>
    <mergeCell ref="H39:L39"/>
    <mergeCell ref="H29:L29"/>
    <mergeCell ref="H30:L30"/>
    <mergeCell ref="H31:L31"/>
    <mergeCell ref="H32:L32"/>
  </mergeCells>
  <phoneticPr fontId="0" type="noConversion"/>
  <printOptions horizontalCentered="1"/>
  <pageMargins left="0.39370078740157483" right="0.39370078740157483" top="0.19685039370078741" bottom="0.19685039370078741" header="0" footer="0"/>
  <pageSetup paperSize="9" scale="75" orientation="portrait" horizontalDpi="180" verticalDpi="180" r:id="rId1"/>
  <headerFooter alignWithMargins="0"/>
  <rowBreaks count="1" manualBreakCount="1">
    <brk id="50" max="22" man="1"/>
  </rowBreaks>
  <colBreaks count="1" manualBreakCount="1">
    <brk id="12" max="49" man="1"/>
  </colBreak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2"/>
  <dimension ref="A1:X51"/>
  <sheetViews>
    <sheetView view="pageBreakPreview" zoomScale="75" zoomScaleNormal="100" workbookViewId="0">
      <selection activeCell="F9" sqref="F9:H9"/>
    </sheetView>
  </sheetViews>
  <sheetFormatPr defaultRowHeight="18.75" x14ac:dyDescent="0.2"/>
  <cols>
    <col min="1" max="1" width="16.7109375" style="2" customWidth="1"/>
    <col min="2" max="2" width="15.7109375" style="2" customWidth="1"/>
    <col min="3" max="3" width="6.28515625" style="2" customWidth="1"/>
    <col min="4" max="4" width="22.7109375" style="2" customWidth="1"/>
    <col min="5" max="5" width="3.42578125" style="2" customWidth="1"/>
    <col min="6" max="8" width="9.140625" style="2"/>
    <col min="9" max="9" width="9.7109375" style="2" customWidth="1"/>
    <col min="10" max="10" width="6" style="2" customWidth="1"/>
    <col min="11" max="11" width="6.140625" style="2" customWidth="1"/>
    <col min="12" max="12" width="6.85546875" style="2" customWidth="1"/>
    <col min="13" max="13" width="8.42578125" style="2" customWidth="1"/>
    <col min="14" max="18" width="10.7109375" style="2" customWidth="1"/>
    <col min="19" max="19" width="13.140625" style="2" customWidth="1"/>
    <col min="20" max="20" width="14.28515625" style="2" customWidth="1"/>
    <col min="21" max="21" width="12" style="2" customWidth="1"/>
    <col min="22" max="22" width="14.7109375" style="2" customWidth="1"/>
    <col min="23" max="23" width="12.7109375" style="2" customWidth="1"/>
    <col min="24" max="28" width="10.28515625" style="2" customWidth="1"/>
    <col min="29" max="16384" width="9.140625" style="2"/>
  </cols>
  <sheetData>
    <row r="1" spans="1:23" ht="26.25" x14ac:dyDescent="0.2">
      <c r="A1" s="115" t="s">
        <v>161</v>
      </c>
      <c r="B1" s="115"/>
      <c r="C1" s="115"/>
      <c r="D1" s="115"/>
      <c r="E1" s="115"/>
      <c r="F1" s="150" t="s">
        <v>154</v>
      </c>
      <c r="G1" s="150"/>
      <c r="H1" s="150"/>
      <c r="I1" s="115" t="s">
        <v>163</v>
      </c>
      <c r="J1" s="115"/>
      <c r="K1" s="115"/>
      <c r="L1" s="115"/>
      <c r="M1" s="123" t="s">
        <v>115</v>
      </c>
      <c r="N1" s="121" t="s">
        <v>116</v>
      </c>
      <c r="O1" s="121"/>
      <c r="P1" s="121"/>
      <c r="Q1" s="121"/>
      <c r="R1" s="219" t="s">
        <v>117</v>
      </c>
      <c r="S1" s="219"/>
      <c r="T1" s="219"/>
      <c r="U1" s="219" t="s">
        <v>118</v>
      </c>
      <c r="V1" s="219"/>
      <c r="W1" s="128"/>
    </row>
    <row r="2" spans="1:23" ht="18.75" customHeight="1" x14ac:dyDescent="0.2">
      <c r="A2" s="146" t="s">
        <v>45</v>
      </c>
      <c r="B2" s="146"/>
      <c r="C2" s="146"/>
      <c r="D2" s="146"/>
      <c r="E2" s="146"/>
      <c r="F2" s="150"/>
      <c r="G2" s="150"/>
      <c r="H2" s="150"/>
      <c r="I2" s="115"/>
      <c r="J2" s="115"/>
      <c r="K2" s="115"/>
      <c r="L2" s="115"/>
      <c r="M2" s="116"/>
      <c r="N2" s="118"/>
      <c r="O2" s="118"/>
      <c r="P2" s="118"/>
      <c r="Q2" s="118"/>
      <c r="R2" s="118" t="s">
        <v>119</v>
      </c>
      <c r="S2" s="118" t="s">
        <v>120</v>
      </c>
      <c r="T2" s="118"/>
      <c r="U2" s="118" t="s">
        <v>119</v>
      </c>
      <c r="V2" s="118" t="s">
        <v>120</v>
      </c>
      <c r="W2" s="125"/>
    </row>
    <row r="3" spans="1:23" ht="21.75" customHeight="1" x14ac:dyDescent="0.2">
      <c r="A3" s="115" t="s">
        <v>162</v>
      </c>
      <c r="B3" s="115"/>
      <c r="C3" s="115"/>
      <c r="D3" s="115"/>
      <c r="E3" s="115"/>
      <c r="F3" s="150" t="s">
        <v>155</v>
      </c>
      <c r="G3" s="150"/>
      <c r="H3" s="150"/>
      <c r="I3" s="115" t="s">
        <v>224</v>
      </c>
      <c r="J3" s="115"/>
      <c r="K3" s="115"/>
      <c r="L3" s="115"/>
      <c r="M3" s="117"/>
      <c r="N3" s="119"/>
      <c r="O3" s="119"/>
      <c r="P3" s="119"/>
      <c r="Q3" s="119"/>
      <c r="R3" s="119"/>
      <c r="S3" s="119" t="s">
        <v>121</v>
      </c>
      <c r="T3" s="119"/>
      <c r="U3" s="119"/>
      <c r="V3" s="119" t="s">
        <v>121</v>
      </c>
      <c r="W3" s="127"/>
    </row>
    <row r="4" spans="1:23" ht="29.25" customHeight="1" x14ac:dyDescent="0.2">
      <c r="A4" s="146" t="s">
        <v>46</v>
      </c>
      <c r="B4" s="146"/>
      <c r="C4" s="146"/>
      <c r="D4" s="146"/>
      <c r="E4" s="146"/>
      <c r="F4" s="150"/>
      <c r="G4" s="150"/>
      <c r="H4" s="150"/>
      <c r="I4" s="115"/>
      <c r="J4" s="115"/>
      <c r="K4" s="115"/>
      <c r="L4" s="115"/>
      <c r="M4" s="9"/>
      <c r="N4" s="216" t="s">
        <v>122</v>
      </c>
      <c r="O4" s="216"/>
      <c r="P4" s="216"/>
      <c r="Q4" s="216"/>
      <c r="R4" s="7"/>
      <c r="S4" s="8"/>
      <c r="T4" s="7"/>
      <c r="U4" s="7"/>
      <c r="V4" s="7"/>
      <c r="W4" s="18"/>
    </row>
    <row r="5" spans="1:23" ht="18" customHeight="1" x14ac:dyDescent="0.2">
      <c r="A5" s="230" t="s">
        <v>175</v>
      </c>
      <c r="B5" s="230"/>
      <c r="C5" s="230"/>
      <c r="D5" s="230"/>
      <c r="E5" s="230"/>
      <c r="F5" s="150" t="s">
        <v>156</v>
      </c>
      <c r="G5" s="150"/>
      <c r="H5" s="150"/>
      <c r="I5" s="115" t="s">
        <v>243</v>
      </c>
      <c r="J5" s="115"/>
      <c r="K5" s="115"/>
      <c r="L5" s="115"/>
      <c r="M5" s="9"/>
      <c r="N5" s="217" t="s">
        <v>123</v>
      </c>
      <c r="O5" s="217"/>
      <c r="P5" s="217"/>
      <c r="Q5" s="217"/>
      <c r="R5" s="7"/>
      <c r="S5" s="8"/>
      <c r="T5" s="7"/>
      <c r="U5" s="7"/>
      <c r="V5" s="7"/>
      <c r="W5" s="18"/>
    </row>
    <row r="6" spans="1:23" x14ac:dyDescent="0.2">
      <c r="A6" s="146" t="s">
        <v>47</v>
      </c>
      <c r="B6" s="146"/>
      <c r="C6" s="146"/>
      <c r="D6" s="146"/>
      <c r="E6" s="146"/>
      <c r="F6" s="150"/>
      <c r="G6" s="150"/>
      <c r="H6" s="150"/>
      <c r="I6" s="115"/>
      <c r="J6" s="115"/>
      <c r="K6" s="115"/>
      <c r="L6" s="115"/>
      <c r="M6" s="9"/>
      <c r="N6" s="217" t="s">
        <v>124</v>
      </c>
      <c r="O6" s="217"/>
      <c r="P6" s="217"/>
      <c r="Q6" s="217"/>
      <c r="R6" s="7"/>
      <c r="S6" s="8"/>
      <c r="T6" s="7"/>
      <c r="U6" s="7"/>
      <c r="V6" s="7"/>
      <c r="W6" s="18"/>
    </row>
    <row r="7" spans="1:23" x14ac:dyDescent="0.2">
      <c r="A7" s="122"/>
      <c r="B7" s="122"/>
      <c r="C7" s="122"/>
      <c r="D7" s="122"/>
      <c r="E7" s="122"/>
      <c r="F7" s="122"/>
      <c r="G7" s="122"/>
      <c r="H7" s="122"/>
      <c r="I7" s="122"/>
      <c r="J7" s="122"/>
      <c r="K7" s="122"/>
      <c r="L7" s="122"/>
      <c r="M7" s="9"/>
      <c r="N7" s="218" t="s">
        <v>125</v>
      </c>
      <c r="O7" s="218"/>
      <c r="P7" s="218"/>
      <c r="Q7" s="218"/>
      <c r="R7" s="7"/>
      <c r="S7" s="8"/>
      <c r="T7" s="7"/>
      <c r="U7" s="7"/>
      <c r="V7" s="7"/>
      <c r="W7" s="18"/>
    </row>
    <row r="8" spans="1:23" ht="22.5" x14ac:dyDescent="0.2">
      <c r="A8" s="143" t="s">
        <v>0</v>
      </c>
      <c r="B8" s="143"/>
      <c r="C8" s="143"/>
      <c r="D8" s="143"/>
      <c r="E8" s="143"/>
      <c r="F8" s="143"/>
      <c r="G8" s="143"/>
      <c r="H8" s="143"/>
      <c r="I8" s="143"/>
      <c r="J8" s="143"/>
      <c r="K8" s="143"/>
      <c r="L8" s="143"/>
      <c r="M8" s="9"/>
      <c r="N8" s="217" t="s">
        <v>126</v>
      </c>
      <c r="O8" s="217"/>
      <c r="P8" s="217"/>
      <c r="Q8" s="217"/>
      <c r="R8" s="7"/>
      <c r="S8" s="8"/>
      <c r="T8" s="7"/>
      <c r="U8" s="7"/>
      <c r="V8" s="7"/>
      <c r="W8" s="18"/>
    </row>
    <row r="9" spans="1:23" ht="18.75" customHeight="1" x14ac:dyDescent="0.2">
      <c r="A9" s="220" t="s">
        <v>152</v>
      </c>
      <c r="B9" s="220"/>
      <c r="C9" s="220"/>
      <c r="D9" s="220"/>
      <c r="E9" s="220"/>
      <c r="F9" s="162" t="s">
        <v>407</v>
      </c>
      <c r="G9" s="163"/>
      <c r="H9" s="163"/>
      <c r="I9" s="138" t="s">
        <v>369</v>
      </c>
      <c r="J9" s="138"/>
      <c r="K9" s="138"/>
      <c r="L9" s="138"/>
      <c r="M9" s="138"/>
      <c r="N9" s="217" t="s">
        <v>127</v>
      </c>
      <c r="O9" s="217"/>
      <c r="P9" s="217"/>
      <c r="Q9" s="217"/>
      <c r="R9" s="7"/>
      <c r="S9" s="8"/>
      <c r="T9" s="7"/>
      <c r="U9" s="7"/>
      <c r="V9" s="7"/>
      <c r="W9" s="18"/>
    </row>
    <row r="10" spans="1:23" ht="19.5" customHeight="1" x14ac:dyDescent="0.2">
      <c r="A10" s="220" t="s">
        <v>151</v>
      </c>
      <c r="B10" s="220"/>
      <c r="C10" s="163" t="s">
        <v>242</v>
      </c>
      <c r="D10" s="163"/>
      <c r="E10" s="163"/>
      <c r="F10" s="163"/>
      <c r="G10" s="163"/>
      <c r="H10" s="163"/>
      <c r="I10" s="3"/>
      <c r="J10" s="3"/>
      <c r="K10" s="3"/>
      <c r="L10" s="3"/>
      <c r="M10" s="9"/>
      <c r="N10" s="218" t="s">
        <v>128</v>
      </c>
      <c r="O10" s="218"/>
      <c r="P10" s="218"/>
      <c r="Q10" s="218"/>
      <c r="R10" s="7"/>
      <c r="S10" s="8"/>
      <c r="T10" s="7"/>
      <c r="U10" s="7"/>
      <c r="V10" s="7"/>
      <c r="W10" s="18"/>
    </row>
    <row r="11" spans="1:23" x14ac:dyDescent="0.2">
      <c r="A11" s="215" t="s">
        <v>1</v>
      </c>
      <c r="B11" s="215"/>
      <c r="C11" s="215"/>
      <c r="D11" s="215"/>
      <c r="E11" s="215"/>
      <c r="F11" s="215"/>
      <c r="G11" s="215"/>
      <c r="H11" s="215"/>
      <c r="I11" s="215"/>
      <c r="J11" s="215"/>
      <c r="K11" s="215"/>
      <c r="L11" s="215"/>
      <c r="M11" s="9"/>
      <c r="N11" s="223" t="s">
        <v>129</v>
      </c>
      <c r="O11" s="223"/>
      <c r="P11" s="223"/>
      <c r="Q11" s="223"/>
      <c r="R11" s="7"/>
      <c r="S11" s="8"/>
      <c r="T11" s="7"/>
      <c r="U11" s="7"/>
      <c r="V11" s="7"/>
      <c r="W11" s="18"/>
    </row>
    <row r="12" spans="1:23" ht="20.100000000000001" customHeight="1" x14ac:dyDescent="0.2">
      <c r="A12" s="129" t="s">
        <v>2</v>
      </c>
      <c r="B12" s="219" t="s">
        <v>36</v>
      </c>
      <c r="C12" s="219"/>
      <c r="D12" s="219"/>
      <c r="E12" s="219"/>
      <c r="F12" s="219" t="s">
        <v>5</v>
      </c>
      <c r="G12" s="219"/>
      <c r="H12" s="124" t="s">
        <v>34</v>
      </c>
      <c r="I12" s="131"/>
      <c r="J12" s="131"/>
      <c r="K12" s="131"/>
      <c r="L12" s="131"/>
      <c r="N12" s="1"/>
      <c r="O12" s="1"/>
      <c r="P12" s="1"/>
      <c r="Q12" s="1"/>
    </row>
    <row r="13" spans="1:23" ht="20.100000000000001" customHeight="1" x14ac:dyDescent="0.2">
      <c r="A13" s="129"/>
      <c r="B13" s="219" t="s">
        <v>3</v>
      </c>
      <c r="C13" s="219"/>
      <c r="D13" s="219" t="s">
        <v>4</v>
      </c>
      <c r="E13" s="219"/>
      <c r="F13" s="219"/>
      <c r="G13" s="219"/>
      <c r="H13" s="127" t="s">
        <v>35</v>
      </c>
      <c r="I13" s="130"/>
      <c r="J13" s="130"/>
      <c r="K13" s="130"/>
      <c r="L13" s="130"/>
    </row>
    <row r="14" spans="1:23" ht="20.100000000000001" customHeight="1" x14ac:dyDescent="0.2">
      <c r="A14" s="5" t="s">
        <v>6</v>
      </c>
      <c r="B14" s="7"/>
      <c r="C14" s="5"/>
      <c r="D14" s="111"/>
      <c r="E14" s="113"/>
      <c r="F14" s="228" t="str">
        <f t="shared" ref="F14:F40" si="0">IF(OR(B14="",D14=""),"",IF(ISERROR(D14/B14),IF(D14=0,0,""),D14/B14))</f>
        <v/>
      </c>
      <c r="G14" s="232"/>
      <c r="H14" s="111"/>
      <c r="I14" s="112"/>
      <c r="J14" s="112"/>
      <c r="K14" s="112"/>
      <c r="L14" s="112"/>
      <c r="M14" s="129" t="s">
        <v>115</v>
      </c>
      <c r="N14" s="219" t="s">
        <v>116</v>
      </c>
      <c r="O14" s="219"/>
      <c r="P14" s="219"/>
      <c r="Q14" s="219"/>
      <c r="R14" s="219" t="s">
        <v>117</v>
      </c>
      <c r="S14" s="219"/>
      <c r="T14" s="219"/>
      <c r="U14" s="219" t="s">
        <v>130</v>
      </c>
      <c r="V14" s="219" t="s">
        <v>69</v>
      </c>
      <c r="W14" s="128" t="s">
        <v>131</v>
      </c>
    </row>
    <row r="15" spans="1:23" ht="20.100000000000001" customHeight="1" x14ac:dyDescent="0.2">
      <c r="A15" s="5" t="s">
        <v>7</v>
      </c>
      <c r="B15" s="5"/>
      <c r="C15" s="5"/>
      <c r="D15" s="128"/>
      <c r="E15" s="129"/>
      <c r="F15" s="228" t="str">
        <f t="shared" si="0"/>
        <v/>
      </c>
      <c r="G15" s="232"/>
      <c r="H15" s="111"/>
      <c r="I15" s="112"/>
      <c r="J15" s="112"/>
      <c r="K15" s="112"/>
      <c r="L15" s="112"/>
      <c r="M15" s="129"/>
      <c r="N15" s="219"/>
      <c r="O15" s="219"/>
      <c r="P15" s="219"/>
      <c r="Q15" s="219"/>
      <c r="R15" s="224" t="s">
        <v>130</v>
      </c>
      <c r="S15" s="219" t="s">
        <v>69</v>
      </c>
      <c r="T15" s="219" t="s">
        <v>131</v>
      </c>
      <c r="U15" s="219"/>
      <c r="V15" s="219"/>
      <c r="W15" s="128"/>
    </row>
    <row r="16" spans="1:23" ht="20.100000000000001" customHeight="1" x14ac:dyDescent="0.2">
      <c r="A16" s="5" t="s">
        <v>8</v>
      </c>
      <c r="B16" s="21">
        <f>'Ячейка 3'!D19+'Ячейка 4'!D19+'Ячейка 36'!D19+'Ячейка 37'!D19</f>
        <v>6400.7999999812455</v>
      </c>
      <c r="C16" s="21"/>
      <c r="D16" s="226">
        <f>'Ячейка 3'!H19+'Ячейка 4'!H19+'Ячейка 36'!H19+'Ячейка 37'!H19</f>
        <v>4514.4000000045708</v>
      </c>
      <c r="E16" s="227"/>
      <c r="F16" s="228">
        <f t="shared" si="0"/>
        <v>0.70528683914788748</v>
      </c>
      <c r="G16" s="232"/>
      <c r="H16" s="111"/>
      <c r="I16" s="112"/>
      <c r="J16" s="112"/>
      <c r="K16" s="112"/>
      <c r="L16" s="112"/>
      <c r="M16" s="129"/>
      <c r="N16" s="219"/>
      <c r="O16" s="219"/>
      <c r="P16" s="219"/>
      <c r="Q16" s="219"/>
      <c r="R16" s="224"/>
      <c r="S16" s="219"/>
      <c r="T16" s="219"/>
      <c r="U16" s="219"/>
      <c r="V16" s="219"/>
      <c r="W16" s="128"/>
    </row>
    <row r="17" spans="1:23" ht="20.100000000000001" customHeight="1" x14ac:dyDescent="0.2">
      <c r="A17" s="5" t="s">
        <v>9</v>
      </c>
      <c r="B17" s="21">
        <f>'Ячейка 3'!D20+'Ячейка 4'!D20+'Ячейка 36'!D20+'Ячейка 37'!D20</f>
        <v>6314.4000000193046</v>
      </c>
      <c r="C17" s="21"/>
      <c r="D17" s="226">
        <f>'Ячейка 3'!H20+'Ячейка 4'!H20+'Ячейка 36'!H20+'Ячейка 37'!H20</f>
        <v>4485.5999999790583</v>
      </c>
      <c r="E17" s="227"/>
      <c r="F17" s="228">
        <f t="shared" si="0"/>
        <v>0.71037628277672382</v>
      </c>
      <c r="G17" s="232"/>
      <c r="H17" s="111"/>
      <c r="I17" s="112"/>
      <c r="J17" s="112"/>
      <c r="K17" s="112"/>
      <c r="L17" s="112"/>
      <c r="M17" s="129"/>
      <c r="N17" s="219"/>
      <c r="O17" s="219"/>
      <c r="P17" s="219"/>
      <c r="Q17" s="219"/>
      <c r="R17" s="224"/>
      <c r="S17" s="219"/>
      <c r="T17" s="219"/>
      <c r="U17" s="219"/>
      <c r="V17" s="219"/>
      <c r="W17" s="128"/>
    </row>
    <row r="18" spans="1:23" ht="20.100000000000001" customHeight="1" x14ac:dyDescent="0.2">
      <c r="A18" s="5" t="s">
        <v>10</v>
      </c>
      <c r="B18" s="21">
        <f>'Ячейка 3'!D21+'Ячейка 4'!D21+'Ячейка 36'!D21+'Ячейка 37'!D21</f>
        <v>6271.1999999974068</v>
      </c>
      <c r="C18" s="21"/>
      <c r="D18" s="226">
        <f>'Ячейка 3'!H21+'Ячейка 4'!H21+'Ячейка 36'!H21+'Ячейка 37'!H21</f>
        <v>4474.8000000063257</v>
      </c>
      <c r="E18" s="227"/>
      <c r="F18" s="228">
        <f t="shared" si="0"/>
        <v>0.71354764638477097</v>
      </c>
      <c r="G18" s="232"/>
      <c r="H18" s="111"/>
      <c r="I18" s="112"/>
      <c r="J18" s="112"/>
      <c r="K18" s="112"/>
      <c r="L18" s="112"/>
      <c r="M18" s="129"/>
      <c r="N18" s="219"/>
      <c r="O18" s="219"/>
      <c r="P18" s="219"/>
      <c r="Q18" s="219"/>
      <c r="R18" s="224"/>
      <c r="S18" s="219"/>
      <c r="T18" s="219"/>
      <c r="U18" s="219"/>
      <c r="V18" s="219"/>
      <c r="W18" s="128"/>
    </row>
    <row r="19" spans="1:23" ht="20.100000000000001" customHeight="1" x14ac:dyDescent="0.2">
      <c r="A19" s="5" t="s">
        <v>11</v>
      </c>
      <c r="B19" s="21">
        <f>'Ячейка 3'!D22+'Ячейка 4'!D22+'Ячейка 36'!D22+'Ячейка 37'!D22</f>
        <v>6393.5999999994237</v>
      </c>
      <c r="C19" s="21"/>
      <c r="D19" s="226">
        <f>'Ячейка 3'!H22+'Ячейка 4'!H22+'Ячейка 36'!H22+'Ячейка 37'!H22</f>
        <v>4564.7999999919193</v>
      </c>
      <c r="E19" s="227"/>
      <c r="F19" s="228">
        <f t="shared" si="0"/>
        <v>0.7139639639627644</v>
      </c>
      <c r="G19" s="232"/>
      <c r="H19" s="111"/>
      <c r="I19" s="112"/>
      <c r="J19" s="112"/>
      <c r="K19" s="112"/>
      <c r="L19" s="112"/>
      <c r="M19" s="9"/>
      <c r="N19" s="216" t="s">
        <v>132</v>
      </c>
      <c r="O19" s="216"/>
      <c r="P19" s="216"/>
      <c r="Q19" s="216"/>
      <c r="R19" s="7"/>
      <c r="S19" s="7"/>
      <c r="T19" s="7"/>
      <c r="U19" s="7"/>
      <c r="V19" s="7"/>
      <c r="W19" s="8"/>
    </row>
    <row r="20" spans="1:23" ht="20.100000000000001" customHeight="1" x14ac:dyDescent="0.2">
      <c r="A20" s="5" t="s">
        <v>12</v>
      </c>
      <c r="B20" s="21">
        <f>'Ячейка 3'!D23+'Ячейка 4'!D23+'Ячейка 36'!D23+'Ячейка 37'!D23</f>
        <v>6393.6000000157946</v>
      </c>
      <c r="C20" s="21"/>
      <c r="D20" s="226">
        <f>'Ячейка 3'!H23+'Ячейка 4'!H23+'Ячейка 36'!H23+'Ячейка 37'!H23</f>
        <v>4554.0000000028158</v>
      </c>
      <c r="E20" s="227"/>
      <c r="F20" s="228">
        <f t="shared" si="0"/>
        <v>0.71227477477345558</v>
      </c>
      <c r="G20" s="232"/>
      <c r="H20" s="111" t="s">
        <v>187</v>
      </c>
      <c r="I20" s="112"/>
      <c r="J20" s="112"/>
      <c r="K20" s="112"/>
      <c r="L20" s="112"/>
      <c r="M20" s="9"/>
      <c r="N20" s="217" t="s">
        <v>133</v>
      </c>
      <c r="O20" s="217"/>
      <c r="P20" s="217"/>
      <c r="Q20" s="217"/>
      <c r="R20" s="7"/>
      <c r="S20" s="7"/>
      <c r="T20" s="7"/>
      <c r="U20" s="7"/>
      <c r="V20" s="7"/>
      <c r="W20" s="8"/>
    </row>
    <row r="21" spans="1:23" ht="20.100000000000001" customHeight="1" x14ac:dyDescent="0.2">
      <c r="A21" s="5" t="s">
        <v>13</v>
      </c>
      <c r="B21" s="21">
        <f>'Ячейка 3'!D24+'Ячейка 4'!D24+'Ячейка 36'!D24+'Ячейка 37'!D24</f>
        <v>6393.5999999666819</v>
      </c>
      <c r="C21" s="21"/>
      <c r="D21" s="226">
        <f>'Ячейка 3'!H24+'Ячейка 4'!H24+'Ячейка 36'!H24+'Ячейка 37'!H24</f>
        <v>4525.2000000100452</v>
      </c>
      <c r="E21" s="227"/>
      <c r="F21" s="228">
        <f t="shared" si="0"/>
        <v>0.70777027027552974</v>
      </c>
      <c r="G21" s="232"/>
      <c r="H21" s="111"/>
      <c r="I21" s="112"/>
      <c r="J21" s="112"/>
      <c r="K21" s="112"/>
      <c r="L21" s="112"/>
      <c r="M21" s="9"/>
      <c r="N21" s="222" t="s">
        <v>134</v>
      </c>
      <c r="O21" s="222"/>
      <c r="P21" s="222"/>
      <c r="Q21" s="222"/>
      <c r="R21" s="7"/>
      <c r="S21" s="7">
        <v>1340</v>
      </c>
      <c r="T21" s="7"/>
      <c r="U21" s="7"/>
      <c r="V21" s="7"/>
      <c r="W21" s="8"/>
    </row>
    <row r="22" spans="1:23" ht="20.100000000000001" customHeight="1" x14ac:dyDescent="0.2">
      <c r="A22" s="5" t="s">
        <v>14</v>
      </c>
      <c r="B22" s="21">
        <f>'Ячейка 3'!D25+'Ячейка 4'!D25+'Ячейка 36'!D25+'Ячейка 37'!D25</f>
        <v>6483.6000000341301</v>
      </c>
      <c r="C22" s="21"/>
      <c r="D22" s="226">
        <f>'Ячейка 3'!H25+'Ячейка 4'!H25+'Ячейка 36'!H25+'Ячейка 37'!H25</f>
        <v>4485.5999999872438</v>
      </c>
      <c r="E22" s="227"/>
      <c r="F22" s="228">
        <f t="shared" si="0"/>
        <v>0.69183786784558443</v>
      </c>
      <c r="G22" s="232"/>
      <c r="H22" s="111"/>
      <c r="I22" s="112"/>
      <c r="J22" s="112"/>
      <c r="K22" s="112"/>
      <c r="L22" s="112"/>
    </row>
    <row r="23" spans="1:23" ht="20.100000000000001" customHeight="1" x14ac:dyDescent="0.2">
      <c r="A23" s="5" t="s">
        <v>15</v>
      </c>
      <c r="B23" s="21">
        <f>'Ячейка 3'!D26+'Ячейка 4'!D26+'Ячейка 36'!D26+'Ячейка 37'!D26</f>
        <v>6739.1999999781547</v>
      </c>
      <c r="C23" s="21"/>
      <c r="D23" s="226">
        <f>'Ячейка 3'!H26+'Ячейка 4'!H26+'Ячейка 36'!H26+'Ячейка 37'!H26</f>
        <v>4539.6000000146159</v>
      </c>
      <c r="E23" s="227"/>
      <c r="F23" s="228">
        <f t="shared" si="0"/>
        <v>0.67361111111546346</v>
      </c>
      <c r="G23" s="232"/>
      <c r="H23" s="111"/>
      <c r="I23" s="112"/>
      <c r="J23" s="112"/>
      <c r="K23" s="112"/>
      <c r="L23" s="112"/>
    </row>
    <row r="24" spans="1:23" ht="20.100000000000001" customHeight="1" x14ac:dyDescent="0.2">
      <c r="A24" s="5" t="s">
        <v>16</v>
      </c>
      <c r="B24" s="21">
        <f>'Ячейка 3'!D27+'Ячейка 4'!D27+'Ячейка 36'!D27+'Ячейка 37'!D27</f>
        <v>7019.9999999895226</v>
      </c>
      <c r="C24" s="21"/>
      <c r="D24" s="226">
        <f>'Ячейка 3'!H27+'Ячейка 4'!H27+'Ячейка 36'!H27+'Ячейка 37'!H27</f>
        <v>4679.9999999957436</v>
      </c>
      <c r="E24" s="227"/>
      <c r="F24" s="228">
        <f t="shared" si="0"/>
        <v>0.66666666666705532</v>
      </c>
      <c r="G24" s="232"/>
      <c r="H24" s="111"/>
      <c r="I24" s="112"/>
      <c r="J24" s="112"/>
      <c r="K24" s="112"/>
      <c r="L24" s="112"/>
      <c r="N24" s="145" t="s">
        <v>135</v>
      </c>
      <c r="O24" s="145"/>
      <c r="P24" s="145"/>
      <c r="Q24" s="145"/>
      <c r="R24" s="145"/>
      <c r="S24" s="145"/>
      <c r="T24" s="145"/>
      <c r="U24" s="145"/>
      <c r="V24" s="145"/>
    </row>
    <row r="25" spans="1:23" ht="20.100000000000001" customHeight="1" x14ac:dyDescent="0.2">
      <c r="A25" s="5" t="s">
        <v>17</v>
      </c>
      <c r="B25" s="21">
        <f>'Ячейка 3'!D28+'Ячейка 4'!D28+'Ячейка 36'!D28+'Ячейка 37'!D28</f>
        <v>7113.6000000315107</v>
      </c>
      <c r="C25" s="21"/>
      <c r="D25" s="226">
        <f>'Ячейка 3'!H28+'Ячейка 4'!H28+'Ячейка 36'!H28+'Ячейка 37'!H28</f>
        <v>4734.0000000149303</v>
      </c>
      <c r="E25" s="227"/>
      <c r="F25" s="228">
        <f t="shared" si="0"/>
        <v>0.66548582995866512</v>
      </c>
      <c r="G25" s="232"/>
      <c r="H25" s="111"/>
      <c r="I25" s="112"/>
      <c r="J25" s="112"/>
      <c r="K25" s="112"/>
      <c r="L25" s="112"/>
      <c r="N25" s="17" t="s">
        <v>136</v>
      </c>
      <c r="O25" s="145" t="s">
        <v>137</v>
      </c>
      <c r="P25" s="145"/>
      <c r="Q25" s="145"/>
      <c r="R25" s="145"/>
      <c r="S25" s="145"/>
      <c r="T25" s="145"/>
      <c r="U25" s="145"/>
      <c r="V25" s="145"/>
    </row>
    <row r="26" spans="1:23" ht="20.100000000000001" customHeight="1" x14ac:dyDescent="0.2">
      <c r="A26" s="5" t="s">
        <v>18</v>
      </c>
      <c r="B26" s="21">
        <f>'Ячейка 3'!D29+'Ячейка 4'!D29+'Ячейка 36'!D29+'Ячейка 37'!D29</f>
        <v>6857.9999999565189</v>
      </c>
      <c r="C26" s="21"/>
      <c r="D26" s="226">
        <f>'Ячейка 3'!H29+'Ячейка 4'!H29+'Ячейка 36'!H29+'Ячейка 37'!H29</f>
        <v>4582.7999999955864</v>
      </c>
      <c r="E26" s="227"/>
      <c r="F26" s="228">
        <f t="shared" si="0"/>
        <v>0.66824146981986621</v>
      </c>
      <c r="G26" s="232"/>
      <c r="H26" s="111"/>
      <c r="I26" s="112"/>
      <c r="J26" s="112"/>
      <c r="K26" s="112"/>
      <c r="L26" s="112"/>
      <c r="N26" s="17" t="s">
        <v>138</v>
      </c>
      <c r="O26" s="145" t="s">
        <v>180</v>
      </c>
      <c r="P26" s="145"/>
      <c r="Q26" s="145"/>
      <c r="R26" s="145"/>
      <c r="S26" s="145"/>
      <c r="T26" s="145"/>
      <c r="U26" s="145"/>
      <c r="V26" s="145"/>
    </row>
    <row r="27" spans="1:23" ht="20.100000000000001" customHeight="1" x14ac:dyDescent="0.2">
      <c r="A27" s="5" t="s">
        <v>19</v>
      </c>
      <c r="B27" s="21">
        <f>'Ячейка 3'!D30+'Ячейка 4'!D30+'Ячейка 36'!D30+'Ячейка 37'!D30</f>
        <v>6807.600000018283</v>
      </c>
      <c r="C27" s="21"/>
      <c r="D27" s="226">
        <f>'Ячейка 3'!H30+'Ячейка 4'!H30+'Ячейка 36'!H30+'Ячейка 37'!H30</f>
        <v>4597.1999999837863</v>
      </c>
      <c r="E27" s="227"/>
      <c r="F27" s="228">
        <f t="shared" si="0"/>
        <v>0.67530407191542385</v>
      </c>
      <c r="G27" s="232"/>
      <c r="H27" s="111"/>
      <c r="I27" s="112"/>
      <c r="J27" s="112"/>
      <c r="K27" s="112"/>
      <c r="L27" s="112"/>
      <c r="N27" s="17" t="s">
        <v>139</v>
      </c>
      <c r="O27" s="145" t="s">
        <v>140</v>
      </c>
      <c r="P27" s="145"/>
      <c r="Q27" s="145"/>
      <c r="R27" s="145"/>
      <c r="S27" s="145"/>
      <c r="T27" s="145"/>
      <c r="U27" s="145"/>
      <c r="V27" s="145"/>
    </row>
    <row r="28" spans="1:23" ht="20.100000000000001" customHeight="1" x14ac:dyDescent="0.2">
      <c r="A28" s="5" t="s">
        <v>20</v>
      </c>
      <c r="B28" s="21">
        <f>'Ячейка 3'!D31+'Ячейка 4'!D31+'Ячейка 36'!D31+'Ячейка 37'!D31</f>
        <v>6494.4000000068627</v>
      </c>
      <c r="C28" s="21"/>
      <c r="D28" s="226">
        <f>'Ячейка 3'!H31+'Ячейка 4'!H31+'Ячейка 36'!H31+'Ячейка 37'!H31</f>
        <v>4510.8000000136599</v>
      </c>
      <c r="E28" s="227"/>
      <c r="F28" s="228">
        <f t="shared" si="0"/>
        <v>0.69456762749582612</v>
      </c>
      <c r="G28" s="232"/>
      <c r="H28" s="111"/>
      <c r="I28" s="112"/>
      <c r="J28" s="112"/>
      <c r="K28" s="112"/>
      <c r="L28" s="112"/>
      <c r="N28" s="17"/>
      <c r="O28" s="145" t="s">
        <v>141</v>
      </c>
      <c r="P28" s="145"/>
      <c r="Q28" s="145"/>
      <c r="R28" s="145"/>
      <c r="S28" s="145"/>
      <c r="T28" s="145"/>
      <c r="U28" s="145"/>
      <c r="V28" s="145"/>
    </row>
    <row r="29" spans="1:23" ht="20.100000000000001" customHeight="1" x14ac:dyDescent="0.2">
      <c r="A29" s="5" t="s">
        <v>21</v>
      </c>
      <c r="B29" s="21">
        <f>'Ячейка 3'!D32+'Ячейка 4'!D32+'Ячейка 36'!D32+'Ячейка 37'!D32</f>
        <v>6613.199999968856</v>
      </c>
      <c r="C29" s="21"/>
      <c r="D29" s="226">
        <f>'Ячейка 3'!H32+'Ячейка 4'!H32+'Ячейка 36'!H32+'Ячейка 37'!H32</f>
        <v>4600.799999991068</v>
      </c>
      <c r="E29" s="227"/>
      <c r="F29" s="228">
        <f t="shared" si="0"/>
        <v>0.69569951007269326</v>
      </c>
      <c r="G29" s="232"/>
      <c r="H29" s="111"/>
      <c r="I29" s="112"/>
      <c r="J29" s="112"/>
      <c r="K29" s="112"/>
      <c r="L29" s="112"/>
      <c r="N29" s="17"/>
      <c r="O29" s="145" t="s">
        <v>142</v>
      </c>
      <c r="P29" s="145"/>
      <c r="Q29" s="145"/>
      <c r="R29" s="145"/>
      <c r="S29" s="145"/>
      <c r="T29" s="145"/>
      <c r="U29" s="145"/>
      <c r="V29" s="145"/>
    </row>
    <row r="30" spans="1:23" ht="20.100000000000001" customHeight="1" x14ac:dyDescent="0.2">
      <c r="A30" s="5" t="s">
        <v>22</v>
      </c>
      <c r="B30" s="21">
        <f>'Ячейка 3'!D33+'Ячейка 4'!D33+'Ячейка 36'!D33+'Ячейка 37'!D33</f>
        <v>6760.8000000218453</v>
      </c>
      <c r="C30" s="21"/>
      <c r="D30" s="226">
        <f>'Ячейка 3'!H33+'Ячейка 4'!H33+'Ячейка 36'!H33+'Ячейка 37'!H33</f>
        <v>4726.8000000085522</v>
      </c>
      <c r="E30" s="227"/>
      <c r="F30" s="228">
        <f t="shared" si="0"/>
        <v>0.6991480298179622</v>
      </c>
      <c r="G30" s="232"/>
      <c r="H30" s="111"/>
      <c r="I30" s="112"/>
      <c r="J30" s="112"/>
      <c r="K30" s="112"/>
      <c r="L30" s="112"/>
      <c r="N30" s="17" t="s">
        <v>143</v>
      </c>
      <c r="O30" s="145" t="s">
        <v>144</v>
      </c>
      <c r="P30" s="145"/>
      <c r="Q30" s="145"/>
      <c r="R30" s="145"/>
      <c r="S30" s="145"/>
      <c r="T30" s="145"/>
      <c r="U30" s="145"/>
      <c r="V30" s="145"/>
    </row>
    <row r="31" spans="1:23" ht="20.100000000000001" customHeight="1" x14ac:dyDescent="0.2">
      <c r="A31" s="5" t="s">
        <v>23</v>
      </c>
      <c r="B31" s="21">
        <f>'Ячейка 3'!D34+'Ячейка 4'!D34+'Ячейка 36'!D34+'Ячейка 37'!D34</f>
        <v>6570.0000000124419</v>
      </c>
      <c r="C31" s="21"/>
      <c r="D31" s="226">
        <f>'Ячейка 3'!H34+'Ячейка 4'!H34+'Ячейка 36'!H34+'Ячейка 37'!H34</f>
        <v>4564.8000000001048</v>
      </c>
      <c r="E31" s="227"/>
      <c r="F31" s="228">
        <f t="shared" si="0"/>
        <v>0.69479452054664537</v>
      </c>
      <c r="G31" s="232"/>
      <c r="H31" s="111"/>
      <c r="I31" s="112"/>
      <c r="J31" s="112"/>
      <c r="K31" s="112"/>
      <c r="L31" s="112"/>
      <c r="N31" s="17"/>
      <c r="O31" s="145" t="s">
        <v>145</v>
      </c>
      <c r="P31" s="145"/>
      <c r="Q31" s="145"/>
      <c r="R31" s="145"/>
      <c r="S31" s="145"/>
      <c r="T31" s="145"/>
      <c r="U31" s="145"/>
      <c r="V31" s="145"/>
    </row>
    <row r="32" spans="1:23" ht="20.100000000000001" customHeight="1" x14ac:dyDescent="0.2">
      <c r="A32" s="5" t="s">
        <v>24</v>
      </c>
      <c r="B32" s="21">
        <f>'Ячейка 3'!D35+'Ячейка 4'!D35+'Ячейка 36'!D35+'Ячейка 37'!D35</f>
        <v>6634.7999999961758</v>
      </c>
      <c r="C32" s="21"/>
      <c r="D32" s="226">
        <f>'Ячейка 3'!H35+'Ячейка 4'!H35+'Ячейка 36'!H35+'Ячейка 37'!H35</f>
        <v>4499.9999999918145</v>
      </c>
      <c r="E32" s="227"/>
      <c r="F32" s="228">
        <f t="shared" si="0"/>
        <v>0.67824199674359564</v>
      </c>
      <c r="G32" s="232"/>
      <c r="H32" s="111"/>
      <c r="I32" s="112"/>
      <c r="J32" s="112"/>
      <c r="K32" s="112"/>
      <c r="L32" s="112"/>
      <c r="N32" s="17" t="s">
        <v>146</v>
      </c>
      <c r="O32" s="145" t="s">
        <v>147</v>
      </c>
      <c r="P32" s="145"/>
      <c r="Q32" s="145"/>
      <c r="R32" s="145"/>
      <c r="S32" s="145"/>
      <c r="T32" s="145"/>
      <c r="U32" s="145"/>
      <c r="V32" s="145"/>
    </row>
    <row r="33" spans="1:24" ht="20.100000000000001" customHeight="1" x14ac:dyDescent="0.2">
      <c r="A33" s="5" t="s">
        <v>25</v>
      </c>
      <c r="B33" s="21">
        <f>'Ячейка 3'!D36+'Ячейка 4'!D36+'Ячейка 36'!D36+'Ячейка 37'!D36</f>
        <v>6580.8000000015454</v>
      </c>
      <c r="C33" s="21"/>
      <c r="D33" s="226">
        <f>'Ячейка 3'!H36+'Ячейка 4'!H36+'Ячейка 36'!H36+'Ячейка 37'!H36</f>
        <v>4507.1999999981927</v>
      </c>
      <c r="E33" s="227"/>
      <c r="F33" s="228">
        <f t="shared" si="0"/>
        <v>0.68490153172822976</v>
      </c>
      <c r="G33" s="232"/>
      <c r="H33" s="111"/>
      <c r="I33" s="112"/>
      <c r="J33" s="112"/>
      <c r="K33" s="112"/>
      <c r="L33" s="112"/>
      <c r="N33" s="17" t="s">
        <v>148</v>
      </c>
      <c r="O33" s="145" t="s">
        <v>149</v>
      </c>
      <c r="P33" s="145"/>
      <c r="Q33" s="145"/>
      <c r="R33" s="145"/>
      <c r="S33" s="145"/>
      <c r="T33" s="145"/>
      <c r="U33" s="145"/>
      <c r="V33" s="145"/>
    </row>
    <row r="34" spans="1:24" ht="20.100000000000001" customHeight="1" x14ac:dyDescent="0.2">
      <c r="A34" s="5" t="s">
        <v>26</v>
      </c>
      <c r="B34" s="21">
        <f>'Ячейка 3'!D37+'Ячейка 4'!D37+'Ячейка 36'!D37+'Ячейка 37'!D37</f>
        <v>6656.4000000071246</v>
      </c>
      <c r="C34" s="21"/>
      <c r="D34" s="226">
        <f>'Ячейка 3'!H37+'Ячейка 4'!H37+'Ячейка 36'!H37+'Ячейка 37'!H37</f>
        <v>4377.6000000061686</v>
      </c>
      <c r="E34" s="227"/>
      <c r="F34" s="228">
        <f t="shared" si="0"/>
        <v>0.65765278528956839</v>
      </c>
      <c r="G34" s="232"/>
      <c r="H34" s="111"/>
      <c r="I34" s="112"/>
      <c r="J34" s="112"/>
      <c r="K34" s="112"/>
      <c r="L34" s="112"/>
    </row>
    <row r="35" spans="1:24" ht="20.100000000000001" customHeight="1" x14ac:dyDescent="0.2">
      <c r="A35" s="5" t="s">
        <v>27</v>
      </c>
      <c r="B35" s="21">
        <f>'Ячейка 3'!D38+'Ячейка 4'!D38+'Ячейка 36'!D38+'Ячейка 37'!D38</f>
        <v>6710.400000001755</v>
      </c>
      <c r="C35" s="21"/>
      <c r="D35" s="226">
        <f>'Ячейка 3'!H38+'Ячейка 4'!H38+'Ячейка 36'!H38+'Ячейка 37'!H38</f>
        <v>4359.599999994316</v>
      </c>
      <c r="E35" s="227"/>
      <c r="F35" s="228">
        <f t="shared" si="0"/>
        <v>0.64967811158696587</v>
      </c>
      <c r="G35" s="232"/>
      <c r="H35" s="111"/>
      <c r="I35" s="112"/>
      <c r="J35" s="112"/>
      <c r="K35" s="112"/>
      <c r="L35" s="112"/>
    </row>
    <row r="36" spans="1:24" ht="20.100000000000001" customHeight="1" x14ac:dyDescent="0.2">
      <c r="A36" s="5" t="s">
        <v>28</v>
      </c>
      <c r="B36" s="21">
        <f>'Ячейка 3'!D39+'Ячейка 4'!D39+'Ячейка 36'!D39+'Ячейка 37'!D39</f>
        <v>6447.5999999940541</v>
      </c>
      <c r="C36" s="21"/>
      <c r="D36" s="226">
        <f>'Ячейка 3'!H39+'Ячейка 4'!H39+'Ячейка 36'!H39+'Ячейка 37'!H39</f>
        <v>4356.0000000034051</v>
      </c>
      <c r="E36" s="227"/>
      <c r="F36" s="228">
        <f t="shared" si="0"/>
        <v>0.67560022334006797</v>
      </c>
      <c r="G36" s="232"/>
      <c r="H36" s="111"/>
      <c r="I36" s="112"/>
      <c r="J36" s="112"/>
      <c r="K36" s="112"/>
      <c r="L36" s="112"/>
    </row>
    <row r="37" spans="1:24" ht="20.100000000000001" customHeight="1" x14ac:dyDescent="0.2">
      <c r="A37" s="5" t="s">
        <v>29</v>
      </c>
      <c r="B37" s="21">
        <f>'Ячейка 3'!D40+'Ячейка 4'!D40+'Ячейка 36'!D40+'Ячейка 37'!D40</f>
        <v>6537.6000000123895</v>
      </c>
      <c r="C37" s="21"/>
      <c r="D37" s="226">
        <f>'Ячейка 3'!H40+'Ячейка 4'!H40+'Ячейка 36'!H40+'Ячейка 37'!H40</f>
        <v>4478.3999999972366</v>
      </c>
      <c r="E37" s="227"/>
      <c r="F37" s="228">
        <f t="shared" si="0"/>
        <v>0.68502202642999721</v>
      </c>
      <c r="G37" s="232"/>
      <c r="H37" s="111"/>
      <c r="I37" s="112"/>
      <c r="J37" s="112"/>
      <c r="K37" s="112"/>
      <c r="L37" s="112"/>
    </row>
    <row r="38" spans="1:24" ht="20.100000000000001" customHeight="1" x14ac:dyDescent="0.2">
      <c r="A38" s="5" t="s">
        <v>30</v>
      </c>
      <c r="B38" s="21">
        <f>'Ячейка 3'!D41+'Ячейка 4'!D41+'Ячейка 36'!D41+'Ячейка 37'!D41</f>
        <v>6645.5999999689084</v>
      </c>
      <c r="C38" s="21"/>
      <c r="D38" s="226">
        <f>'Ячейка 3'!H41+'Ячейка 4'!H41+'Ячейка 36'!H41+'Ячейка 37'!H41</f>
        <v>4615.1999999874533</v>
      </c>
      <c r="E38" s="227"/>
      <c r="F38" s="228">
        <f t="shared" si="0"/>
        <v>0.69447453954632321</v>
      </c>
      <c r="G38" s="232"/>
      <c r="H38" s="111"/>
      <c r="I38" s="112"/>
      <c r="J38" s="112"/>
      <c r="K38" s="112"/>
      <c r="L38" s="112"/>
    </row>
    <row r="39" spans="1:24" ht="20.100000000000001" customHeight="1" x14ac:dyDescent="0.2">
      <c r="A39" s="5" t="s">
        <v>31</v>
      </c>
      <c r="B39" s="21">
        <f>'Ячейка 3'!D42+'Ячейка 4'!D42+'Ячейка 36'!D42+'Ячейка 37'!D42</f>
        <v>6444.0000000031432</v>
      </c>
      <c r="C39" s="21"/>
      <c r="D39" s="226">
        <f>'Ячейка 3'!H42+'Ячейка 4'!H42+'Ячейка 36'!H42+'Ячейка 37'!H42</f>
        <v>4554.0000000110012</v>
      </c>
      <c r="E39" s="227"/>
      <c r="F39" s="228">
        <f t="shared" si="0"/>
        <v>0.70670391061588766</v>
      </c>
      <c r="G39" s="232"/>
      <c r="H39" s="111"/>
      <c r="I39" s="112"/>
      <c r="J39" s="112"/>
      <c r="K39" s="112"/>
      <c r="L39" s="112"/>
      <c r="P39" s="177" t="s">
        <v>150</v>
      </c>
      <c r="Q39" s="177"/>
      <c r="R39" s="177"/>
      <c r="S39" s="176" t="s">
        <v>364</v>
      </c>
      <c r="T39" s="176"/>
      <c r="U39" s="176"/>
      <c r="V39" s="176"/>
      <c r="W39" s="176"/>
      <c r="X39" s="176"/>
    </row>
    <row r="40" spans="1:24" ht="20.100000000000001" customHeight="1" x14ac:dyDescent="0.2">
      <c r="A40" s="5" t="s">
        <v>32</v>
      </c>
      <c r="B40" s="21">
        <f>SUM(B15:B39)</f>
        <v>158284.79999998305</v>
      </c>
      <c r="C40" s="21"/>
      <c r="D40" s="226">
        <f>SUM(D15:E39)</f>
        <v>108889.19999998961</v>
      </c>
      <c r="E40" s="227"/>
      <c r="F40" s="228">
        <f t="shared" si="0"/>
        <v>0.68793213245997886</v>
      </c>
      <c r="G40" s="232"/>
      <c r="H40" s="111"/>
      <c r="I40" s="112"/>
      <c r="J40" s="112"/>
      <c r="K40" s="112"/>
      <c r="L40" s="112"/>
    </row>
    <row r="41" spans="1:24" ht="20.100000000000001" customHeight="1" x14ac:dyDescent="0.2">
      <c r="A41" s="5" t="s">
        <v>33</v>
      </c>
      <c r="B41" s="5"/>
      <c r="C41" s="5"/>
      <c r="D41" s="128"/>
      <c r="E41" s="129"/>
      <c r="F41" s="228"/>
      <c r="G41" s="232"/>
      <c r="H41" s="111"/>
      <c r="I41" s="112"/>
      <c r="J41" s="112"/>
      <c r="K41" s="112"/>
      <c r="L41" s="112"/>
    </row>
    <row r="42" spans="1:24" ht="20.100000000000001" customHeight="1" x14ac:dyDescent="0.2">
      <c r="A42" s="129" t="s">
        <v>2</v>
      </c>
      <c r="B42" s="128" t="s">
        <v>37</v>
      </c>
      <c r="C42" s="132"/>
      <c r="D42" s="129"/>
      <c r="E42" s="128" t="s">
        <v>40</v>
      </c>
      <c r="F42" s="132"/>
      <c r="G42" s="132"/>
      <c r="H42" s="132"/>
      <c r="I42" s="129"/>
      <c r="J42" s="124" t="s">
        <v>5</v>
      </c>
      <c r="K42" s="131"/>
      <c r="L42" s="131"/>
    </row>
    <row r="43" spans="1:24" ht="34.5" customHeight="1" x14ac:dyDescent="0.2">
      <c r="A43" s="129"/>
      <c r="B43" s="219" t="s">
        <v>38</v>
      </c>
      <c r="C43" s="219"/>
      <c r="D43" s="5" t="s">
        <v>39</v>
      </c>
      <c r="E43" s="128" t="s">
        <v>41</v>
      </c>
      <c r="F43" s="132"/>
      <c r="G43" s="129"/>
      <c r="H43" s="128" t="s">
        <v>42</v>
      </c>
      <c r="I43" s="129"/>
      <c r="J43" s="127"/>
      <c r="K43" s="130"/>
      <c r="L43" s="130"/>
    </row>
    <row r="44" spans="1:24" ht="20.100000000000001" customHeight="1" x14ac:dyDescent="0.2">
      <c r="A44" s="4" t="s">
        <v>153</v>
      </c>
      <c r="B44" s="226">
        <f>SUM(B24:B26)</f>
        <v>20991.599999977552</v>
      </c>
      <c r="C44" s="227"/>
      <c r="D44" s="21">
        <f>SUM(D24:E26)</f>
        <v>13996.80000000626</v>
      </c>
      <c r="E44" s="226">
        <f>B44/3</f>
        <v>6997.1999999925174</v>
      </c>
      <c r="F44" s="231"/>
      <c r="G44" s="227"/>
      <c r="H44" s="226">
        <f>D44/3</f>
        <v>4665.6000000020867</v>
      </c>
      <c r="I44" s="227"/>
      <c r="J44" s="228">
        <f>H44/E44</f>
        <v>0.66678099811454239</v>
      </c>
      <c r="K44" s="229"/>
      <c r="L44" s="229"/>
    </row>
    <row r="45" spans="1:24" ht="20.100000000000001" customHeight="1" x14ac:dyDescent="0.2">
      <c r="A45" s="4" t="s">
        <v>43</v>
      </c>
      <c r="B45" s="226">
        <f>SUM(B33:B36)</f>
        <v>26395.200000004479</v>
      </c>
      <c r="C45" s="227"/>
      <c r="D45" s="21">
        <f>SUM(D33:E36)</f>
        <v>17600.400000002082</v>
      </c>
      <c r="E45" s="226">
        <f>B45/4</f>
        <v>6598.8000000011198</v>
      </c>
      <c r="F45" s="231"/>
      <c r="G45" s="227"/>
      <c r="H45" s="226">
        <f>D45/4</f>
        <v>4400.1000000005206</v>
      </c>
      <c r="I45" s="227"/>
      <c r="J45" s="228">
        <f>H45/E45</f>
        <v>0.66680305510089322</v>
      </c>
      <c r="K45" s="229"/>
      <c r="L45" s="229"/>
    </row>
    <row r="46" spans="1:24" ht="20.100000000000001" customHeight="1" x14ac:dyDescent="0.2">
      <c r="A46" s="4" t="s">
        <v>44</v>
      </c>
      <c r="B46" s="226">
        <f>SUM(B16:B39)</f>
        <v>158284.79999998305</v>
      </c>
      <c r="C46" s="227"/>
      <c r="D46" s="21">
        <f>SUM(D16:E39)</f>
        <v>108889.19999998961</v>
      </c>
      <c r="E46" s="226">
        <f>B46/24</f>
        <v>6595.1999999992941</v>
      </c>
      <c r="F46" s="231"/>
      <c r="G46" s="227"/>
      <c r="H46" s="226">
        <f>D46/24</f>
        <v>4537.0499999995673</v>
      </c>
      <c r="I46" s="227"/>
      <c r="J46" s="228">
        <f>H46/E46</f>
        <v>0.68793213245997886</v>
      </c>
      <c r="K46" s="229"/>
      <c r="L46" s="229"/>
    </row>
    <row r="47" spans="1:24" ht="20.100000000000001" customHeight="1" x14ac:dyDescent="0.2"/>
    <row r="48" spans="1:24" ht="20.100000000000001" customHeight="1" x14ac:dyDescent="0.2"/>
    <row r="49" spans="3:9" ht="20.100000000000001" customHeight="1" x14ac:dyDescent="0.2"/>
    <row r="50" spans="3:9" ht="20.100000000000001" customHeight="1" x14ac:dyDescent="0.2">
      <c r="C50" s="122" t="s">
        <v>186</v>
      </c>
      <c r="D50" s="122"/>
      <c r="E50" s="122"/>
      <c r="F50" s="122"/>
      <c r="G50" s="122"/>
      <c r="H50" s="122"/>
      <c r="I50" s="122"/>
    </row>
    <row r="51" spans="3:9" ht="20.100000000000001" customHeight="1" x14ac:dyDescent="0.2"/>
  </sheetData>
  <sheetProtection sheet="1" objects="1" scenarios="1"/>
  <mergeCells count="173">
    <mergeCell ref="J46:L46"/>
    <mergeCell ref="J42:L43"/>
    <mergeCell ref="A1:E1"/>
    <mergeCell ref="A2:E2"/>
    <mergeCell ref="A3:E3"/>
    <mergeCell ref="A4:E4"/>
    <mergeCell ref="A5:E5"/>
    <mergeCell ref="A6:E6"/>
    <mergeCell ref="B46:C46"/>
    <mergeCell ref="E46:G46"/>
    <mergeCell ref="H46:I46"/>
    <mergeCell ref="E42:I42"/>
    <mergeCell ref="E43:G43"/>
    <mergeCell ref="H43:I43"/>
    <mergeCell ref="E44:G44"/>
    <mergeCell ref="H44:I44"/>
    <mergeCell ref="H41:L41"/>
    <mergeCell ref="B42:D42"/>
    <mergeCell ref="B44:C44"/>
    <mergeCell ref="B45:C45"/>
    <mergeCell ref="J44:L44"/>
    <mergeCell ref="J45:L45"/>
    <mergeCell ref="D41:E41"/>
    <mergeCell ref="E45:G45"/>
    <mergeCell ref="H45:I45"/>
    <mergeCell ref="F41:G41"/>
    <mergeCell ref="H35:L35"/>
    <mergeCell ref="H36:L36"/>
    <mergeCell ref="H37:L37"/>
    <mergeCell ref="H38:L38"/>
    <mergeCell ref="H39:L39"/>
    <mergeCell ref="H40:L40"/>
    <mergeCell ref="H29:L29"/>
    <mergeCell ref="H30:L30"/>
    <mergeCell ref="H31:L31"/>
    <mergeCell ref="H32:L32"/>
    <mergeCell ref="H33:L33"/>
    <mergeCell ref="H34:L34"/>
    <mergeCell ref="F35:G35"/>
    <mergeCell ref="F36:G36"/>
    <mergeCell ref="F37:G37"/>
    <mergeCell ref="F38:G38"/>
    <mergeCell ref="F39:G39"/>
    <mergeCell ref="F40:G40"/>
    <mergeCell ref="F29:G29"/>
    <mergeCell ref="F30:G30"/>
    <mergeCell ref="F31:G31"/>
    <mergeCell ref="F32:G32"/>
    <mergeCell ref="H28:L28"/>
    <mergeCell ref="D22:E22"/>
    <mergeCell ref="F27:G27"/>
    <mergeCell ref="F28:G28"/>
    <mergeCell ref="H14:L14"/>
    <mergeCell ref="H15:L15"/>
    <mergeCell ref="H16:L16"/>
    <mergeCell ref="H17:L17"/>
    <mergeCell ref="H18:L18"/>
    <mergeCell ref="H19:L19"/>
    <mergeCell ref="H20:L20"/>
    <mergeCell ref="H21:L21"/>
    <mergeCell ref="H22:L22"/>
    <mergeCell ref="F15:G15"/>
    <mergeCell ref="F16:G16"/>
    <mergeCell ref="F17:G17"/>
    <mergeCell ref="F22:G22"/>
    <mergeCell ref="F18:G18"/>
    <mergeCell ref="F19:G19"/>
    <mergeCell ref="F20:G20"/>
    <mergeCell ref="D14:E14"/>
    <mergeCell ref="D15:E15"/>
    <mergeCell ref="D16:E16"/>
    <mergeCell ref="D17:E17"/>
    <mergeCell ref="D24:E24"/>
    <mergeCell ref="F23:G23"/>
    <mergeCell ref="F24:G24"/>
    <mergeCell ref="F25:G25"/>
    <mergeCell ref="F26:G26"/>
    <mergeCell ref="F33:G33"/>
    <mergeCell ref="D25:E25"/>
    <mergeCell ref="D26:E26"/>
    <mergeCell ref="D29:E29"/>
    <mergeCell ref="D18:E18"/>
    <mergeCell ref="D19:E19"/>
    <mergeCell ref="D20:E20"/>
    <mergeCell ref="C50:I50"/>
    <mergeCell ref="A10:B10"/>
    <mergeCell ref="C10:H10"/>
    <mergeCell ref="A11:L11"/>
    <mergeCell ref="H13:L13"/>
    <mergeCell ref="A12:A13"/>
    <mergeCell ref="B13:C13"/>
    <mergeCell ref="D13:E13"/>
    <mergeCell ref="B12:E12"/>
    <mergeCell ref="A42:A43"/>
    <mergeCell ref="B43:C43"/>
    <mergeCell ref="D27:E27"/>
    <mergeCell ref="D28:E28"/>
    <mergeCell ref="D40:E40"/>
    <mergeCell ref="D33:E33"/>
    <mergeCell ref="D34:E34"/>
    <mergeCell ref="D35:E35"/>
    <mergeCell ref="D36:E36"/>
    <mergeCell ref="D38:E38"/>
    <mergeCell ref="D39:E39"/>
    <mergeCell ref="D37:E37"/>
    <mergeCell ref="F21:G21"/>
    <mergeCell ref="D21:E21"/>
    <mergeCell ref="O30:V30"/>
    <mergeCell ref="O31:V31"/>
    <mergeCell ref="O32:V32"/>
    <mergeCell ref="O33:V33"/>
    <mergeCell ref="P39:R39"/>
    <mergeCell ref="N24:V24"/>
    <mergeCell ref="O25:V25"/>
    <mergeCell ref="O26:V26"/>
    <mergeCell ref="O27:V27"/>
    <mergeCell ref="O28:V28"/>
    <mergeCell ref="O29:V29"/>
    <mergeCell ref="S39:X39"/>
    <mergeCell ref="H23:L23"/>
    <mergeCell ref="H24:L24"/>
    <mergeCell ref="H25:L25"/>
    <mergeCell ref="H26:L26"/>
    <mergeCell ref="H27:L27"/>
    <mergeCell ref="F34:G34"/>
    <mergeCell ref="D30:E30"/>
    <mergeCell ref="D31:E31"/>
    <mergeCell ref="D32:E32"/>
    <mergeCell ref="D23:E23"/>
    <mergeCell ref="N19:Q19"/>
    <mergeCell ref="N20:Q20"/>
    <mergeCell ref="N21:Q21"/>
    <mergeCell ref="N10:Q10"/>
    <mergeCell ref="N11:Q11"/>
    <mergeCell ref="M14:M18"/>
    <mergeCell ref="N14:Q18"/>
    <mergeCell ref="R14:T14"/>
    <mergeCell ref="T15:T18"/>
    <mergeCell ref="S15:S18"/>
    <mergeCell ref="R15:R18"/>
    <mergeCell ref="N7:Q7"/>
    <mergeCell ref="N8:Q8"/>
    <mergeCell ref="N9:Q9"/>
    <mergeCell ref="M1:M3"/>
    <mergeCell ref="N1:Q3"/>
    <mergeCell ref="R1:T1"/>
    <mergeCell ref="U14:U18"/>
    <mergeCell ref="V14:V18"/>
    <mergeCell ref="W14:W18"/>
    <mergeCell ref="U1:W1"/>
    <mergeCell ref="R2:R3"/>
    <mergeCell ref="U2:U3"/>
    <mergeCell ref="S2:T2"/>
    <mergeCell ref="S3:T3"/>
    <mergeCell ref="V2:W2"/>
    <mergeCell ref="V3:W3"/>
    <mergeCell ref="I9:M9"/>
    <mergeCell ref="A7:L7"/>
    <mergeCell ref="F12:G13"/>
    <mergeCell ref="H12:L12"/>
    <mergeCell ref="F9:H9"/>
    <mergeCell ref="A9:E9"/>
    <mergeCell ref="A8:L8"/>
    <mergeCell ref="F14:G14"/>
    <mergeCell ref="F5:H6"/>
    <mergeCell ref="I5:L6"/>
    <mergeCell ref="F3:H4"/>
    <mergeCell ref="I3:L4"/>
    <mergeCell ref="F1:H2"/>
    <mergeCell ref="I1:L2"/>
    <mergeCell ref="N4:Q4"/>
    <mergeCell ref="N5:Q5"/>
    <mergeCell ref="N6:Q6"/>
  </mergeCells>
  <phoneticPr fontId="0" type="noConversion"/>
  <printOptions horizontalCentered="1"/>
  <pageMargins left="0.39370078740157483" right="0.39370078740157483" top="0.19685039370078741" bottom="0.19685039370078741" header="0" footer="0"/>
  <pageSetup paperSize="9" scale="74" orientation="portrait" horizontalDpi="180" verticalDpi="180" r:id="rId1"/>
  <headerFooter alignWithMargins="0"/>
  <colBreaks count="1" manualBreakCount="1">
    <brk id="12" max="49" man="1"/>
  </colBreak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3"/>
  <dimension ref="A1:X51"/>
  <sheetViews>
    <sheetView view="pageBreakPreview" topLeftCell="A4" zoomScale="75" zoomScaleNormal="100" workbookViewId="0">
      <selection activeCell="B16" sqref="B16"/>
    </sheetView>
  </sheetViews>
  <sheetFormatPr defaultRowHeight="18.75" x14ac:dyDescent="0.2"/>
  <cols>
    <col min="1" max="1" width="15" style="2" customWidth="1"/>
    <col min="2" max="2" width="15.7109375" style="2" customWidth="1"/>
    <col min="3" max="3" width="6.28515625" style="2" customWidth="1"/>
    <col min="4" max="4" width="22.7109375" style="2" customWidth="1"/>
    <col min="5" max="5" width="3.42578125" style="2" customWidth="1"/>
    <col min="6" max="8" width="9.140625" style="2"/>
    <col min="9" max="9" width="9.7109375" style="2" customWidth="1"/>
    <col min="10" max="10" width="6" style="2" customWidth="1"/>
    <col min="11" max="11" width="6.140625" style="2" customWidth="1"/>
    <col min="12" max="12" width="6.85546875" style="2" customWidth="1"/>
    <col min="13" max="13" width="8.42578125" style="2" customWidth="1"/>
    <col min="14" max="18" width="10.7109375" style="2" customWidth="1"/>
    <col min="19" max="19" width="14.42578125" style="2" customWidth="1"/>
    <col min="20" max="20" width="13.7109375" style="2" customWidth="1"/>
    <col min="21" max="21" width="13.140625" style="2" customWidth="1"/>
    <col min="22" max="22" width="13.85546875" style="2" customWidth="1"/>
    <col min="23" max="23" width="14.42578125" style="2" customWidth="1"/>
    <col min="24" max="28" width="10.28515625" style="2" customWidth="1"/>
    <col min="29" max="16384" width="9.140625" style="2"/>
  </cols>
  <sheetData>
    <row r="1" spans="1:23" ht="26.25" x14ac:dyDescent="0.2">
      <c r="A1" s="115" t="s">
        <v>161</v>
      </c>
      <c r="B1" s="115"/>
      <c r="C1" s="115"/>
      <c r="D1" s="115"/>
      <c r="E1" s="115"/>
      <c r="F1" s="150" t="s">
        <v>154</v>
      </c>
      <c r="G1" s="150"/>
      <c r="H1" s="150"/>
      <c r="I1" s="115" t="s">
        <v>163</v>
      </c>
      <c r="J1" s="115"/>
      <c r="K1" s="115"/>
      <c r="L1" s="115"/>
      <c r="M1" s="123" t="s">
        <v>115</v>
      </c>
      <c r="N1" s="121" t="s">
        <v>116</v>
      </c>
      <c r="O1" s="121"/>
      <c r="P1" s="121"/>
      <c r="Q1" s="121"/>
      <c r="R1" s="219" t="s">
        <v>117</v>
      </c>
      <c r="S1" s="219"/>
      <c r="T1" s="219"/>
      <c r="U1" s="219" t="s">
        <v>118</v>
      </c>
      <c r="V1" s="219"/>
      <c r="W1" s="128"/>
    </row>
    <row r="2" spans="1:23" ht="18.75" customHeight="1" x14ac:dyDescent="0.2">
      <c r="A2" s="146" t="s">
        <v>45</v>
      </c>
      <c r="B2" s="146"/>
      <c r="C2" s="146"/>
      <c r="D2" s="146"/>
      <c r="E2" s="146"/>
      <c r="F2" s="150"/>
      <c r="G2" s="150"/>
      <c r="H2" s="150"/>
      <c r="I2" s="115"/>
      <c r="J2" s="115"/>
      <c r="K2" s="115"/>
      <c r="L2" s="115"/>
      <c r="M2" s="116"/>
      <c r="N2" s="118"/>
      <c r="O2" s="118"/>
      <c r="P2" s="118"/>
      <c r="Q2" s="118"/>
      <c r="R2" s="118" t="s">
        <v>119</v>
      </c>
      <c r="S2" s="118" t="s">
        <v>120</v>
      </c>
      <c r="T2" s="118"/>
      <c r="U2" s="118" t="s">
        <v>119</v>
      </c>
      <c r="V2" s="118" t="s">
        <v>120</v>
      </c>
      <c r="W2" s="125"/>
    </row>
    <row r="3" spans="1:23" ht="21.75" customHeight="1" x14ac:dyDescent="0.2">
      <c r="A3" s="115" t="s">
        <v>162</v>
      </c>
      <c r="B3" s="115"/>
      <c r="C3" s="115"/>
      <c r="D3" s="115"/>
      <c r="E3" s="115"/>
      <c r="F3" s="150" t="s">
        <v>155</v>
      </c>
      <c r="G3" s="150"/>
      <c r="H3" s="150"/>
      <c r="I3" s="115" t="s">
        <v>225</v>
      </c>
      <c r="J3" s="115"/>
      <c r="K3" s="115"/>
      <c r="L3" s="115"/>
      <c r="M3" s="117"/>
      <c r="N3" s="119"/>
      <c r="O3" s="119"/>
      <c r="P3" s="119"/>
      <c r="Q3" s="119"/>
      <c r="R3" s="119"/>
      <c r="S3" s="119" t="s">
        <v>121</v>
      </c>
      <c r="T3" s="119"/>
      <c r="U3" s="119"/>
      <c r="V3" s="119" t="s">
        <v>121</v>
      </c>
      <c r="W3" s="127"/>
    </row>
    <row r="4" spans="1:23" ht="29.25" customHeight="1" x14ac:dyDescent="0.2">
      <c r="A4" s="146" t="s">
        <v>46</v>
      </c>
      <c r="B4" s="146"/>
      <c r="C4" s="146"/>
      <c r="D4" s="146"/>
      <c r="E4" s="146"/>
      <c r="F4" s="150"/>
      <c r="G4" s="150"/>
      <c r="H4" s="150"/>
      <c r="I4" s="115"/>
      <c r="J4" s="115"/>
      <c r="K4" s="115"/>
      <c r="L4" s="115"/>
      <c r="M4" s="9"/>
      <c r="N4" s="216" t="s">
        <v>122</v>
      </c>
      <c r="O4" s="216"/>
      <c r="P4" s="216"/>
      <c r="Q4" s="216"/>
      <c r="R4" s="7"/>
      <c r="S4" s="8"/>
      <c r="T4" s="9"/>
      <c r="U4" s="7"/>
      <c r="V4" s="8"/>
      <c r="W4" s="18"/>
    </row>
    <row r="5" spans="1:23" ht="18" customHeight="1" x14ac:dyDescent="0.2">
      <c r="A5" s="230" t="s">
        <v>174</v>
      </c>
      <c r="B5" s="230"/>
      <c r="C5" s="230"/>
      <c r="D5" s="230"/>
      <c r="E5" s="230"/>
      <c r="F5" s="150" t="s">
        <v>156</v>
      </c>
      <c r="G5" s="150"/>
      <c r="H5" s="150"/>
      <c r="I5" s="115" t="s">
        <v>250</v>
      </c>
      <c r="J5" s="115"/>
      <c r="K5" s="115"/>
      <c r="L5" s="115"/>
      <c r="M5" s="9"/>
      <c r="N5" s="217" t="s">
        <v>123</v>
      </c>
      <c r="O5" s="217"/>
      <c r="P5" s="217"/>
      <c r="Q5" s="217"/>
      <c r="R5" s="7"/>
      <c r="S5" s="8"/>
      <c r="T5" s="9"/>
      <c r="U5" s="7"/>
      <c r="V5" s="8"/>
      <c r="W5" s="18"/>
    </row>
    <row r="6" spans="1:23" x14ac:dyDescent="0.2">
      <c r="A6" s="146" t="s">
        <v>47</v>
      </c>
      <c r="B6" s="146"/>
      <c r="C6" s="146"/>
      <c r="D6" s="146"/>
      <c r="E6" s="146"/>
      <c r="F6" s="150"/>
      <c r="G6" s="150"/>
      <c r="H6" s="150"/>
      <c r="I6" s="115"/>
      <c r="J6" s="115"/>
      <c r="K6" s="115"/>
      <c r="L6" s="115"/>
      <c r="M6" s="9"/>
      <c r="N6" s="217" t="s">
        <v>124</v>
      </c>
      <c r="O6" s="217"/>
      <c r="P6" s="217"/>
      <c r="Q6" s="217"/>
      <c r="R6" s="7"/>
      <c r="S6" s="8"/>
      <c r="T6" s="9"/>
      <c r="U6" s="7"/>
      <c r="V6" s="8"/>
      <c r="W6" s="18"/>
    </row>
    <row r="7" spans="1:23" x14ac:dyDescent="0.2">
      <c r="A7" s="122"/>
      <c r="B7" s="122"/>
      <c r="C7" s="122"/>
      <c r="D7" s="122"/>
      <c r="E7" s="122"/>
      <c r="F7" s="122"/>
      <c r="G7" s="122"/>
      <c r="H7" s="122"/>
      <c r="I7" s="122"/>
      <c r="J7" s="122"/>
      <c r="K7" s="122"/>
      <c r="L7" s="122"/>
      <c r="M7" s="9"/>
      <c r="N7" s="218" t="s">
        <v>125</v>
      </c>
      <c r="O7" s="218"/>
      <c r="P7" s="218"/>
      <c r="Q7" s="218"/>
      <c r="R7" s="7"/>
      <c r="S7" s="8"/>
      <c r="T7" s="9"/>
      <c r="U7" s="7"/>
      <c r="V7" s="8"/>
      <c r="W7" s="18"/>
    </row>
    <row r="8" spans="1:23" ht="22.5" x14ac:dyDescent="0.2">
      <c r="A8" s="143" t="s">
        <v>0</v>
      </c>
      <c r="B8" s="143"/>
      <c r="C8" s="143"/>
      <c r="D8" s="143"/>
      <c r="E8" s="143"/>
      <c r="F8" s="143"/>
      <c r="G8" s="143"/>
      <c r="H8" s="143"/>
      <c r="I8" s="143"/>
      <c r="J8" s="143"/>
      <c r="K8" s="143"/>
      <c r="L8" s="143"/>
      <c r="M8" s="9"/>
      <c r="N8" s="217" t="s">
        <v>126</v>
      </c>
      <c r="O8" s="217"/>
      <c r="P8" s="217"/>
      <c r="Q8" s="217"/>
      <c r="R8" s="7"/>
      <c r="S8" s="8"/>
      <c r="T8" s="9"/>
      <c r="U8" s="7"/>
      <c r="V8" s="8"/>
      <c r="W8" s="18"/>
    </row>
    <row r="9" spans="1:23" ht="18.75" customHeight="1" x14ac:dyDescent="0.2">
      <c r="A9" s="220" t="s">
        <v>152</v>
      </c>
      <c r="B9" s="220"/>
      <c r="C9" s="220"/>
      <c r="D9" s="220"/>
      <c r="E9" s="220"/>
      <c r="F9" s="162" t="s">
        <v>407</v>
      </c>
      <c r="G9" s="163"/>
      <c r="H9" s="163"/>
      <c r="I9" s="138" t="s">
        <v>369</v>
      </c>
      <c r="J9" s="138"/>
      <c r="K9" s="138"/>
      <c r="L9" s="138"/>
      <c r="M9" s="138"/>
      <c r="N9" s="217" t="s">
        <v>127</v>
      </c>
      <c r="O9" s="217"/>
      <c r="P9" s="217"/>
      <c r="Q9" s="217"/>
      <c r="R9" s="7"/>
      <c r="S9" s="8"/>
      <c r="T9" s="9"/>
      <c r="U9" s="7"/>
      <c r="V9" s="8"/>
      <c r="W9" s="18"/>
    </row>
    <row r="10" spans="1:23" ht="19.5" customHeight="1" x14ac:dyDescent="0.2">
      <c r="A10" s="220" t="s">
        <v>151</v>
      </c>
      <c r="B10" s="220"/>
      <c r="C10" s="163" t="s">
        <v>184</v>
      </c>
      <c r="D10" s="163"/>
      <c r="E10" s="163"/>
      <c r="F10" s="163"/>
      <c r="G10" s="163"/>
      <c r="H10" s="163"/>
      <c r="I10" s="3"/>
      <c r="J10" s="3"/>
      <c r="K10" s="3"/>
      <c r="L10" s="3"/>
      <c r="M10" s="9"/>
      <c r="N10" s="218" t="s">
        <v>128</v>
      </c>
      <c r="O10" s="218"/>
      <c r="P10" s="218"/>
      <c r="Q10" s="218"/>
      <c r="R10" s="7"/>
      <c r="S10" s="8"/>
      <c r="T10" s="9"/>
      <c r="U10" s="7"/>
      <c r="V10" s="8"/>
      <c r="W10" s="18"/>
    </row>
    <row r="11" spans="1:23" x14ac:dyDescent="0.2">
      <c r="A11" s="215" t="s">
        <v>1</v>
      </c>
      <c r="B11" s="215"/>
      <c r="C11" s="215"/>
      <c r="D11" s="215"/>
      <c r="E11" s="215"/>
      <c r="F11" s="215"/>
      <c r="G11" s="215"/>
      <c r="H11" s="215"/>
      <c r="I11" s="215"/>
      <c r="J11" s="215"/>
      <c r="K11" s="215"/>
      <c r="L11" s="215"/>
      <c r="M11" s="9"/>
      <c r="N11" s="223" t="s">
        <v>129</v>
      </c>
      <c r="O11" s="223"/>
      <c r="P11" s="223"/>
      <c r="Q11" s="223"/>
      <c r="R11" s="7"/>
      <c r="S11" s="8"/>
      <c r="T11" s="9"/>
      <c r="U11" s="7"/>
      <c r="V11" s="8"/>
      <c r="W11" s="18"/>
    </row>
    <row r="12" spans="1:23" ht="20.100000000000001" customHeight="1" x14ac:dyDescent="0.2">
      <c r="A12" s="129" t="s">
        <v>2</v>
      </c>
      <c r="B12" s="219" t="s">
        <v>36</v>
      </c>
      <c r="C12" s="219"/>
      <c r="D12" s="219"/>
      <c r="E12" s="219"/>
      <c r="F12" s="219" t="s">
        <v>5</v>
      </c>
      <c r="G12" s="219"/>
      <c r="H12" s="124" t="s">
        <v>34</v>
      </c>
      <c r="I12" s="131"/>
      <c r="J12" s="131"/>
      <c r="K12" s="131"/>
      <c r="L12" s="131"/>
      <c r="N12" s="1"/>
      <c r="O12" s="1"/>
      <c r="P12" s="1"/>
      <c r="Q12" s="1"/>
    </row>
    <row r="13" spans="1:23" ht="20.100000000000001" customHeight="1" x14ac:dyDescent="0.2">
      <c r="A13" s="129"/>
      <c r="B13" s="219" t="s">
        <v>3</v>
      </c>
      <c r="C13" s="219"/>
      <c r="D13" s="219" t="s">
        <v>4</v>
      </c>
      <c r="E13" s="219"/>
      <c r="F13" s="219"/>
      <c r="G13" s="219"/>
      <c r="H13" s="127" t="s">
        <v>35</v>
      </c>
      <c r="I13" s="130"/>
      <c r="J13" s="130"/>
      <c r="K13" s="130"/>
      <c r="L13" s="130"/>
    </row>
    <row r="14" spans="1:23" ht="20.100000000000001" customHeight="1" x14ac:dyDescent="0.2">
      <c r="A14" s="5" t="s">
        <v>6</v>
      </c>
      <c r="B14" s="7"/>
      <c r="C14" s="5"/>
      <c r="D14" s="120"/>
      <c r="E14" s="120"/>
      <c r="F14" s="221" t="str">
        <f t="shared" ref="F14:F40" si="0">IF(OR(B14="",D14=""),"",IF(ISERROR(D14/B14),IF(D14=0,0,""),D14/B14))</f>
        <v/>
      </c>
      <c r="G14" s="221"/>
      <c r="H14" s="120"/>
      <c r="I14" s="120"/>
      <c r="J14" s="120"/>
      <c r="K14" s="120"/>
      <c r="L14" s="120"/>
      <c r="M14" s="129" t="s">
        <v>115</v>
      </c>
      <c r="N14" s="219" t="s">
        <v>116</v>
      </c>
      <c r="O14" s="219"/>
      <c r="P14" s="219"/>
      <c r="Q14" s="219"/>
      <c r="R14" s="219" t="s">
        <v>117</v>
      </c>
      <c r="S14" s="219"/>
      <c r="T14" s="219"/>
      <c r="U14" s="219" t="s">
        <v>130</v>
      </c>
      <c r="V14" s="219" t="s">
        <v>69</v>
      </c>
      <c r="W14" s="128" t="s">
        <v>131</v>
      </c>
    </row>
    <row r="15" spans="1:23" ht="20.100000000000001" customHeight="1" x14ac:dyDescent="0.2">
      <c r="A15" s="5" t="s">
        <v>7</v>
      </c>
      <c r="B15" s="5"/>
      <c r="C15" s="5"/>
      <c r="D15" s="219"/>
      <c r="E15" s="219"/>
      <c r="F15" s="221" t="str">
        <f t="shared" si="0"/>
        <v/>
      </c>
      <c r="G15" s="221"/>
      <c r="H15" s="120"/>
      <c r="I15" s="120"/>
      <c r="J15" s="120"/>
      <c r="K15" s="120"/>
      <c r="L15" s="120"/>
      <c r="M15" s="129"/>
      <c r="N15" s="219"/>
      <c r="O15" s="219"/>
      <c r="P15" s="219"/>
      <c r="Q15" s="219"/>
      <c r="R15" s="224" t="s">
        <v>130</v>
      </c>
      <c r="S15" s="219" t="s">
        <v>69</v>
      </c>
      <c r="T15" s="219" t="s">
        <v>131</v>
      </c>
      <c r="U15" s="219"/>
      <c r="V15" s="219"/>
      <c r="W15" s="128"/>
    </row>
    <row r="16" spans="1:23" ht="20.100000000000001" customHeight="1" x14ac:dyDescent="0.2">
      <c r="A16" s="5" t="s">
        <v>8</v>
      </c>
      <c r="B16" s="21">
        <f>'Ячейка 24'!D19+'Ячейка 2'!D19+'Ячейка 3'!D19+'Ячейка 4'!D19+'Ячейка 36'!D19+'Ячейка 37'!D19</f>
        <v>10668.599999953585</v>
      </c>
      <c r="C16" s="21"/>
      <c r="D16" s="225">
        <f>'Ячейка 24'!H19+'Ячейка 2'!H19+'Ячейка 3'!H19+'Ячейка 4'!H19+'Ячейка 36'!H19+'Ячейка 37'!H19</f>
        <v>6310.7999999956519</v>
      </c>
      <c r="E16" s="225"/>
      <c r="F16" s="221">
        <f t="shared" si="0"/>
        <v>0.59153028513798511</v>
      </c>
      <c r="G16" s="221"/>
      <c r="H16" s="120"/>
      <c r="I16" s="120"/>
      <c r="J16" s="120"/>
      <c r="K16" s="120"/>
      <c r="L16" s="120"/>
      <c r="M16" s="129"/>
      <c r="N16" s="219"/>
      <c r="O16" s="219"/>
      <c r="P16" s="219"/>
      <c r="Q16" s="219"/>
      <c r="R16" s="224"/>
      <c r="S16" s="219"/>
      <c r="T16" s="219"/>
      <c r="U16" s="219"/>
      <c r="V16" s="219"/>
      <c r="W16" s="128"/>
    </row>
    <row r="17" spans="1:23" ht="20.100000000000001" customHeight="1" x14ac:dyDescent="0.2">
      <c r="A17" s="5" t="s">
        <v>9</v>
      </c>
      <c r="B17" s="21">
        <f>'Ячейка 24'!D20+'Ячейка 2'!D20+'Ячейка 3'!D20+'Ячейка 4'!D20+'Ячейка 36'!D20+'Ячейка 37'!D20</f>
        <v>10494.000000026062</v>
      </c>
      <c r="C17" s="21"/>
      <c r="D17" s="225">
        <f>'Ячейка 24'!H20+'Ячейка 2'!H20+'Ячейка 3'!H20+'Ячейка 4'!H20+'Ячейка 36'!H20+'Ячейка 37'!H20</f>
        <v>6254.9999999973807</v>
      </c>
      <c r="E17" s="225"/>
      <c r="F17" s="221">
        <f t="shared" si="0"/>
        <v>0.59605488850598876</v>
      </c>
      <c r="G17" s="221"/>
      <c r="H17" s="120"/>
      <c r="I17" s="120"/>
      <c r="J17" s="120"/>
      <c r="K17" s="120"/>
      <c r="L17" s="120"/>
      <c r="M17" s="129"/>
      <c r="N17" s="219"/>
      <c r="O17" s="219"/>
      <c r="P17" s="219"/>
      <c r="Q17" s="219"/>
      <c r="R17" s="224"/>
      <c r="S17" s="219"/>
      <c r="T17" s="219"/>
      <c r="U17" s="219"/>
      <c r="V17" s="219"/>
      <c r="W17" s="128"/>
    </row>
    <row r="18" spans="1:23" ht="20.100000000000001" customHeight="1" x14ac:dyDescent="0.2">
      <c r="A18" s="5" t="s">
        <v>10</v>
      </c>
      <c r="B18" s="21">
        <f>'Ячейка 24'!D21+'Ячейка 2'!D21+'Ячейка 3'!D21+'Ячейка 4'!D21+'Ячейка 36'!D21+'Ячейка 37'!D21</f>
        <v>10373.400000011316</v>
      </c>
      <c r="C18" s="21"/>
      <c r="D18" s="225">
        <f>'Ячейка 24'!H21+'Ячейка 2'!H21+'Ячейка 3'!H21+'Ячейка 4'!H21+'Ячейка 36'!H21+'Ячейка 37'!H21</f>
        <v>6231.5999999991618</v>
      </c>
      <c r="E18" s="225"/>
      <c r="F18" s="221">
        <f t="shared" si="0"/>
        <v>0.6007287870893212</v>
      </c>
      <c r="G18" s="221"/>
      <c r="H18" s="120"/>
      <c r="I18" s="120"/>
      <c r="J18" s="120"/>
      <c r="K18" s="120"/>
      <c r="L18" s="120"/>
      <c r="M18" s="129"/>
      <c r="N18" s="219"/>
      <c r="O18" s="219"/>
      <c r="P18" s="219"/>
      <c r="Q18" s="219"/>
      <c r="R18" s="224"/>
      <c r="S18" s="219"/>
      <c r="T18" s="219"/>
      <c r="U18" s="219"/>
      <c r="V18" s="219"/>
      <c r="W18" s="128"/>
    </row>
    <row r="19" spans="1:23" ht="20.100000000000001" customHeight="1" x14ac:dyDescent="0.2">
      <c r="A19" s="5" t="s">
        <v>11</v>
      </c>
      <c r="B19" s="21">
        <f>'Ячейка 24'!D22+'Ячейка 2'!D22+'Ячейка 3'!D22+'Ячейка 4'!D22+'Ячейка 36'!D22+'Ячейка 37'!D22</f>
        <v>10600.19999997894</v>
      </c>
      <c r="C19" s="21"/>
      <c r="D19" s="225">
        <f>'Ячейка 24'!H22+'Ячейка 2'!H22+'Ячейка 3'!H22+'Ячейка 4'!H22+'Ячейка 36'!H22+'Ячейка 37'!H22</f>
        <v>6404.3999999885273</v>
      </c>
      <c r="E19" s="225"/>
      <c r="F19" s="221">
        <f t="shared" si="0"/>
        <v>0.60417727967408641</v>
      </c>
      <c r="G19" s="221"/>
      <c r="H19" s="120"/>
      <c r="I19" s="120"/>
      <c r="J19" s="120"/>
      <c r="K19" s="120"/>
      <c r="L19" s="120"/>
      <c r="M19" s="9"/>
      <c r="N19" s="216" t="s">
        <v>132</v>
      </c>
      <c r="O19" s="216"/>
      <c r="P19" s="216"/>
      <c r="Q19" s="216"/>
      <c r="R19" s="7"/>
      <c r="S19" s="7"/>
      <c r="T19" s="7"/>
      <c r="U19" s="7"/>
      <c r="V19" s="7"/>
      <c r="W19" s="8"/>
    </row>
    <row r="20" spans="1:23" ht="20.100000000000001" customHeight="1" x14ac:dyDescent="0.2">
      <c r="A20" s="5" t="s">
        <v>12</v>
      </c>
      <c r="B20" s="21">
        <f>'Ячейка 24'!D23+'Ячейка 2'!D23+'Ячейка 3'!D23+'Ячейка 4'!D23+'Ячейка 36'!D23+'Ячейка 37'!D23</f>
        <v>10607.400000026246</v>
      </c>
      <c r="C20" s="21"/>
      <c r="D20" s="225">
        <f>'Ячейка 24'!H23+'Ячейка 2'!H23+'Ячейка 3'!H23+'Ячейка 4'!H23+'Ячейка 36'!H23+'Ячейка 37'!H23</f>
        <v>6435.0000000176806</v>
      </c>
      <c r="E20" s="225"/>
      <c r="F20" s="221">
        <f t="shared" si="0"/>
        <v>0.60665195995265175</v>
      </c>
      <c r="G20" s="221"/>
      <c r="H20" s="120"/>
      <c r="I20" s="120"/>
      <c r="J20" s="120"/>
      <c r="K20" s="120"/>
      <c r="L20" s="120"/>
      <c r="M20" s="9"/>
      <c r="N20" s="217" t="s">
        <v>133</v>
      </c>
      <c r="O20" s="217"/>
      <c r="P20" s="217"/>
      <c r="Q20" s="217"/>
      <c r="R20" s="7"/>
      <c r="S20" s="7"/>
      <c r="T20" s="7"/>
      <c r="U20" s="7"/>
      <c r="V20" s="7"/>
      <c r="W20" s="8"/>
    </row>
    <row r="21" spans="1:23" ht="20.100000000000001" customHeight="1" x14ac:dyDescent="0.2">
      <c r="A21" s="5" t="s">
        <v>13</v>
      </c>
      <c r="B21" s="21">
        <f>'Ячейка 24'!D24+'Ячейка 2'!D24+'Ячейка 3'!D24+'Ячейка 4'!D24+'Ячейка 36'!D24+'Ячейка 37'!D24</f>
        <v>10625.399999964429</v>
      </c>
      <c r="C21" s="21"/>
      <c r="D21" s="225">
        <f>'Ячейка 24'!H24+'Ячейка 2'!H24+'Ячейка 3'!H24+'Ячейка 4'!H24+'Ячейка 36'!H24+'Ячейка 37'!H24</f>
        <v>6363.0000000030122</v>
      </c>
      <c r="E21" s="225"/>
      <c r="F21" s="221">
        <f t="shared" si="0"/>
        <v>0.59884804337006736</v>
      </c>
      <c r="G21" s="221"/>
      <c r="H21" s="120"/>
      <c r="I21" s="120"/>
      <c r="J21" s="120"/>
      <c r="K21" s="120"/>
      <c r="L21" s="120"/>
      <c r="M21" s="9"/>
      <c r="N21" s="222" t="s">
        <v>134</v>
      </c>
      <c r="O21" s="222"/>
      <c r="P21" s="222"/>
      <c r="Q21" s="222"/>
      <c r="R21" s="7"/>
      <c r="S21" s="7"/>
      <c r="T21" s="7"/>
      <c r="U21" s="7"/>
      <c r="V21" s="7"/>
      <c r="W21" s="8"/>
    </row>
    <row r="22" spans="1:23" ht="20.100000000000001" customHeight="1" x14ac:dyDescent="0.2">
      <c r="A22" s="5" t="s">
        <v>14</v>
      </c>
      <c r="B22" s="21">
        <f>'Ячейка 24'!D25+'Ячейка 2'!D25+'Ячейка 3'!D25+'Ячейка 4'!D25+'Ячейка 36'!D25+'Ячейка 37'!D25</f>
        <v>10796.400000048379</v>
      </c>
      <c r="C22" s="21"/>
      <c r="D22" s="225">
        <f>'Ячейка 24'!H25+'Ячейка 2'!H25+'Ячейка 3'!H25+'Ячейка 4'!H25+'Ячейка 36'!H25+'Ячейка 37'!H25</f>
        <v>6258.5999999882915</v>
      </c>
      <c r="E22" s="225"/>
      <c r="F22" s="221">
        <f t="shared" si="0"/>
        <v>0.57969323107334358</v>
      </c>
      <c r="G22" s="221"/>
      <c r="H22" s="120"/>
      <c r="I22" s="120"/>
      <c r="J22" s="120"/>
      <c r="K22" s="120"/>
      <c r="L22" s="120"/>
    </row>
    <row r="23" spans="1:23" ht="20.100000000000001" customHeight="1" x14ac:dyDescent="0.2">
      <c r="A23" s="5" t="s">
        <v>15</v>
      </c>
      <c r="B23" s="21">
        <f>'Ячейка 24'!D26+'Ячейка 2'!D26+'Ячейка 3'!D26+'Ячейка 4'!D26+'Ячейка 36'!D26+'Ячейка 37'!D26</f>
        <v>11311.199999976452</v>
      </c>
      <c r="C23" s="21"/>
      <c r="D23" s="225">
        <f>'Ячейка 24'!H26+'Ячейка 2'!H26+'Ячейка 3'!H26+'Ячейка 4'!H26+'Ячейка 36'!H26+'Ячейка 37'!H26</f>
        <v>6307.200000004741</v>
      </c>
      <c r="E23" s="225"/>
      <c r="F23" s="221">
        <f t="shared" si="0"/>
        <v>0.55760661998884919</v>
      </c>
      <c r="G23" s="221"/>
      <c r="H23" s="120"/>
      <c r="I23" s="120"/>
      <c r="J23" s="120"/>
      <c r="K23" s="120"/>
      <c r="L23" s="120"/>
    </row>
    <row r="24" spans="1:23" ht="20.100000000000001" customHeight="1" x14ac:dyDescent="0.2">
      <c r="A24" s="5" t="s">
        <v>16</v>
      </c>
      <c r="B24" s="21">
        <f>'Ячейка 24'!D27+'Ячейка 2'!D27+'Ячейка 3'!D27+'Ячейка 4'!D27+'Ячейка 36'!D27+'Ячейка 37'!D27</f>
        <v>11937.599999982922</v>
      </c>
      <c r="C24" s="21"/>
      <c r="D24" s="225">
        <f>'Ячейка 24'!H27+'Ячейка 2'!H27+'Ячейка 3'!H27+'Ячейка 4'!H27+'Ячейка 36'!H27+'Ячейка 37'!H27</f>
        <v>6629.3999999934385</v>
      </c>
      <c r="E24" s="225"/>
      <c r="F24" s="221">
        <f t="shared" si="0"/>
        <v>0.55533775633317606</v>
      </c>
      <c r="G24" s="221"/>
      <c r="H24" s="120"/>
      <c r="I24" s="120"/>
      <c r="J24" s="120"/>
      <c r="K24" s="120"/>
      <c r="L24" s="120"/>
      <c r="N24" s="145" t="s">
        <v>135</v>
      </c>
      <c r="O24" s="145"/>
      <c r="P24" s="145"/>
      <c r="Q24" s="145"/>
      <c r="R24" s="145"/>
      <c r="S24" s="145"/>
      <c r="T24" s="145"/>
      <c r="U24" s="145"/>
      <c r="V24" s="145"/>
    </row>
    <row r="25" spans="1:23" ht="20.100000000000001" customHeight="1" x14ac:dyDescent="0.2">
      <c r="A25" s="5" t="s">
        <v>17</v>
      </c>
      <c r="B25" s="21">
        <f>'Ячейка 24'!D28+'Ячейка 2'!D28+'Ячейка 3'!D28+'Ячейка 4'!D28+'Ячейка 36'!D28+'Ячейка 37'!D28</f>
        <v>12378.600000023653</v>
      </c>
      <c r="C25" s="21"/>
      <c r="D25" s="225">
        <f>'Ячейка 24'!H28+'Ячейка 2'!H28+'Ячейка 3'!H28+'Ячейка 4'!H28+'Ячейка 36'!H28+'Ячейка 37'!H28</f>
        <v>6879.6000000247659</v>
      </c>
      <c r="E25" s="225"/>
      <c r="F25" s="221">
        <f t="shared" si="0"/>
        <v>0.55576559546407678</v>
      </c>
      <c r="G25" s="221"/>
      <c r="H25" s="120"/>
      <c r="I25" s="120"/>
      <c r="J25" s="120"/>
      <c r="K25" s="120"/>
      <c r="L25" s="120"/>
      <c r="N25" s="17" t="s">
        <v>136</v>
      </c>
      <c r="O25" s="145" t="s">
        <v>137</v>
      </c>
      <c r="P25" s="145"/>
      <c r="Q25" s="145"/>
      <c r="R25" s="145"/>
      <c r="S25" s="145"/>
      <c r="T25" s="145"/>
      <c r="U25" s="145"/>
      <c r="V25" s="145"/>
    </row>
    <row r="26" spans="1:23" ht="20.100000000000001" customHeight="1" x14ac:dyDescent="0.2">
      <c r="A26" s="5" t="s">
        <v>18</v>
      </c>
      <c r="B26" s="21">
        <f>'Ячейка 24'!D29+'Ячейка 2'!D29+'Ячейка 3'!D29+'Ячейка 4'!D29+'Ячейка 36'!D29+'Ячейка 37'!D29</f>
        <v>12045.599999955812</v>
      </c>
      <c r="C26" s="21"/>
      <c r="D26" s="225">
        <f>'Ячейка 24'!H29+'Ячейка 2'!H29+'Ячейка 3'!H29+'Ячейка 4'!H29+'Ячейка 36'!H29+'Ячейка 37'!H29</f>
        <v>6751.79999998727</v>
      </c>
      <c r="E26" s="225"/>
      <c r="F26" s="221">
        <f t="shared" si="0"/>
        <v>0.56052002391014466</v>
      </c>
      <c r="G26" s="221"/>
      <c r="H26" s="120"/>
      <c r="I26" s="120"/>
      <c r="J26" s="120"/>
      <c r="K26" s="120"/>
      <c r="L26" s="120"/>
      <c r="N26" s="17" t="s">
        <v>138</v>
      </c>
      <c r="O26" s="145" t="s">
        <v>180</v>
      </c>
      <c r="P26" s="145"/>
      <c r="Q26" s="145"/>
      <c r="R26" s="145"/>
      <c r="S26" s="145"/>
      <c r="T26" s="145"/>
      <c r="U26" s="145"/>
      <c r="V26" s="145"/>
    </row>
    <row r="27" spans="1:23" ht="20.100000000000001" customHeight="1" x14ac:dyDescent="0.2">
      <c r="A27" s="5" t="s">
        <v>19</v>
      </c>
      <c r="B27" s="21">
        <f>'Ячейка 24'!D30+'Ячейка 2'!D30+'Ячейка 3'!D30+'Ячейка 4'!D30+'Ячейка 36'!D30+'Ячейка 37'!D30</f>
        <v>11905.200000015611</v>
      </c>
      <c r="C27" s="21"/>
      <c r="D27" s="225">
        <f>'Ячейка 24'!H30+'Ячейка 2'!H30+'Ячейка 3'!H30+'Ячейка 4'!H30+'Ячейка 36'!H30+'Ячейка 37'!H30</f>
        <v>6782.3999999918669</v>
      </c>
      <c r="E27" s="225"/>
      <c r="F27" s="221">
        <f t="shared" si="0"/>
        <v>0.56970063501520118</v>
      </c>
      <c r="G27" s="221"/>
      <c r="H27" s="120"/>
      <c r="I27" s="120"/>
      <c r="J27" s="120"/>
      <c r="K27" s="120"/>
      <c r="L27" s="120"/>
      <c r="N27" s="17" t="s">
        <v>139</v>
      </c>
      <c r="O27" s="145" t="s">
        <v>140</v>
      </c>
      <c r="P27" s="145"/>
      <c r="Q27" s="145"/>
      <c r="R27" s="145"/>
      <c r="S27" s="145"/>
      <c r="T27" s="145"/>
      <c r="U27" s="145"/>
      <c r="V27" s="145"/>
    </row>
    <row r="28" spans="1:23" ht="20.100000000000001" customHeight="1" x14ac:dyDescent="0.2">
      <c r="A28" s="5" t="s">
        <v>20</v>
      </c>
      <c r="B28" s="21">
        <f>'Ячейка 24'!D31+'Ячейка 2'!D31+'Ячейка 3'!D31+'Ячейка 4'!D31+'Ячейка 36'!D31+'Ячейка 37'!D31</f>
        <v>11410.200000012992</v>
      </c>
      <c r="C28" s="21"/>
      <c r="D28" s="225">
        <f>'Ячейка 24'!H31+'Ячейка 2'!H31+'Ячейка 3'!H31+'Ячейка 4'!H31+'Ячейка 36'!H31+'Ячейка 37'!H31</f>
        <v>6624.0000000070722</v>
      </c>
      <c r="E28" s="225"/>
      <c r="F28" s="221">
        <f t="shared" si="0"/>
        <v>0.580533207130421</v>
      </c>
      <c r="G28" s="221"/>
      <c r="H28" s="120"/>
      <c r="I28" s="120"/>
      <c r="J28" s="120"/>
      <c r="K28" s="120"/>
      <c r="L28" s="120"/>
      <c r="N28" s="17"/>
      <c r="O28" s="145" t="s">
        <v>141</v>
      </c>
      <c r="P28" s="145"/>
      <c r="Q28" s="145"/>
      <c r="R28" s="145"/>
      <c r="S28" s="145"/>
      <c r="T28" s="145"/>
      <c r="U28" s="145"/>
      <c r="V28" s="145"/>
    </row>
    <row r="29" spans="1:23" ht="20.100000000000001" customHeight="1" x14ac:dyDescent="0.2">
      <c r="A29" s="5" t="s">
        <v>21</v>
      </c>
      <c r="B29" s="21">
        <f>'Ячейка 24'!D32+'Ячейка 2'!D32+'Ячейка 3'!D32+'Ячейка 4'!D32+'Ячейка 36'!D32+'Ячейка 37'!D32</f>
        <v>11725.19999996257</v>
      </c>
      <c r="C29" s="21"/>
      <c r="D29" s="225">
        <f>'Ячейка 24'!H32+'Ячейка 2'!H32+'Ячейка 3'!H32+'Ячейка 4'!H32+'Ячейка 36'!H32+'Ячейка 37'!H32</f>
        <v>6875.9999999929278</v>
      </c>
      <c r="E29" s="225"/>
      <c r="F29" s="221">
        <f t="shared" si="0"/>
        <v>0.58642922935343345</v>
      </c>
      <c r="G29" s="221"/>
      <c r="H29" s="120"/>
      <c r="I29" s="120"/>
      <c r="J29" s="120"/>
      <c r="K29" s="120"/>
      <c r="L29" s="120"/>
      <c r="N29" s="17"/>
      <c r="O29" s="145" t="s">
        <v>142</v>
      </c>
      <c r="P29" s="145"/>
      <c r="Q29" s="145"/>
      <c r="R29" s="145"/>
      <c r="S29" s="145"/>
      <c r="T29" s="145"/>
      <c r="U29" s="145"/>
      <c r="V29" s="145"/>
    </row>
    <row r="30" spans="1:23" ht="20.100000000000001" customHeight="1" x14ac:dyDescent="0.2">
      <c r="A30" s="5" t="s">
        <v>22</v>
      </c>
      <c r="B30" s="21">
        <f>'Ячейка 24'!D33+'Ячейка 2'!D33+'Ячейка 3'!D33+'Ячейка 4'!D33+'Ячейка 36'!D33+'Ячейка 37'!D33</f>
        <v>11858.400000035545</v>
      </c>
      <c r="C30" s="21"/>
      <c r="D30" s="225">
        <f>'Ячейка 24'!H33+'Ячейка 2'!H33+'Ячейка 3'!H33+'Ячейка 4'!H33+'Ячейка 36'!H33+'Ячейка 37'!H33</f>
        <v>7011.0000000122454</v>
      </c>
      <c r="E30" s="225"/>
      <c r="F30" s="221">
        <f t="shared" si="0"/>
        <v>0.59122647237327386</v>
      </c>
      <c r="G30" s="221"/>
      <c r="H30" s="120"/>
      <c r="I30" s="120"/>
      <c r="J30" s="120"/>
      <c r="K30" s="120"/>
      <c r="L30" s="120"/>
      <c r="N30" s="17" t="s">
        <v>143</v>
      </c>
      <c r="O30" s="145" t="s">
        <v>144</v>
      </c>
      <c r="P30" s="145"/>
      <c r="Q30" s="145"/>
      <c r="R30" s="145"/>
      <c r="S30" s="145"/>
      <c r="T30" s="145"/>
      <c r="U30" s="145"/>
      <c r="V30" s="145"/>
    </row>
    <row r="31" spans="1:23" ht="20.100000000000001" customHeight="1" x14ac:dyDescent="0.2">
      <c r="A31" s="5" t="s">
        <v>23</v>
      </c>
      <c r="B31" s="21">
        <f>'Ячейка 24'!D34+'Ячейка 2'!D34+'Ячейка 3'!D34+'Ячейка 4'!D34+'Ячейка 36'!D34+'Ячейка 37'!D34</f>
        <v>11664.000000018859</v>
      </c>
      <c r="C31" s="21"/>
      <c r="D31" s="225">
        <f>'Ячейка 24'!H34+'Ячейка 2'!H34+'Ячейка 3'!H34+'Ячейка 4'!H34+'Ячейка 36'!H34+'Ячейка 37'!H34</f>
        <v>6847.2000000001572</v>
      </c>
      <c r="E31" s="225"/>
      <c r="F31" s="221">
        <f t="shared" si="0"/>
        <v>0.58703703703610133</v>
      </c>
      <c r="G31" s="221"/>
      <c r="H31" s="120"/>
      <c r="I31" s="120"/>
      <c r="J31" s="120"/>
      <c r="K31" s="120"/>
      <c r="L31" s="120"/>
      <c r="N31" s="17"/>
      <c r="O31" s="145" t="s">
        <v>145</v>
      </c>
      <c r="P31" s="145"/>
      <c r="Q31" s="145"/>
      <c r="R31" s="145"/>
      <c r="S31" s="145"/>
      <c r="T31" s="145"/>
      <c r="U31" s="145"/>
      <c r="V31" s="145"/>
    </row>
    <row r="32" spans="1:23" ht="20.100000000000001" customHeight="1" x14ac:dyDescent="0.2">
      <c r="A32" s="5" t="s">
        <v>24</v>
      </c>
      <c r="B32" s="21">
        <f>'Ячейка 24'!D35+'Ячейка 2'!D35+'Ячейка 3'!D35+'Ячейка 4'!D35+'Ячейка 36'!D35+'Ячейка 37'!D35</f>
        <v>11570.399999976871</v>
      </c>
      <c r="C32" s="21"/>
      <c r="D32" s="225">
        <f>'Ячейка 24'!H35+'Ячейка 2'!H35+'Ячейка 3'!H35+'Ячейка 4'!H35+'Ячейка 36'!H35+'Ячейка 37'!H35</f>
        <v>6528.5999999859996</v>
      </c>
      <c r="E32" s="225"/>
      <c r="F32" s="221">
        <f t="shared" si="0"/>
        <v>0.5642501555693018</v>
      </c>
      <c r="G32" s="221"/>
      <c r="H32" s="120"/>
      <c r="I32" s="120"/>
      <c r="J32" s="120"/>
      <c r="K32" s="120"/>
      <c r="L32" s="120"/>
      <c r="N32" s="17" t="s">
        <v>146</v>
      </c>
      <c r="O32" s="145" t="s">
        <v>147</v>
      </c>
      <c r="P32" s="145"/>
      <c r="Q32" s="145"/>
      <c r="R32" s="145"/>
      <c r="S32" s="145"/>
      <c r="T32" s="145"/>
      <c r="U32" s="145"/>
      <c r="V32" s="145"/>
    </row>
    <row r="33" spans="1:24" ht="20.100000000000001" customHeight="1" x14ac:dyDescent="0.2">
      <c r="A33" s="5" t="s">
        <v>25</v>
      </c>
      <c r="B33" s="21">
        <f>'Ячейка 24'!D36+'Ячейка 2'!D36+'Ячейка 3'!D36+'Ячейка 4'!D36+'Ячейка 36'!D36+'Ячейка 37'!D36</f>
        <v>11374.200000005658</v>
      </c>
      <c r="C33" s="21"/>
      <c r="D33" s="225">
        <f>'Ячейка 24'!H36+'Ячейка 2'!H36+'Ячейка 3'!H36+'Ячейка 4'!H36+'Ячейка 36'!H36+'Ячейка 37'!H36</f>
        <v>6456.5999999958876</v>
      </c>
      <c r="E33" s="225"/>
      <c r="F33" s="221">
        <f t="shared" si="0"/>
        <v>0.5676531096686076</v>
      </c>
      <c r="G33" s="221"/>
      <c r="H33" s="120"/>
      <c r="I33" s="120"/>
      <c r="J33" s="120"/>
      <c r="K33" s="120"/>
      <c r="L33" s="120"/>
      <c r="N33" s="17" t="s">
        <v>148</v>
      </c>
      <c r="O33" s="145" t="s">
        <v>149</v>
      </c>
      <c r="P33" s="145"/>
      <c r="Q33" s="145"/>
      <c r="R33" s="145"/>
      <c r="S33" s="145"/>
      <c r="T33" s="145"/>
      <c r="U33" s="145"/>
      <c r="V33" s="145"/>
    </row>
    <row r="34" spans="1:24" ht="20.100000000000001" customHeight="1" x14ac:dyDescent="0.2">
      <c r="A34" s="5" t="s">
        <v>26</v>
      </c>
      <c r="B34" s="21">
        <f>'Ячейка 24'!D37+'Ячейка 2'!D37+'Ячейка 3'!D37+'Ячейка 4'!D37+'Ячейка 36'!D37+'Ячейка 37'!D37</f>
        <v>11233.799999999974</v>
      </c>
      <c r="C34" s="21"/>
      <c r="D34" s="225">
        <f>'Ячейка 24'!H37+'Ячейка 2'!H37+'Ячейка 3'!H37+'Ячейка 4'!H37+'Ячейка 36'!H37+'Ячейка 37'!H37</f>
        <v>6084.0000000116561</v>
      </c>
      <c r="E34" s="225"/>
      <c r="F34" s="221">
        <f t="shared" si="0"/>
        <v>0.54157987502106775</v>
      </c>
      <c r="G34" s="221"/>
      <c r="H34" s="120"/>
      <c r="I34" s="120"/>
      <c r="J34" s="120"/>
      <c r="K34" s="120"/>
      <c r="L34" s="120"/>
    </row>
    <row r="35" spans="1:24" ht="20.100000000000001" customHeight="1" x14ac:dyDescent="0.2">
      <c r="A35" s="5" t="s">
        <v>27</v>
      </c>
      <c r="B35" s="21">
        <f>'Ячейка 24'!D38+'Ячейка 2'!D38+'Ячейка 3'!D38+'Ячейка 4'!D38+'Ячейка 36'!D38+'Ячейка 37'!D38</f>
        <v>11413.800000003903</v>
      </c>
      <c r="C35" s="21"/>
      <c r="D35" s="225">
        <f>'Ячейка 24'!H38+'Ячейка 2'!H38+'Ячейка 3'!H38+'Ячейка 4'!H38+'Ячейка 36'!H38+'Ячейка 37'!H38</f>
        <v>6020.9999999906358</v>
      </c>
      <c r="E35" s="225"/>
      <c r="F35" s="221">
        <f t="shared" si="0"/>
        <v>0.52751931871844404</v>
      </c>
      <c r="G35" s="221"/>
      <c r="H35" s="120"/>
      <c r="I35" s="120"/>
      <c r="J35" s="120"/>
      <c r="K35" s="120"/>
      <c r="L35" s="120"/>
    </row>
    <row r="36" spans="1:24" ht="20.100000000000001" customHeight="1" x14ac:dyDescent="0.2">
      <c r="A36" s="5" t="s">
        <v>28</v>
      </c>
      <c r="B36" s="21">
        <f>'Ячейка 24'!D39+'Ячейка 2'!D39+'Ячейка 3'!D39+'Ячейка 4'!D39+'Ячейка 36'!D39+'Ячейка 37'!D39</f>
        <v>11071.800000016083</v>
      </c>
      <c r="C36" s="21"/>
      <c r="D36" s="225">
        <f>'Ячейка 24'!H39+'Ячейка 2'!H39+'Ячейка 3'!H39+'Ячейка 4'!H39+'Ячейка 36'!H39+'Ячейка 37'!H39</f>
        <v>6071.4000000107262</v>
      </c>
      <c r="E36" s="225"/>
      <c r="F36" s="221">
        <f t="shared" si="0"/>
        <v>0.5483661193303625</v>
      </c>
      <c r="G36" s="221"/>
      <c r="H36" s="120"/>
      <c r="I36" s="120"/>
      <c r="J36" s="120"/>
      <c r="K36" s="120"/>
      <c r="L36" s="120"/>
    </row>
    <row r="37" spans="1:24" ht="20.100000000000001" customHeight="1" x14ac:dyDescent="0.2">
      <c r="A37" s="5" t="s">
        <v>29</v>
      </c>
      <c r="B37" s="21">
        <f>'Ячейка 24'!D40+'Ячейка 2'!D40+'Ячейка 3'!D40+'Ячейка 4'!D40+'Ячейка 36'!D40+'Ячейка 37'!D40</f>
        <v>11129.400000001624</v>
      </c>
      <c r="C37" s="21"/>
      <c r="D37" s="225">
        <f>'Ячейка 24'!H40+'Ячейка 2'!H40+'Ячейка 3'!H40+'Ячейка 4'!H40+'Ячейка 36'!H40+'Ячейка 37'!H40</f>
        <v>6213.6000000036802</v>
      </c>
      <c r="E37" s="225"/>
      <c r="F37" s="221">
        <f t="shared" si="0"/>
        <v>0.55830502992099962</v>
      </c>
      <c r="G37" s="221"/>
      <c r="H37" s="120"/>
      <c r="I37" s="120"/>
      <c r="J37" s="120"/>
      <c r="K37" s="120"/>
      <c r="L37" s="120"/>
    </row>
    <row r="38" spans="1:24" ht="20.100000000000001" customHeight="1" x14ac:dyDescent="0.2">
      <c r="A38" s="5" t="s">
        <v>30</v>
      </c>
      <c r="B38" s="21">
        <f>'Ячейка 24'!D41+'Ячейка 2'!D41+'Ячейка 3'!D41+'Ячейка 4'!D41+'Ячейка 36'!D41+'Ячейка 37'!D41</f>
        <v>11204.999999974461</v>
      </c>
      <c r="C38" s="21"/>
      <c r="D38" s="225">
        <f>'Ячейка 24'!H41+'Ячейка 2'!H41+'Ячейка 3'!H41+'Ячейка 4'!H41+'Ячейка 36'!H41+'Ячейка 37'!H41</f>
        <v>6424.1999999712789</v>
      </c>
      <c r="E38" s="225"/>
      <c r="F38" s="221">
        <f t="shared" si="0"/>
        <v>0.57333333333207681</v>
      </c>
      <c r="G38" s="221"/>
      <c r="H38" s="120"/>
      <c r="I38" s="120"/>
      <c r="J38" s="120"/>
      <c r="K38" s="120"/>
      <c r="L38" s="120"/>
    </row>
    <row r="39" spans="1:24" ht="20.100000000000001" customHeight="1" x14ac:dyDescent="0.2">
      <c r="A39" s="5" t="s">
        <v>31</v>
      </c>
      <c r="B39" s="21">
        <f>'Ячейка 24'!D42+'Ячейка 2'!D42+'Ячейка 3'!D42+'Ячейка 4'!D42+'Ячейка 36'!D42+'Ячейка 37'!D42</f>
        <v>10812.599999982922</v>
      </c>
      <c r="C39" s="21"/>
      <c r="D39" s="225">
        <f>'Ячейка 24'!H42+'Ячейка 2'!H42+'Ячейка 3'!H42+'Ячейка 4'!H42+'Ячейка 36'!H42+'Ячейка 37'!H42</f>
        <v>6337.8000000175234</v>
      </c>
      <c r="E39" s="225"/>
      <c r="F39" s="221">
        <f t="shared" si="0"/>
        <v>0.58614949226157753</v>
      </c>
      <c r="G39" s="221"/>
      <c r="H39" s="120"/>
      <c r="I39" s="120"/>
      <c r="J39" s="120"/>
      <c r="K39" s="120"/>
      <c r="L39" s="120"/>
      <c r="P39" s="177" t="s">
        <v>150</v>
      </c>
      <c r="Q39" s="177"/>
      <c r="R39" s="177"/>
      <c r="S39" s="176" t="s">
        <v>364</v>
      </c>
      <c r="T39" s="176"/>
      <c r="U39" s="176"/>
      <c r="V39" s="176"/>
      <c r="W39" s="176"/>
      <c r="X39" s="176"/>
    </row>
    <row r="40" spans="1:24" ht="20.100000000000001" customHeight="1" x14ac:dyDescent="0.2">
      <c r="A40" s="5" t="s">
        <v>32</v>
      </c>
      <c r="B40" s="21">
        <f>SUM(B15:B39)</f>
        <v>270212.39999995485</v>
      </c>
      <c r="C40" s="21"/>
      <c r="D40" s="225">
        <f>SUM(D15:E39)</f>
        <v>155104.19999999157</v>
      </c>
      <c r="E40" s="225"/>
      <c r="F40" s="221">
        <f t="shared" si="0"/>
        <v>0.57400844668866968</v>
      </c>
      <c r="G40" s="221"/>
      <c r="H40" s="120"/>
      <c r="I40" s="120"/>
      <c r="J40" s="120"/>
      <c r="K40" s="120"/>
      <c r="L40" s="120"/>
    </row>
    <row r="41" spans="1:24" ht="20.100000000000001" customHeight="1" x14ac:dyDescent="0.2">
      <c r="A41" s="5" t="s">
        <v>33</v>
      </c>
      <c r="B41" s="5"/>
      <c r="C41" s="5"/>
      <c r="D41" s="219"/>
      <c r="E41" s="219"/>
      <c r="F41" s="221"/>
      <c r="G41" s="221"/>
      <c r="H41" s="120"/>
      <c r="I41" s="120"/>
      <c r="J41" s="120"/>
      <c r="K41" s="120"/>
      <c r="L41" s="120"/>
    </row>
    <row r="42" spans="1:24" ht="20.100000000000001" customHeight="1" x14ac:dyDescent="0.2">
      <c r="A42" s="129" t="s">
        <v>2</v>
      </c>
      <c r="B42" s="128" t="s">
        <v>37</v>
      </c>
      <c r="C42" s="132"/>
      <c r="D42" s="129"/>
      <c r="E42" s="128" t="s">
        <v>40</v>
      </c>
      <c r="F42" s="132"/>
      <c r="G42" s="132"/>
      <c r="H42" s="132"/>
      <c r="I42" s="129"/>
      <c r="J42" s="124" t="s">
        <v>5</v>
      </c>
      <c r="K42" s="131"/>
      <c r="L42" s="131"/>
    </row>
    <row r="43" spans="1:24" ht="39" customHeight="1" x14ac:dyDescent="0.2">
      <c r="A43" s="129"/>
      <c r="B43" s="219" t="s">
        <v>38</v>
      </c>
      <c r="C43" s="219"/>
      <c r="D43" s="5" t="s">
        <v>39</v>
      </c>
      <c r="E43" s="128" t="s">
        <v>41</v>
      </c>
      <c r="F43" s="132"/>
      <c r="G43" s="129"/>
      <c r="H43" s="128" t="s">
        <v>42</v>
      </c>
      <c r="I43" s="129"/>
      <c r="J43" s="127"/>
      <c r="K43" s="130"/>
      <c r="L43" s="130"/>
    </row>
    <row r="44" spans="1:24" ht="20.100000000000001" customHeight="1" x14ac:dyDescent="0.2">
      <c r="A44" s="4" t="s">
        <v>153</v>
      </c>
      <c r="B44" s="226">
        <f>SUM(B24:B26)</f>
        <v>36361.799999962386</v>
      </c>
      <c r="C44" s="227"/>
      <c r="D44" s="21">
        <f>SUM(D24:E26)</f>
        <v>20260.800000005474</v>
      </c>
      <c r="E44" s="226">
        <f>B44/3</f>
        <v>12120.599999987462</v>
      </c>
      <c r="F44" s="231"/>
      <c r="G44" s="227"/>
      <c r="H44" s="226">
        <f>D44/3</f>
        <v>6753.6000000018248</v>
      </c>
      <c r="I44" s="227"/>
      <c r="J44" s="228">
        <f>H44/E44</f>
        <v>0.55720013860772655</v>
      </c>
      <c r="K44" s="229"/>
      <c r="L44" s="229"/>
    </row>
    <row r="45" spans="1:24" ht="20.100000000000001" customHeight="1" x14ac:dyDescent="0.2">
      <c r="A45" s="4" t="s">
        <v>43</v>
      </c>
      <c r="B45" s="226">
        <f>SUM(B33:B36)</f>
        <v>45093.600000025617</v>
      </c>
      <c r="C45" s="227"/>
      <c r="D45" s="21">
        <f>SUM(D33:E36)</f>
        <v>24633.000000008906</v>
      </c>
      <c r="E45" s="226">
        <f>B45/4</f>
        <v>11273.400000006404</v>
      </c>
      <c r="F45" s="231"/>
      <c r="G45" s="227"/>
      <c r="H45" s="226">
        <f>D45/4</f>
        <v>6158.2500000022264</v>
      </c>
      <c r="I45" s="227"/>
      <c r="J45" s="228">
        <f>H45/E45</f>
        <v>0.54626377135546755</v>
      </c>
      <c r="K45" s="229"/>
      <c r="L45" s="229"/>
    </row>
    <row r="46" spans="1:24" ht="20.100000000000001" customHeight="1" x14ac:dyDescent="0.2">
      <c r="A46" s="4" t="s">
        <v>44</v>
      </c>
      <c r="B46" s="226">
        <f>SUM(B16:B39)</f>
        <v>270212.39999995485</v>
      </c>
      <c r="C46" s="227"/>
      <c r="D46" s="21">
        <f>SUM(D16:E39)</f>
        <v>155104.19999999157</v>
      </c>
      <c r="E46" s="226">
        <f>B46/24</f>
        <v>11258.84999999812</v>
      </c>
      <c r="F46" s="231"/>
      <c r="G46" s="227"/>
      <c r="H46" s="226">
        <f>D46/24</f>
        <v>6462.6749999996491</v>
      </c>
      <c r="I46" s="227"/>
      <c r="J46" s="228">
        <f>H46/E46</f>
        <v>0.57400844668866968</v>
      </c>
      <c r="K46" s="229"/>
      <c r="L46" s="229"/>
    </row>
    <row r="47" spans="1:24" ht="20.100000000000001" customHeight="1" x14ac:dyDescent="0.2"/>
    <row r="48" spans="1:24" ht="20.100000000000001" customHeight="1" x14ac:dyDescent="0.2"/>
    <row r="49" spans="3:9" ht="20.100000000000001" customHeight="1" x14ac:dyDescent="0.2"/>
    <row r="50" spans="3:9" ht="20.100000000000001" customHeight="1" x14ac:dyDescent="0.2">
      <c r="C50" s="122" t="s">
        <v>186</v>
      </c>
      <c r="D50" s="122"/>
      <c r="E50" s="122"/>
      <c r="F50" s="122"/>
      <c r="G50" s="122"/>
      <c r="H50" s="122"/>
      <c r="I50" s="122"/>
    </row>
    <row r="51" spans="3:9" ht="20.100000000000001" customHeight="1" x14ac:dyDescent="0.2"/>
  </sheetData>
  <sheetProtection sheet="1" objects="1" scenarios="1"/>
  <mergeCells count="173">
    <mergeCell ref="F1:H2"/>
    <mergeCell ref="I1:L2"/>
    <mergeCell ref="M1:M3"/>
    <mergeCell ref="N1:Q3"/>
    <mergeCell ref="F5:H6"/>
    <mergeCell ref="I5:L6"/>
    <mergeCell ref="F3:H4"/>
    <mergeCell ref="I3:L4"/>
    <mergeCell ref="R1:T1"/>
    <mergeCell ref="U1:W1"/>
    <mergeCell ref="R2:R3"/>
    <mergeCell ref="U2:U3"/>
    <mergeCell ref="S2:T2"/>
    <mergeCell ref="S3:T3"/>
    <mergeCell ref="V2:W2"/>
    <mergeCell ref="V3:W3"/>
    <mergeCell ref="N8:Q8"/>
    <mergeCell ref="N9:Q9"/>
    <mergeCell ref="N4:Q4"/>
    <mergeCell ref="N5:Q5"/>
    <mergeCell ref="N6:Q6"/>
    <mergeCell ref="N7:Q7"/>
    <mergeCell ref="W14:W18"/>
    <mergeCell ref="N19:Q19"/>
    <mergeCell ref="M14:M18"/>
    <mergeCell ref="N14:Q18"/>
    <mergeCell ref="R14:T14"/>
    <mergeCell ref="T15:T18"/>
    <mergeCell ref="S15:S18"/>
    <mergeCell ref="R15:R18"/>
    <mergeCell ref="N21:Q21"/>
    <mergeCell ref="N24:V24"/>
    <mergeCell ref="O25:V25"/>
    <mergeCell ref="U14:U18"/>
    <mergeCell ref="V14:V18"/>
    <mergeCell ref="O30:V30"/>
    <mergeCell ref="O31:V31"/>
    <mergeCell ref="O32:V32"/>
    <mergeCell ref="N10:Q10"/>
    <mergeCell ref="N11:Q11"/>
    <mergeCell ref="O33:V33"/>
    <mergeCell ref="O26:V26"/>
    <mergeCell ref="O27:V27"/>
    <mergeCell ref="O28:V28"/>
    <mergeCell ref="O29:V29"/>
    <mergeCell ref="P39:R39"/>
    <mergeCell ref="C50:I50"/>
    <mergeCell ref="A10:B10"/>
    <mergeCell ref="C10:H10"/>
    <mergeCell ref="A11:L11"/>
    <mergeCell ref="H13:L13"/>
    <mergeCell ref="A12:A13"/>
    <mergeCell ref="B13:C13"/>
    <mergeCell ref="D13:E13"/>
    <mergeCell ref="D20:E20"/>
    <mergeCell ref="D27:E27"/>
    <mergeCell ref="B12:E12"/>
    <mergeCell ref="D16:E16"/>
    <mergeCell ref="D17:E17"/>
    <mergeCell ref="D18:E18"/>
    <mergeCell ref="D19:E19"/>
    <mergeCell ref="D23:E23"/>
    <mergeCell ref="D24:E24"/>
    <mergeCell ref="N20:Q20"/>
    <mergeCell ref="D35:E35"/>
    <mergeCell ref="D36:E36"/>
    <mergeCell ref="F38:G38"/>
    <mergeCell ref="A7:L7"/>
    <mergeCell ref="F12:G13"/>
    <mergeCell ref="H12:L12"/>
    <mergeCell ref="F9:H9"/>
    <mergeCell ref="A9:E9"/>
    <mergeCell ref="A8:L8"/>
    <mergeCell ref="D14:E14"/>
    <mergeCell ref="D15:E15"/>
    <mergeCell ref="F14:G14"/>
    <mergeCell ref="F15:G15"/>
    <mergeCell ref="H14:L14"/>
    <mergeCell ref="H15:L15"/>
    <mergeCell ref="H16:L16"/>
    <mergeCell ref="H17:L17"/>
    <mergeCell ref="H18:L18"/>
    <mergeCell ref="H21:L21"/>
    <mergeCell ref="H22:L22"/>
    <mergeCell ref="H23:L23"/>
    <mergeCell ref="H37:L37"/>
    <mergeCell ref="F32:G32"/>
    <mergeCell ref="H25:L25"/>
    <mergeCell ref="A42:A43"/>
    <mergeCell ref="B43:C43"/>
    <mergeCell ref="D26:E26"/>
    <mergeCell ref="D40:E40"/>
    <mergeCell ref="D33:E33"/>
    <mergeCell ref="D34:E34"/>
    <mergeCell ref="D28:E28"/>
    <mergeCell ref="D39:E39"/>
    <mergeCell ref="F21:G21"/>
    <mergeCell ref="F22:G22"/>
    <mergeCell ref="D37:E37"/>
    <mergeCell ref="D25:E25"/>
    <mergeCell ref="F24:G24"/>
    <mergeCell ref="F25:G25"/>
    <mergeCell ref="F26:G26"/>
    <mergeCell ref="D21:E21"/>
    <mergeCell ref="D22:E22"/>
    <mergeCell ref="D29:E29"/>
    <mergeCell ref="D30:E30"/>
    <mergeCell ref="D31:E31"/>
    <mergeCell ref="D32:E32"/>
    <mergeCell ref="F36:G36"/>
    <mergeCell ref="F37:G37"/>
    <mergeCell ref="F31:G31"/>
    <mergeCell ref="H26:L26"/>
    <mergeCell ref="H27:L27"/>
    <mergeCell ref="H20:L20"/>
    <mergeCell ref="F33:G33"/>
    <mergeCell ref="F34:G34"/>
    <mergeCell ref="F27:G27"/>
    <mergeCell ref="F28:G28"/>
    <mergeCell ref="F29:G29"/>
    <mergeCell ref="F30:G30"/>
    <mergeCell ref="H28:L28"/>
    <mergeCell ref="H24:L24"/>
    <mergeCell ref="H33:L33"/>
    <mergeCell ref="H34:L34"/>
    <mergeCell ref="A1:E1"/>
    <mergeCell ref="A2:E2"/>
    <mergeCell ref="A3:E3"/>
    <mergeCell ref="A4:E4"/>
    <mergeCell ref="A5:E5"/>
    <mergeCell ref="A6:E6"/>
    <mergeCell ref="B46:C46"/>
    <mergeCell ref="E46:G46"/>
    <mergeCell ref="B44:C44"/>
    <mergeCell ref="B45:C45"/>
    <mergeCell ref="D41:E41"/>
    <mergeCell ref="E45:G45"/>
    <mergeCell ref="F41:G41"/>
    <mergeCell ref="B42:D42"/>
    <mergeCell ref="F40:G40"/>
    <mergeCell ref="D38:E38"/>
    <mergeCell ref="F23:G23"/>
    <mergeCell ref="F39:G39"/>
    <mergeCell ref="F16:G16"/>
    <mergeCell ref="F17:G17"/>
    <mergeCell ref="F18:G18"/>
    <mergeCell ref="F19:G19"/>
    <mergeCell ref="F20:G20"/>
    <mergeCell ref="F35:G35"/>
    <mergeCell ref="I9:M9"/>
    <mergeCell ref="S39:X39"/>
    <mergeCell ref="H46:I46"/>
    <mergeCell ref="E42:I42"/>
    <mergeCell ref="E43:G43"/>
    <mergeCell ref="H43:I43"/>
    <mergeCell ref="E44:G44"/>
    <mergeCell ref="H44:I44"/>
    <mergeCell ref="J46:L46"/>
    <mergeCell ref="J42:L43"/>
    <mergeCell ref="J44:L44"/>
    <mergeCell ref="J45:L45"/>
    <mergeCell ref="H45:I45"/>
    <mergeCell ref="H41:L41"/>
    <mergeCell ref="H40:L40"/>
    <mergeCell ref="H35:L35"/>
    <mergeCell ref="H36:L36"/>
    <mergeCell ref="H19:L19"/>
    <mergeCell ref="H38:L38"/>
    <mergeCell ref="H39:L39"/>
    <mergeCell ref="H29:L29"/>
    <mergeCell ref="H30:L30"/>
    <mergeCell ref="H31:L31"/>
    <mergeCell ref="H32:L32"/>
  </mergeCells>
  <phoneticPr fontId="0" type="noConversion"/>
  <printOptions horizontalCentered="1"/>
  <pageMargins left="0.39370078740157483" right="0.39370078740157483" top="0.19685039370078741" bottom="0.19685039370078741" header="0" footer="0"/>
  <pageSetup paperSize="9" scale="73" orientation="portrait" horizontalDpi="180" verticalDpi="180" r:id="rId1"/>
  <headerFooter alignWithMargins="0"/>
  <rowBreaks count="1" manualBreakCount="1">
    <brk id="50" max="22" man="1"/>
  </rowBreaks>
  <colBreaks count="1" manualBreakCount="1">
    <brk id="12" max="49" man="1"/>
  </colBreak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4"/>
  <dimension ref="A1:X51"/>
  <sheetViews>
    <sheetView view="pageBreakPreview" topLeftCell="A3" zoomScale="75" zoomScaleNormal="100" workbookViewId="0">
      <selection activeCell="F9" sqref="F9:H9"/>
    </sheetView>
  </sheetViews>
  <sheetFormatPr defaultRowHeight="18.75" x14ac:dyDescent="0.2"/>
  <cols>
    <col min="1" max="1" width="15" style="2" customWidth="1"/>
    <col min="2" max="2" width="15.7109375" style="2" customWidth="1"/>
    <col min="3" max="3" width="6.28515625" style="2" customWidth="1"/>
    <col min="4" max="4" width="22.7109375" style="2" customWidth="1"/>
    <col min="5" max="5" width="3.42578125" style="2" customWidth="1"/>
    <col min="6" max="8" width="9.140625" style="2"/>
    <col min="9" max="9" width="9.7109375" style="2" customWidth="1"/>
    <col min="10" max="10" width="9.42578125" style="2" customWidth="1"/>
    <col min="11" max="11" width="10.28515625" style="2" customWidth="1"/>
    <col min="12" max="12" width="12.5703125" style="2" customWidth="1"/>
    <col min="13" max="13" width="8.42578125" style="2" customWidth="1"/>
    <col min="14" max="18" width="10.7109375" style="2" customWidth="1"/>
    <col min="19" max="19" width="13.85546875" style="2" customWidth="1"/>
    <col min="20" max="20" width="14" style="2" customWidth="1"/>
    <col min="21" max="21" width="12.42578125" style="2" customWidth="1"/>
    <col min="22" max="22" width="13.140625" style="2" customWidth="1"/>
    <col min="23" max="23" width="13.28515625" style="2" customWidth="1"/>
    <col min="24" max="28" width="10.28515625" style="2" customWidth="1"/>
    <col min="29" max="16384" width="9.140625" style="2"/>
  </cols>
  <sheetData>
    <row r="1" spans="1:23" ht="26.25" x14ac:dyDescent="0.2">
      <c r="A1" s="115" t="s">
        <v>161</v>
      </c>
      <c r="B1" s="115"/>
      <c r="C1" s="115"/>
      <c r="D1" s="115"/>
      <c r="E1" s="115"/>
      <c r="F1" s="150" t="s">
        <v>154</v>
      </c>
      <c r="G1" s="150"/>
      <c r="H1" s="150"/>
      <c r="I1" s="115" t="s">
        <v>163</v>
      </c>
      <c r="J1" s="115"/>
      <c r="K1" s="115"/>
      <c r="L1" s="115"/>
      <c r="M1" s="123" t="s">
        <v>115</v>
      </c>
      <c r="N1" s="121" t="s">
        <v>116</v>
      </c>
      <c r="O1" s="121"/>
      <c r="P1" s="121"/>
      <c r="Q1" s="121"/>
      <c r="R1" s="219" t="s">
        <v>117</v>
      </c>
      <c r="S1" s="219"/>
      <c r="T1" s="219"/>
      <c r="U1" s="219" t="s">
        <v>118</v>
      </c>
      <c r="V1" s="219"/>
      <c r="W1" s="128"/>
    </row>
    <row r="2" spans="1:23" ht="18.75" customHeight="1" x14ac:dyDescent="0.2">
      <c r="A2" s="146" t="s">
        <v>45</v>
      </c>
      <c r="B2" s="146"/>
      <c r="C2" s="146"/>
      <c r="D2" s="146"/>
      <c r="E2" s="146"/>
      <c r="F2" s="150"/>
      <c r="G2" s="150"/>
      <c r="H2" s="150"/>
      <c r="I2" s="115"/>
      <c r="J2" s="115"/>
      <c r="K2" s="115"/>
      <c r="L2" s="115"/>
      <c r="M2" s="116"/>
      <c r="N2" s="118"/>
      <c r="O2" s="118"/>
      <c r="P2" s="118"/>
      <c r="Q2" s="118"/>
      <c r="R2" s="118" t="s">
        <v>119</v>
      </c>
      <c r="S2" s="118" t="s">
        <v>120</v>
      </c>
      <c r="T2" s="118"/>
      <c r="U2" s="118" t="s">
        <v>119</v>
      </c>
      <c r="V2" s="118" t="s">
        <v>120</v>
      </c>
      <c r="W2" s="125"/>
    </row>
    <row r="3" spans="1:23" ht="21.75" customHeight="1" x14ac:dyDescent="0.2">
      <c r="A3" s="115" t="s">
        <v>173</v>
      </c>
      <c r="B3" s="115"/>
      <c r="C3" s="115"/>
      <c r="D3" s="115"/>
      <c r="E3" s="115"/>
      <c r="F3" s="150" t="s">
        <v>155</v>
      </c>
      <c r="G3" s="150"/>
      <c r="H3" s="150"/>
      <c r="I3" s="115" t="s">
        <v>226</v>
      </c>
      <c r="J3" s="115"/>
      <c r="K3" s="115"/>
      <c r="L3" s="115"/>
      <c r="M3" s="117"/>
      <c r="N3" s="119"/>
      <c r="O3" s="119"/>
      <c r="P3" s="119"/>
      <c r="Q3" s="119"/>
      <c r="R3" s="119"/>
      <c r="S3" s="119" t="s">
        <v>121</v>
      </c>
      <c r="T3" s="119"/>
      <c r="U3" s="119"/>
      <c r="V3" s="119" t="s">
        <v>121</v>
      </c>
      <c r="W3" s="127"/>
    </row>
    <row r="4" spans="1:23" ht="29.25" customHeight="1" x14ac:dyDescent="0.2">
      <c r="A4" s="146" t="s">
        <v>46</v>
      </c>
      <c r="B4" s="146"/>
      <c r="C4" s="146"/>
      <c r="D4" s="146"/>
      <c r="E4" s="146"/>
      <c r="F4" s="150"/>
      <c r="G4" s="150"/>
      <c r="H4" s="150"/>
      <c r="I4" s="115"/>
      <c r="J4" s="115"/>
      <c r="K4" s="115"/>
      <c r="L4" s="115"/>
      <c r="M4" s="9"/>
      <c r="N4" s="216" t="s">
        <v>122</v>
      </c>
      <c r="O4" s="216"/>
      <c r="P4" s="216"/>
      <c r="Q4" s="216"/>
      <c r="R4" s="7"/>
      <c r="S4" s="111"/>
      <c r="T4" s="113"/>
      <c r="U4" s="7"/>
      <c r="V4" s="111"/>
      <c r="W4" s="112"/>
    </row>
    <row r="5" spans="1:23" ht="36.75" customHeight="1" x14ac:dyDescent="0.2">
      <c r="A5" s="234" t="s">
        <v>159</v>
      </c>
      <c r="B5" s="234"/>
      <c r="C5" s="234"/>
      <c r="D5" s="234"/>
      <c r="E5" s="234"/>
      <c r="F5" s="150" t="s">
        <v>156</v>
      </c>
      <c r="G5" s="150"/>
      <c r="H5" s="150"/>
      <c r="I5" s="233" t="s">
        <v>406</v>
      </c>
      <c r="J5" s="233"/>
      <c r="K5" s="233"/>
      <c r="L5" s="233"/>
      <c r="M5" s="9"/>
      <c r="N5" s="217" t="s">
        <v>123</v>
      </c>
      <c r="O5" s="217"/>
      <c r="P5" s="217"/>
      <c r="Q5" s="217"/>
      <c r="R5" s="7"/>
      <c r="S5" s="111"/>
      <c r="T5" s="113"/>
      <c r="U5" s="7"/>
      <c r="V5" s="111"/>
      <c r="W5" s="112"/>
    </row>
    <row r="6" spans="1:23" ht="34.5" customHeight="1" x14ac:dyDescent="0.2">
      <c r="A6" s="146" t="s">
        <v>47</v>
      </c>
      <c r="B6" s="146"/>
      <c r="C6" s="146"/>
      <c r="D6" s="146"/>
      <c r="E6" s="146"/>
      <c r="F6" s="150"/>
      <c r="G6" s="150"/>
      <c r="H6" s="150"/>
      <c r="I6" s="233"/>
      <c r="J6" s="233"/>
      <c r="K6" s="233"/>
      <c r="L6" s="233"/>
      <c r="M6" s="9"/>
      <c r="N6" s="217" t="s">
        <v>124</v>
      </c>
      <c r="O6" s="217"/>
      <c r="P6" s="217"/>
      <c r="Q6" s="217"/>
      <c r="R6" s="7"/>
      <c r="S6" s="111"/>
      <c r="T6" s="113"/>
      <c r="U6" s="7"/>
      <c r="V6" s="111"/>
      <c r="W6" s="112"/>
    </row>
    <row r="7" spans="1:23" x14ac:dyDescent="0.2">
      <c r="A7" s="122"/>
      <c r="B7" s="122"/>
      <c r="C7" s="122"/>
      <c r="D7" s="122"/>
      <c r="E7" s="122"/>
      <c r="F7" s="122"/>
      <c r="G7" s="122"/>
      <c r="H7" s="122"/>
      <c r="I7" s="122"/>
      <c r="J7" s="122"/>
      <c r="K7" s="122"/>
      <c r="L7" s="122"/>
      <c r="M7" s="9"/>
      <c r="N7" s="218" t="s">
        <v>125</v>
      </c>
      <c r="O7" s="218"/>
      <c r="P7" s="218"/>
      <c r="Q7" s="218"/>
      <c r="R7" s="7"/>
      <c r="S7" s="111"/>
      <c r="T7" s="113"/>
      <c r="U7" s="7"/>
      <c r="V7" s="111"/>
      <c r="W7" s="112"/>
    </row>
    <row r="8" spans="1:23" ht="22.5" x14ac:dyDescent="0.2">
      <c r="A8" s="143" t="s">
        <v>0</v>
      </c>
      <c r="B8" s="143"/>
      <c r="C8" s="143"/>
      <c r="D8" s="143"/>
      <c r="E8" s="143"/>
      <c r="F8" s="143"/>
      <c r="G8" s="143"/>
      <c r="H8" s="143"/>
      <c r="I8" s="143"/>
      <c r="J8" s="143"/>
      <c r="K8" s="143"/>
      <c r="L8" s="143"/>
      <c r="M8" s="9"/>
      <c r="N8" s="217" t="s">
        <v>126</v>
      </c>
      <c r="O8" s="217"/>
      <c r="P8" s="217"/>
      <c r="Q8" s="217"/>
      <c r="R8" s="7"/>
      <c r="S8" s="111"/>
      <c r="T8" s="113"/>
      <c r="U8" s="7"/>
      <c r="V8" s="111"/>
      <c r="W8" s="112"/>
    </row>
    <row r="9" spans="1:23" ht="18.75" customHeight="1" x14ac:dyDescent="0.2">
      <c r="A9" s="220" t="s">
        <v>152</v>
      </c>
      <c r="B9" s="220"/>
      <c r="C9" s="220"/>
      <c r="D9" s="220"/>
      <c r="E9" s="220"/>
      <c r="F9" s="162" t="s">
        <v>407</v>
      </c>
      <c r="G9" s="163"/>
      <c r="H9" s="163"/>
      <c r="I9" s="138" t="s">
        <v>369</v>
      </c>
      <c r="J9" s="138"/>
      <c r="K9" s="138"/>
      <c r="L9" s="138"/>
      <c r="M9" s="138"/>
      <c r="N9" s="217" t="s">
        <v>127</v>
      </c>
      <c r="O9" s="217"/>
      <c r="P9" s="217"/>
      <c r="Q9" s="217"/>
      <c r="R9" s="7"/>
      <c r="S9" s="111"/>
      <c r="T9" s="113"/>
      <c r="U9" s="7"/>
      <c r="V9" s="111"/>
      <c r="W9" s="112"/>
    </row>
    <row r="10" spans="1:23" ht="19.5" customHeight="1" x14ac:dyDescent="0.2">
      <c r="A10" s="220" t="s">
        <v>151</v>
      </c>
      <c r="B10" s="220"/>
      <c r="C10" s="163" t="s">
        <v>185</v>
      </c>
      <c r="D10" s="163"/>
      <c r="E10" s="163"/>
      <c r="F10" s="163"/>
      <c r="G10" s="163"/>
      <c r="H10" s="163"/>
      <c r="I10" s="3"/>
      <c r="J10" s="3"/>
      <c r="K10" s="3"/>
      <c r="L10" s="3"/>
      <c r="M10" s="9"/>
      <c r="N10" s="218" t="s">
        <v>128</v>
      </c>
      <c r="O10" s="218"/>
      <c r="P10" s="218"/>
      <c r="Q10" s="218"/>
      <c r="R10" s="7"/>
      <c r="S10" s="111"/>
      <c r="T10" s="113"/>
      <c r="U10" s="7"/>
      <c r="V10" s="111"/>
      <c r="W10" s="112"/>
    </row>
    <row r="11" spans="1:23" x14ac:dyDescent="0.2">
      <c r="A11" s="215" t="s">
        <v>1</v>
      </c>
      <c r="B11" s="215"/>
      <c r="C11" s="215"/>
      <c r="D11" s="215"/>
      <c r="E11" s="215"/>
      <c r="F11" s="215"/>
      <c r="G11" s="215"/>
      <c r="H11" s="215"/>
      <c r="I11" s="215"/>
      <c r="J11" s="215"/>
      <c r="K11" s="215"/>
      <c r="L11" s="215"/>
      <c r="M11" s="9"/>
      <c r="N11" s="223" t="s">
        <v>129</v>
      </c>
      <c r="O11" s="223"/>
      <c r="P11" s="223"/>
      <c r="Q11" s="223"/>
      <c r="R11" s="7"/>
      <c r="S11" s="111"/>
      <c r="T11" s="113"/>
      <c r="U11" s="7"/>
      <c r="V11" s="111"/>
      <c r="W11" s="112"/>
    </row>
    <row r="12" spans="1:23" ht="20.100000000000001" customHeight="1" x14ac:dyDescent="0.2">
      <c r="A12" s="129" t="s">
        <v>2</v>
      </c>
      <c r="B12" s="219" t="s">
        <v>36</v>
      </c>
      <c r="C12" s="219"/>
      <c r="D12" s="219"/>
      <c r="E12" s="219"/>
      <c r="F12" s="219" t="s">
        <v>5</v>
      </c>
      <c r="G12" s="219"/>
      <c r="H12" s="124" t="s">
        <v>34</v>
      </c>
      <c r="I12" s="131"/>
      <c r="J12" s="131"/>
      <c r="K12" s="131"/>
      <c r="L12" s="131"/>
      <c r="N12" s="1"/>
      <c r="O12" s="1"/>
      <c r="P12" s="1"/>
      <c r="Q12" s="1"/>
    </row>
    <row r="13" spans="1:23" ht="20.100000000000001" customHeight="1" x14ac:dyDescent="0.2">
      <c r="A13" s="129"/>
      <c r="B13" s="219" t="s">
        <v>3</v>
      </c>
      <c r="C13" s="219"/>
      <c r="D13" s="219" t="s">
        <v>4</v>
      </c>
      <c r="E13" s="219"/>
      <c r="F13" s="219"/>
      <c r="G13" s="219"/>
      <c r="H13" s="127" t="s">
        <v>35</v>
      </c>
      <c r="I13" s="130"/>
      <c r="J13" s="130"/>
      <c r="K13" s="130"/>
      <c r="L13" s="130"/>
    </row>
    <row r="14" spans="1:23" ht="20.100000000000001" customHeight="1" x14ac:dyDescent="0.2">
      <c r="A14" s="5" t="s">
        <v>6</v>
      </c>
      <c r="B14" s="7"/>
      <c r="C14" s="5"/>
      <c r="D14" s="120"/>
      <c r="E14" s="120"/>
      <c r="F14" s="221" t="str">
        <f t="shared" ref="F14:F40" si="0">IF(OR(B14="",D14=""),"",IF(ISERROR(D14/B14),IF(D14=0,0,""),D14/B14))</f>
        <v/>
      </c>
      <c r="G14" s="221"/>
      <c r="H14" s="120"/>
      <c r="I14" s="120"/>
      <c r="J14" s="120"/>
      <c r="K14" s="120"/>
      <c r="L14" s="120"/>
      <c r="M14" s="129" t="s">
        <v>115</v>
      </c>
      <c r="N14" s="219" t="s">
        <v>116</v>
      </c>
      <c r="O14" s="219"/>
      <c r="P14" s="219"/>
      <c r="Q14" s="219"/>
      <c r="R14" s="219" t="s">
        <v>117</v>
      </c>
      <c r="S14" s="219"/>
      <c r="T14" s="219"/>
      <c r="U14" s="219" t="s">
        <v>130</v>
      </c>
      <c r="V14" s="219" t="s">
        <v>69</v>
      </c>
      <c r="W14" s="128" t="s">
        <v>131</v>
      </c>
    </row>
    <row r="15" spans="1:23" ht="20.100000000000001" customHeight="1" x14ac:dyDescent="0.2">
      <c r="A15" s="5" t="s">
        <v>7</v>
      </c>
      <c r="B15" s="5"/>
      <c r="C15" s="5"/>
      <c r="D15" s="219"/>
      <c r="E15" s="219"/>
      <c r="F15" s="221" t="str">
        <f t="shared" si="0"/>
        <v/>
      </c>
      <c r="G15" s="221"/>
      <c r="H15" s="120"/>
      <c r="I15" s="120"/>
      <c r="J15" s="120"/>
      <c r="K15" s="120"/>
      <c r="L15" s="120"/>
      <c r="M15" s="129"/>
      <c r="N15" s="219"/>
      <c r="O15" s="219"/>
      <c r="P15" s="219"/>
      <c r="Q15" s="219"/>
      <c r="R15" s="224" t="s">
        <v>130</v>
      </c>
      <c r="S15" s="219" t="s">
        <v>69</v>
      </c>
      <c r="T15" s="219" t="s">
        <v>131</v>
      </c>
      <c r="U15" s="219"/>
      <c r="V15" s="219"/>
      <c r="W15" s="128"/>
    </row>
    <row r="16" spans="1:23" ht="20.100000000000001" customHeight="1" x14ac:dyDescent="0.2">
      <c r="A16" s="5" t="s">
        <v>8</v>
      </c>
      <c r="B16" s="21">
        <f>Энергосеть!B16+РЖД!B16+БОС_Эксплуатация!B16+'Пластик Геосинтетика'!B16+УЗСК!B16+Добрыня!B16+Тихомирова!D19+Мегафон!D19+Академия!D19</f>
        <v>3872.986499978118</v>
      </c>
      <c r="C16" s="21"/>
      <c r="D16" s="225">
        <f>Энергосеть!D16+РЖД!D16+БОС_Эксплуатация!D16+'Пластик Геосинтетика'!D16:E16+УЗСК!D16+Добрыня!D16+Тихомирова!H19+Мегафон!H19+Академия!H19</f>
        <v>2467.0875000050428</v>
      </c>
      <c r="E16" s="225"/>
      <c r="F16" s="221">
        <f t="shared" si="0"/>
        <v>0.6369987347022722</v>
      </c>
      <c r="G16" s="221"/>
      <c r="H16" s="120"/>
      <c r="I16" s="120"/>
      <c r="J16" s="120"/>
      <c r="K16" s="120"/>
      <c r="L16" s="120"/>
      <c r="M16" s="129"/>
      <c r="N16" s="219"/>
      <c r="O16" s="219"/>
      <c r="P16" s="219"/>
      <c r="Q16" s="219"/>
      <c r="R16" s="224"/>
      <c r="S16" s="219"/>
      <c r="T16" s="219"/>
      <c r="U16" s="219"/>
      <c r="V16" s="219"/>
      <c r="W16" s="128"/>
    </row>
    <row r="17" spans="1:23" ht="20.100000000000001" customHeight="1" x14ac:dyDescent="0.2">
      <c r="A17" s="5" t="s">
        <v>9</v>
      </c>
      <c r="B17" s="107">
        <f>Энергосеть!B17+РЖД!B17+БОС_Эксплуатация!B17+'Пластик Геосинтетика'!B17+УЗСК!B17+Добрыня!B17+Тихомирова!D20+Мегафон!D20+Академия!D20</f>
        <v>3672.3899999957321</v>
      </c>
      <c r="C17" s="21"/>
      <c r="D17" s="225">
        <f>Энергосеть!D17+РЖД!D17+БОС_Эксплуатация!D17+'Пластик Геосинтетика'!D17:E17+УЗСК!D17+Добрыня!D17+Тихомирова!H20+Мегафон!H20+Академия!H20</f>
        <v>2392.2104999968274</v>
      </c>
      <c r="E17" s="225"/>
      <c r="F17" s="221">
        <f t="shared" si="0"/>
        <v>0.65140426261905937</v>
      </c>
      <c r="G17" s="221"/>
      <c r="H17" s="120"/>
      <c r="I17" s="120"/>
      <c r="J17" s="120"/>
      <c r="K17" s="120"/>
      <c r="L17" s="120"/>
      <c r="M17" s="129"/>
      <c r="N17" s="219"/>
      <c r="O17" s="219"/>
      <c r="P17" s="219"/>
      <c r="Q17" s="219"/>
      <c r="R17" s="224"/>
      <c r="S17" s="219"/>
      <c r="T17" s="219"/>
      <c r="U17" s="219"/>
      <c r="V17" s="219"/>
      <c r="W17" s="128"/>
    </row>
    <row r="18" spans="1:23" ht="20.100000000000001" customHeight="1" x14ac:dyDescent="0.2">
      <c r="A18" s="5" t="s">
        <v>10</v>
      </c>
      <c r="B18" s="107">
        <f>Энергосеть!B18+РЖД!B18+БОС_Эксплуатация!B18+'Пластик Геосинтетика'!B18+УЗСК!B18+Добрыня!B18+Тихомирова!D21+Мегафон!D21+Академия!D21</f>
        <v>3597.9740000157385</v>
      </c>
      <c r="C18" s="21"/>
      <c r="D18" s="225">
        <f>Энергосеть!D18+РЖД!D18+БОС_Эксплуатация!D18+'Пластик Геосинтетика'!D18:E18+УЗСК!D18+Добрыня!D18+Тихомирова!H21+Мегафон!H21+Академия!H21</f>
        <v>2372.5920000099222</v>
      </c>
      <c r="E18" s="225"/>
      <c r="F18" s="221">
        <f t="shared" si="0"/>
        <v>0.65942444275571299</v>
      </c>
      <c r="G18" s="221"/>
      <c r="H18" s="120"/>
      <c r="I18" s="120"/>
      <c r="J18" s="120"/>
      <c r="K18" s="120"/>
      <c r="L18" s="120"/>
      <c r="M18" s="129"/>
      <c r="N18" s="219"/>
      <c r="O18" s="219"/>
      <c r="P18" s="219"/>
      <c r="Q18" s="219"/>
      <c r="R18" s="224"/>
      <c r="S18" s="219"/>
      <c r="T18" s="219"/>
      <c r="U18" s="219"/>
      <c r="V18" s="219"/>
      <c r="W18" s="128"/>
    </row>
    <row r="19" spans="1:23" ht="20.100000000000001" customHeight="1" x14ac:dyDescent="0.2">
      <c r="A19" s="5" t="s">
        <v>11</v>
      </c>
      <c r="B19" s="107">
        <f>Энергосеть!B19+РЖД!B19+БОС_Эксплуатация!B19+'Пластик Геосинтетика'!B19+УЗСК!B19+Добрыня!B19+Тихомирова!D22+Мегафон!D22+Академия!D22</f>
        <v>3860.7555000012499</v>
      </c>
      <c r="C19" s="21"/>
      <c r="D19" s="225">
        <f>Энергосеть!D19+РЖД!D19+БОС_Эксплуатация!D19+'Пластик Геосинтетика'!D19:E19+УЗСК!D19+Добрыня!D19+Тихомирова!H22+Мегафон!H22+Академия!H22</f>
        <v>2533.4564999966092</v>
      </c>
      <c r="E19" s="225"/>
      <c r="F19" s="221">
        <f t="shared" si="0"/>
        <v>0.65620744437087219</v>
      </c>
      <c r="G19" s="221"/>
      <c r="H19" s="120"/>
      <c r="I19" s="120"/>
      <c r="J19" s="120"/>
      <c r="K19" s="120"/>
      <c r="L19" s="120"/>
      <c r="M19" s="9"/>
      <c r="N19" s="216" t="s">
        <v>132</v>
      </c>
      <c r="O19" s="216"/>
      <c r="P19" s="216"/>
      <c r="Q19" s="216"/>
      <c r="R19" s="7"/>
      <c r="S19" s="7"/>
      <c r="T19" s="7"/>
      <c r="U19" s="7"/>
      <c r="V19" s="7"/>
      <c r="W19" s="8"/>
    </row>
    <row r="20" spans="1:23" ht="20.100000000000001" customHeight="1" x14ac:dyDescent="0.2">
      <c r="A20" s="5" t="s">
        <v>12</v>
      </c>
      <c r="B20" s="107">
        <f>Энергосеть!B20+РЖД!B20+БОС_Эксплуатация!B20+'Пластик Геосинтетика'!B20+УЗСК!B20+Добрыня!B20+Тихомирова!D23+Мегафон!D23+Академия!D23</f>
        <v>3868.9890000044743</v>
      </c>
      <c r="C20" s="21"/>
      <c r="D20" s="225">
        <f>Энергосеть!D20+РЖД!D20+БОС_Эксплуатация!D20+'Пластик Геосинтетика'!D20:E20+УЗСК!D20+Добрыня!D20+Тихомирова!H23+Мегафон!H23+Академия!H23</f>
        <v>2548.0864999932087</v>
      </c>
      <c r="E20" s="225"/>
      <c r="F20" s="221">
        <f t="shared" si="0"/>
        <v>0.65859233510104631</v>
      </c>
      <c r="G20" s="221"/>
      <c r="H20" s="120"/>
      <c r="I20" s="120"/>
      <c r="J20" s="120"/>
      <c r="K20" s="120"/>
      <c r="L20" s="120"/>
      <c r="M20" s="9"/>
      <c r="N20" s="217" t="s">
        <v>133</v>
      </c>
      <c r="O20" s="217"/>
      <c r="P20" s="217"/>
      <c r="Q20" s="217"/>
      <c r="R20" s="7"/>
      <c r="S20" s="7"/>
      <c r="T20" s="7"/>
      <c r="U20" s="7"/>
      <c r="V20" s="7"/>
      <c r="W20" s="8"/>
    </row>
    <row r="21" spans="1:23" ht="20.100000000000001" customHeight="1" x14ac:dyDescent="0.2">
      <c r="A21" s="5" t="s">
        <v>13</v>
      </c>
      <c r="B21" s="107">
        <f>Энергосеть!B21+РЖД!B21+БОС_Эксплуатация!B21+'Пластик Геосинтетика'!B21+УЗСК!B21+Добрыня!B21+Тихомирова!D24+Мегафон!D24+Академия!D24</f>
        <v>3912.4559999822941</v>
      </c>
      <c r="C21" s="21"/>
      <c r="D21" s="225">
        <f>Энергосеть!D21+РЖД!D21+БОС_Эксплуатация!D21+'Пластик Геосинтетика'!D21:E21+УЗСК!D21+Добрыня!D21+Тихомирова!H24+Мегафон!H24+Академия!H24</f>
        <v>2514.7530000045708</v>
      </c>
      <c r="E21" s="225"/>
      <c r="F21" s="221">
        <f t="shared" si="0"/>
        <v>0.64275559904467972</v>
      </c>
      <c r="G21" s="221"/>
      <c r="H21" s="120"/>
      <c r="I21" s="120"/>
      <c r="J21" s="120"/>
      <c r="K21" s="120"/>
      <c r="L21" s="120"/>
      <c r="M21" s="9"/>
      <c r="N21" s="222" t="s">
        <v>134</v>
      </c>
      <c r="O21" s="222"/>
      <c r="P21" s="222"/>
      <c r="Q21" s="222"/>
      <c r="R21" s="7"/>
      <c r="S21" s="7"/>
      <c r="T21" s="7"/>
      <c r="U21" s="7"/>
      <c r="V21" s="7"/>
      <c r="W21" s="8"/>
    </row>
    <row r="22" spans="1:23" ht="20.100000000000001" customHeight="1" x14ac:dyDescent="0.2">
      <c r="A22" s="5" t="s">
        <v>14</v>
      </c>
      <c r="B22" s="107">
        <f>Энергосеть!B22+РЖД!B22+БОС_Эксплуатация!B22+'Пластик Геосинтетика'!B22+УЗСК!B22+Добрыня!B22+Тихомирова!D25+Мегафон!D25+Академия!D25</f>
        <v>4002.0545000053553</v>
      </c>
      <c r="C22" s="21"/>
      <c r="D22" s="225">
        <f>Энергосеть!D22+РЖД!D22+БОС_Эксплуатация!D22+'Пластик Геосинтетика'!D22:E22+УЗСК!D22+Добрыня!D22+Тихомирова!H25+Мегафон!H25+Академия!H25</f>
        <v>2494.412499998477</v>
      </c>
      <c r="E22" s="225"/>
      <c r="F22" s="221">
        <f t="shared" si="0"/>
        <v>0.62328299127239251</v>
      </c>
      <c r="G22" s="221"/>
      <c r="H22" s="120"/>
      <c r="I22" s="120"/>
      <c r="J22" s="120"/>
      <c r="K22" s="120"/>
      <c r="L22" s="120"/>
    </row>
    <row r="23" spans="1:23" ht="20.100000000000001" customHeight="1" x14ac:dyDescent="0.2">
      <c r="A23" s="5" t="s">
        <v>15</v>
      </c>
      <c r="B23" s="107">
        <f>Энергосеть!B23+РЖД!B23+БОС_Эксплуатация!B23+'Пластик Геосинтетика'!B23+УЗСК!B23+Добрыня!B23+Тихомирова!D26+Мегафон!D26+Академия!D26</f>
        <v>4222.8919999939271</v>
      </c>
      <c r="C23" s="21"/>
      <c r="D23" s="225">
        <f>Энергосеть!D23+РЖД!D23+БОС_Эксплуатация!D23+'Пластик Геосинтетика'!D23:E23+УЗСК!D23+Добрыня!D23+Тихомирова!H26+Мегафон!H26+Академия!H26</f>
        <v>2543.9530000016152</v>
      </c>
      <c r="E23" s="225"/>
      <c r="F23" s="221">
        <f t="shared" si="0"/>
        <v>0.60241962143603811</v>
      </c>
      <c r="G23" s="221"/>
      <c r="H23" s="120"/>
      <c r="I23" s="120"/>
      <c r="J23" s="120"/>
      <c r="K23" s="120"/>
      <c r="L23" s="120"/>
    </row>
    <row r="24" spans="1:23" ht="20.100000000000001" customHeight="1" x14ac:dyDescent="0.2">
      <c r="A24" s="5" t="s">
        <v>16</v>
      </c>
      <c r="B24" s="107">
        <f>Энергосеть!B24+РЖД!B24+БОС_Эксплуатация!B24+'Пластик Геосинтетика'!B24+УЗСК!B24+Добрыня!B24+Тихомирова!D27+Мегафон!D27+Академия!D27</f>
        <v>4660.7740000068279</v>
      </c>
      <c r="C24" s="21"/>
      <c r="D24" s="225">
        <f>Энергосеть!D24+РЖД!D24+БОС_Эксплуатация!D24+'Пластик Геосинтетика'!D24:E24+УЗСК!D24+Добрыня!D24+Тихомирова!H27+Мегафон!H27+Академия!H27</f>
        <v>2815.3899999978257</v>
      </c>
      <c r="E24" s="225"/>
      <c r="F24" s="221">
        <f t="shared" si="0"/>
        <v>0.60406061310711512</v>
      </c>
      <c r="G24" s="221"/>
      <c r="H24" s="120"/>
      <c r="I24" s="120"/>
      <c r="J24" s="120"/>
      <c r="K24" s="120"/>
      <c r="L24" s="120"/>
      <c r="N24" s="145" t="s">
        <v>135</v>
      </c>
      <c r="O24" s="145"/>
      <c r="P24" s="145"/>
      <c r="Q24" s="145"/>
      <c r="R24" s="145"/>
      <c r="S24" s="145"/>
      <c r="T24" s="145"/>
      <c r="U24" s="145"/>
      <c r="V24" s="145"/>
    </row>
    <row r="25" spans="1:23" ht="20.100000000000001" customHeight="1" x14ac:dyDescent="0.2">
      <c r="A25" s="5" t="s">
        <v>17</v>
      </c>
      <c r="B25" s="107">
        <f>Энергосеть!B25+РЖД!B25+БОС_Эксплуатация!B25+'Пластик Геосинтетика'!B25+УЗСК!B25+Добрыня!B25+Тихомирова!D28+Мегафон!D28+Академия!D28</f>
        <v>4944.572000002926</v>
      </c>
      <c r="C25" s="21"/>
      <c r="D25" s="225">
        <f>Энергосеть!D25+РЖД!D25+БОС_Эксплуатация!D25+'Пластик Геосинтетика'!D25:E25+УЗСК!D25+Добрыня!D25+Тихомирова!H28+Мегафон!H28+Академия!H28</f>
        <v>2940.4304999966917</v>
      </c>
      <c r="E25" s="225"/>
      <c r="F25" s="221">
        <f t="shared" si="0"/>
        <v>0.5946784676196345</v>
      </c>
      <c r="G25" s="221"/>
      <c r="H25" s="120"/>
      <c r="I25" s="120"/>
      <c r="J25" s="120"/>
      <c r="K25" s="120"/>
      <c r="L25" s="120"/>
      <c r="N25" s="17" t="s">
        <v>136</v>
      </c>
      <c r="O25" s="145" t="s">
        <v>137</v>
      </c>
      <c r="P25" s="145"/>
      <c r="Q25" s="145"/>
      <c r="R25" s="145"/>
      <c r="S25" s="145"/>
      <c r="T25" s="145"/>
      <c r="U25" s="145"/>
      <c r="V25" s="145"/>
    </row>
    <row r="26" spans="1:23" ht="20.100000000000001" customHeight="1" x14ac:dyDescent="0.2">
      <c r="A26" s="5" t="s">
        <v>18</v>
      </c>
      <c r="B26" s="107">
        <f>Энергосеть!B26+РЖД!B26+БОС_Эксплуатация!B26+'Пластик Геосинтетика'!B26+УЗСК!B26+Добрыня!B26+Тихомирова!D29+Мегафон!D29+Академия!D29</f>
        <v>4625.3704999999654</v>
      </c>
      <c r="C26" s="21"/>
      <c r="D26" s="225">
        <f>Энергосеть!D26+РЖД!D26+БОС_Эксплуатация!D26+'Пластик Геосинтетика'!D26:E26+УЗСК!D26+Добрыня!D26+Тихомирова!H29+Мегафон!H29+Академия!H29</f>
        <v>2742.8789999993141</v>
      </c>
      <c r="E26" s="225"/>
      <c r="F26" s="221">
        <f t="shared" si="0"/>
        <v>0.59300741421672809</v>
      </c>
      <c r="G26" s="221"/>
      <c r="H26" s="120"/>
      <c r="I26" s="120"/>
      <c r="J26" s="120"/>
      <c r="K26" s="120"/>
      <c r="L26" s="120"/>
      <c r="N26" s="17" t="s">
        <v>138</v>
      </c>
      <c r="O26" s="145" t="s">
        <v>180</v>
      </c>
      <c r="P26" s="145"/>
      <c r="Q26" s="145"/>
      <c r="R26" s="145"/>
      <c r="S26" s="145"/>
      <c r="T26" s="145"/>
      <c r="U26" s="145"/>
      <c r="V26" s="145"/>
    </row>
    <row r="27" spans="1:23" ht="20.100000000000001" customHeight="1" x14ac:dyDescent="0.2">
      <c r="A27" s="5" t="s">
        <v>19</v>
      </c>
      <c r="B27" s="107">
        <f>Энергосеть!B27+РЖД!B27+БОС_Эксплуатация!B27+'Пластик Геосинтетика'!B27+УЗСК!B27+Добрыня!B27+Тихомирова!D30+Мегафон!D30+Академия!D30</f>
        <v>4601.3674999994246</v>
      </c>
      <c r="C27" s="21"/>
      <c r="D27" s="225">
        <f>Энергосеть!D27+РЖД!D27+БОС_Эксплуатация!D27+'Пластик Геосинтетика'!D27:E27+УЗСК!D27+Добрыня!D27+Тихомирова!H30+Мегафон!H30+Академия!H30</f>
        <v>2775.5309999996898</v>
      </c>
      <c r="E27" s="225"/>
      <c r="F27" s="221">
        <f t="shared" si="0"/>
        <v>0.60319698437476188</v>
      </c>
      <c r="G27" s="221"/>
      <c r="H27" s="120"/>
      <c r="I27" s="120"/>
      <c r="J27" s="120"/>
      <c r="K27" s="120"/>
      <c r="L27" s="120"/>
      <c r="N27" s="17" t="s">
        <v>139</v>
      </c>
      <c r="O27" s="145" t="s">
        <v>140</v>
      </c>
      <c r="P27" s="145"/>
      <c r="Q27" s="145"/>
      <c r="R27" s="145"/>
      <c r="S27" s="145"/>
      <c r="T27" s="145"/>
      <c r="U27" s="145"/>
      <c r="V27" s="145"/>
    </row>
    <row r="28" spans="1:23" ht="20.100000000000001" customHeight="1" x14ac:dyDescent="0.2">
      <c r="A28" s="5" t="s">
        <v>20</v>
      </c>
      <c r="B28" s="107">
        <f>Энергосеть!B28+РЖД!B28+БОС_Эксплуатация!B28+'Пластик Геосинтетика'!B28+УЗСК!B28+Добрыня!B28+Тихомирова!D31+Мегафон!D31+Академия!D31</f>
        <v>4531.5145000136217</v>
      </c>
      <c r="C28" s="21"/>
      <c r="D28" s="225">
        <f>Энергосеть!D28+РЖД!D28+БОС_Эксплуатация!D28+'Пластик Геосинтетика'!D28:E28+УЗСК!D28+Добрыня!D28+Тихомирова!H31+Мегафон!H31+Академия!H31</f>
        <v>2766.2610000086133</v>
      </c>
      <c r="E28" s="225"/>
      <c r="F28" s="221">
        <f t="shared" si="0"/>
        <v>0.6104495527930669</v>
      </c>
      <c r="G28" s="221"/>
      <c r="H28" s="120"/>
      <c r="I28" s="120"/>
      <c r="J28" s="120"/>
      <c r="K28" s="120"/>
      <c r="L28" s="120"/>
      <c r="N28" s="17"/>
      <c r="O28" s="145" t="s">
        <v>141</v>
      </c>
      <c r="P28" s="145"/>
      <c r="Q28" s="145"/>
      <c r="R28" s="145"/>
      <c r="S28" s="145"/>
      <c r="T28" s="145"/>
      <c r="U28" s="145"/>
      <c r="V28" s="145"/>
    </row>
    <row r="29" spans="1:23" ht="20.100000000000001" customHeight="1" x14ac:dyDescent="0.2">
      <c r="A29" s="5" t="s">
        <v>21</v>
      </c>
      <c r="B29" s="107">
        <f>Энергосеть!B29+РЖД!B29+БОС_Эксплуатация!B29+'Пластик Геосинтетика'!B29+УЗСК!B29+Добрыня!B29+Тихомирова!D32+Мегафон!D32+Академия!D32</f>
        <v>4627.6359999867345</v>
      </c>
      <c r="C29" s="21"/>
      <c r="D29" s="225">
        <f>Энергосеть!D29+РЖД!D29+БОС_Эксплуатация!D29+'Пластик Геосинтетика'!D29:E29+УЗСК!D29+Добрыня!D29+Тихомирова!H32+Мегафон!H32+Академия!H32</f>
        <v>2871.1679999985108</v>
      </c>
      <c r="E29" s="225"/>
      <c r="F29" s="221">
        <f t="shared" si="0"/>
        <v>0.62043946412525564</v>
      </c>
      <c r="G29" s="221"/>
      <c r="H29" s="120"/>
      <c r="I29" s="120"/>
      <c r="J29" s="120"/>
      <c r="K29" s="120"/>
      <c r="L29" s="120"/>
      <c r="N29" s="17"/>
      <c r="O29" s="145" t="s">
        <v>142</v>
      </c>
      <c r="P29" s="145"/>
      <c r="Q29" s="145"/>
      <c r="R29" s="145"/>
      <c r="S29" s="145"/>
      <c r="T29" s="145"/>
      <c r="U29" s="145"/>
      <c r="V29" s="145"/>
    </row>
    <row r="30" spans="1:23" ht="20.100000000000001" customHeight="1" x14ac:dyDescent="0.2">
      <c r="A30" s="5" t="s">
        <v>22</v>
      </c>
      <c r="B30" s="107">
        <f>Энергосеть!B30+РЖД!B30+БОС_Эксплуатация!B30+'Пластик Геосинтетика'!B30+УЗСК!B30+Добрыня!B30+Тихомирова!D33+Мегафон!D33+Академия!D33</f>
        <v>4704.4835000074554</v>
      </c>
      <c r="C30" s="21"/>
      <c r="D30" s="225">
        <f>Энергосеть!D30+РЖД!D30+БОС_Эксплуатация!D30+'Пластик Геосинтетика'!D30:E30+УЗСК!D30+Добрыня!D30+Тихомирова!H33+Мегафон!H33+Академия!H33</f>
        <v>3029.5584999991756</v>
      </c>
      <c r="E30" s="225"/>
      <c r="F30" s="221">
        <f t="shared" si="0"/>
        <v>0.64397260613080576</v>
      </c>
      <c r="G30" s="221"/>
      <c r="H30" s="120"/>
      <c r="I30" s="120"/>
      <c r="J30" s="120"/>
      <c r="K30" s="120"/>
      <c r="L30" s="120"/>
      <c r="N30" s="17" t="s">
        <v>143</v>
      </c>
      <c r="O30" s="145" t="s">
        <v>144</v>
      </c>
      <c r="P30" s="145"/>
      <c r="Q30" s="145"/>
      <c r="R30" s="145"/>
      <c r="S30" s="145"/>
      <c r="T30" s="145"/>
      <c r="U30" s="145"/>
      <c r="V30" s="145"/>
    </row>
    <row r="31" spans="1:23" ht="20.100000000000001" customHeight="1" x14ac:dyDescent="0.2">
      <c r="A31" s="5" t="s">
        <v>23</v>
      </c>
      <c r="B31" s="107">
        <f>Энергосеть!B31+РЖД!B31+БОС_Эксплуатация!B31+'Пластик Геосинтетика'!B31+УЗСК!B31+Добрыня!B31+Тихомирова!D34+Мегафон!D34+Академия!D34</f>
        <v>4470.5539999829907</v>
      </c>
      <c r="C31" s="21"/>
      <c r="D31" s="225">
        <f>Энергосеть!D31+РЖД!D31+БОС_Эксплуатация!D31+'Пластик Геосинтетика'!D31:E31+УЗСК!D31+Добрыня!D31+Тихомирова!H34+Мегафон!H34+Академия!H34</f>
        <v>2799.5504999947134</v>
      </c>
      <c r="E31" s="225"/>
      <c r="F31" s="221">
        <f t="shared" si="0"/>
        <v>0.62622003894939304</v>
      </c>
      <c r="G31" s="221"/>
      <c r="H31" s="120"/>
      <c r="I31" s="120"/>
      <c r="J31" s="120"/>
      <c r="K31" s="120"/>
      <c r="L31" s="120"/>
      <c r="N31" s="17"/>
      <c r="O31" s="145" t="s">
        <v>145</v>
      </c>
      <c r="P31" s="145"/>
      <c r="Q31" s="145"/>
      <c r="R31" s="145"/>
      <c r="S31" s="145"/>
      <c r="T31" s="145"/>
      <c r="U31" s="145"/>
      <c r="V31" s="145"/>
    </row>
    <row r="32" spans="1:23" ht="20.100000000000001" customHeight="1" x14ac:dyDescent="0.2">
      <c r="A32" s="5" t="s">
        <v>24</v>
      </c>
      <c r="B32" s="107">
        <f>Энергосеть!B32+РЖД!B32+БОС_Эксплуатация!B32+'Пластик Геосинтетика'!B32+УЗСК!B32+Добрыня!B32+Тихомирова!D35+Мегафон!D35+Академия!D35</f>
        <v>4288.25550000774</v>
      </c>
      <c r="C32" s="21"/>
      <c r="D32" s="225">
        <f>Энергосеть!D32+РЖД!D32+БОС_Эксплуатация!D32+'Пластик Геосинтетика'!D32:E32+УЗСК!D32+Добрыня!D32+Тихомирова!H35+Мегафон!H35+Академия!H35</f>
        <v>2578.40600001025</v>
      </c>
      <c r="E32" s="225"/>
      <c r="F32" s="221">
        <f t="shared" si="0"/>
        <v>0.60127154270672445</v>
      </c>
      <c r="G32" s="221"/>
      <c r="H32" s="120"/>
      <c r="I32" s="120"/>
      <c r="J32" s="120"/>
      <c r="K32" s="120"/>
      <c r="L32" s="120"/>
      <c r="N32" s="17" t="s">
        <v>146</v>
      </c>
      <c r="O32" s="145" t="s">
        <v>147</v>
      </c>
      <c r="P32" s="145"/>
      <c r="Q32" s="145"/>
      <c r="R32" s="145"/>
      <c r="S32" s="145"/>
      <c r="T32" s="145"/>
      <c r="U32" s="145"/>
      <c r="V32" s="145"/>
    </row>
    <row r="33" spans="1:24" ht="20.100000000000001" customHeight="1" x14ac:dyDescent="0.2">
      <c r="A33" s="5" t="s">
        <v>25</v>
      </c>
      <c r="B33" s="107">
        <f>Энергосеть!B33+РЖД!B33+БОС_Эксплуатация!B33+'Пластик Геосинтетика'!B33+УЗСК!B33+Добрыня!B33+Тихомирова!D36+Мегафон!D36+Академия!D36</f>
        <v>4310.5915000166542</v>
      </c>
      <c r="C33" s="21"/>
      <c r="D33" s="225">
        <f>Энергосеть!D33+РЖД!D33+БОС_Эксплуатация!D33+'Пластик Геосинтетика'!D33:E33+УЗСК!D33+Добрыня!D33+Тихомирова!H36+Мегафон!H36+Академия!H36</f>
        <v>2515.0589999957947</v>
      </c>
      <c r="E33" s="225"/>
      <c r="F33" s="221">
        <f t="shared" si="0"/>
        <v>0.58346029773085151</v>
      </c>
      <c r="G33" s="221"/>
      <c r="H33" s="120"/>
      <c r="I33" s="120"/>
      <c r="J33" s="120"/>
      <c r="K33" s="120"/>
      <c r="L33" s="120"/>
      <c r="N33" s="17" t="s">
        <v>148</v>
      </c>
      <c r="O33" s="145" t="s">
        <v>149</v>
      </c>
      <c r="P33" s="145"/>
      <c r="Q33" s="145"/>
      <c r="R33" s="145"/>
      <c r="S33" s="145"/>
      <c r="T33" s="145"/>
      <c r="U33" s="145"/>
      <c r="V33" s="145"/>
    </row>
    <row r="34" spans="1:24" ht="20.100000000000001" customHeight="1" x14ac:dyDescent="0.2">
      <c r="A34" s="5" t="s">
        <v>26</v>
      </c>
      <c r="B34" s="107">
        <f>Энергосеть!B34+РЖД!B34+БОС_Эксплуатация!B34+'Пластик Геосинтетика'!B34+УЗСК!B34+Добрыня!B34+Тихомирова!D37+Мегафон!D37+Академия!D37</f>
        <v>4404.9624999879388</v>
      </c>
      <c r="C34" s="21"/>
      <c r="D34" s="225">
        <f>Энергосеть!D34+РЖД!D34+БОС_Эксплуатация!D34+'Пластик Геосинтетика'!D34:E34+УЗСК!D34+Добрыня!D34+Тихомирова!H37+Мегафон!H37+Академия!H37</f>
        <v>2428.1924999956718</v>
      </c>
      <c r="E34" s="225"/>
      <c r="F34" s="221">
        <f t="shared" si="0"/>
        <v>0.55124022054723976</v>
      </c>
      <c r="G34" s="221"/>
      <c r="H34" s="120"/>
      <c r="I34" s="120"/>
      <c r="J34" s="120"/>
      <c r="K34" s="120"/>
      <c r="L34" s="120"/>
    </row>
    <row r="35" spans="1:24" ht="20.100000000000001" customHeight="1" x14ac:dyDescent="0.2">
      <c r="A35" s="5" t="s">
        <v>27</v>
      </c>
      <c r="B35" s="107">
        <f>Энергосеть!B35+РЖД!B35+БОС_Эксплуатация!B35+'Пластик Геосинтетика'!B35+УЗСК!B35+Добрыня!B35+Тихомирова!D38+Мегафон!D38+Академия!D38</f>
        <v>4401.4295000143584</v>
      </c>
      <c r="C35" s="21"/>
      <c r="D35" s="225">
        <f>Энергосеть!D35+РЖД!D35+БОС_Эксплуатация!D35+'Пластик Геосинтетика'!D35:E35+УЗСК!D35+Добрыня!D35+Тихомирова!H38+Мегафон!H38+Академия!H38</f>
        <v>2413.3574999985958</v>
      </c>
      <c r="E35" s="225"/>
      <c r="F35" s="221">
        <f t="shared" si="0"/>
        <v>0.54831220174961859</v>
      </c>
      <c r="G35" s="221"/>
      <c r="H35" s="120"/>
      <c r="I35" s="120"/>
      <c r="J35" s="120"/>
      <c r="K35" s="120"/>
      <c r="L35" s="120"/>
    </row>
    <row r="36" spans="1:24" ht="20.100000000000001" customHeight="1" x14ac:dyDescent="0.2">
      <c r="A36" s="5" t="s">
        <v>28</v>
      </c>
      <c r="B36" s="107">
        <f>Энергосеть!B36+РЖД!B36+БОС_Эксплуатация!B36+'Пластик Геосинтетика'!B36+УЗСК!B36+Добрыня!B36+Тихомирова!D39+Мегафон!D39+Академия!D39</f>
        <v>4208.8719999851946</v>
      </c>
      <c r="C36" s="21"/>
      <c r="D36" s="225">
        <f>Энергосеть!D36+РЖД!D36+БОС_Эксплуатация!D36+'Пластик Геосинтетика'!D36:E36+УЗСК!D36+Добрыня!D36+Тихомирова!H39+Мегафон!H39+Академия!H39</f>
        <v>2362.2900000026875</v>
      </c>
      <c r="E36" s="225"/>
      <c r="F36" s="221">
        <f t="shared" si="0"/>
        <v>0.56126439578371523</v>
      </c>
      <c r="G36" s="221"/>
      <c r="H36" s="120"/>
      <c r="I36" s="120"/>
      <c r="J36" s="120"/>
      <c r="K36" s="120"/>
      <c r="L36" s="120"/>
    </row>
    <row r="37" spans="1:24" ht="20.100000000000001" customHeight="1" x14ac:dyDescent="0.2">
      <c r="A37" s="5" t="s">
        <v>29</v>
      </c>
      <c r="B37" s="107">
        <f>Энергосеть!B37+РЖД!B37+БОС_Эксплуатация!B37+'Пластик Геосинтетика'!B37+УЗСК!B37+Добрыня!B37+Тихомирова!D40+Мегафон!D40+Академия!D40</f>
        <v>4167.0985000034425</v>
      </c>
      <c r="C37" s="21"/>
      <c r="D37" s="225">
        <f>Энергосеть!D37+РЖД!D37+БОС_Эксплуатация!D37+'Пластик Геосинтетика'!D37:E37+УЗСК!D37+Добрыня!D37+Тихомирова!H40+Мегафон!H40+Академия!H40</f>
        <v>2404.9135000031806</v>
      </c>
      <c r="E37" s="225"/>
      <c r="F37" s="221">
        <f t="shared" si="0"/>
        <v>0.57711942734283672</v>
      </c>
      <c r="G37" s="221"/>
      <c r="H37" s="120"/>
      <c r="I37" s="120"/>
      <c r="J37" s="120"/>
      <c r="K37" s="120"/>
      <c r="L37" s="120"/>
    </row>
    <row r="38" spans="1:24" ht="20.100000000000001" customHeight="1" x14ac:dyDescent="0.2">
      <c r="A38" s="5" t="s">
        <v>30</v>
      </c>
      <c r="B38" s="107">
        <f>Энергосеть!B38+РЖД!B38+БОС_Эксплуатация!B38+'Пластик Геосинтетика'!B38+УЗСК!B38+Добрыня!B38+Тихомирова!D41+Мегафон!D41+Академия!D41</f>
        <v>4204.6094999819352</v>
      </c>
      <c r="C38" s="21"/>
      <c r="D38" s="225">
        <f>Энергосеть!D38+РЖД!D38+БОС_Эксплуатация!D38+'Пластик Геосинтетика'!D38:E38+УЗСК!D38+Добрыня!D38+Тихомирова!H41+Мегафон!H41+Академия!H41</f>
        <v>2503.0239999955088</v>
      </c>
      <c r="E38" s="225"/>
      <c r="F38" s="221">
        <f t="shared" si="0"/>
        <v>0.59530474827835089</v>
      </c>
      <c r="G38" s="221"/>
      <c r="H38" s="120"/>
      <c r="I38" s="120"/>
      <c r="J38" s="120"/>
      <c r="K38" s="120"/>
      <c r="L38" s="120"/>
    </row>
    <row r="39" spans="1:24" ht="20.100000000000001" customHeight="1" x14ac:dyDescent="0.2">
      <c r="A39" s="5" t="s">
        <v>31</v>
      </c>
      <c r="B39" s="107">
        <f>Энергосеть!B39+РЖД!B39+БОС_Эксплуатация!B39+'Пластик Геосинтетика'!B39+УЗСК!B39+Добрыня!B39+Тихомирова!D42+Мегафон!D42+Академия!D42</f>
        <v>3955.1215000123061</v>
      </c>
      <c r="C39" s="21"/>
      <c r="D39" s="225">
        <f>Энергосеть!D39+РЖД!D39+БОС_Эксплуатация!D39+'Пластик Геосинтетика'!D39:E39+УЗСК!D39+Добрыня!D39+Тихомирова!H42+Мегафон!H42+Академия!H42</f>
        <v>2452.0655000047054</v>
      </c>
      <c r="E39" s="225"/>
      <c r="F39" s="221">
        <f t="shared" si="0"/>
        <v>0.61997223094083864</v>
      </c>
      <c r="G39" s="221"/>
      <c r="H39" s="120"/>
      <c r="I39" s="120"/>
      <c r="J39" s="120"/>
      <c r="K39" s="120"/>
      <c r="L39" s="120"/>
      <c r="P39" s="177" t="s">
        <v>150</v>
      </c>
      <c r="Q39" s="177"/>
      <c r="R39" s="177"/>
      <c r="S39" s="176" t="s">
        <v>364</v>
      </c>
      <c r="T39" s="176"/>
      <c r="U39" s="176"/>
      <c r="V39" s="176"/>
      <c r="W39" s="176"/>
      <c r="X39" s="176"/>
    </row>
    <row r="40" spans="1:24" ht="20.100000000000001" customHeight="1" x14ac:dyDescent="0.2">
      <c r="A40" s="5" t="s">
        <v>32</v>
      </c>
      <c r="B40" s="21">
        <f>SUM(B15:B39)</f>
        <v>102117.7099999864</v>
      </c>
      <c r="C40" s="21"/>
      <c r="D40" s="225">
        <f>SUM(D15:E39)</f>
        <v>62264.628000007215</v>
      </c>
      <c r="E40" s="225"/>
      <c r="F40" s="221">
        <f t="shared" si="0"/>
        <v>0.60973388455357558</v>
      </c>
      <c r="G40" s="221"/>
      <c r="H40" s="120"/>
      <c r="I40" s="120"/>
      <c r="J40" s="120"/>
      <c r="K40" s="120"/>
      <c r="L40" s="120"/>
    </row>
    <row r="41" spans="1:24" ht="20.100000000000001" customHeight="1" x14ac:dyDescent="0.2">
      <c r="A41" s="5" t="s">
        <v>33</v>
      </c>
      <c r="B41" s="5"/>
      <c r="C41" s="5"/>
      <c r="D41" s="219"/>
      <c r="E41" s="219"/>
      <c r="F41" s="221"/>
      <c r="G41" s="221"/>
      <c r="H41" s="120"/>
      <c r="I41" s="120"/>
      <c r="J41" s="120"/>
      <c r="K41" s="120"/>
      <c r="L41" s="120"/>
    </row>
    <row r="42" spans="1:24" ht="20.100000000000001" customHeight="1" x14ac:dyDescent="0.2">
      <c r="A42" s="129" t="s">
        <v>2</v>
      </c>
      <c r="B42" s="128" t="s">
        <v>37</v>
      </c>
      <c r="C42" s="132"/>
      <c r="D42" s="129"/>
      <c r="E42" s="128" t="s">
        <v>40</v>
      </c>
      <c r="F42" s="132"/>
      <c r="G42" s="132"/>
      <c r="H42" s="132"/>
      <c r="I42" s="129"/>
      <c r="J42" s="124" t="s">
        <v>5</v>
      </c>
      <c r="K42" s="131"/>
      <c r="L42" s="131"/>
    </row>
    <row r="43" spans="1:24" ht="36" customHeight="1" x14ac:dyDescent="0.2">
      <c r="A43" s="129"/>
      <c r="B43" s="219" t="s">
        <v>38</v>
      </c>
      <c r="C43" s="219"/>
      <c r="D43" s="5" t="s">
        <v>39</v>
      </c>
      <c r="E43" s="128" t="s">
        <v>41</v>
      </c>
      <c r="F43" s="132"/>
      <c r="G43" s="129"/>
      <c r="H43" s="128" t="s">
        <v>42</v>
      </c>
      <c r="I43" s="129"/>
      <c r="J43" s="127"/>
      <c r="K43" s="130"/>
      <c r="L43" s="130"/>
    </row>
    <row r="44" spans="1:24" ht="20.100000000000001" customHeight="1" x14ac:dyDescent="0.2">
      <c r="A44" s="4" t="s">
        <v>153</v>
      </c>
      <c r="B44" s="226">
        <f>SUM(B24:B26)</f>
        <v>14230.716500009719</v>
      </c>
      <c r="C44" s="227"/>
      <c r="D44" s="21">
        <f>SUM(D24:E26)</f>
        <v>8498.6994999938324</v>
      </c>
      <c r="E44" s="226">
        <f>B44/3</f>
        <v>4743.5721666699064</v>
      </c>
      <c r="F44" s="231"/>
      <c r="G44" s="227"/>
      <c r="H44" s="226">
        <f>D44/3</f>
        <v>2832.8998333312775</v>
      </c>
      <c r="I44" s="227"/>
      <c r="J44" s="228">
        <f>H44/E44</f>
        <v>0.59720812370817933</v>
      </c>
      <c r="K44" s="229"/>
      <c r="L44" s="229"/>
    </row>
    <row r="45" spans="1:24" ht="20.100000000000001" customHeight="1" x14ac:dyDescent="0.2">
      <c r="A45" s="4" t="s">
        <v>43</v>
      </c>
      <c r="B45" s="226">
        <f>SUM(B33:B36)</f>
        <v>17325.855500004145</v>
      </c>
      <c r="C45" s="227"/>
      <c r="D45" s="21">
        <f>SUM(D33:E36)</f>
        <v>9718.8989999927508</v>
      </c>
      <c r="E45" s="226">
        <f>B45/4</f>
        <v>4331.4638750010363</v>
      </c>
      <c r="F45" s="231"/>
      <c r="G45" s="227"/>
      <c r="H45" s="226">
        <f>D45/4</f>
        <v>2429.7247499981877</v>
      </c>
      <c r="I45" s="227"/>
      <c r="J45" s="228">
        <f>H45/E45</f>
        <v>0.56094771193205584</v>
      </c>
      <c r="K45" s="229"/>
      <c r="L45" s="229"/>
    </row>
    <row r="46" spans="1:24" ht="20.100000000000001" customHeight="1" x14ac:dyDescent="0.2">
      <c r="A46" s="4" t="s">
        <v>44</v>
      </c>
      <c r="B46" s="226">
        <f>SUM(B16:B39)</f>
        <v>102117.7099999864</v>
      </c>
      <c r="C46" s="227"/>
      <c r="D46" s="21">
        <f>SUM(D16:E39)</f>
        <v>62264.628000007215</v>
      </c>
      <c r="E46" s="226">
        <f>B46/24</f>
        <v>4254.9045833327664</v>
      </c>
      <c r="F46" s="231"/>
      <c r="G46" s="227"/>
      <c r="H46" s="226">
        <f>D46/24</f>
        <v>2594.3595000003006</v>
      </c>
      <c r="I46" s="227"/>
      <c r="J46" s="228">
        <f>H46/E46</f>
        <v>0.60973388455357558</v>
      </c>
      <c r="K46" s="229"/>
      <c r="L46" s="229"/>
    </row>
    <row r="47" spans="1:24" ht="20.100000000000001" customHeight="1" x14ac:dyDescent="0.2"/>
    <row r="48" spans="1:24" ht="20.100000000000001" customHeight="1" x14ac:dyDescent="0.2"/>
    <row r="49" spans="3:9" ht="20.100000000000001" customHeight="1" x14ac:dyDescent="0.2"/>
    <row r="50" spans="3:9" ht="20.100000000000001" customHeight="1" x14ac:dyDescent="0.2">
      <c r="C50" s="122" t="s">
        <v>186</v>
      </c>
      <c r="D50" s="122"/>
      <c r="E50" s="122"/>
      <c r="F50" s="122"/>
      <c r="G50" s="122"/>
      <c r="H50" s="122"/>
      <c r="I50" s="122"/>
    </row>
    <row r="51" spans="3:9" ht="20.100000000000001" customHeight="1" x14ac:dyDescent="0.2"/>
  </sheetData>
  <sheetProtection sheet="1" objects="1" scenarios="1"/>
  <mergeCells count="189">
    <mergeCell ref="B45:C45"/>
    <mergeCell ref="J44:L44"/>
    <mergeCell ref="J45:L45"/>
    <mergeCell ref="D41:E41"/>
    <mergeCell ref="E45:G45"/>
    <mergeCell ref="F40:G40"/>
    <mergeCell ref="F29:G29"/>
    <mergeCell ref="F30:G30"/>
    <mergeCell ref="F31:G31"/>
    <mergeCell ref="F32:G32"/>
    <mergeCell ref="H45:I45"/>
    <mergeCell ref="F41:G41"/>
    <mergeCell ref="H35:L35"/>
    <mergeCell ref="H36:L36"/>
    <mergeCell ref="H37:L37"/>
    <mergeCell ref="H38:L38"/>
    <mergeCell ref="H39:L39"/>
    <mergeCell ref="H40:L40"/>
    <mergeCell ref="H29:L29"/>
    <mergeCell ref="H30:L30"/>
    <mergeCell ref="H31:L31"/>
    <mergeCell ref="H32:L32"/>
    <mergeCell ref="H33:L33"/>
    <mergeCell ref="H34:L34"/>
    <mergeCell ref="J46:L46"/>
    <mergeCell ref="J42:L43"/>
    <mergeCell ref="A1:E1"/>
    <mergeCell ref="A2:E2"/>
    <mergeCell ref="A3:E3"/>
    <mergeCell ref="A4:E4"/>
    <mergeCell ref="A5:E5"/>
    <mergeCell ref="A6:E6"/>
    <mergeCell ref="B46:C46"/>
    <mergeCell ref="E46:G46"/>
    <mergeCell ref="H46:I46"/>
    <mergeCell ref="E42:I42"/>
    <mergeCell ref="E43:G43"/>
    <mergeCell ref="H43:I43"/>
    <mergeCell ref="E44:G44"/>
    <mergeCell ref="H44:I44"/>
    <mergeCell ref="H41:L41"/>
    <mergeCell ref="B42:D42"/>
    <mergeCell ref="B44:C44"/>
    <mergeCell ref="H18:L18"/>
    <mergeCell ref="H19:L19"/>
    <mergeCell ref="H20:L20"/>
    <mergeCell ref="H21:L21"/>
    <mergeCell ref="H22:L22"/>
    <mergeCell ref="F18:G18"/>
    <mergeCell ref="F19:G19"/>
    <mergeCell ref="F20:G20"/>
    <mergeCell ref="F34:G34"/>
    <mergeCell ref="D30:E30"/>
    <mergeCell ref="D31:E31"/>
    <mergeCell ref="D32:E32"/>
    <mergeCell ref="D23:E23"/>
    <mergeCell ref="D24:E24"/>
    <mergeCell ref="F23:G23"/>
    <mergeCell ref="F24:G24"/>
    <mergeCell ref="F25:G25"/>
    <mergeCell ref="F26:G26"/>
    <mergeCell ref="F33:G33"/>
    <mergeCell ref="D25:E25"/>
    <mergeCell ref="D26:E26"/>
    <mergeCell ref="D14:E14"/>
    <mergeCell ref="D15:E15"/>
    <mergeCell ref="D16:E16"/>
    <mergeCell ref="D17:E17"/>
    <mergeCell ref="D18:E18"/>
    <mergeCell ref="D19:E19"/>
    <mergeCell ref="D20:E20"/>
    <mergeCell ref="C50:I50"/>
    <mergeCell ref="A10:B10"/>
    <mergeCell ref="C10:H10"/>
    <mergeCell ref="A11:L11"/>
    <mergeCell ref="H13:L13"/>
    <mergeCell ref="A12:A13"/>
    <mergeCell ref="B13:C13"/>
    <mergeCell ref="D13:E13"/>
    <mergeCell ref="B12:E12"/>
    <mergeCell ref="A42:A43"/>
    <mergeCell ref="B43:C43"/>
    <mergeCell ref="D27:E27"/>
    <mergeCell ref="D28:E28"/>
    <mergeCell ref="D40:E40"/>
    <mergeCell ref="D33:E33"/>
    <mergeCell ref="D34:E34"/>
    <mergeCell ref="D35:E35"/>
    <mergeCell ref="D36:E36"/>
    <mergeCell ref="D38:E38"/>
    <mergeCell ref="D39:E39"/>
    <mergeCell ref="D37:E37"/>
    <mergeCell ref="D29:E29"/>
    <mergeCell ref="F21:G21"/>
    <mergeCell ref="D21:E21"/>
    <mergeCell ref="N20:Q20"/>
    <mergeCell ref="N21:Q21"/>
    <mergeCell ref="D22:E22"/>
    <mergeCell ref="F27:G27"/>
    <mergeCell ref="F28:G28"/>
    <mergeCell ref="F22:G22"/>
    <mergeCell ref="F35:G35"/>
    <mergeCell ref="F36:G36"/>
    <mergeCell ref="F37:G37"/>
    <mergeCell ref="F38:G38"/>
    <mergeCell ref="F39:G39"/>
    <mergeCell ref="H23:L23"/>
    <mergeCell ref="H24:L24"/>
    <mergeCell ref="H25:L25"/>
    <mergeCell ref="H26:L26"/>
    <mergeCell ref="H27:L27"/>
    <mergeCell ref="H28:L28"/>
    <mergeCell ref="N10:Q10"/>
    <mergeCell ref="N11:Q11"/>
    <mergeCell ref="M14:M18"/>
    <mergeCell ref="N14:Q18"/>
    <mergeCell ref="R14:T14"/>
    <mergeCell ref="T15:T18"/>
    <mergeCell ref="S15:S18"/>
    <mergeCell ref="R15:R18"/>
    <mergeCell ref="S10:T10"/>
    <mergeCell ref="S11:T11"/>
    <mergeCell ref="N8:Q8"/>
    <mergeCell ref="N9:Q9"/>
    <mergeCell ref="M1:M3"/>
    <mergeCell ref="N1:Q3"/>
    <mergeCell ref="R1:T1"/>
    <mergeCell ref="S8:T8"/>
    <mergeCell ref="S9:T9"/>
    <mergeCell ref="S7:T7"/>
    <mergeCell ref="N19:Q19"/>
    <mergeCell ref="I9:M9"/>
    <mergeCell ref="A7:L7"/>
    <mergeCell ref="F12:G13"/>
    <mergeCell ref="H12:L12"/>
    <mergeCell ref="F9:H9"/>
    <mergeCell ref="A9:E9"/>
    <mergeCell ref="A8:L8"/>
    <mergeCell ref="F14:G14"/>
    <mergeCell ref="F15:G15"/>
    <mergeCell ref="F16:G16"/>
    <mergeCell ref="F17:G17"/>
    <mergeCell ref="H14:L14"/>
    <mergeCell ref="H15:L15"/>
    <mergeCell ref="H16:L16"/>
    <mergeCell ref="H17:L17"/>
    <mergeCell ref="U1:W1"/>
    <mergeCell ref="R2:R3"/>
    <mergeCell ref="U2:U3"/>
    <mergeCell ref="S2:T2"/>
    <mergeCell ref="S3:T3"/>
    <mergeCell ref="V2:W2"/>
    <mergeCell ref="V3:W3"/>
    <mergeCell ref="F5:H6"/>
    <mergeCell ref="I5:L6"/>
    <mergeCell ref="F3:H4"/>
    <mergeCell ref="I3:L4"/>
    <mergeCell ref="F1:H2"/>
    <mergeCell ref="I1:L2"/>
    <mergeCell ref="S4:T4"/>
    <mergeCell ref="S5:T5"/>
    <mergeCell ref="S6:T6"/>
    <mergeCell ref="N4:Q4"/>
    <mergeCell ref="N5:Q5"/>
    <mergeCell ref="N6:Q6"/>
    <mergeCell ref="V8:W8"/>
    <mergeCell ref="V9:W9"/>
    <mergeCell ref="V10:W10"/>
    <mergeCell ref="V11:W11"/>
    <mergeCell ref="V4:W4"/>
    <mergeCell ref="V5:W5"/>
    <mergeCell ref="V6:W6"/>
    <mergeCell ref="V7:W7"/>
    <mergeCell ref="S39:X39"/>
    <mergeCell ref="U14:U18"/>
    <mergeCell ref="V14:V18"/>
    <mergeCell ref="W14:W18"/>
    <mergeCell ref="O30:V30"/>
    <mergeCell ref="O31:V31"/>
    <mergeCell ref="O32:V32"/>
    <mergeCell ref="O33:V33"/>
    <mergeCell ref="P39:R39"/>
    <mergeCell ref="N24:V24"/>
    <mergeCell ref="O25:V25"/>
    <mergeCell ref="O26:V26"/>
    <mergeCell ref="O27:V27"/>
    <mergeCell ref="O28:V28"/>
    <mergeCell ref="O29:V29"/>
    <mergeCell ref="N7:Q7"/>
  </mergeCells>
  <phoneticPr fontId="0" type="noConversion"/>
  <printOptions horizontalCentered="1"/>
  <pageMargins left="0.39370078740157483" right="0.39370078740157483" top="0.19685039370078741" bottom="0.19685039370078741" header="0" footer="0"/>
  <pageSetup paperSize="9" scale="73" orientation="portrait" horizontalDpi="180" verticalDpi="180" r:id="rId1"/>
  <headerFooter alignWithMargins="0"/>
  <rowBreaks count="1" manualBreakCount="1">
    <brk id="50" max="22" man="1"/>
  </rowBreaks>
  <colBreaks count="1" manualBreakCount="1">
    <brk id="12" max="49" man="1"/>
  </colBreak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5"/>
  <dimension ref="A1:X51"/>
  <sheetViews>
    <sheetView view="pageBreakPreview" topLeftCell="A16" zoomScale="75" zoomScaleNormal="100" workbookViewId="0">
      <selection activeCell="B16" sqref="B16"/>
    </sheetView>
  </sheetViews>
  <sheetFormatPr defaultRowHeight="18.75" x14ac:dyDescent="0.2"/>
  <cols>
    <col min="1" max="1" width="15" style="2" customWidth="1"/>
    <col min="2" max="2" width="15.7109375" style="2" customWidth="1"/>
    <col min="3" max="3" width="6.28515625" style="2" customWidth="1"/>
    <col min="4" max="4" width="22.7109375" style="2" customWidth="1"/>
    <col min="5" max="5" width="3.42578125" style="2" customWidth="1"/>
    <col min="6" max="8" width="9.140625" style="2"/>
    <col min="9" max="9" width="9.7109375" style="2" customWidth="1"/>
    <col min="10" max="10" width="6" style="2" customWidth="1"/>
    <col min="11" max="11" width="6.140625" style="2" customWidth="1"/>
    <col min="12" max="12" width="6.85546875" style="2" customWidth="1"/>
    <col min="13" max="13" width="8.42578125" style="2" customWidth="1"/>
    <col min="14" max="18" width="10.7109375" style="2" customWidth="1"/>
    <col min="19" max="19" width="13.85546875" style="2" customWidth="1"/>
    <col min="20" max="20" width="14" style="2" customWidth="1"/>
    <col min="21" max="21" width="12.42578125" style="2" customWidth="1"/>
    <col min="22" max="22" width="13.140625" style="2" customWidth="1"/>
    <col min="23" max="23" width="13.28515625" style="2" customWidth="1"/>
    <col min="24" max="28" width="10.28515625" style="2" customWidth="1"/>
    <col min="29" max="16384" width="9.140625" style="2"/>
  </cols>
  <sheetData>
    <row r="1" spans="1:23" ht="26.25" x14ac:dyDescent="0.2">
      <c r="A1" s="115" t="s">
        <v>161</v>
      </c>
      <c r="B1" s="115"/>
      <c r="C1" s="115"/>
      <c r="D1" s="115"/>
      <c r="E1" s="115"/>
      <c r="F1" s="150" t="s">
        <v>154</v>
      </c>
      <c r="G1" s="150"/>
      <c r="H1" s="150"/>
      <c r="I1" s="115" t="s">
        <v>163</v>
      </c>
      <c r="J1" s="115"/>
      <c r="K1" s="115"/>
      <c r="L1" s="115"/>
      <c r="M1" s="123" t="s">
        <v>115</v>
      </c>
      <c r="N1" s="121" t="s">
        <v>116</v>
      </c>
      <c r="O1" s="121"/>
      <c r="P1" s="121"/>
      <c r="Q1" s="121"/>
      <c r="R1" s="219" t="s">
        <v>117</v>
      </c>
      <c r="S1" s="219"/>
      <c r="T1" s="219"/>
      <c r="U1" s="219" t="s">
        <v>118</v>
      </c>
      <c r="V1" s="219"/>
      <c r="W1" s="128"/>
    </row>
    <row r="2" spans="1:23" ht="18.75" customHeight="1" x14ac:dyDescent="0.2">
      <c r="A2" s="146" t="s">
        <v>45</v>
      </c>
      <c r="B2" s="146"/>
      <c r="C2" s="146"/>
      <c r="D2" s="146"/>
      <c r="E2" s="146"/>
      <c r="F2" s="150"/>
      <c r="G2" s="150"/>
      <c r="H2" s="150"/>
      <c r="I2" s="115"/>
      <c r="J2" s="115"/>
      <c r="K2" s="115"/>
      <c r="L2" s="115"/>
      <c r="M2" s="116"/>
      <c r="N2" s="118"/>
      <c r="O2" s="118"/>
      <c r="P2" s="118"/>
      <c r="Q2" s="118"/>
      <c r="R2" s="118" t="s">
        <v>119</v>
      </c>
      <c r="S2" s="118" t="s">
        <v>120</v>
      </c>
      <c r="T2" s="118"/>
      <c r="U2" s="118" t="s">
        <v>119</v>
      </c>
      <c r="V2" s="118" t="s">
        <v>120</v>
      </c>
      <c r="W2" s="125"/>
    </row>
    <row r="3" spans="1:23" ht="21.75" customHeight="1" x14ac:dyDescent="0.2">
      <c r="A3" s="115" t="s">
        <v>173</v>
      </c>
      <c r="B3" s="115"/>
      <c r="C3" s="115"/>
      <c r="D3" s="115"/>
      <c r="E3" s="115"/>
      <c r="F3" s="150" t="s">
        <v>155</v>
      </c>
      <c r="G3" s="150"/>
      <c r="H3" s="150"/>
      <c r="I3" s="115" t="s">
        <v>226</v>
      </c>
      <c r="J3" s="115"/>
      <c r="K3" s="115"/>
      <c r="L3" s="115"/>
      <c r="M3" s="117"/>
      <c r="N3" s="119"/>
      <c r="O3" s="119"/>
      <c r="P3" s="119"/>
      <c r="Q3" s="119"/>
      <c r="R3" s="119"/>
      <c r="S3" s="119" t="s">
        <v>121</v>
      </c>
      <c r="T3" s="119"/>
      <c r="U3" s="119"/>
      <c r="V3" s="119" t="s">
        <v>121</v>
      </c>
      <c r="W3" s="127"/>
    </row>
    <row r="4" spans="1:23" ht="29.25" customHeight="1" x14ac:dyDescent="0.2">
      <c r="A4" s="146" t="s">
        <v>46</v>
      </c>
      <c r="B4" s="146"/>
      <c r="C4" s="146"/>
      <c r="D4" s="146"/>
      <c r="E4" s="146"/>
      <c r="F4" s="150"/>
      <c r="G4" s="150"/>
      <c r="H4" s="150"/>
      <c r="I4" s="115"/>
      <c r="J4" s="115"/>
      <c r="K4" s="115"/>
      <c r="L4" s="115"/>
      <c r="M4" s="9"/>
      <c r="N4" s="216" t="s">
        <v>122</v>
      </c>
      <c r="O4" s="216"/>
      <c r="P4" s="216"/>
      <c r="Q4" s="216"/>
      <c r="R4" s="7"/>
      <c r="S4" s="111"/>
      <c r="T4" s="113"/>
      <c r="U4" s="7"/>
      <c r="V4" s="111"/>
      <c r="W4" s="112"/>
    </row>
    <row r="5" spans="1:23" ht="21" customHeight="1" x14ac:dyDescent="0.2">
      <c r="A5" s="234" t="s">
        <v>159</v>
      </c>
      <c r="B5" s="234"/>
      <c r="C5" s="234"/>
      <c r="D5" s="234"/>
      <c r="E5" s="234"/>
      <c r="F5" s="150" t="s">
        <v>156</v>
      </c>
      <c r="G5" s="150"/>
      <c r="H5" s="150"/>
      <c r="I5" s="115" t="s">
        <v>238</v>
      </c>
      <c r="J5" s="115"/>
      <c r="K5" s="115"/>
      <c r="L5" s="115"/>
      <c r="M5" s="9"/>
      <c r="N5" s="217" t="s">
        <v>123</v>
      </c>
      <c r="O5" s="217"/>
      <c r="P5" s="217"/>
      <c r="Q5" s="217"/>
      <c r="R5" s="7"/>
      <c r="S5" s="111"/>
      <c r="T5" s="113"/>
      <c r="U5" s="7"/>
      <c r="V5" s="111"/>
      <c r="W5" s="112"/>
    </row>
    <row r="6" spans="1:23" x14ac:dyDescent="0.2">
      <c r="A6" s="146" t="s">
        <v>47</v>
      </c>
      <c r="B6" s="146"/>
      <c r="C6" s="146"/>
      <c r="D6" s="146"/>
      <c r="E6" s="146"/>
      <c r="F6" s="150"/>
      <c r="G6" s="150"/>
      <c r="H6" s="150"/>
      <c r="I6" s="115"/>
      <c r="J6" s="115"/>
      <c r="K6" s="115"/>
      <c r="L6" s="115"/>
      <c r="M6" s="9"/>
      <c r="N6" s="217" t="s">
        <v>124</v>
      </c>
      <c r="O6" s="217"/>
      <c r="P6" s="217"/>
      <c r="Q6" s="217"/>
      <c r="R6" s="7"/>
      <c r="S6" s="111"/>
      <c r="T6" s="113"/>
      <c r="U6" s="7"/>
      <c r="V6" s="111"/>
      <c r="W6" s="112"/>
    </row>
    <row r="7" spans="1:23" x14ac:dyDescent="0.2">
      <c r="A7" s="122"/>
      <c r="B7" s="122"/>
      <c r="C7" s="122"/>
      <c r="D7" s="122"/>
      <c r="E7" s="122"/>
      <c r="F7" s="122"/>
      <c r="G7" s="122"/>
      <c r="H7" s="122"/>
      <c r="I7" s="122"/>
      <c r="J7" s="122"/>
      <c r="K7" s="122"/>
      <c r="L7" s="122"/>
      <c r="M7" s="9"/>
      <c r="N7" s="218" t="s">
        <v>125</v>
      </c>
      <c r="O7" s="218"/>
      <c r="P7" s="218"/>
      <c r="Q7" s="218"/>
      <c r="R7" s="7"/>
      <c r="S7" s="111"/>
      <c r="T7" s="113"/>
      <c r="U7" s="7"/>
      <c r="V7" s="111"/>
      <c r="W7" s="112"/>
    </row>
    <row r="8" spans="1:23" ht="22.5" x14ac:dyDescent="0.2">
      <c r="A8" s="143" t="s">
        <v>0</v>
      </c>
      <c r="B8" s="143"/>
      <c r="C8" s="143"/>
      <c r="D8" s="143"/>
      <c r="E8" s="143"/>
      <c r="F8" s="143"/>
      <c r="G8" s="143"/>
      <c r="H8" s="143"/>
      <c r="I8" s="143"/>
      <c r="J8" s="143"/>
      <c r="K8" s="143"/>
      <c r="L8" s="143"/>
      <c r="M8" s="9"/>
      <c r="N8" s="217" t="s">
        <v>126</v>
      </c>
      <c r="O8" s="217"/>
      <c r="P8" s="217"/>
      <c r="Q8" s="217"/>
      <c r="R8" s="7"/>
      <c r="S8" s="111"/>
      <c r="T8" s="113"/>
      <c r="U8" s="7"/>
      <c r="V8" s="111"/>
      <c r="W8" s="112"/>
    </row>
    <row r="9" spans="1:23" ht="18.75" customHeight="1" x14ac:dyDescent="0.2">
      <c r="A9" s="220" t="s">
        <v>152</v>
      </c>
      <c r="B9" s="220"/>
      <c r="C9" s="220"/>
      <c r="D9" s="220"/>
      <c r="E9" s="220"/>
      <c r="F9" s="162" t="s">
        <v>407</v>
      </c>
      <c r="G9" s="163"/>
      <c r="H9" s="163"/>
      <c r="I9" s="138" t="s">
        <v>369</v>
      </c>
      <c r="J9" s="138"/>
      <c r="K9" s="138"/>
      <c r="L9" s="138"/>
      <c r="M9" s="138"/>
      <c r="N9" s="217" t="s">
        <v>127</v>
      </c>
      <c r="O9" s="217"/>
      <c r="P9" s="217"/>
      <c r="Q9" s="217"/>
      <c r="R9" s="7"/>
      <c r="S9" s="111"/>
      <c r="T9" s="113"/>
      <c r="U9" s="7"/>
      <c r="V9" s="111"/>
      <c r="W9" s="112"/>
    </row>
    <row r="10" spans="1:23" ht="19.5" customHeight="1" x14ac:dyDescent="0.2">
      <c r="A10" s="220" t="s">
        <v>151</v>
      </c>
      <c r="B10" s="220"/>
      <c r="C10" s="163" t="s">
        <v>368</v>
      </c>
      <c r="D10" s="163"/>
      <c r="E10" s="163"/>
      <c r="F10" s="163"/>
      <c r="G10" s="163"/>
      <c r="H10" s="163"/>
      <c r="I10" s="3"/>
      <c r="J10" s="3"/>
      <c r="K10" s="3"/>
      <c r="L10" s="3"/>
      <c r="M10" s="9"/>
      <c r="N10" s="218" t="s">
        <v>128</v>
      </c>
      <c r="O10" s="218"/>
      <c r="P10" s="218"/>
      <c r="Q10" s="218"/>
      <c r="R10" s="7"/>
      <c r="S10" s="111"/>
      <c r="T10" s="113"/>
      <c r="U10" s="7"/>
      <c r="V10" s="111"/>
      <c r="W10" s="112"/>
    </row>
    <row r="11" spans="1:23" x14ac:dyDescent="0.2">
      <c r="A11" s="215" t="s">
        <v>1</v>
      </c>
      <c r="B11" s="215"/>
      <c r="C11" s="215"/>
      <c r="D11" s="215"/>
      <c r="E11" s="215"/>
      <c r="F11" s="215"/>
      <c r="G11" s="215"/>
      <c r="H11" s="215"/>
      <c r="I11" s="215"/>
      <c r="J11" s="215"/>
      <c r="K11" s="215"/>
      <c r="L11" s="215"/>
      <c r="M11" s="9"/>
      <c r="N11" s="223" t="s">
        <v>129</v>
      </c>
      <c r="O11" s="223"/>
      <c r="P11" s="223"/>
      <c r="Q11" s="223"/>
      <c r="R11" s="7"/>
      <c r="S11" s="111"/>
      <c r="T11" s="113"/>
      <c r="U11" s="7"/>
      <c r="V11" s="111"/>
      <c r="W11" s="112"/>
    </row>
    <row r="12" spans="1:23" ht="20.100000000000001" customHeight="1" x14ac:dyDescent="0.2">
      <c r="A12" s="129" t="s">
        <v>2</v>
      </c>
      <c r="B12" s="219" t="s">
        <v>36</v>
      </c>
      <c r="C12" s="219"/>
      <c r="D12" s="219"/>
      <c r="E12" s="219"/>
      <c r="F12" s="219" t="s">
        <v>5</v>
      </c>
      <c r="G12" s="219"/>
      <c r="H12" s="124" t="s">
        <v>34</v>
      </c>
      <c r="I12" s="131"/>
      <c r="J12" s="131"/>
      <c r="K12" s="131"/>
      <c r="L12" s="131"/>
      <c r="N12" s="1"/>
      <c r="O12" s="1"/>
      <c r="P12" s="1"/>
      <c r="Q12" s="1"/>
    </row>
    <row r="13" spans="1:23" ht="20.100000000000001" customHeight="1" x14ac:dyDescent="0.2">
      <c r="A13" s="129"/>
      <c r="B13" s="219" t="s">
        <v>3</v>
      </c>
      <c r="C13" s="219"/>
      <c r="D13" s="219" t="s">
        <v>4</v>
      </c>
      <c r="E13" s="219"/>
      <c r="F13" s="219"/>
      <c r="G13" s="219"/>
      <c r="H13" s="127" t="s">
        <v>35</v>
      </c>
      <c r="I13" s="130"/>
      <c r="J13" s="130"/>
      <c r="K13" s="130"/>
      <c r="L13" s="130"/>
    </row>
    <row r="14" spans="1:23" ht="20.100000000000001" customHeight="1" x14ac:dyDescent="0.2">
      <c r="A14" s="5" t="s">
        <v>6</v>
      </c>
      <c r="B14" s="7"/>
      <c r="C14" s="5"/>
      <c r="D14" s="120"/>
      <c r="E14" s="120"/>
      <c r="F14" s="221" t="str">
        <f t="shared" ref="F14:F40" si="0">IF(OR(B14="",D14=""),"",IF(ISERROR(D14/B14),IF(D14=0,0,""),D14/B14))</f>
        <v/>
      </c>
      <c r="G14" s="221"/>
      <c r="H14" s="120"/>
      <c r="I14" s="120"/>
      <c r="J14" s="120"/>
      <c r="K14" s="120"/>
      <c r="L14" s="120"/>
      <c r="M14" s="129" t="s">
        <v>115</v>
      </c>
      <c r="N14" s="219" t="s">
        <v>116</v>
      </c>
      <c r="O14" s="219"/>
      <c r="P14" s="219"/>
      <c r="Q14" s="219"/>
      <c r="R14" s="219" t="s">
        <v>117</v>
      </c>
      <c r="S14" s="219"/>
      <c r="T14" s="219"/>
      <c r="U14" s="219" t="s">
        <v>130</v>
      </c>
      <c r="V14" s="219" t="s">
        <v>69</v>
      </c>
      <c r="W14" s="128" t="s">
        <v>131</v>
      </c>
    </row>
    <row r="15" spans="1:23" ht="20.100000000000001" customHeight="1" x14ac:dyDescent="0.2">
      <c r="A15" s="5" t="s">
        <v>7</v>
      </c>
      <c r="B15" s="5"/>
      <c r="C15" s="5"/>
      <c r="D15" s="219"/>
      <c r="E15" s="219"/>
      <c r="F15" s="221" t="str">
        <f t="shared" si="0"/>
        <v/>
      </c>
      <c r="G15" s="221"/>
      <c r="H15" s="120"/>
      <c r="I15" s="120"/>
      <c r="J15" s="120"/>
      <c r="K15" s="120"/>
      <c r="L15" s="120"/>
      <c r="M15" s="129"/>
      <c r="N15" s="219"/>
      <c r="O15" s="219"/>
      <c r="P15" s="219"/>
      <c r="Q15" s="219"/>
      <c r="R15" s="224" t="s">
        <v>130</v>
      </c>
      <c r="S15" s="219" t="s">
        <v>69</v>
      </c>
      <c r="T15" s="219" t="s">
        <v>131</v>
      </c>
      <c r="U15" s="219"/>
      <c r="V15" s="219"/>
      <c r="W15" s="128"/>
    </row>
    <row r="16" spans="1:23" ht="20.100000000000001" customHeight="1" x14ac:dyDescent="0.2">
      <c r="A16" s="5" t="s">
        <v>8</v>
      </c>
      <c r="B16" s="21">
        <f>'Ячейка 30Эн'!D19+'Ячейка 27Эн'!D19+'Ячейка 10Эн'!D19</f>
        <v>2140.3199999855133</v>
      </c>
      <c r="C16" s="21"/>
      <c r="D16" s="225">
        <f>'Ячейка 30Эн'!H19+'Ячейка 27Эн'!H19+'Ячейка 10Эн'!H19</f>
        <v>1453.9200000072015</v>
      </c>
      <c r="E16" s="225"/>
      <c r="F16" s="221">
        <f t="shared" si="0"/>
        <v>0.67930029155315197</v>
      </c>
      <c r="G16" s="221"/>
      <c r="H16" s="120"/>
      <c r="I16" s="120"/>
      <c r="J16" s="120"/>
      <c r="K16" s="120"/>
      <c r="L16" s="120"/>
      <c r="M16" s="129"/>
      <c r="N16" s="219"/>
      <c r="O16" s="219"/>
      <c r="P16" s="219"/>
      <c r="Q16" s="219"/>
      <c r="R16" s="224"/>
      <c r="S16" s="219"/>
      <c r="T16" s="219"/>
      <c r="U16" s="219"/>
      <c r="V16" s="219"/>
      <c r="W16" s="128"/>
    </row>
    <row r="17" spans="1:23" ht="20.100000000000001" customHeight="1" x14ac:dyDescent="0.2">
      <c r="A17" s="5" t="s">
        <v>9</v>
      </c>
      <c r="B17" s="21">
        <f>'Ячейка 30Эн'!D20+'Ячейка 27Эн'!D20+'Ячейка 10Эн'!D20</f>
        <v>1934.3999999924563</v>
      </c>
      <c r="C17" s="21"/>
      <c r="D17" s="225">
        <f>'Ячейка 30Эн'!H20+'Ячейка 27Эн'!H20+'Ячейка 10Эн'!H20</f>
        <v>1381.9199999968987</v>
      </c>
      <c r="E17" s="225"/>
      <c r="F17" s="221">
        <f t="shared" si="0"/>
        <v>0.71439205955453255</v>
      </c>
      <c r="G17" s="221"/>
      <c r="H17" s="120"/>
      <c r="I17" s="120"/>
      <c r="J17" s="120"/>
      <c r="K17" s="120"/>
      <c r="L17" s="120"/>
      <c r="M17" s="129"/>
      <c r="N17" s="219"/>
      <c r="O17" s="219"/>
      <c r="P17" s="219"/>
      <c r="Q17" s="219"/>
      <c r="R17" s="224"/>
      <c r="S17" s="219"/>
      <c r="T17" s="219"/>
      <c r="U17" s="219"/>
      <c r="V17" s="219"/>
      <c r="W17" s="128"/>
    </row>
    <row r="18" spans="1:23" ht="20.100000000000001" customHeight="1" x14ac:dyDescent="0.2">
      <c r="A18" s="5" t="s">
        <v>10</v>
      </c>
      <c r="B18" s="21">
        <f>'Ячейка 30Эн'!D21+'Ячейка 27Эн'!D21+'Ячейка 10Эн'!D21</f>
        <v>1874.6400000178255</v>
      </c>
      <c r="C18" s="21"/>
      <c r="D18" s="225">
        <f>'Ячейка 30Эн'!H21+'Ячейка 27Эн'!H21+'Ячейка 10Эн'!H21</f>
        <v>1352.4000000070373</v>
      </c>
      <c r="E18" s="225"/>
      <c r="F18" s="221">
        <f t="shared" si="0"/>
        <v>0.72141851235126619</v>
      </c>
      <c r="G18" s="221"/>
      <c r="H18" s="120"/>
      <c r="I18" s="120"/>
      <c r="J18" s="120"/>
      <c r="K18" s="120"/>
      <c r="L18" s="120"/>
      <c r="M18" s="129"/>
      <c r="N18" s="219"/>
      <c r="O18" s="219"/>
      <c r="P18" s="219"/>
      <c r="Q18" s="219"/>
      <c r="R18" s="224"/>
      <c r="S18" s="219"/>
      <c r="T18" s="219"/>
      <c r="U18" s="219"/>
      <c r="V18" s="219"/>
      <c r="W18" s="128"/>
    </row>
    <row r="19" spans="1:23" ht="20.100000000000001" customHeight="1" x14ac:dyDescent="0.2">
      <c r="A19" s="5" t="s">
        <v>11</v>
      </c>
      <c r="B19" s="21">
        <f>'Ячейка 30Эн'!D22+'Ячейка 27Эн'!D22+'Ячейка 10Эн'!D22</f>
        <v>2137.6799999954528</v>
      </c>
      <c r="C19" s="21"/>
      <c r="D19" s="225">
        <f>'Ячейка 30Эн'!H22+'Ячейка 27Эн'!H22+'Ячейка 10Эн'!H22</f>
        <v>1510.559999999532</v>
      </c>
      <c r="E19" s="225"/>
      <c r="F19" s="221">
        <f t="shared" si="0"/>
        <v>0.70663523071869749</v>
      </c>
      <c r="G19" s="221"/>
      <c r="H19" s="120"/>
      <c r="I19" s="120"/>
      <c r="J19" s="120"/>
      <c r="K19" s="120"/>
      <c r="L19" s="120"/>
      <c r="M19" s="9"/>
      <c r="N19" s="216" t="s">
        <v>132</v>
      </c>
      <c r="O19" s="216"/>
      <c r="P19" s="216"/>
      <c r="Q19" s="216"/>
      <c r="R19" s="7"/>
      <c r="S19" s="7"/>
      <c r="T19" s="7"/>
      <c r="U19" s="7"/>
      <c r="V19" s="7"/>
      <c r="W19" s="8"/>
    </row>
    <row r="20" spans="1:23" ht="20.100000000000001" customHeight="1" x14ac:dyDescent="0.2">
      <c r="A20" s="5" t="s">
        <v>12</v>
      </c>
      <c r="B20" s="21">
        <f>'Ячейка 30Эн'!D23+'Ячейка 27Эн'!D23+'Ячейка 10Эн'!D23</f>
        <v>2139.6000000078629</v>
      </c>
      <c r="C20" s="21"/>
      <c r="D20" s="225">
        <f>'Ячейка 30Эн'!H23+'Ячейка 27Эн'!H23+'Ячейка 10Эн'!H23</f>
        <v>1525.9199999956763</v>
      </c>
      <c r="E20" s="225"/>
      <c r="F20" s="221">
        <f t="shared" si="0"/>
        <v>0.71318003364650806</v>
      </c>
      <c r="G20" s="221"/>
      <c r="H20" s="120"/>
      <c r="I20" s="120"/>
      <c r="J20" s="120"/>
      <c r="K20" s="120"/>
      <c r="L20" s="120"/>
      <c r="M20" s="9"/>
      <c r="N20" s="217" t="s">
        <v>133</v>
      </c>
      <c r="O20" s="217"/>
      <c r="P20" s="217"/>
      <c r="Q20" s="217"/>
      <c r="R20" s="7"/>
      <c r="S20" s="7"/>
      <c r="T20" s="7"/>
      <c r="U20" s="7"/>
      <c r="V20" s="7"/>
      <c r="W20" s="8"/>
    </row>
    <row r="21" spans="1:23" ht="20.100000000000001" customHeight="1" x14ac:dyDescent="0.2">
      <c r="A21" s="5" t="s">
        <v>13</v>
      </c>
      <c r="B21" s="21">
        <f>'Ячейка 30Эн'!D24+'Ячейка 27Эн'!D24+'Ячейка 10Эн'!D24</f>
        <v>2160.9599999792408</v>
      </c>
      <c r="C21" s="21"/>
      <c r="D21" s="225">
        <f>'Ячейка 30Эн'!H24+'Ячейка 27Эн'!H24+'Ячейка 10Эн'!H24</f>
        <v>1495.6800000021758</v>
      </c>
      <c r="E21" s="225"/>
      <c r="F21" s="221">
        <f t="shared" si="0"/>
        <v>0.69213682808406629</v>
      </c>
      <c r="G21" s="221"/>
      <c r="H21" s="120"/>
      <c r="I21" s="120"/>
      <c r="J21" s="120"/>
      <c r="K21" s="120"/>
      <c r="L21" s="120"/>
      <c r="M21" s="9"/>
      <c r="N21" s="222" t="s">
        <v>134</v>
      </c>
      <c r="O21" s="222"/>
      <c r="P21" s="222"/>
      <c r="Q21" s="222"/>
      <c r="R21" s="7"/>
      <c r="S21" s="7"/>
      <c r="T21" s="7"/>
      <c r="U21" s="7"/>
      <c r="V21" s="7"/>
      <c r="W21" s="8"/>
    </row>
    <row r="22" spans="1:23" ht="20.100000000000001" customHeight="1" x14ac:dyDescent="0.2">
      <c r="A22" s="5" t="s">
        <v>14</v>
      </c>
      <c r="B22" s="21">
        <f>'Ячейка 30Эн'!D25+'Ячейка 27Эн'!D25+'Ячейка 10Эн'!D25</f>
        <v>2228.4000000086962</v>
      </c>
      <c r="C22" s="21"/>
      <c r="D22" s="225">
        <f>'Ячейка 30Эн'!H25+'Ячейка 27Эн'!H25+'Ячейка 10Эн'!H25</f>
        <v>1484.6399999994901</v>
      </c>
      <c r="E22" s="225"/>
      <c r="F22" s="221">
        <f t="shared" si="0"/>
        <v>0.66623586429442483</v>
      </c>
      <c r="G22" s="221"/>
      <c r="H22" s="120"/>
      <c r="I22" s="120"/>
      <c r="J22" s="120"/>
      <c r="K22" s="120"/>
      <c r="L22" s="120"/>
    </row>
    <row r="23" spans="1:23" ht="20.100000000000001" customHeight="1" x14ac:dyDescent="0.2">
      <c r="A23" s="5" t="s">
        <v>15</v>
      </c>
      <c r="B23" s="21">
        <f>'Ячейка 30Эн'!D26+'Ячейка 27Эн'!D26+'Ячейка 10Эн'!D26</f>
        <v>2453.519999992568</v>
      </c>
      <c r="C23" s="21"/>
      <c r="D23" s="225">
        <f>'Ячейка 30Эн'!H26+'Ячейка 27Эн'!H26+'Ячейка 10Эн'!H26</f>
        <v>1543.9199999971606</v>
      </c>
      <c r="E23" s="225"/>
      <c r="F23" s="221">
        <f t="shared" si="0"/>
        <v>0.62926733835543924</v>
      </c>
      <c r="G23" s="221"/>
      <c r="H23" s="120"/>
      <c r="I23" s="120"/>
      <c r="J23" s="120"/>
      <c r="K23" s="120"/>
      <c r="L23" s="120"/>
    </row>
    <row r="24" spans="1:23" ht="20.100000000000001" customHeight="1" x14ac:dyDescent="0.2">
      <c r="A24" s="5" t="s">
        <v>16</v>
      </c>
      <c r="B24" s="21">
        <f>'Ячейка 30Эн'!D27+'Ячейка 27Эн'!D27+'Ячейка 10Эн'!D27</f>
        <v>2718.7200000029407</v>
      </c>
      <c r="C24" s="21"/>
      <c r="D24" s="225">
        <f>'Ячейка 30Эн'!H27+'Ячейка 27Эн'!H27+'Ячейка 10Эн'!H27</f>
        <v>1668.4800000024552</v>
      </c>
      <c r="E24" s="225"/>
      <c r="F24" s="221">
        <f t="shared" si="0"/>
        <v>0.61370056497199066</v>
      </c>
      <c r="G24" s="221"/>
      <c r="H24" s="120"/>
      <c r="I24" s="120"/>
      <c r="J24" s="120"/>
      <c r="K24" s="120"/>
      <c r="L24" s="120"/>
      <c r="N24" s="145" t="s">
        <v>135</v>
      </c>
      <c r="O24" s="145"/>
      <c r="P24" s="145"/>
      <c r="Q24" s="145"/>
      <c r="R24" s="145"/>
      <c r="S24" s="145"/>
      <c r="T24" s="145"/>
      <c r="U24" s="145"/>
      <c r="V24" s="145"/>
    </row>
    <row r="25" spans="1:23" ht="20.100000000000001" customHeight="1" x14ac:dyDescent="0.2">
      <c r="A25" s="5" t="s">
        <v>17</v>
      </c>
      <c r="B25" s="21">
        <f>'Ячейка 30Эн'!D28+'Ячейка 27Эн'!D28+'Ячейка 10Эн'!D28</f>
        <v>2988.000000010652</v>
      </c>
      <c r="C25" s="21"/>
      <c r="D25" s="225">
        <f>'Ячейка 30Эн'!H28+'Ячейка 27Эн'!H28+'Ячейка 10Эн'!H28</f>
        <v>1813.9199999975972</v>
      </c>
      <c r="E25" s="225"/>
      <c r="F25" s="221">
        <f t="shared" si="0"/>
        <v>0.60706827308940114</v>
      </c>
      <c r="G25" s="221"/>
      <c r="H25" s="120"/>
      <c r="I25" s="120"/>
      <c r="J25" s="120"/>
      <c r="K25" s="120"/>
      <c r="L25" s="120"/>
      <c r="N25" s="17" t="s">
        <v>136</v>
      </c>
      <c r="O25" s="145" t="s">
        <v>137</v>
      </c>
      <c r="P25" s="145"/>
      <c r="Q25" s="145"/>
      <c r="R25" s="145"/>
      <c r="S25" s="145"/>
      <c r="T25" s="145"/>
      <c r="U25" s="145"/>
      <c r="V25" s="145"/>
    </row>
    <row r="26" spans="1:23" ht="20.100000000000001" customHeight="1" x14ac:dyDescent="0.2">
      <c r="A26" s="5" t="s">
        <v>18</v>
      </c>
      <c r="B26" s="21">
        <f>'Ячейка 30Эн'!D29+'Ячейка 27Эн'!D29+'Ячейка 10Эн'!D29</f>
        <v>2771.5200000006007</v>
      </c>
      <c r="C26" s="21"/>
      <c r="D26" s="225">
        <f>'Ячейка 30Эн'!H29+'Ячейка 27Эн'!H29+'Ячейка 10Эн'!H29</f>
        <v>1729.1999999964901</v>
      </c>
      <c r="E26" s="225"/>
      <c r="F26" s="221">
        <f t="shared" si="0"/>
        <v>0.62391756148110611</v>
      </c>
      <c r="G26" s="221"/>
      <c r="H26" s="120"/>
      <c r="I26" s="120"/>
      <c r="J26" s="120"/>
      <c r="K26" s="120"/>
      <c r="L26" s="120"/>
      <c r="N26" s="17" t="s">
        <v>138</v>
      </c>
      <c r="O26" s="145" t="s">
        <v>180</v>
      </c>
      <c r="P26" s="145"/>
      <c r="Q26" s="145"/>
      <c r="R26" s="145"/>
      <c r="S26" s="145"/>
      <c r="T26" s="145"/>
      <c r="U26" s="145"/>
      <c r="V26" s="145"/>
    </row>
    <row r="27" spans="1:23" ht="20.100000000000001" customHeight="1" x14ac:dyDescent="0.2">
      <c r="A27" s="5" t="s">
        <v>19</v>
      </c>
      <c r="B27" s="21">
        <f>'Ячейка 30Эн'!D30+'Ячейка 27Эн'!D30+'Ячейка 10Эн'!D30</f>
        <v>2752.0799999983865</v>
      </c>
      <c r="C27" s="21"/>
      <c r="D27" s="225">
        <f>'Ячейка 30Эн'!H30+'Ячейка 27Эн'!H30+'Ячейка 10Эн'!H30</f>
        <v>1735.4400000047463</v>
      </c>
      <c r="E27" s="225"/>
      <c r="F27" s="221">
        <f t="shared" si="0"/>
        <v>0.63059213395168878</v>
      </c>
      <c r="G27" s="221"/>
      <c r="H27" s="120"/>
      <c r="I27" s="120"/>
      <c r="J27" s="120"/>
      <c r="K27" s="120"/>
      <c r="L27" s="120"/>
      <c r="N27" s="17" t="s">
        <v>139</v>
      </c>
      <c r="O27" s="145" t="s">
        <v>140</v>
      </c>
      <c r="P27" s="145"/>
      <c r="Q27" s="145"/>
      <c r="R27" s="145"/>
      <c r="S27" s="145"/>
      <c r="T27" s="145"/>
      <c r="U27" s="145"/>
      <c r="V27" s="145"/>
    </row>
    <row r="28" spans="1:23" ht="20.100000000000001" customHeight="1" x14ac:dyDescent="0.2">
      <c r="A28" s="5" t="s">
        <v>20</v>
      </c>
      <c r="B28" s="21">
        <f>'Ячейка 30Эн'!D31+'Ячейка 27Эн'!D31+'Ячейка 10Эн'!D31</f>
        <v>2682.7200000087032</v>
      </c>
      <c r="C28" s="21"/>
      <c r="D28" s="225">
        <f>'Ячейка 30Эн'!H31+'Ячейка 27Эн'!H31+'Ячейка 10Эн'!H31</f>
        <v>1682.8800000032061</v>
      </c>
      <c r="E28" s="225"/>
      <c r="F28" s="221">
        <f t="shared" si="0"/>
        <v>0.62730363213370999</v>
      </c>
      <c r="G28" s="221"/>
      <c r="H28" s="120"/>
      <c r="I28" s="120"/>
      <c r="J28" s="120"/>
      <c r="K28" s="120"/>
      <c r="L28" s="120"/>
      <c r="N28" s="17"/>
      <c r="O28" s="145" t="s">
        <v>141</v>
      </c>
      <c r="P28" s="145"/>
      <c r="Q28" s="145"/>
      <c r="R28" s="145"/>
      <c r="S28" s="145"/>
      <c r="T28" s="145"/>
      <c r="U28" s="145"/>
      <c r="V28" s="145"/>
    </row>
    <row r="29" spans="1:23" ht="20.100000000000001" customHeight="1" x14ac:dyDescent="0.2">
      <c r="A29" s="5" t="s">
        <v>21</v>
      </c>
      <c r="B29" s="21">
        <f>'Ячейка 30Эн'!D32+'Ячейка 27Эн'!D32+'Ячейка 10Эн'!D32</f>
        <v>2701.6799999881187</v>
      </c>
      <c r="C29" s="21"/>
      <c r="D29" s="225">
        <f>'Ячейка 30Эн'!H32+'Ячейка 27Эн'!H32+'Ячейка 10Эн'!H32</f>
        <v>1727.7600000001257</v>
      </c>
      <c r="E29" s="225"/>
      <c r="F29" s="221">
        <f t="shared" si="0"/>
        <v>0.63951319179463295</v>
      </c>
      <c r="G29" s="221"/>
      <c r="H29" s="120"/>
      <c r="I29" s="120"/>
      <c r="J29" s="120"/>
      <c r="K29" s="120"/>
      <c r="L29" s="120"/>
      <c r="N29" s="17"/>
      <c r="O29" s="145" t="s">
        <v>142</v>
      </c>
      <c r="P29" s="145"/>
      <c r="Q29" s="145"/>
      <c r="R29" s="145"/>
      <c r="S29" s="145"/>
      <c r="T29" s="145"/>
      <c r="U29" s="145"/>
      <c r="V29" s="145"/>
    </row>
    <row r="30" spans="1:23" ht="20.100000000000001" customHeight="1" x14ac:dyDescent="0.2">
      <c r="A30" s="5" t="s">
        <v>22</v>
      </c>
      <c r="B30" s="21">
        <f>'Ячейка 30Эн'!D33+'Ячейка 27Эн'!D33+'Ячейка 10Эн'!D33</f>
        <v>2587.4400000102469</v>
      </c>
      <c r="C30" s="21"/>
      <c r="D30" s="225">
        <f>'Ячейка 30Эн'!H33+'Ячейка 27Эн'!H33+'Ячейка 10Эн'!H33</f>
        <v>1723.6799999984214</v>
      </c>
      <c r="E30" s="225"/>
      <c r="F30" s="221">
        <f t="shared" si="0"/>
        <v>0.66617196920183475</v>
      </c>
      <c r="G30" s="221"/>
      <c r="H30" s="120"/>
      <c r="I30" s="120"/>
      <c r="J30" s="120"/>
      <c r="K30" s="120"/>
      <c r="L30" s="120"/>
      <c r="N30" s="17" t="s">
        <v>143</v>
      </c>
      <c r="O30" s="145" t="s">
        <v>144</v>
      </c>
      <c r="P30" s="145"/>
      <c r="Q30" s="145"/>
      <c r="R30" s="145"/>
      <c r="S30" s="145"/>
      <c r="T30" s="145"/>
      <c r="U30" s="145"/>
      <c r="V30" s="145"/>
    </row>
    <row r="31" spans="1:23" ht="20.100000000000001" customHeight="1" x14ac:dyDescent="0.2">
      <c r="A31" s="5" t="s">
        <v>23</v>
      </c>
      <c r="B31" s="21">
        <f>'Ячейка 30Эн'!D34+'Ячейка 27Эн'!D34+'Ячейка 10Эн'!D34</f>
        <v>2620.7999999794993</v>
      </c>
      <c r="C31" s="21"/>
      <c r="D31" s="225">
        <f>'Ячейка 30Эн'!H34+'Ячейка 27Эн'!H34+'Ячейка 10Эн'!H34</f>
        <v>1748.8799999948242</v>
      </c>
      <c r="E31" s="225"/>
      <c r="F31" s="221">
        <f t="shared" si="0"/>
        <v>0.66730769231093734</v>
      </c>
      <c r="G31" s="221"/>
      <c r="H31" s="120"/>
      <c r="I31" s="120"/>
      <c r="J31" s="120"/>
      <c r="K31" s="120"/>
      <c r="L31" s="120"/>
      <c r="N31" s="17"/>
      <c r="O31" s="145" t="s">
        <v>145</v>
      </c>
      <c r="P31" s="145"/>
      <c r="Q31" s="145"/>
      <c r="R31" s="145"/>
      <c r="S31" s="145"/>
      <c r="T31" s="145"/>
      <c r="U31" s="145"/>
      <c r="V31" s="145"/>
    </row>
    <row r="32" spans="1:23" ht="20.100000000000001" customHeight="1" x14ac:dyDescent="0.2">
      <c r="A32" s="5" t="s">
        <v>24</v>
      </c>
      <c r="B32" s="21">
        <f>'Ячейка 30Эн'!D35+'Ячейка 27Эн'!D35+'Ячейка 10Эн'!D35</f>
        <v>2484.0000000127475</v>
      </c>
      <c r="C32" s="21"/>
      <c r="D32" s="225">
        <f>'Ячейка 30Эн'!H35+'Ячейка 27Эн'!H35+'Ячейка 10Эн'!H35</f>
        <v>1571.2800000066636</v>
      </c>
      <c r="E32" s="225"/>
      <c r="F32" s="221">
        <f t="shared" si="0"/>
        <v>0.63256038647286639</v>
      </c>
      <c r="G32" s="221"/>
      <c r="H32" s="120"/>
      <c r="I32" s="120"/>
      <c r="J32" s="120"/>
      <c r="K32" s="120"/>
      <c r="L32" s="120"/>
      <c r="N32" s="17" t="s">
        <v>146</v>
      </c>
      <c r="O32" s="145" t="s">
        <v>147</v>
      </c>
      <c r="P32" s="145"/>
      <c r="Q32" s="145"/>
      <c r="R32" s="145"/>
      <c r="S32" s="145"/>
      <c r="T32" s="145"/>
      <c r="U32" s="145"/>
      <c r="V32" s="145"/>
    </row>
    <row r="33" spans="1:24" ht="20.100000000000001" customHeight="1" x14ac:dyDescent="0.2">
      <c r="A33" s="5" t="s">
        <v>25</v>
      </c>
      <c r="B33" s="21">
        <f>'Ячейка 30Эн'!D36+'Ячейка 27Эн'!D36+'Ячейка 10Эн'!D36</f>
        <v>2508.0000000089058</v>
      </c>
      <c r="C33" s="21"/>
      <c r="D33" s="225">
        <f>'Ячейка 30Эн'!H36+'Ячейка 27Эн'!H36+'Ячейка 10Эн'!H36</f>
        <v>1513.6799999992945</v>
      </c>
      <c r="E33" s="225"/>
      <c r="F33" s="221">
        <f t="shared" si="0"/>
        <v>0.60354066985403487</v>
      </c>
      <c r="G33" s="221"/>
      <c r="H33" s="120"/>
      <c r="I33" s="120"/>
      <c r="J33" s="120"/>
      <c r="K33" s="120"/>
      <c r="L33" s="120"/>
      <c r="N33" s="17" t="s">
        <v>148</v>
      </c>
      <c r="O33" s="145" t="s">
        <v>149</v>
      </c>
      <c r="P33" s="145"/>
      <c r="Q33" s="145"/>
      <c r="R33" s="145"/>
      <c r="S33" s="145"/>
      <c r="T33" s="145"/>
      <c r="U33" s="145"/>
      <c r="V33" s="145"/>
    </row>
    <row r="34" spans="1:24" ht="20.100000000000001" customHeight="1" x14ac:dyDescent="0.2">
      <c r="A34" s="5" t="s">
        <v>26</v>
      </c>
      <c r="B34" s="21">
        <f>'Ячейка 30Эн'!D37+'Ячейка 27Эн'!D37+'Ячейка 10Эн'!D37</f>
        <v>2548.7999999866588</v>
      </c>
      <c r="C34" s="21"/>
      <c r="D34" s="225">
        <f>'Ячейка 30Эн'!H37+'Ячейка 27Эн'!H37+'Ячейка 10Эн'!H37</f>
        <v>1459.6799999948416</v>
      </c>
      <c r="E34" s="225"/>
      <c r="F34" s="221">
        <f t="shared" si="0"/>
        <v>0.57269303201603972</v>
      </c>
      <c r="G34" s="221"/>
      <c r="H34" s="120"/>
      <c r="I34" s="120"/>
      <c r="J34" s="120"/>
      <c r="K34" s="120"/>
      <c r="L34" s="120"/>
    </row>
    <row r="35" spans="1:24" ht="20.100000000000001" customHeight="1" x14ac:dyDescent="0.2">
      <c r="A35" s="5" t="s">
        <v>27</v>
      </c>
      <c r="B35" s="21">
        <f>'Ячейка 30Эн'!D38+'Ячейка 27Эн'!D38+'Ячейка 10Эн'!D38</f>
        <v>2634.9600000143141</v>
      </c>
      <c r="C35" s="21"/>
      <c r="D35" s="225">
        <f>'Ячейка 30Эн'!H38+'Ячейка 27Эн'!H38+'Ячейка 10Эн'!H38</f>
        <v>1460.3999999984808</v>
      </c>
      <c r="E35" s="225"/>
      <c r="F35" s="221">
        <f t="shared" si="0"/>
        <v>0.55423991255675509</v>
      </c>
      <c r="G35" s="221"/>
      <c r="H35" s="120"/>
      <c r="I35" s="120"/>
      <c r="J35" s="120"/>
      <c r="K35" s="120"/>
      <c r="L35" s="120"/>
    </row>
    <row r="36" spans="1:24" ht="20.100000000000001" customHeight="1" x14ac:dyDescent="0.2">
      <c r="A36" s="5" t="s">
        <v>28</v>
      </c>
      <c r="B36" s="21">
        <f>'Ячейка 30Эн'!D39+'Ячейка 27Эн'!D39+'Ячейка 10Эн'!D39</f>
        <v>2517.1199999924283</v>
      </c>
      <c r="C36" s="21"/>
      <c r="D36" s="225">
        <f>'Ячейка 30Эн'!H39+'Ячейка 27Эн'!H39+'Ячейка 10Эн'!H39</f>
        <v>1416.000000002532</v>
      </c>
      <c r="E36" s="225"/>
      <c r="F36" s="221">
        <f t="shared" si="0"/>
        <v>0.56254767353435331</v>
      </c>
      <c r="G36" s="221"/>
      <c r="H36" s="120"/>
      <c r="I36" s="120"/>
      <c r="J36" s="120"/>
      <c r="K36" s="120"/>
      <c r="L36" s="120"/>
    </row>
    <row r="37" spans="1:24" ht="20.100000000000001" customHeight="1" x14ac:dyDescent="0.2">
      <c r="A37" s="5" t="s">
        <v>29</v>
      </c>
      <c r="B37" s="21">
        <f>'Ячейка 30Эн'!D40+'Ячейка 27Эн'!D40+'Ячейка 10Эн'!D40</f>
        <v>2454.7200000059092</v>
      </c>
      <c r="C37" s="21"/>
      <c r="D37" s="225">
        <f>'Ячейка 30Эн'!H40+'Ячейка 27Эн'!H40+'Ячейка 10Эн'!H40</f>
        <v>1421.2800000044808</v>
      </c>
      <c r="E37" s="225"/>
      <c r="F37" s="221">
        <f t="shared" si="0"/>
        <v>0.57899882675052938</v>
      </c>
      <c r="G37" s="221"/>
      <c r="H37" s="120"/>
      <c r="I37" s="120"/>
      <c r="J37" s="120"/>
      <c r="K37" s="120"/>
      <c r="L37" s="120"/>
    </row>
    <row r="38" spans="1:24" ht="20.100000000000001" customHeight="1" x14ac:dyDescent="0.2">
      <c r="A38" s="5" t="s">
        <v>30</v>
      </c>
      <c r="B38" s="21">
        <f>'Ячейка 30Эн'!D41+'Ячейка 27Эн'!D41+'Ячейка 10Эн'!D41</f>
        <v>2380.3199999776552</v>
      </c>
      <c r="C38" s="21"/>
      <c r="D38" s="225">
        <f>'Ячейка 30Эн'!H41+'Ячейка 27Эн'!H41+'Ячейка 10Эн'!H41</f>
        <v>1452.9599999965285</v>
      </c>
      <c r="E38" s="225"/>
      <c r="F38" s="221">
        <f t="shared" si="0"/>
        <v>0.61040532365823408</v>
      </c>
      <c r="G38" s="221"/>
      <c r="H38" s="120"/>
      <c r="I38" s="120"/>
      <c r="J38" s="120"/>
      <c r="K38" s="120"/>
      <c r="L38" s="120"/>
    </row>
    <row r="39" spans="1:24" ht="20.100000000000001" customHeight="1" x14ac:dyDescent="0.2">
      <c r="A39" s="5" t="s">
        <v>31</v>
      </c>
      <c r="B39" s="21">
        <f>'Ячейка 30Эн'!D42+'Ячейка 27Эн'!D42+'Ячейка 10Эн'!D42</f>
        <v>2199.8400000185939</v>
      </c>
      <c r="C39" s="21"/>
      <c r="D39" s="225">
        <f>'Ячейка 30Эн'!H42+'Ячейка 27Эн'!H42+'Ячейка 10Эн'!H42</f>
        <v>1434.4800000028044</v>
      </c>
      <c r="E39" s="225"/>
      <c r="F39" s="221">
        <f t="shared" si="0"/>
        <v>0.65208378790761135</v>
      </c>
      <c r="G39" s="221"/>
      <c r="H39" s="120"/>
      <c r="I39" s="120"/>
      <c r="J39" s="120"/>
      <c r="K39" s="120"/>
      <c r="L39" s="120"/>
      <c r="P39" s="177" t="s">
        <v>150</v>
      </c>
      <c r="Q39" s="177"/>
      <c r="R39" s="177"/>
      <c r="S39" s="176" t="s">
        <v>364</v>
      </c>
      <c r="T39" s="176"/>
      <c r="U39" s="176"/>
      <c r="V39" s="176"/>
      <c r="W39" s="176"/>
      <c r="X39" s="176"/>
    </row>
    <row r="40" spans="1:24" ht="20.100000000000001" customHeight="1" x14ac:dyDescent="0.2">
      <c r="A40" s="5" t="s">
        <v>32</v>
      </c>
      <c r="B40" s="21">
        <f>SUM(B15:B39)</f>
        <v>58620.239999995974</v>
      </c>
      <c r="C40" s="21"/>
      <c r="D40" s="225">
        <f>SUM(D15:E39)</f>
        <v>37308.960000008665</v>
      </c>
      <c r="E40" s="225"/>
      <c r="F40" s="221">
        <f t="shared" si="0"/>
        <v>0.6364518466661212</v>
      </c>
      <c r="G40" s="221"/>
      <c r="H40" s="120"/>
      <c r="I40" s="120"/>
      <c r="J40" s="120"/>
      <c r="K40" s="120"/>
      <c r="L40" s="120"/>
    </row>
    <row r="41" spans="1:24" ht="20.100000000000001" customHeight="1" x14ac:dyDescent="0.2">
      <c r="A41" s="5" t="s">
        <v>33</v>
      </c>
      <c r="B41" s="5"/>
      <c r="C41" s="5"/>
      <c r="D41" s="219"/>
      <c r="E41" s="219"/>
      <c r="F41" s="221"/>
      <c r="G41" s="221"/>
      <c r="H41" s="120"/>
      <c r="I41" s="120"/>
      <c r="J41" s="120"/>
      <c r="K41" s="120"/>
      <c r="L41" s="120"/>
    </row>
    <row r="42" spans="1:24" ht="20.100000000000001" customHeight="1" x14ac:dyDescent="0.2">
      <c r="A42" s="129" t="s">
        <v>2</v>
      </c>
      <c r="B42" s="128" t="s">
        <v>37</v>
      </c>
      <c r="C42" s="132"/>
      <c r="D42" s="129"/>
      <c r="E42" s="128" t="s">
        <v>40</v>
      </c>
      <c r="F42" s="132"/>
      <c r="G42" s="132"/>
      <c r="H42" s="132"/>
      <c r="I42" s="129"/>
      <c r="J42" s="124" t="s">
        <v>5</v>
      </c>
      <c r="K42" s="131"/>
      <c r="L42" s="131"/>
    </row>
    <row r="43" spans="1:24" ht="36" customHeight="1" x14ac:dyDescent="0.2">
      <c r="A43" s="129"/>
      <c r="B43" s="219" t="s">
        <v>38</v>
      </c>
      <c r="C43" s="219"/>
      <c r="D43" s="5" t="s">
        <v>39</v>
      </c>
      <c r="E43" s="128" t="s">
        <v>41</v>
      </c>
      <c r="F43" s="132"/>
      <c r="G43" s="129"/>
      <c r="H43" s="128" t="s">
        <v>42</v>
      </c>
      <c r="I43" s="129"/>
      <c r="J43" s="127"/>
      <c r="K43" s="130"/>
      <c r="L43" s="130"/>
    </row>
    <row r="44" spans="1:24" ht="20.100000000000001" customHeight="1" x14ac:dyDescent="0.2">
      <c r="A44" s="4" t="s">
        <v>153</v>
      </c>
      <c r="B44" s="226">
        <f>SUM(B24:B26)</f>
        <v>8478.2400000141934</v>
      </c>
      <c r="C44" s="227"/>
      <c r="D44" s="21">
        <f>SUM(D24:E26)</f>
        <v>5211.5999999965425</v>
      </c>
      <c r="E44" s="226">
        <f>B44/3</f>
        <v>2826.0800000047311</v>
      </c>
      <c r="F44" s="231"/>
      <c r="G44" s="227"/>
      <c r="H44" s="226">
        <f>D44/3</f>
        <v>1737.1999999988475</v>
      </c>
      <c r="I44" s="227"/>
      <c r="J44" s="228">
        <f>H44/E44</f>
        <v>0.61470305157530547</v>
      </c>
      <c r="K44" s="229"/>
      <c r="L44" s="229"/>
    </row>
    <row r="45" spans="1:24" ht="20.100000000000001" customHeight="1" x14ac:dyDescent="0.2">
      <c r="A45" s="4" t="s">
        <v>43</v>
      </c>
      <c r="B45" s="226">
        <f>SUM(B33:B36)</f>
        <v>10208.880000002307</v>
      </c>
      <c r="C45" s="227"/>
      <c r="D45" s="21">
        <f>SUM(D33:E36)</f>
        <v>5849.759999995149</v>
      </c>
      <c r="E45" s="226">
        <f>B45/4</f>
        <v>2552.2200000005769</v>
      </c>
      <c r="F45" s="231"/>
      <c r="G45" s="227"/>
      <c r="H45" s="226">
        <f>D45/4</f>
        <v>1462.4399999987872</v>
      </c>
      <c r="I45" s="227"/>
      <c r="J45" s="228">
        <f>H45/E45</f>
        <v>0.57300702917399626</v>
      </c>
      <c r="K45" s="229"/>
      <c r="L45" s="229"/>
    </row>
    <row r="46" spans="1:24" ht="20.100000000000001" customHeight="1" x14ac:dyDescent="0.2">
      <c r="A46" s="4" t="s">
        <v>44</v>
      </c>
      <c r="B46" s="226">
        <f>SUM(B16:B39)</f>
        <v>58620.239999995974</v>
      </c>
      <c r="C46" s="227"/>
      <c r="D46" s="21">
        <f>SUM(D16:E39)</f>
        <v>37308.960000008665</v>
      </c>
      <c r="E46" s="226">
        <f>B46/24</f>
        <v>2442.5099999998324</v>
      </c>
      <c r="F46" s="231"/>
      <c r="G46" s="227"/>
      <c r="H46" s="226">
        <f>D46/24</f>
        <v>1554.540000000361</v>
      </c>
      <c r="I46" s="227"/>
      <c r="J46" s="228">
        <f>H46/E46</f>
        <v>0.6364518466661212</v>
      </c>
      <c r="K46" s="229"/>
      <c r="L46" s="229"/>
    </row>
    <row r="47" spans="1:24" ht="20.100000000000001" customHeight="1" x14ac:dyDescent="0.2"/>
    <row r="48" spans="1:24" ht="20.100000000000001" customHeight="1" x14ac:dyDescent="0.2"/>
    <row r="49" spans="3:9" ht="20.100000000000001" customHeight="1" x14ac:dyDescent="0.2"/>
    <row r="50" spans="3:9" ht="20.100000000000001" customHeight="1" x14ac:dyDescent="0.2">
      <c r="C50" s="122" t="s">
        <v>186</v>
      </c>
      <c r="D50" s="122"/>
      <c r="E50" s="122"/>
      <c r="F50" s="122"/>
      <c r="G50" s="122"/>
      <c r="H50" s="122"/>
      <c r="I50" s="122"/>
    </row>
    <row r="51" spans="3:9" ht="20.100000000000001" customHeight="1" x14ac:dyDescent="0.2"/>
  </sheetData>
  <sheetProtection sheet="1" objects="1" scenarios="1"/>
  <mergeCells count="189">
    <mergeCell ref="F1:H2"/>
    <mergeCell ref="I1:L2"/>
    <mergeCell ref="M1:M3"/>
    <mergeCell ref="N1:Q3"/>
    <mergeCell ref="F5:H6"/>
    <mergeCell ref="I5:L6"/>
    <mergeCell ref="F3:H4"/>
    <mergeCell ref="I3:L4"/>
    <mergeCell ref="R1:T1"/>
    <mergeCell ref="S4:T4"/>
    <mergeCell ref="S5:T5"/>
    <mergeCell ref="S6:T6"/>
    <mergeCell ref="U1:W1"/>
    <mergeCell ref="R2:R3"/>
    <mergeCell ref="U2:U3"/>
    <mergeCell ref="S2:T2"/>
    <mergeCell ref="S3:T3"/>
    <mergeCell ref="V2:W2"/>
    <mergeCell ref="V3:W3"/>
    <mergeCell ref="N8:Q8"/>
    <mergeCell ref="N9:Q9"/>
    <mergeCell ref="V4:W4"/>
    <mergeCell ref="V5:W5"/>
    <mergeCell ref="V6:W6"/>
    <mergeCell ref="V7:W7"/>
    <mergeCell ref="V8:W8"/>
    <mergeCell ref="V9:W9"/>
    <mergeCell ref="S7:T7"/>
    <mergeCell ref="S8:T8"/>
    <mergeCell ref="S9:T9"/>
    <mergeCell ref="N4:Q4"/>
    <mergeCell ref="N5:Q5"/>
    <mergeCell ref="N6:Q6"/>
    <mergeCell ref="N7:Q7"/>
    <mergeCell ref="W14:W18"/>
    <mergeCell ref="N19:Q19"/>
    <mergeCell ref="M14:M18"/>
    <mergeCell ref="N14:Q18"/>
    <mergeCell ref="R14:T14"/>
    <mergeCell ref="T15:T18"/>
    <mergeCell ref="S15:S18"/>
    <mergeCell ref="R15:R18"/>
    <mergeCell ref="S10:T10"/>
    <mergeCell ref="S11:T11"/>
    <mergeCell ref="V10:W10"/>
    <mergeCell ref="V11:W11"/>
    <mergeCell ref="N21:Q21"/>
    <mergeCell ref="N24:V24"/>
    <mergeCell ref="O25:V25"/>
    <mergeCell ref="U14:U18"/>
    <mergeCell ref="V14:V18"/>
    <mergeCell ref="O30:V30"/>
    <mergeCell ref="O31:V31"/>
    <mergeCell ref="O32:V32"/>
    <mergeCell ref="N10:Q10"/>
    <mergeCell ref="N11:Q11"/>
    <mergeCell ref="O33:V33"/>
    <mergeCell ref="O26:V26"/>
    <mergeCell ref="O27:V27"/>
    <mergeCell ref="O28:V28"/>
    <mergeCell ref="O29:V29"/>
    <mergeCell ref="P39:R39"/>
    <mergeCell ref="C50:I50"/>
    <mergeCell ref="A10:B10"/>
    <mergeCell ref="C10:H10"/>
    <mergeCell ref="A11:L11"/>
    <mergeCell ref="H13:L13"/>
    <mergeCell ref="A12:A13"/>
    <mergeCell ref="B13:C13"/>
    <mergeCell ref="D13:E13"/>
    <mergeCell ref="D20:E20"/>
    <mergeCell ref="D27:E27"/>
    <mergeCell ref="B12:E12"/>
    <mergeCell ref="D16:E16"/>
    <mergeCell ref="D17:E17"/>
    <mergeCell ref="D18:E18"/>
    <mergeCell ref="D19:E19"/>
    <mergeCell ref="D23:E23"/>
    <mergeCell ref="D24:E24"/>
    <mergeCell ref="N20:Q20"/>
    <mergeCell ref="D35:E35"/>
    <mergeCell ref="D36:E36"/>
    <mergeCell ref="F38:G38"/>
    <mergeCell ref="A7:L7"/>
    <mergeCell ref="F12:G13"/>
    <mergeCell ref="H12:L12"/>
    <mergeCell ref="F9:H9"/>
    <mergeCell ref="A9:E9"/>
    <mergeCell ref="A8:L8"/>
    <mergeCell ref="D14:E14"/>
    <mergeCell ref="D15:E15"/>
    <mergeCell ref="F14:G14"/>
    <mergeCell ref="F15:G15"/>
    <mergeCell ref="H14:L14"/>
    <mergeCell ref="H15:L15"/>
    <mergeCell ref="H16:L16"/>
    <mergeCell ref="H17:L17"/>
    <mergeCell ref="H18:L18"/>
    <mergeCell ref="H21:L21"/>
    <mergeCell ref="H22:L22"/>
    <mergeCell ref="H23:L23"/>
    <mergeCell ref="H37:L37"/>
    <mergeCell ref="F32:G32"/>
    <mergeCell ref="H25:L25"/>
    <mergeCell ref="A42:A43"/>
    <mergeCell ref="B43:C43"/>
    <mergeCell ref="D26:E26"/>
    <mergeCell ref="D40:E40"/>
    <mergeCell ref="D33:E33"/>
    <mergeCell ref="D34:E34"/>
    <mergeCell ref="D28:E28"/>
    <mergeCell ref="D39:E39"/>
    <mergeCell ref="F21:G21"/>
    <mergeCell ref="F22:G22"/>
    <mergeCell ref="D37:E37"/>
    <mergeCell ref="D25:E25"/>
    <mergeCell ref="F24:G24"/>
    <mergeCell ref="F25:G25"/>
    <mergeCell ref="F26:G26"/>
    <mergeCell ref="D21:E21"/>
    <mergeCell ref="D22:E22"/>
    <mergeCell ref="D29:E29"/>
    <mergeCell ref="D30:E30"/>
    <mergeCell ref="D31:E31"/>
    <mergeCell ref="D32:E32"/>
    <mergeCell ref="F36:G36"/>
    <mergeCell ref="F37:G37"/>
    <mergeCell ref="F31:G31"/>
    <mergeCell ref="H26:L26"/>
    <mergeCell ref="H27:L27"/>
    <mergeCell ref="H20:L20"/>
    <mergeCell ref="F33:G33"/>
    <mergeCell ref="F34:G34"/>
    <mergeCell ref="F27:G27"/>
    <mergeCell ref="F28:G28"/>
    <mergeCell ref="F29:G29"/>
    <mergeCell ref="F30:G30"/>
    <mergeCell ref="H28:L28"/>
    <mergeCell ref="H24:L24"/>
    <mergeCell ref="H33:L33"/>
    <mergeCell ref="H34:L34"/>
    <mergeCell ref="A1:E1"/>
    <mergeCell ref="A2:E2"/>
    <mergeCell ref="A3:E3"/>
    <mergeCell ref="A4:E4"/>
    <mergeCell ref="A5:E5"/>
    <mergeCell ref="A6:E6"/>
    <mergeCell ref="B46:C46"/>
    <mergeCell ref="E46:G46"/>
    <mergeCell ref="B44:C44"/>
    <mergeCell ref="B45:C45"/>
    <mergeCell ref="D41:E41"/>
    <mergeCell ref="E45:G45"/>
    <mergeCell ref="F41:G41"/>
    <mergeCell ref="B42:D42"/>
    <mergeCell ref="F40:G40"/>
    <mergeCell ref="D38:E38"/>
    <mergeCell ref="F23:G23"/>
    <mergeCell ref="F39:G39"/>
    <mergeCell ref="F16:G16"/>
    <mergeCell ref="F17:G17"/>
    <mergeCell ref="F18:G18"/>
    <mergeCell ref="F19:G19"/>
    <mergeCell ref="F20:G20"/>
    <mergeCell ref="F35:G35"/>
    <mergeCell ref="I9:M9"/>
    <mergeCell ref="S39:X39"/>
    <mergeCell ref="H46:I46"/>
    <mergeCell ref="E42:I42"/>
    <mergeCell ref="E43:G43"/>
    <mergeCell ref="H43:I43"/>
    <mergeCell ref="E44:G44"/>
    <mergeCell ref="H44:I44"/>
    <mergeCell ref="J46:L46"/>
    <mergeCell ref="J42:L43"/>
    <mergeCell ref="J44:L44"/>
    <mergeCell ref="J45:L45"/>
    <mergeCell ref="H45:I45"/>
    <mergeCell ref="H41:L41"/>
    <mergeCell ref="H40:L40"/>
    <mergeCell ref="H35:L35"/>
    <mergeCell ref="H36:L36"/>
    <mergeCell ref="H19:L19"/>
    <mergeCell ref="H38:L38"/>
    <mergeCell ref="H39:L39"/>
    <mergeCell ref="H29:L29"/>
    <mergeCell ref="H30:L30"/>
    <mergeCell ref="H31:L31"/>
    <mergeCell ref="H32:L32"/>
  </mergeCells>
  <phoneticPr fontId="0" type="noConversion"/>
  <printOptions horizontalCentered="1"/>
  <pageMargins left="0.39370078740157483" right="0.39370078740157483" top="0.19685039370078741" bottom="0.19685039370078741" header="0" footer="0"/>
  <pageSetup paperSize="9" scale="74" orientation="portrait" horizontalDpi="180" verticalDpi="180" r:id="rId1"/>
  <headerFooter alignWithMargins="0"/>
  <rowBreaks count="1" manualBreakCount="1">
    <brk id="50" max="22" man="1"/>
  </rowBreaks>
  <colBreaks count="1" manualBreakCount="1">
    <brk id="12" max="49" man="1"/>
  </colBreak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6"/>
  <dimension ref="A1:X51"/>
  <sheetViews>
    <sheetView view="pageBreakPreview" topLeftCell="A10" zoomScale="75" zoomScaleNormal="100" workbookViewId="0">
      <selection activeCell="C10" sqref="C10:H10"/>
    </sheetView>
  </sheetViews>
  <sheetFormatPr defaultRowHeight="18.75" x14ac:dyDescent="0.2"/>
  <cols>
    <col min="1" max="1" width="15" style="2" customWidth="1"/>
    <col min="2" max="2" width="15.7109375" style="2" customWidth="1"/>
    <col min="3" max="3" width="6.28515625" style="2" customWidth="1"/>
    <col min="4" max="4" width="22.7109375" style="2" customWidth="1"/>
    <col min="5" max="5" width="3.42578125" style="2" customWidth="1"/>
    <col min="6" max="8" width="9.140625" style="2"/>
    <col min="9" max="9" width="9.7109375" style="2" customWidth="1"/>
    <col min="10" max="10" width="6" style="2" customWidth="1"/>
    <col min="11" max="11" width="6.140625" style="2" customWidth="1"/>
    <col min="12" max="12" width="6.85546875" style="2" customWidth="1"/>
    <col min="13" max="13" width="8.42578125" style="2" customWidth="1"/>
    <col min="14" max="18" width="10.7109375" style="2" customWidth="1"/>
    <col min="19" max="19" width="13.85546875" style="2" customWidth="1"/>
    <col min="20" max="20" width="14" style="2" customWidth="1"/>
    <col min="21" max="21" width="12.42578125" style="2" customWidth="1"/>
    <col min="22" max="22" width="13.140625" style="2" customWidth="1"/>
    <col min="23" max="23" width="13.28515625" style="2" customWidth="1"/>
    <col min="24" max="28" width="10.28515625" style="2" customWidth="1"/>
    <col min="29" max="16384" width="9.140625" style="2"/>
  </cols>
  <sheetData>
    <row r="1" spans="1:23" ht="26.25" x14ac:dyDescent="0.2">
      <c r="A1" s="115" t="s">
        <v>161</v>
      </c>
      <c r="B1" s="115"/>
      <c r="C1" s="115"/>
      <c r="D1" s="115"/>
      <c r="E1" s="115"/>
      <c r="F1" s="150" t="s">
        <v>154</v>
      </c>
      <c r="G1" s="150"/>
      <c r="H1" s="150"/>
      <c r="I1" s="115" t="s">
        <v>163</v>
      </c>
      <c r="J1" s="115"/>
      <c r="K1" s="115"/>
      <c r="L1" s="115"/>
      <c r="M1" s="123" t="s">
        <v>115</v>
      </c>
      <c r="N1" s="121" t="s">
        <v>116</v>
      </c>
      <c r="O1" s="121"/>
      <c r="P1" s="121"/>
      <c r="Q1" s="121"/>
      <c r="R1" s="219" t="s">
        <v>117</v>
      </c>
      <c r="S1" s="219"/>
      <c r="T1" s="219"/>
      <c r="U1" s="219" t="s">
        <v>118</v>
      </c>
      <c r="V1" s="219"/>
      <c r="W1" s="128"/>
    </row>
    <row r="2" spans="1:23" ht="18.75" customHeight="1" x14ac:dyDescent="0.2">
      <c r="A2" s="146" t="s">
        <v>45</v>
      </c>
      <c r="B2" s="146"/>
      <c r="C2" s="146"/>
      <c r="D2" s="146"/>
      <c r="E2" s="146"/>
      <c r="F2" s="150"/>
      <c r="G2" s="150"/>
      <c r="H2" s="150"/>
      <c r="I2" s="115"/>
      <c r="J2" s="115"/>
      <c r="K2" s="115"/>
      <c r="L2" s="115"/>
      <c r="M2" s="116"/>
      <c r="N2" s="118"/>
      <c r="O2" s="118"/>
      <c r="P2" s="118"/>
      <c r="Q2" s="118"/>
      <c r="R2" s="118" t="s">
        <v>119</v>
      </c>
      <c r="S2" s="118" t="s">
        <v>120</v>
      </c>
      <c r="T2" s="118"/>
      <c r="U2" s="118" t="s">
        <v>119</v>
      </c>
      <c r="V2" s="118" t="s">
        <v>120</v>
      </c>
      <c r="W2" s="125"/>
    </row>
    <row r="3" spans="1:23" ht="21.75" customHeight="1" x14ac:dyDescent="0.2">
      <c r="A3" s="115" t="s">
        <v>173</v>
      </c>
      <c r="B3" s="115"/>
      <c r="C3" s="115"/>
      <c r="D3" s="115"/>
      <c r="E3" s="115"/>
      <c r="F3" s="150" t="s">
        <v>155</v>
      </c>
      <c r="G3" s="150"/>
      <c r="H3" s="150"/>
      <c r="I3" s="115" t="s">
        <v>240</v>
      </c>
      <c r="J3" s="115"/>
      <c r="K3" s="115"/>
      <c r="L3" s="115"/>
      <c r="M3" s="117"/>
      <c r="N3" s="119"/>
      <c r="O3" s="119"/>
      <c r="P3" s="119"/>
      <c r="Q3" s="119"/>
      <c r="R3" s="119"/>
      <c r="S3" s="119" t="s">
        <v>121</v>
      </c>
      <c r="T3" s="119"/>
      <c r="U3" s="119"/>
      <c r="V3" s="119" t="s">
        <v>121</v>
      </c>
      <c r="W3" s="127"/>
    </row>
    <row r="4" spans="1:23" ht="29.25" customHeight="1" x14ac:dyDescent="0.2">
      <c r="A4" s="146" t="s">
        <v>46</v>
      </c>
      <c r="B4" s="146"/>
      <c r="C4" s="146"/>
      <c r="D4" s="146"/>
      <c r="E4" s="146"/>
      <c r="F4" s="150"/>
      <c r="G4" s="150"/>
      <c r="H4" s="150"/>
      <c r="I4" s="115"/>
      <c r="J4" s="115"/>
      <c r="K4" s="115"/>
      <c r="L4" s="115"/>
      <c r="M4" s="9"/>
      <c r="N4" s="216" t="s">
        <v>122</v>
      </c>
      <c r="O4" s="216"/>
      <c r="P4" s="216"/>
      <c r="Q4" s="216"/>
      <c r="R4" s="7"/>
      <c r="S4" s="111"/>
      <c r="T4" s="113"/>
      <c r="U4" s="7"/>
      <c r="V4" s="111"/>
      <c r="W4" s="112"/>
    </row>
    <row r="5" spans="1:23" ht="21" customHeight="1" x14ac:dyDescent="0.2">
      <c r="A5" s="234" t="s">
        <v>159</v>
      </c>
      <c r="B5" s="234"/>
      <c r="C5" s="234"/>
      <c r="D5" s="234"/>
      <c r="E5" s="234"/>
      <c r="F5" s="150" t="s">
        <v>156</v>
      </c>
      <c r="G5" s="150"/>
      <c r="H5" s="150"/>
      <c r="I5" s="115" t="s">
        <v>239</v>
      </c>
      <c r="J5" s="115"/>
      <c r="K5" s="115"/>
      <c r="L5" s="115"/>
      <c r="M5" s="9"/>
      <c r="N5" s="217" t="s">
        <v>123</v>
      </c>
      <c r="O5" s="217"/>
      <c r="P5" s="217"/>
      <c r="Q5" s="217"/>
      <c r="R5" s="7"/>
      <c r="S5" s="111"/>
      <c r="T5" s="113"/>
      <c r="U5" s="7"/>
      <c r="V5" s="111"/>
      <c r="W5" s="112"/>
    </row>
    <row r="6" spans="1:23" x14ac:dyDescent="0.2">
      <c r="A6" s="146" t="s">
        <v>47</v>
      </c>
      <c r="B6" s="146"/>
      <c r="C6" s="146"/>
      <c r="D6" s="146"/>
      <c r="E6" s="146"/>
      <c r="F6" s="150"/>
      <c r="G6" s="150"/>
      <c r="H6" s="150"/>
      <c r="I6" s="115"/>
      <c r="J6" s="115"/>
      <c r="K6" s="115"/>
      <c r="L6" s="115"/>
      <c r="M6" s="9"/>
      <c r="N6" s="217" t="s">
        <v>124</v>
      </c>
      <c r="O6" s="217"/>
      <c r="P6" s="217"/>
      <c r="Q6" s="217"/>
      <c r="R6" s="7"/>
      <c r="S6" s="111"/>
      <c r="T6" s="113"/>
      <c r="U6" s="7"/>
      <c r="V6" s="111"/>
      <c r="W6" s="112"/>
    </row>
    <row r="7" spans="1:23" x14ac:dyDescent="0.2">
      <c r="A7" s="122"/>
      <c r="B7" s="122"/>
      <c r="C7" s="122"/>
      <c r="D7" s="122"/>
      <c r="E7" s="122"/>
      <c r="F7" s="122"/>
      <c r="G7" s="122"/>
      <c r="H7" s="122"/>
      <c r="I7" s="122"/>
      <c r="J7" s="122"/>
      <c r="K7" s="122"/>
      <c r="L7" s="122"/>
      <c r="M7" s="9"/>
      <c r="N7" s="218" t="s">
        <v>125</v>
      </c>
      <c r="O7" s="218"/>
      <c r="P7" s="218"/>
      <c r="Q7" s="218"/>
      <c r="R7" s="7"/>
      <c r="S7" s="111"/>
      <c r="T7" s="113"/>
      <c r="U7" s="7"/>
      <c r="V7" s="111"/>
      <c r="W7" s="112"/>
    </row>
    <row r="8" spans="1:23" ht="22.5" x14ac:dyDescent="0.2">
      <c r="A8" s="143" t="s">
        <v>0</v>
      </c>
      <c r="B8" s="143"/>
      <c r="C8" s="143"/>
      <c r="D8" s="143"/>
      <c r="E8" s="143"/>
      <c r="F8" s="143"/>
      <c r="G8" s="143"/>
      <c r="H8" s="143"/>
      <c r="I8" s="143"/>
      <c r="J8" s="143"/>
      <c r="K8" s="143"/>
      <c r="L8" s="143"/>
      <c r="M8" s="9"/>
      <c r="N8" s="217" t="s">
        <v>126</v>
      </c>
      <c r="O8" s="217"/>
      <c r="P8" s="217"/>
      <c r="Q8" s="217"/>
      <c r="R8" s="7"/>
      <c r="S8" s="111"/>
      <c r="T8" s="113"/>
      <c r="U8" s="7"/>
      <c r="V8" s="111"/>
      <c r="W8" s="112"/>
    </row>
    <row r="9" spans="1:23" ht="18.75" customHeight="1" x14ac:dyDescent="0.2">
      <c r="A9" s="220" t="s">
        <v>152</v>
      </c>
      <c r="B9" s="220"/>
      <c r="C9" s="220"/>
      <c r="D9" s="220"/>
      <c r="E9" s="220"/>
      <c r="F9" s="162" t="s">
        <v>407</v>
      </c>
      <c r="G9" s="163"/>
      <c r="H9" s="163"/>
      <c r="I9" s="138" t="s">
        <v>369</v>
      </c>
      <c r="J9" s="138"/>
      <c r="K9" s="138"/>
      <c r="L9" s="138"/>
      <c r="M9" s="138"/>
      <c r="N9" s="217" t="s">
        <v>127</v>
      </c>
      <c r="O9" s="217"/>
      <c r="P9" s="217"/>
      <c r="Q9" s="217"/>
      <c r="R9" s="7"/>
      <c r="S9" s="111"/>
      <c r="T9" s="113"/>
      <c r="U9" s="7"/>
      <c r="V9" s="111"/>
      <c r="W9" s="112"/>
    </row>
    <row r="10" spans="1:23" ht="19.5" customHeight="1" x14ac:dyDescent="0.2">
      <c r="A10" s="220" t="s">
        <v>151</v>
      </c>
      <c r="B10" s="220"/>
      <c r="C10" s="163" t="s">
        <v>361</v>
      </c>
      <c r="D10" s="163"/>
      <c r="E10" s="163"/>
      <c r="F10" s="163"/>
      <c r="G10" s="163"/>
      <c r="H10" s="163"/>
      <c r="I10" s="3"/>
      <c r="J10" s="3"/>
      <c r="K10" s="3"/>
      <c r="L10" s="3"/>
      <c r="M10" s="9"/>
      <c r="N10" s="218" t="s">
        <v>128</v>
      </c>
      <c r="O10" s="218"/>
      <c r="P10" s="218"/>
      <c r="Q10" s="218"/>
      <c r="R10" s="7"/>
      <c r="S10" s="111"/>
      <c r="T10" s="113"/>
      <c r="U10" s="7"/>
      <c r="V10" s="111"/>
      <c r="W10" s="112"/>
    </row>
    <row r="11" spans="1:23" x14ac:dyDescent="0.2">
      <c r="A11" s="215" t="s">
        <v>1</v>
      </c>
      <c r="B11" s="215"/>
      <c r="C11" s="215"/>
      <c r="D11" s="215"/>
      <c r="E11" s="215"/>
      <c r="F11" s="215"/>
      <c r="G11" s="215"/>
      <c r="H11" s="215"/>
      <c r="I11" s="215"/>
      <c r="J11" s="215"/>
      <c r="K11" s="215"/>
      <c r="L11" s="215"/>
      <c r="M11" s="9"/>
      <c r="N11" s="223" t="s">
        <v>129</v>
      </c>
      <c r="O11" s="223"/>
      <c r="P11" s="223"/>
      <c r="Q11" s="223"/>
      <c r="R11" s="7"/>
      <c r="S11" s="111"/>
      <c r="T11" s="113"/>
      <c r="U11" s="7"/>
      <c r="V11" s="111"/>
      <c r="W11" s="112"/>
    </row>
    <row r="12" spans="1:23" ht="20.100000000000001" customHeight="1" x14ac:dyDescent="0.2">
      <c r="A12" s="129" t="s">
        <v>2</v>
      </c>
      <c r="B12" s="219" t="s">
        <v>36</v>
      </c>
      <c r="C12" s="219"/>
      <c r="D12" s="219"/>
      <c r="E12" s="219"/>
      <c r="F12" s="219" t="s">
        <v>5</v>
      </c>
      <c r="G12" s="219"/>
      <c r="H12" s="124" t="s">
        <v>34</v>
      </c>
      <c r="I12" s="131"/>
      <c r="J12" s="131"/>
      <c r="K12" s="131"/>
      <c r="L12" s="131"/>
      <c r="N12" s="1"/>
      <c r="O12" s="1"/>
      <c r="P12" s="1"/>
      <c r="Q12" s="1"/>
    </row>
    <row r="13" spans="1:23" ht="20.100000000000001" customHeight="1" x14ac:dyDescent="0.2">
      <c r="A13" s="129"/>
      <c r="B13" s="219" t="s">
        <v>3</v>
      </c>
      <c r="C13" s="219"/>
      <c r="D13" s="219" t="s">
        <v>4</v>
      </c>
      <c r="E13" s="219"/>
      <c r="F13" s="219"/>
      <c r="G13" s="219"/>
      <c r="H13" s="127" t="s">
        <v>35</v>
      </c>
      <c r="I13" s="130"/>
      <c r="J13" s="130"/>
      <c r="K13" s="130"/>
      <c r="L13" s="130"/>
    </row>
    <row r="14" spans="1:23" ht="20.100000000000001" customHeight="1" x14ac:dyDescent="0.2">
      <c r="A14" s="5" t="s">
        <v>6</v>
      </c>
      <c r="B14" s="7"/>
      <c r="C14" s="5"/>
      <c r="D14" s="120"/>
      <c r="E14" s="120"/>
      <c r="F14" s="221" t="str">
        <f t="shared" ref="F14:F40" si="0">IF(OR(B14="",D14=""),"",IF(ISERROR(D14/B14),IF(D14=0,0,""),D14/B14))</f>
        <v/>
      </c>
      <c r="G14" s="221"/>
      <c r="H14" s="120"/>
      <c r="I14" s="120"/>
      <c r="J14" s="120"/>
      <c r="K14" s="120"/>
      <c r="L14" s="120"/>
      <c r="M14" s="129" t="s">
        <v>115</v>
      </c>
      <c r="N14" s="219" t="s">
        <v>116</v>
      </c>
      <c r="O14" s="219"/>
      <c r="P14" s="219"/>
      <c r="Q14" s="219"/>
      <c r="R14" s="219" t="s">
        <v>117</v>
      </c>
      <c r="S14" s="219"/>
      <c r="T14" s="219"/>
      <c r="U14" s="219" t="s">
        <v>130</v>
      </c>
      <c r="V14" s="219" t="s">
        <v>69</v>
      </c>
      <c r="W14" s="128" t="s">
        <v>131</v>
      </c>
    </row>
    <row r="15" spans="1:23" ht="20.100000000000001" customHeight="1" x14ac:dyDescent="0.2">
      <c r="A15" s="5" t="s">
        <v>7</v>
      </c>
      <c r="B15" s="5"/>
      <c r="C15" s="5"/>
      <c r="D15" s="219"/>
      <c r="E15" s="219"/>
      <c r="F15" s="221" t="str">
        <f t="shared" si="0"/>
        <v/>
      </c>
      <c r="G15" s="221"/>
      <c r="H15" s="120"/>
      <c r="I15" s="120"/>
      <c r="J15" s="120"/>
      <c r="K15" s="120"/>
      <c r="L15" s="120"/>
      <c r="M15" s="129"/>
      <c r="N15" s="219"/>
      <c r="O15" s="219"/>
      <c r="P15" s="219"/>
      <c r="Q15" s="219"/>
      <c r="R15" s="224" t="s">
        <v>130</v>
      </c>
      <c r="S15" s="219" t="s">
        <v>69</v>
      </c>
      <c r="T15" s="219" t="s">
        <v>131</v>
      </c>
      <c r="U15" s="219"/>
      <c r="V15" s="219"/>
      <c r="W15" s="128"/>
    </row>
    <row r="16" spans="1:23" ht="20.100000000000001" customHeight="1" x14ac:dyDescent="0.2">
      <c r="A16" s="5" t="s">
        <v>8</v>
      </c>
      <c r="B16" s="21">
        <f>'Ячейка 16РЖД'!D19+'Ячейка 14РЖД'!D19</f>
        <v>325.4400000001624</v>
      </c>
      <c r="C16" s="21"/>
      <c r="D16" s="225">
        <f>'Ячейка 16РЖД'!H19+'Ячейка 14РЖД'!H19</f>
        <v>157.31999999898107</v>
      </c>
      <c r="E16" s="225"/>
      <c r="F16" s="221">
        <f t="shared" si="0"/>
        <v>0.48340707964264557</v>
      </c>
      <c r="G16" s="221"/>
      <c r="H16" s="120"/>
      <c r="I16" s="120"/>
      <c r="J16" s="120"/>
      <c r="K16" s="120"/>
      <c r="L16" s="120"/>
      <c r="M16" s="129"/>
      <c r="N16" s="219"/>
      <c r="O16" s="219"/>
      <c r="P16" s="219"/>
      <c r="Q16" s="219"/>
      <c r="R16" s="224"/>
      <c r="S16" s="219"/>
      <c r="T16" s="219"/>
      <c r="U16" s="219"/>
      <c r="V16" s="219"/>
      <c r="W16" s="128"/>
    </row>
    <row r="17" spans="1:23" ht="20.100000000000001" customHeight="1" x14ac:dyDescent="0.2">
      <c r="A17" s="5" t="s">
        <v>9</v>
      </c>
      <c r="B17" s="21">
        <f>'Ячейка 16РЖД'!D20+'Ячейка 14РЖД'!D20</f>
        <v>320.39999999979045</v>
      </c>
      <c r="C17" s="21"/>
      <c r="D17" s="225">
        <f>'Ячейка 16РЖД'!H20+'Ячейка 14РЖД'!H20</f>
        <v>155.88000000097963</v>
      </c>
      <c r="E17" s="225"/>
      <c r="F17" s="221">
        <f t="shared" si="0"/>
        <v>0.48651685393596</v>
      </c>
      <c r="G17" s="221"/>
      <c r="H17" s="120"/>
      <c r="I17" s="120"/>
      <c r="J17" s="120"/>
      <c r="K17" s="120"/>
      <c r="L17" s="120"/>
      <c r="M17" s="129"/>
      <c r="N17" s="219"/>
      <c r="O17" s="219"/>
      <c r="P17" s="219"/>
      <c r="Q17" s="219"/>
      <c r="R17" s="224"/>
      <c r="S17" s="219"/>
      <c r="T17" s="219"/>
      <c r="U17" s="219"/>
      <c r="V17" s="219"/>
      <c r="W17" s="128"/>
    </row>
    <row r="18" spans="1:23" ht="20.100000000000001" customHeight="1" x14ac:dyDescent="0.2">
      <c r="A18" s="5" t="s">
        <v>10</v>
      </c>
      <c r="B18" s="21">
        <f>'Ячейка 16РЖД'!D21+'Ячейка 14РЖД'!D21</f>
        <v>312.11999999941327</v>
      </c>
      <c r="C18" s="21"/>
      <c r="D18" s="225">
        <f>'Ячейка 16РЖД'!H21+'Ячейка 14РЖД'!H21</f>
        <v>156.95999999988999</v>
      </c>
      <c r="E18" s="225"/>
      <c r="F18" s="221">
        <f t="shared" si="0"/>
        <v>0.50288350634430679</v>
      </c>
      <c r="G18" s="221"/>
      <c r="H18" s="120"/>
      <c r="I18" s="120"/>
      <c r="J18" s="120"/>
      <c r="K18" s="120"/>
      <c r="L18" s="120"/>
      <c r="M18" s="129"/>
      <c r="N18" s="219"/>
      <c r="O18" s="219"/>
      <c r="P18" s="219"/>
      <c r="Q18" s="219"/>
      <c r="R18" s="224"/>
      <c r="S18" s="219"/>
      <c r="T18" s="219"/>
      <c r="U18" s="219"/>
      <c r="V18" s="219"/>
      <c r="W18" s="128"/>
    </row>
    <row r="19" spans="1:23" ht="20.100000000000001" customHeight="1" x14ac:dyDescent="0.2">
      <c r="A19" s="5" t="s">
        <v>11</v>
      </c>
      <c r="B19" s="21">
        <f>'Ячейка 16РЖД'!D22+'Ячейка 14РЖД'!D22</f>
        <v>315.72000000014668</v>
      </c>
      <c r="C19" s="21"/>
      <c r="D19" s="225">
        <f>'Ячейка 16РЖД'!H22+'Ячейка 14РЖД'!H22</f>
        <v>158.03999999880034</v>
      </c>
      <c r="E19" s="225"/>
      <c r="F19" s="221">
        <f t="shared" si="0"/>
        <v>0.50057012542356172</v>
      </c>
      <c r="G19" s="221"/>
      <c r="H19" s="120"/>
      <c r="I19" s="120"/>
      <c r="J19" s="120"/>
      <c r="K19" s="120"/>
      <c r="L19" s="120"/>
      <c r="M19" s="9"/>
      <c r="N19" s="216" t="s">
        <v>132</v>
      </c>
      <c r="O19" s="216"/>
      <c r="P19" s="216"/>
      <c r="Q19" s="216"/>
      <c r="R19" s="7"/>
      <c r="S19" s="7"/>
      <c r="T19" s="7"/>
      <c r="U19" s="7"/>
      <c r="V19" s="7"/>
      <c r="W19" s="8"/>
    </row>
    <row r="20" spans="1:23" ht="20.100000000000001" customHeight="1" x14ac:dyDescent="0.2">
      <c r="A20" s="5" t="s">
        <v>12</v>
      </c>
      <c r="B20" s="21">
        <f>'Ячейка 16РЖД'!D23+'Ячейка 14РЖД'!D23</f>
        <v>321.48000000197499</v>
      </c>
      <c r="C20" s="21"/>
      <c r="D20" s="225">
        <f>'Ячейка 16РЖД'!H23+'Ячейка 14РЖД'!H23</f>
        <v>158.04000000043743</v>
      </c>
      <c r="E20" s="225"/>
      <c r="F20" s="221">
        <f t="shared" si="0"/>
        <v>0.49160134378333498</v>
      </c>
      <c r="G20" s="221"/>
      <c r="H20" s="120"/>
      <c r="I20" s="120"/>
      <c r="J20" s="120"/>
      <c r="K20" s="120"/>
      <c r="L20" s="120"/>
      <c r="M20" s="9"/>
      <c r="N20" s="217" t="s">
        <v>133</v>
      </c>
      <c r="O20" s="217"/>
      <c r="P20" s="217"/>
      <c r="Q20" s="217"/>
      <c r="R20" s="7"/>
      <c r="S20" s="7"/>
      <c r="T20" s="7"/>
      <c r="U20" s="7"/>
      <c r="V20" s="7"/>
      <c r="W20" s="8"/>
    </row>
    <row r="21" spans="1:23" ht="20.100000000000001" customHeight="1" x14ac:dyDescent="0.2">
      <c r="A21" s="5" t="s">
        <v>13</v>
      </c>
      <c r="B21" s="21">
        <f>'Ячейка 16РЖД'!D24+'Ячейка 14РЖД'!D24</f>
        <v>336.59999999981665</v>
      </c>
      <c r="C21" s="21"/>
      <c r="D21" s="225">
        <f>'Ячейка 16РЖД'!H24+'Ячейка 14РЖД'!H24</f>
        <v>158.7600000002567</v>
      </c>
      <c r="E21" s="225"/>
      <c r="F21" s="221">
        <f t="shared" si="0"/>
        <v>0.47165775401171472</v>
      </c>
      <c r="G21" s="221"/>
      <c r="H21" s="120"/>
      <c r="I21" s="120"/>
      <c r="J21" s="120"/>
      <c r="K21" s="120"/>
      <c r="L21" s="120"/>
      <c r="M21" s="9"/>
      <c r="N21" s="222" t="s">
        <v>134</v>
      </c>
      <c r="O21" s="222"/>
      <c r="P21" s="222"/>
      <c r="Q21" s="222"/>
      <c r="R21" s="7"/>
      <c r="S21" s="7"/>
      <c r="T21" s="7"/>
      <c r="U21" s="7"/>
      <c r="V21" s="7"/>
      <c r="W21" s="8"/>
    </row>
    <row r="22" spans="1:23" ht="20.100000000000001" customHeight="1" x14ac:dyDescent="0.2">
      <c r="A22" s="5" t="s">
        <v>14</v>
      </c>
      <c r="B22" s="21">
        <f>'Ячейка 16РЖД'!D25+'Ячейка 14РЖД'!D25</f>
        <v>339.83999999982188</v>
      </c>
      <c r="C22" s="21"/>
      <c r="D22" s="225">
        <f>'Ячейка 16РЖД'!H25+'Ячейка 14РЖД'!H25</f>
        <v>153.35999999915657</v>
      </c>
      <c r="E22" s="225"/>
      <c r="F22" s="221">
        <f t="shared" si="0"/>
        <v>0.45127118643843267</v>
      </c>
      <c r="G22" s="221"/>
      <c r="H22" s="120"/>
      <c r="I22" s="120"/>
      <c r="J22" s="120"/>
      <c r="K22" s="120"/>
      <c r="L22" s="120"/>
    </row>
    <row r="23" spans="1:23" ht="20.100000000000001" customHeight="1" x14ac:dyDescent="0.2">
      <c r="A23" s="5" t="s">
        <v>15</v>
      </c>
      <c r="B23" s="21">
        <f>'Ячейка 16РЖД'!D26+'Ячейка 14РЖД'!D26</f>
        <v>344.51999999946565</v>
      </c>
      <c r="C23" s="21"/>
      <c r="D23" s="225">
        <f>'Ячейка 16РЖД'!H26+'Ячейка 14РЖД'!H26</f>
        <v>150.4800000015166</v>
      </c>
      <c r="E23" s="225"/>
      <c r="F23" s="221">
        <f t="shared" si="0"/>
        <v>0.43678160920048181</v>
      </c>
      <c r="G23" s="221"/>
      <c r="H23" s="120"/>
      <c r="I23" s="120"/>
      <c r="J23" s="120"/>
      <c r="K23" s="120"/>
      <c r="L23" s="120"/>
    </row>
    <row r="24" spans="1:23" ht="20.100000000000001" customHeight="1" x14ac:dyDescent="0.2">
      <c r="A24" s="5" t="s">
        <v>16</v>
      </c>
      <c r="B24" s="21">
        <f>'Ячейка 16РЖД'!D27+'Ячейка 14РЖД'!D27</f>
        <v>330.11999999980617</v>
      </c>
      <c r="C24" s="21"/>
      <c r="D24" s="225">
        <f>'Ячейка 16РЖД'!H27+'Ячейка 14РЖД'!H27</f>
        <v>126.7199999992954</v>
      </c>
      <c r="E24" s="225"/>
      <c r="F24" s="221">
        <f t="shared" si="0"/>
        <v>0.38386041439285656</v>
      </c>
      <c r="G24" s="221"/>
      <c r="H24" s="120"/>
      <c r="I24" s="120"/>
      <c r="J24" s="120"/>
      <c r="K24" s="120"/>
      <c r="L24" s="120"/>
      <c r="N24" s="145" t="s">
        <v>135</v>
      </c>
      <c r="O24" s="145"/>
      <c r="P24" s="145"/>
      <c r="Q24" s="145"/>
      <c r="R24" s="145"/>
      <c r="S24" s="145"/>
      <c r="T24" s="145"/>
      <c r="U24" s="145"/>
      <c r="V24" s="145"/>
    </row>
    <row r="25" spans="1:23" ht="20.100000000000001" customHeight="1" x14ac:dyDescent="0.2">
      <c r="A25" s="5" t="s">
        <v>17</v>
      </c>
      <c r="B25" s="21">
        <f>'Ячейка 16РЖД'!D28+'Ячейка 14РЖД'!D28</f>
        <v>311.75999999868509</v>
      </c>
      <c r="C25" s="21"/>
      <c r="D25" s="225">
        <f>'Ячейка 16РЖД'!H28+'Ячейка 14РЖД'!H28</f>
        <v>104.3999999999869</v>
      </c>
      <c r="E25" s="225"/>
      <c r="F25" s="221">
        <f t="shared" si="0"/>
        <v>0.334872979216151</v>
      </c>
      <c r="G25" s="221"/>
      <c r="H25" s="120"/>
      <c r="I25" s="120"/>
      <c r="J25" s="120"/>
      <c r="K25" s="120"/>
      <c r="L25" s="120"/>
      <c r="N25" s="17" t="s">
        <v>136</v>
      </c>
      <c r="O25" s="145" t="s">
        <v>137</v>
      </c>
      <c r="P25" s="145"/>
      <c r="Q25" s="145"/>
      <c r="R25" s="145"/>
      <c r="S25" s="145"/>
      <c r="T25" s="145"/>
      <c r="U25" s="145"/>
      <c r="V25" s="145"/>
    </row>
    <row r="26" spans="1:23" ht="20.100000000000001" customHeight="1" x14ac:dyDescent="0.2">
      <c r="A26" s="5" t="s">
        <v>18</v>
      </c>
      <c r="B26" s="21">
        <f>'Ячейка 16РЖД'!D29+'Ячейка 14РЖД'!D29</f>
        <v>306.00000000013097</v>
      </c>
      <c r="C26" s="21"/>
      <c r="D26" s="225">
        <f>'Ячейка 16РЖД'!H29+'Ячейка 14РЖД'!H29</f>
        <v>108.00000000072032</v>
      </c>
      <c r="E26" s="225"/>
      <c r="F26" s="221">
        <f t="shared" si="0"/>
        <v>0.35294117647279116</v>
      </c>
      <c r="G26" s="221"/>
      <c r="H26" s="120"/>
      <c r="I26" s="120"/>
      <c r="J26" s="120"/>
      <c r="K26" s="120"/>
      <c r="L26" s="120"/>
      <c r="N26" s="17" t="s">
        <v>138</v>
      </c>
      <c r="O26" s="145" t="s">
        <v>180</v>
      </c>
      <c r="P26" s="145"/>
      <c r="Q26" s="145"/>
      <c r="R26" s="145"/>
      <c r="S26" s="145"/>
      <c r="T26" s="145"/>
      <c r="U26" s="145"/>
      <c r="V26" s="145"/>
    </row>
    <row r="27" spans="1:23" ht="20.100000000000001" customHeight="1" x14ac:dyDescent="0.2">
      <c r="A27" s="5" t="s">
        <v>19</v>
      </c>
      <c r="B27" s="21">
        <f>'Ячейка 16РЖД'!D30+'Ячейка 14РЖД'!D30</f>
        <v>315.35999999941851</v>
      </c>
      <c r="C27" s="21"/>
      <c r="D27" s="225">
        <f>'Ячейка 16РЖД'!H30+'Ячейка 14РЖД'!H30</f>
        <v>111.95999999890773</v>
      </c>
      <c r="E27" s="225"/>
      <c r="F27" s="221">
        <f t="shared" si="0"/>
        <v>0.35502283104741938</v>
      </c>
      <c r="G27" s="221"/>
      <c r="H27" s="120"/>
      <c r="I27" s="120"/>
      <c r="J27" s="120"/>
      <c r="K27" s="120"/>
      <c r="L27" s="120"/>
      <c r="N27" s="17" t="s">
        <v>139</v>
      </c>
      <c r="O27" s="145" t="s">
        <v>140</v>
      </c>
      <c r="P27" s="145"/>
      <c r="Q27" s="145"/>
      <c r="R27" s="145"/>
      <c r="S27" s="145"/>
      <c r="T27" s="145"/>
      <c r="U27" s="145"/>
      <c r="V27" s="145"/>
    </row>
    <row r="28" spans="1:23" ht="20.100000000000001" customHeight="1" x14ac:dyDescent="0.2">
      <c r="A28" s="5" t="s">
        <v>20</v>
      </c>
      <c r="B28" s="21">
        <f>'Ячейка 16РЖД'!D31+'Ячейка 14РЖД'!D31</f>
        <v>317.52000000051339</v>
      </c>
      <c r="C28" s="21"/>
      <c r="D28" s="225">
        <f>'Ячейка 16РЖД'!H31+'Ячейка 14РЖД'!H31</f>
        <v>115.20000000055006</v>
      </c>
      <c r="E28" s="225"/>
      <c r="F28" s="221">
        <f t="shared" si="0"/>
        <v>0.3628117913843657</v>
      </c>
      <c r="G28" s="221"/>
      <c r="H28" s="120"/>
      <c r="I28" s="120"/>
      <c r="J28" s="120"/>
      <c r="K28" s="120"/>
      <c r="L28" s="120"/>
      <c r="N28" s="17"/>
      <c r="O28" s="145" t="s">
        <v>141</v>
      </c>
      <c r="P28" s="145"/>
      <c r="Q28" s="145"/>
      <c r="R28" s="145"/>
      <c r="S28" s="145"/>
      <c r="T28" s="145"/>
      <c r="U28" s="145"/>
      <c r="V28" s="145"/>
    </row>
    <row r="29" spans="1:23" ht="20.100000000000001" customHeight="1" x14ac:dyDescent="0.2">
      <c r="A29" s="5" t="s">
        <v>21</v>
      </c>
      <c r="B29" s="21">
        <f>'Ячейка 16РЖД'!D32+'Ячейка 14РЖД'!D32</f>
        <v>325.07999999943422</v>
      </c>
      <c r="C29" s="21"/>
      <c r="D29" s="225">
        <f>'Ячейка 16РЖД'!H32+'Ячейка 14РЖД'!H32</f>
        <v>112.31999999963591</v>
      </c>
      <c r="E29" s="225"/>
      <c r="F29" s="221">
        <f t="shared" si="0"/>
        <v>0.3455149501655943</v>
      </c>
      <c r="G29" s="221"/>
      <c r="H29" s="120"/>
      <c r="I29" s="120"/>
      <c r="J29" s="120"/>
      <c r="K29" s="120"/>
      <c r="L29" s="120"/>
      <c r="N29" s="17"/>
      <c r="O29" s="145" t="s">
        <v>142</v>
      </c>
      <c r="P29" s="145"/>
      <c r="Q29" s="145"/>
      <c r="R29" s="145"/>
      <c r="S29" s="145"/>
      <c r="T29" s="145"/>
      <c r="U29" s="145"/>
      <c r="V29" s="145"/>
    </row>
    <row r="30" spans="1:23" ht="20.100000000000001" customHeight="1" x14ac:dyDescent="0.2">
      <c r="A30" s="5" t="s">
        <v>22</v>
      </c>
      <c r="B30" s="21">
        <f>'Ячейка 16РЖД'!D33+'Ячейка 14РЖД'!D33</f>
        <v>324.00000000052387</v>
      </c>
      <c r="C30" s="21"/>
      <c r="D30" s="225">
        <f>'Ячейка 16РЖД'!H33+'Ячейка 14РЖД'!H33</f>
        <v>110.52000000090629</v>
      </c>
      <c r="E30" s="225"/>
      <c r="F30" s="221">
        <f t="shared" si="0"/>
        <v>0.34111111111335679</v>
      </c>
      <c r="G30" s="221"/>
      <c r="H30" s="120"/>
      <c r="I30" s="120"/>
      <c r="J30" s="120"/>
      <c r="K30" s="120"/>
      <c r="L30" s="120"/>
      <c r="N30" s="17" t="s">
        <v>143</v>
      </c>
      <c r="O30" s="145" t="s">
        <v>144</v>
      </c>
      <c r="P30" s="145"/>
      <c r="Q30" s="145"/>
      <c r="R30" s="145"/>
      <c r="S30" s="145"/>
      <c r="T30" s="145"/>
      <c r="U30" s="145"/>
      <c r="V30" s="145"/>
    </row>
    <row r="31" spans="1:23" ht="20.100000000000001" customHeight="1" x14ac:dyDescent="0.2">
      <c r="A31" s="5" t="s">
        <v>23</v>
      </c>
      <c r="B31" s="21">
        <f>'Ячейка 16РЖД'!D34+'Ячейка 14РЖД'!D34</f>
        <v>318.24000000196975</v>
      </c>
      <c r="C31" s="21"/>
      <c r="D31" s="225">
        <f>'Ячейка 16РЖД'!H34+'Ячейка 14РЖД'!H34</f>
        <v>112.679999998727</v>
      </c>
      <c r="E31" s="225"/>
      <c r="F31" s="221">
        <f t="shared" si="0"/>
        <v>0.35407239818385361</v>
      </c>
      <c r="G31" s="221"/>
      <c r="H31" s="120"/>
      <c r="I31" s="120"/>
      <c r="J31" s="120"/>
      <c r="K31" s="120"/>
      <c r="L31" s="120"/>
      <c r="N31" s="17"/>
      <c r="O31" s="145" t="s">
        <v>145</v>
      </c>
      <c r="P31" s="145"/>
      <c r="Q31" s="145"/>
      <c r="R31" s="145"/>
      <c r="S31" s="145"/>
      <c r="T31" s="145"/>
      <c r="U31" s="145"/>
      <c r="V31" s="145"/>
    </row>
    <row r="32" spans="1:23" ht="20.100000000000001" customHeight="1" x14ac:dyDescent="0.2">
      <c r="A32" s="5" t="s">
        <v>24</v>
      </c>
      <c r="B32" s="21">
        <f>'Ячейка 16РЖД'!D35+'Ячейка 14РЖД'!D35</f>
        <v>352.43999999911466</v>
      </c>
      <c r="C32" s="21"/>
      <c r="D32" s="225">
        <f>'Ячейка 16РЖД'!H35+'Ячейка 14РЖД'!H35</f>
        <v>140.40000000077271</v>
      </c>
      <c r="E32" s="225"/>
      <c r="F32" s="221">
        <f t="shared" si="0"/>
        <v>0.3983656792677488</v>
      </c>
      <c r="G32" s="221"/>
      <c r="H32" s="120"/>
      <c r="I32" s="120"/>
      <c r="J32" s="120"/>
      <c r="K32" s="120"/>
      <c r="L32" s="120"/>
      <c r="N32" s="17" t="s">
        <v>146</v>
      </c>
      <c r="O32" s="145" t="s">
        <v>147</v>
      </c>
      <c r="P32" s="145"/>
      <c r="Q32" s="145"/>
      <c r="R32" s="145"/>
      <c r="S32" s="145"/>
      <c r="T32" s="145"/>
      <c r="U32" s="145"/>
      <c r="V32" s="145"/>
    </row>
    <row r="33" spans="1:24" ht="20.100000000000001" customHeight="1" x14ac:dyDescent="0.2">
      <c r="A33" s="5" t="s">
        <v>25</v>
      </c>
      <c r="B33" s="21">
        <f>'Ячейка 16РЖД'!D36+'Ячейка 14РЖД'!D36</f>
        <v>354.60000000020955</v>
      </c>
      <c r="C33" s="21"/>
      <c r="D33" s="225">
        <f>'Ячейка 16РЖД'!H36+'Ячейка 14РЖД'!H36</f>
        <v>147.23999999987427</v>
      </c>
      <c r="E33" s="225"/>
      <c r="F33" s="221">
        <f t="shared" si="0"/>
        <v>0.41522842639533913</v>
      </c>
      <c r="G33" s="221"/>
      <c r="H33" s="120"/>
      <c r="I33" s="120"/>
      <c r="J33" s="120"/>
      <c r="K33" s="120"/>
      <c r="L33" s="120"/>
      <c r="N33" s="17" t="s">
        <v>148</v>
      </c>
      <c r="O33" s="145" t="s">
        <v>149</v>
      </c>
      <c r="P33" s="145"/>
      <c r="Q33" s="145"/>
      <c r="R33" s="145"/>
      <c r="S33" s="145"/>
      <c r="T33" s="145"/>
      <c r="U33" s="145"/>
      <c r="V33" s="145"/>
    </row>
    <row r="34" spans="1:24" ht="20.100000000000001" customHeight="1" x14ac:dyDescent="0.2">
      <c r="A34" s="5" t="s">
        <v>26</v>
      </c>
      <c r="B34" s="21">
        <f>'Ячейка 16РЖД'!D37+'Ячейка 14РЖД'!D37</f>
        <v>476.28000000077009</v>
      </c>
      <c r="C34" s="21"/>
      <c r="D34" s="225">
        <f>'Ячейка 16РЖД'!H37+'Ячейка 14РЖД'!H37</f>
        <v>183.59999999975116</v>
      </c>
      <c r="E34" s="225"/>
      <c r="F34" s="221">
        <f t="shared" si="0"/>
        <v>0.38548752834352545</v>
      </c>
      <c r="G34" s="221"/>
      <c r="H34" s="120"/>
      <c r="I34" s="120"/>
      <c r="J34" s="120"/>
      <c r="K34" s="120"/>
      <c r="L34" s="120"/>
    </row>
    <row r="35" spans="1:24" ht="20.100000000000001" customHeight="1" x14ac:dyDescent="0.2">
      <c r="A35" s="5" t="s">
        <v>27</v>
      </c>
      <c r="B35" s="21">
        <f>'Ячейка 16РЖД'!D38+'Ячейка 14РЖД'!D38</f>
        <v>346.31999999983236</v>
      </c>
      <c r="C35" s="21"/>
      <c r="D35" s="225">
        <f>'Ячейка 16РЖД'!H38+'Ячейка 14РЖД'!H38</f>
        <v>144.7199999996883</v>
      </c>
      <c r="E35" s="225"/>
      <c r="F35" s="221">
        <f t="shared" si="0"/>
        <v>0.41787941787872013</v>
      </c>
      <c r="G35" s="221"/>
      <c r="H35" s="120"/>
      <c r="I35" s="120"/>
      <c r="J35" s="120"/>
      <c r="K35" s="120"/>
      <c r="L35" s="120"/>
    </row>
    <row r="36" spans="1:24" ht="20.100000000000001" customHeight="1" x14ac:dyDescent="0.2">
      <c r="A36" s="5" t="s">
        <v>28</v>
      </c>
      <c r="B36" s="21">
        <f>'Ячейка 16РЖД'!D39+'Ячейка 14РЖД'!D39</f>
        <v>333.35999999981141</v>
      </c>
      <c r="C36" s="21"/>
      <c r="D36" s="225">
        <f>'Ячейка 16РЖД'!H39+'Ячейка 14РЖД'!H39</f>
        <v>143.99999999986903</v>
      </c>
      <c r="E36" s="225"/>
      <c r="F36" s="221">
        <f t="shared" si="0"/>
        <v>0.43196544276443033</v>
      </c>
      <c r="G36" s="221"/>
      <c r="H36" s="120"/>
      <c r="I36" s="120"/>
      <c r="J36" s="120"/>
      <c r="K36" s="120"/>
      <c r="L36" s="120"/>
    </row>
    <row r="37" spans="1:24" ht="20.100000000000001" customHeight="1" x14ac:dyDescent="0.2">
      <c r="A37" s="5" t="s">
        <v>29</v>
      </c>
      <c r="B37" s="21">
        <f>'Ячейка 16РЖД'!D40+'Ячейка 14РЖД'!D40</f>
        <v>335.51999999763211</v>
      </c>
      <c r="C37" s="21"/>
      <c r="D37" s="225">
        <f>'Ячейка 16РЖД'!H40+'Ячейка 14РЖД'!H40</f>
        <v>151.56000000042695</v>
      </c>
      <c r="E37" s="225"/>
      <c r="F37" s="221">
        <f t="shared" si="0"/>
        <v>0.45171673820188535</v>
      </c>
      <c r="G37" s="221"/>
      <c r="H37" s="120"/>
      <c r="I37" s="120"/>
      <c r="J37" s="120"/>
      <c r="K37" s="120"/>
      <c r="L37" s="120"/>
    </row>
    <row r="38" spans="1:24" ht="20.100000000000001" customHeight="1" x14ac:dyDescent="0.2">
      <c r="A38" s="5" t="s">
        <v>30</v>
      </c>
      <c r="B38" s="21">
        <f>'Ячейка 16РЖД'!D41+'Ячейка 14РЖД'!D41</f>
        <v>455.7600000018283</v>
      </c>
      <c r="C38" s="21"/>
      <c r="D38" s="225">
        <f>'Ячейка 16РЖД'!H41+'Ячейка 14РЖД'!H41</f>
        <v>215.99999999980355</v>
      </c>
      <c r="E38" s="225"/>
      <c r="F38" s="221">
        <f t="shared" si="0"/>
        <v>0.47393364928676729</v>
      </c>
      <c r="G38" s="221"/>
      <c r="H38" s="120"/>
      <c r="I38" s="120"/>
      <c r="J38" s="120"/>
      <c r="K38" s="120"/>
      <c r="L38" s="120"/>
    </row>
    <row r="39" spans="1:24" ht="20.100000000000001" customHeight="1" x14ac:dyDescent="0.2">
      <c r="A39" s="5" t="s">
        <v>31</v>
      </c>
      <c r="B39" s="21">
        <f>'Ячейка 16РЖД'!D42+'Ячейка 14РЖД'!D42</f>
        <v>368.63999999914085</v>
      </c>
      <c r="C39" s="21"/>
      <c r="D39" s="225">
        <f>'Ячейка 16РЖД'!H42+'Ячейка 14РЖД'!H42</f>
        <v>174.96000000028289</v>
      </c>
      <c r="E39" s="225"/>
      <c r="F39" s="221">
        <f t="shared" si="0"/>
        <v>0.4746093750018735</v>
      </c>
      <c r="G39" s="221"/>
      <c r="H39" s="120"/>
      <c r="I39" s="120"/>
      <c r="J39" s="120"/>
      <c r="K39" s="120"/>
      <c r="L39" s="120"/>
      <c r="P39" s="177" t="s">
        <v>150</v>
      </c>
      <c r="Q39" s="177"/>
      <c r="R39" s="177"/>
      <c r="S39" s="176" t="s">
        <v>364</v>
      </c>
      <c r="T39" s="176"/>
      <c r="U39" s="176"/>
      <c r="V39" s="176"/>
      <c r="W39" s="176"/>
      <c r="X39" s="176"/>
    </row>
    <row r="40" spans="1:24" ht="20.100000000000001" customHeight="1" x14ac:dyDescent="0.2">
      <c r="A40" s="5" t="s">
        <v>32</v>
      </c>
      <c r="B40" s="21">
        <f>SUM(B15:B39)</f>
        <v>8187.1199999994133</v>
      </c>
      <c r="C40" s="21"/>
      <c r="D40" s="225">
        <f>SUM(D15:E39)</f>
        <v>3453.1199999992168</v>
      </c>
      <c r="E40" s="225"/>
      <c r="F40" s="221">
        <f t="shared" si="0"/>
        <v>0.42177469000081402</v>
      </c>
      <c r="G40" s="221"/>
      <c r="H40" s="120"/>
      <c r="I40" s="120"/>
      <c r="J40" s="120"/>
      <c r="K40" s="120"/>
      <c r="L40" s="120"/>
    </row>
    <row r="41" spans="1:24" ht="20.100000000000001" customHeight="1" x14ac:dyDescent="0.2">
      <c r="A41" s="5" t="s">
        <v>33</v>
      </c>
      <c r="B41" s="5"/>
      <c r="C41" s="5"/>
      <c r="D41" s="219"/>
      <c r="E41" s="219"/>
      <c r="F41" s="221"/>
      <c r="G41" s="221"/>
      <c r="H41" s="120"/>
      <c r="I41" s="120"/>
      <c r="J41" s="120"/>
      <c r="K41" s="120"/>
      <c r="L41" s="120"/>
    </row>
    <row r="42" spans="1:24" ht="20.100000000000001" customHeight="1" x14ac:dyDescent="0.2">
      <c r="A42" s="129" t="s">
        <v>2</v>
      </c>
      <c r="B42" s="128" t="s">
        <v>37</v>
      </c>
      <c r="C42" s="132"/>
      <c r="D42" s="129"/>
      <c r="E42" s="128" t="s">
        <v>40</v>
      </c>
      <c r="F42" s="132"/>
      <c r="G42" s="132"/>
      <c r="H42" s="132"/>
      <c r="I42" s="129"/>
      <c r="J42" s="124" t="s">
        <v>5</v>
      </c>
      <c r="K42" s="131"/>
      <c r="L42" s="131"/>
    </row>
    <row r="43" spans="1:24" ht="36" customHeight="1" x14ac:dyDescent="0.2">
      <c r="A43" s="129"/>
      <c r="B43" s="219" t="s">
        <v>38</v>
      </c>
      <c r="C43" s="219"/>
      <c r="D43" s="5" t="s">
        <v>39</v>
      </c>
      <c r="E43" s="128" t="s">
        <v>41</v>
      </c>
      <c r="F43" s="132"/>
      <c r="G43" s="129"/>
      <c r="H43" s="128" t="s">
        <v>42</v>
      </c>
      <c r="I43" s="129"/>
      <c r="J43" s="127"/>
      <c r="K43" s="130"/>
      <c r="L43" s="130"/>
    </row>
    <row r="44" spans="1:24" ht="20.100000000000001" customHeight="1" x14ac:dyDescent="0.2">
      <c r="A44" s="4" t="s">
        <v>153</v>
      </c>
      <c r="B44" s="226">
        <f>SUM(B24:B26)</f>
        <v>947.87999999862222</v>
      </c>
      <c r="C44" s="227"/>
      <c r="D44" s="21">
        <f>SUM(D24:E26)</f>
        <v>339.12000000000262</v>
      </c>
      <c r="E44" s="226">
        <f>B44/3</f>
        <v>315.95999999954074</v>
      </c>
      <c r="F44" s="231"/>
      <c r="G44" s="227"/>
      <c r="H44" s="226">
        <f>D44/3</f>
        <v>113.04000000000087</v>
      </c>
      <c r="I44" s="227"/>
      <c r="J44" s="228">
        <f>H44/E44</f>
        <v>0.35776680592532339</v>
      </c>
      <c r="K44" s="229"/>
      <c r="L44" s="229"/>
    </row>
    <row r="45" spans="1:24" ht="20.100000000000001" customHeight="1" x14ac:dyDescent="0.2">
      <c r="A45" s="4" t="s">
        <v>43</v>
      </c>
      <c r="B45" s="226">
        <f>SUM(B33:B36)</f>
        <v>1510.5600000006234</v>
      </c>
      <c r="C45" s="227"/>
      <c r="D45" s="21">
        <f>SUM(D33:E36)</f>
        <v>619.55999999918276</v>
      </c>
      <c r="E45" s="226">
        <f>B45/4</f>
        <v>377.64000000015585</v>
      </c>
      <c r="F45" s="231"/>
      <c r="G45" s="227"/>
      <c r="H45" s="226">
        <f>D45/4</f>
        <v>154.88999999979569</v>
      </c>
      <c r="I45" s="227"/>
      <c r="J45" s="228">
        <f>H45/E45</f>
        <v>0.41015252621473297</v>
      </c>
      <c r="K45" s="229"/>
      <c r="L45" s="229"/>
    </row>
    <row r="46" spans="1:24" ht="20.100000000000001" customHeight="1" x14ac:dyDescent="0.2">
      <c r="A46" s="4" t="s">
        <v>44</v>
      </c>
      <c r="B46" s="226">
        <f>SUM(B16:B39)</f>
        <v>8187.1199999994133</v>
      </c>
      <c r="C46" s="227"/>
      <c r="D46" s="21">
        <f>SUM(D16:E39)</f>
        <v>3453.1199999992168</v>
      </c>
      <c r="E46" s="226">
        <f>B46/24</f>
        <v>341.12999999997555</v>
      </c>
      <c r="F46" s="231"/>
      <c r="G46" s="227"/>
      <c r="H46" s="226">
        <f>D46/24</f>
        <v>143.87999999996737</v>
      </c>
      <c r="I46" s="227"/>
      <c r="J46" s="228">
        <f>H46/E46</f>
        <v>0.42177469000081402</v>
      </c>
      <c r="K46" s="229"/>
      <c r="L46" s="229"/>
    </row>
    <row r="47" spans="1:24" ht="20.100000000000001" customHeight="1" x14ac:dyDescent="0.2"/>
    <row r="48" spans="1:24" ht="20.100000000000001" customHeight="1" x14ac:dyDescent="0.2"/>
    <row r="49" spans="3:9" ht="20.100000000000001" customHeight="1" x14ac:dyDescent="0.2"/>
    <row r="50" spans="3:9" ht="20.100000000000001" customHeight="1" x14ac:dyDescent="0.2">
      <c r="C50" s="122" t="s">
        <v>186</v>
      </c>
      <c r="D50" s="122"/>
      <c r="E50" s="122"/>
      <c r="F50" s="122"/>
      <c r="G50" s="122"/>
      <c r="H50" s="122"/>
      <c r="I50" s="122"/>
    </row>
    <row r="51" spans="3:9" ht="20.100000000000001" customHeight="1" x14ac:dyDescent="0.2"/>
  </sheetData>
  <sheetProtection sheet="1" objects="1" scenarios="1"/>
  <mergeCells count="189">
    <mergeCell ref="B45:C45"/>
    <mergeCell ref="J44:L44"/>
    <mergeCell ref="J45:L45"/>
    <mergeCell ref="D41:E41"/>
    <mergeCell ref="E45:G45"/>
    <mergeCell ref="F40:G40"/>
    <mergeCell ref="F29:G29"/>
    <mergeCell ref="F30:G30"/>
    <mergeCell ref="F31:G31"/>
    <mergeCell ref="F32:G32"/>
    <mergeCell ref="H45:I45"/>
    <mergeCell ref="F41:G41"/>
    <mergeCell ref="H35:L35"/>
    <mergeCell ref="H36:L36"/>
    <mergeCell ref="H37:L37"/>
    <mergeCell ref="H38:L38"/>
    <mergeCell ref="H39:L39"/>
    <mergeCell ref="H40:L40"/>
    <mergeCell ref="H29:L29"/>
    <mergeCell ref="H30:L30"/>
    <mergeCell ref="H31:L31"/>
    <mergeCell ref="H32:L32"/>
    <mergeCell ref="H33:L33"/>
    <mergeCell ref="H34:L34"/>
    <mergeCell ref="J46:L46"/>
    <mergeCell ref="J42:L43"/>
    <mergeCell ref="A1:E1"/>
    <mergeCell ref="A2:E2"/>
    <mergeCell ref="A3:E3"/>
    <mergeCell ref="A4:E4"/>
    <mergeCell ref="A5:E5"/>
    <mergeCell ref="A6:E6"/>
    <mergeCell ref="B46:C46"/>
    <mergeCell ref="E46:G46"/>
    <mergeCell ref="H46:I46"/>
    <mergeCell ref="E42:I42"/>
    <mergeCell ref="E43:G43"/>
    <mergeCell ref="H43:I43"/>
    <mergeCell ref="E44:G44"/>
    <mergeCell ref="H44:I44"/>
    <mergeCell ref="H41:L41"/>
    <mergeCell ref="B42:D42"/>
    <mergeCell ref="B44:C44"/>
    <mergeCell ref="H18:L18"/>
    <mergeCell ref="H19:L19"/>
    <mergeCell ref="H20:L20"/>
    <mergeCell ref="H21:L21"/>
    <mergeCell ref="H22:L22"/>
    <mergeCell ref="F18:G18"/>
    <mergeCell ref="F19:G19"/>
    <mergeCell ref="F20:G20"/>
    <mergeCell ref="F34:G34"/>
    <mergeCell ref="D30:E30"/>
    <mergeCell ref="D31:E31"/>
    <mergeCell ref="D32:E32"/>
    <mergeCell ref="D23:E23"/>
    <mergeCell ref="D24:E24"/>
    <mergeCell ref="F23:G23"/>
    <mergeCell ref="F24:G24"/>
    <mergeCell ref="F25:G25"/>
    <mergeCell ref="F26:G26"/>
    <mergeCell ref="F33:G33"/>
    <mergeCell ref="D25:E25"/>
    <mergeCell ref="D26:E26"/>
    <mergeCell ref="D14:E14"/>
    <mergeCell ref="D15:E15"/>
    <mergeCell ref="D16:E16"/>
    <mergeCell ref="D17:E17"/>
    <mergeCell ref="D18:E18"/>
    <mergeCell ref="D19:E19"/>
    <mergeCell ref="D20:E20"/>
    <mergeCell ref="C50:I50"/>
    <mergeCell ref="A10:B10"/>
    <mergeCell ref="C10:H10"/>
    <mergeCell ref="A11:L11"/>
    <mergeCell ref="H13:L13"/>
    <mergeCell ref="A12:A13"/>
    <mergeCell ref="B13:C13"/>
    <mergeCell ref="D13:E13"/>
    <mergeCell ref="B12:E12"/>
    <mergeCell ref="A42:A43"/>
    <mergeCell ref="B43:C43"/>
    <mergeCell ref="D27:E27"/>
    <mergeCell ref="D28:E28"/>
    <mergeCell ref="D40:E40"/>
    <mergeCell ref="D33:E33"/>
    <mergeCell ref="D34:E34"/>
    <mergeCell ref="D35:E35"/>
    <mergeCell ref="D36:E36"/>
    <mergeCell ref="D38:E38"/>
    <mergeCell ref="D39:E39"/>
    <mergeCell ref="D37:E37"/>
    <mergeCell ref="D29:E29"/>
    <mergeCell ref="F21:G21"/>
    <mergeCell ref="D21:E21"/>
    <mergeCell ref="N20:Q20"/>
    <mergeCell ref="N21:Q21"/>
    <mergeCell ref="D22:E22"/>
    <mergeCell ref="F27:G27"/>
    <mergeCell ref="F28:G28"/>
    <mergeCell ref="F22:G22"/>
    <mergeCell ref="F35:G35"/>
    <mergeCell ref="F36:G36"/>
    <mergeCell ref="F37:G37"/>
    <mergeCell ref="F38:G38"/>
    <mergeCell ref="F39:G39"/>
    <mergeCell ref="H23:L23"/>
    <mergeCell ref="H24:L24"/>
    <mergeCell ref="H25:L25"/>
    <mergeCell ref="H26:L26"/>
    <mergeCell ref="H27:L27"/>
    <mergeCell ref="H28:L28"/>
    <mergeCell ref="N10:Q10"/>
    <mergeCell ref="N11:Q11"/>
    <mergeCell ref="M14:M18"/>
    <mergeCell ref="N14:Q18"/>
    <mergeCell ref="R14:T14"/>
    <mergeCell ref="T15:T18"/>
    <mergeCell ref="S15:S18"/>
    <mergeCell ref="R15:R18"/>
    <mergeCell ref="S10:T10"/>
    <mergeCell ref="S11:T11"/>
    <mergeCell ref="N8:Q8"/>
    <mergeCell ref="N9:Q9"/>
    <mergeCell ref="M1:M3"/>
    <mergeCell ref="N1:Q3"/>
    <mergeCell ref="R1:T1"/>
    <mergeCell ref="S8:T8"/>
    <mergeCell ref="S9:T9"/>
    <mergeCell ref="S7:T7"/>
    <mergeCell ref="N19:Q19"/>
    <mergeCell ref="I9:M9"/>
    <mergeCell ref="A7:L7"/>
    <mergeCell ref="F12:G13"/>
    <mergeCell ref="H12:L12"/>
    <mergeCell ref="F9:H9"/>
    <mergeCell ref="A9:E9"/>
    <mergeCell ref="A8:L8"/>
    <mergeCell ref="F14:G14"/>
    <mergeCell ref="F15:G15"/>
    <mergeCell ref="F16:G16"/>
    <mergeCell ref="F17:G17"/>
    <mergeCell ref="H14:L14"/>
    <mergeCell ref="H15:L15"/>
    <mergeCell ref="H16:L16"/>
    <mergeCell ref="H17:L17"/>
    <mergeCell ref="U1:W1"/>
    <mergeCell ref="R2:R3"/>
    <mergeCell ref="U2:U3"/>
    <mergeCell ref="S2:T2"/>
    <mergeCell ref="S3:T3"/>
    <mergeCell ref="V2:W2"/>
    <mergeCell ref="V3:W3"/>
    <mergeCell ref="F5:H6"/>
    <mergeCell ref="I5:L6"/>
    <mergeCell ref="F3:H4"/>
    <mergeCell ref="I3:L4"/>
    <mergeCell ref="F1:H2"/>
    <mergeCell ref="I1:L2"/>
    <mergeCell ref="S4:T4"/>
    <mergeCell ref="S5:T5"/>
    <mergeCell ref="S6:T6"/>
    <mergeCell ref="N4:Q4"/>
    <mergeCell ref="N5:Q5"/>
    <mergeCell ref="N6:Q6"/>
    <mergeCell ref="V8:W8"/>
    <mergeCell ref="V9:W9"/>
    <mergeCell ref="V10:W10"/>
    <mergeCell ref="V11:W11"/>
    <mergeCell ref="V4:W4"/>
    <mergeCell ref="V5:W5"/>
    <mergeCell ref="V6:W6"/>
    <mergeCell ref="V7:W7"/>
    <mergeCell ref="S39:X39"/>
    <mergeCell ref="U14:U18"/>
    <mergeCell ref="V14:V18"/>
    <mergeCell ref="W14:W18"/>
    <mergeCell ref="O30:V30"/>
    <mergeCell ref="O31:V31"/>
    <mergeCell ref="O32:V32"/>
    <mergeCell ref="O33:V33"/>
    <mergeCell ref="P39:R39"/>
    <mergeCell ref="N24:V24"/>
    <mergeCell ref="O25:V25"/>
    <mergeCell ref="O26:V26"/>
    <mergeCell ref="O27:V27"/>
    <mergeCell ref="O28:V28"/>
    <mergeCell ref="O29:V29"/>
    <mergeCell ref="N7:Q7"/>
  </mergeCells>
  <phoneticPr fontId="0" type="noConversion"/>
  <printOptions horizontalCentered="1"/>
  <pageMargins left="0.39370078740157483" right="0.39370078740157483" top="0.19685039370078741" bottom="0.19685039370078741" header="0" footer="0"/>
  <pageSetup paperSize="9" scale="74" orientation="portrait" horizontalDpi="180" verticalDpi="180" r:id="rId1"/>
  <headerFooter alignWithMargins="0"/>
  <rowBreaks count="1" manualBreakCount="1">
    <brk id="50" max="22" man="1"/>
  </rowBreaks>
  <colBreaks count="1" manualBreakCount="1">
    <brk id="12" max="49" man="1"/>
  </colBreak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7"/>
  <dimension ref="A1:X51"/>
  <sheetViews>
    <sheetView view="pageBreakPreview" topLeftCell="A13" zoomScale="75" zoomScaleNormal="100" workbookViewId="0">
      <selection activeCell="F9" sqref="F9:H9"/>
    </sheetView>
  </sheetViews>
  <sheetFormatPr defaultRowHeight="18.75" x14ac:dyDescent="0.2"/>
  <cols>
    <col min="1" max="1" width="15" style="2" customWidth="1"/>
    <col min="2" max="2" width="15.7109375" style="2" customWidth="1"/>
    <col min="3" max="3" width="6.28515625" style="2" customWidth="1"/>
    <col min="4" max="4" width="22.7109375" style="2" customWidth="1"/>
    <col min="5" max="5" width="3.42578125" style="2" customWidth="1"/>
    <col min="6" max="8" width="9.140625" style="2"/>
    <col min="9" max="9" width="9.7109375" style="2" customWidth="1"/>
    <col min="10" max="10" width="6" style="2" customWidth="1"/>
    <col min="11" max="11" width="6.140625" style="2" customWidth="1"/>
    <col min="12" max="12" width="6.85546875" style="2" customWidth="1"/>
    <col min="13" max="13" width="8.42578125" style="2" customWidth="1"/>
    <col min="14" max="18" width="10.7109375" style="2" customWidth="1"/>
    <col min="19" max="19" width="13.85546875" style="2" customWidth="1"/>
    <col min="20" max="20" width="14" style="2" customWidth="1"/>
    <col min="21" max="21" width="12.42578125" style="2" customWidth="1"/>
    <col min="22" max="22" width="13.140625" style="2" customWidth="1"/>
    <col min="23" max="23" width="13.28515625" style="2" customWidth="1"/>
    <col min="24" max="28" width="10.28515625" style="2" customWidth="1"/>
    <col min="29" max="16384" width="9.140625" style="2"/>
  </cols>
  <sheetData>
    <row r="1" spans="1:23" ht="26.25" x14ac:dyDescent="0.2">
      <c r="A1" s="115" t="s">
        <v>161</v>
      </c>
      <c r="B1" s="115"/>
      <c r="C1" s="115"/>
      <c r="D1" s="115"/>
      <c r="E1" s="115"/>
      <c r="F1" s="150" t="s">
        <v>154</v>
      </c>
      <c r="G1" s="150"/>
      <c r="H1" s="150"/>
      <c r="I1" s="115" t="s">
        <v>163</v>
      </c>
      <c r="J1" s="115"/>
      <c r="K1" s="115"/>
      <c r="L1" s="115"/>
      <c r="M1" s="123" t="s">
        <v>115</v>
      </c>
      <c r="N1" s="121" t="s">
        <v>116</v>
      </c>
      <c r="O1" s="121"/>
      <c r="P1" s="121"/>
      <c r="Q1" s="121"/>
      <c r="R1" s="219" t="s">
        <v>117</v>
      </c>
      <c r="S1" s="219"/>
      <c r="T1" s="219"/>
      <c r="U1" s="219" t="s">
        <v>118</v>
      </c>
      <c r="V1" s="219"/>
      <c r="W1" s="128"/>
    </row>
    <row r="2" spans="1:23" ht="18.75" customHeight="1" x14ac:dyDescent="0.2">
      <c r="A2" s="146" t="s">
        <v>45</v>
      </c>
      <c r="B2" s="146"/>
      <c r="C2" s="146"/>
      <c r="D2" s="146"/>
      <c r="E2" s="146"/>
      <c r="F2" s="150"/>
      <c r="G2" s="150"/>
      <c r="H2" s="150"/>
      <c r="I2" s="115"/>
      <c r="J2" s="115"/>
      <c r="K2" s="115"/>
      <c r="L2" s="115"/>
      <c r="M2" s="116"/>
      <c r="N2" s="118"/>
      <c r="O2" s="118"/>
      <c r="P2" s="118"/>
      <c r="Q2" s="118"/>
      <c r="R2" s="118" t="s">
        <v>119</v>
      </c>
      <c r="S2" s="118" t="s">
        <v>120</v>
      </c>
      <c r="T2" s="118"/>
      <c r="U2" s="118" t="s">
        <v>119</v>
      </c>
      <c r="V2" s="118" t="s">
        <v>120</v>
      </c>
      <c r="W2" s="125"/>
    </row>
    <row r="3" spans="1:23" ht="21.75" customHeight="1" x14ac:dyDescent="0.2">
      <c r="A3" s="115" t="s">
        <v>173</v>
      </c>
      <c r="B3" s="115"/>
      <c r="C3" s="115"/>
      <c r="D3" s="115"/>
      <c r="E3" s="115"/>
      <c r="F3" s="150" t="s">
        <v>155</v>
      </c>
      <c r="G3" s="150"/>
      <c r="H3" s="150"/>
      <c r="I3" s="115" t="s">
        <v>240</v>
      </c>
      <c r="J3" s="115"/>
      <c r="K3" s="115"/>
      <c r="L3" s="115"/>
      <c r="M3" s="117"/>
      <c r="N3" s="119"/>
      <c r="O3" s="119"/>
      <c r="P3" s="119"/>
      <c r="Q3" s="119"/>
      <c r="R3" s="119"/>
      <c r="S3" s="119" t="s">
        <v>121</v>
      </c>
      <c r="T3" s="119"/>
      <c r="U3" s="119"/>
      <c r="V3" s="119" t="s">
        <v>121</v>
      </c>
      <c r="W3" s="127"/>
    </row>
    <row r="4" spans="1:23" ht="29.25" customHeight="1" x14ac:dyDescent="0.2">
      <c r="A4" s="146" t="s">
        <v>46</v>
      </c>
      <c r="B4" s="146"/>
      <c r="C4" s="146"/>
      <c r="D4" s="146"/>
      <c r="E4" s="146"/>
      <c r="F4" s="150"/>
      <c r="G4" s="150"/>
      <c r="H4" s="150"/>
      <c r="I4" s="115"/>
      <c r="J4" s="115"/>
      <c r="K4" s="115"/>
      <c r="L4" s="115"/>
      <c r="M4" s="9"/>
      <c r="N4" s="216" t="s">
        <v>122</v>
      </c>
      <c r="O4" s="216"/>
      <c r="P4" s="216"/>
      <c r="Q4" s="216"/>
      <c r="R4" s="7"/>
      <c r="S4" s="111"/>
      <c r="T4" s="113"/>
      <c r="U4" s="7"/>
      <c r="V4" s="111"/>
      <c r="W4" s="112"/>
    </row>
    <row r="5" spans="1:23" ht="21" customHeight="1" x14ac:dyDescent="0.2">
      <c r="A5" s="234" t="s">
        <v>159</v>
      </c>
      <c r="B5" s="234"/>
      <c r="C5" s="234"/>
      <c r="D5" s="234"/>
      <c r="E5" s="234"/>
      <c r="F5" s="150" t="s">
        <v>156</v>
      </c>
      <c r="G5" s="150"/>
      <c r="H5" s="150"/>
      <c r="I5" s="115" t="s">
        <v>241</v>
      </c>
      <c r="J5" s="115"/>
      <c r="K5" s="115"/>
      <c r="L5" s="115"/>
      <c r="M5" s="9"/>
      <c r="N5" s="217" t="s">
        <v>123</v>
      </c>
      <c r="O5" s="217"/>
      <c r="P5" s="217"/>
      <c r="Q5" s="217"/>
      <c r="R5" s="7"/>
      <c r="S5" s="111"/>
      <c r="T5" s="113"/>
      <c r="U5" s="7"/>
      <c r="V5" s="111"/>
      <c r="W5" s="112"/>
    </row>
    <row r="6" spans="1:23" x14ac:dyDescent="0.2">
      <c r="A6" s="146" t="s">
        <v>47</v>
      </c>
      <c r="B6" s="146"/>
      <c r="C6" s="146"/>
      <c r="D6" s="146"/>
      <c r="E6" s="146"/>
      <c r="F6" s="150"/>
      <c r="G6" s="150"/>
      <c r="H6" s="150"/>
      <c r="I6" s="115"/>
      <c r="J6" s="115"/>
      <c r="K6" s="115"/>
      <c r="L6" s="115"/>
      <c r="M6" s="9"/>
      <c r="N6" s="217" t="s">
        <v>124</v>
      </c>
      <c r="O6" s="217"/>
      <c r="P6" s="217"/>
      <c r="Q6" s="217"/>
      <c r="R6" s="7"/>
      <c r="S6" s="111"/>
      <c r="T6" s="113"/>
      <c r="U6" s="7"/>
      <c r="V6" s="111"/>
      <c r="W6" s="112"/>
    </row>
    <row r="7" spans="1:23" x14ac:dyDescent="0.2">
      <c r="A7" s="122"/>
      <c r="B7" s="122"/>
      <c r="C7" s="122"/>
      <c r="D7" s="122"/>
      <c r="E7" s="122"/>
      <c r="F7" s="122"/>
      <c r="G7" s="122"/>
      <c r="H7" s="122"/>
      <c r="I7" s="122"/>
      <c r="J7" s="122"/>
      <c r="K7" s="122"/>
      <c r="L7" s="122"/>
      <c r="M7" s="9"/>
      <c r="N7" s="218" t="s">
        <v>125</v>
      </c>
      <c r="O7" s="218"/>
      <c r="P7" s="218"/>
      <c r="Q7" s="218"/>
      <c r="R7" s="7"/>
      <c r="S7" s="111"/>
      <c r="T7" s="113"/>
      <c r="U7" s="7"/>
      <c r="V7" s="111"/>
      <c r="W7" s="112"/>
    </row>
    <row r="8" spans="1:23" ht="22.5" x14ac:dyDescent="0.2">
      <c r="A8" s="143" t="s">
        <v>0</v>
      </c>
      <c r="B8" s="143"/>
      <c r="C8" s="143"/>
      <c r="D8" s="143"/>
      <c r="E8" s="143"/>
      <c r="F8" s="143"/>
      <c r="G8" s="143"/>
      <c r="H8" s="143"/>
      <c r="I8" s="143"/>
      <c r="J8" s="143"/>
      <c r="K8" s="143"/>
      <c r="L8" s="143"/>
      <c r="M8" s="9"/>
      <c r="N8" s="217" t="s">
        <v>126</v>
      </c>
      <c r="O8" s="217"/>
      <c r="P8" s="217"/>
      <c r="Q8" s="217"/>
      <c r="R8" s="7"/>
      <c r="S8" s="111"/>
      <c r="T8" s="113"/>
      <c r="U8" s="7"/>
      <c r="V8" s="111"/>
      <c r="W8" s="112"/>
    </row>
    <row r="9" spans="1:23" ht="18.75" customHeight="1" x14ac:dyDescent="0.2">
      <c r="A9" s="220" t="s">
        <v>152</v>
      </c>
      <c r="B9" s="220"/>
      <c r="C9" s="220"/>
      <c r="D9" s="220"/>
      <c r="E9" s="220"/>
      <c r="F9" s="162" t="s">
        <v>407</v>
      </c>
      <c r="G9" s="163"/>
      <c r="H9" s="163"/>
      <c r="I9" s="138" t="s">
        <v>369</v>
      </c>
      <c r="J9" s="138"/>
      <c r="K9" s="138"/>
      <c r="L9" s="138"/>
      <c r="M9" s="138"/>
      <c r="N9" s="217" t="s">
        <v>127</v>
      </c>
      <c r="O9" s="217"/>
      <c r="P9" s="217"/>
      <c r="Q9" s="217"/>
      <c r="R9" s="7"/>
      <c r="S9" s="111"/>
      <c r="T9" s="113"/>
      <c r="U9" s="7"/>
      <c r="V9" s="111"/>
      <c r="W9" s="112"/>
    </row>
    <row r="10" spans="1:23" ht="19.5" customHeight="1" x14ac:dyDescent="0.2">
      <c r="A10" s="220" t="s">
        <v>151</v>
      </c>
      <c r="B10" s="220"/>
      <c r="C10" s="163" t="s">
        <v>363</v>
      </c>
      <c r="D10" s="163"/>
      <c r="E10" s="163"/>
      <c r="F10" s="163"/>
      <c r="G10" s="163"/>
      <c r="H10" s="163"/>
      <c r="I10" s="3"/>
      <c r="J10" s="3"/>
      <c r="K10" s="3"/>
      <c r="L10" s="3"/>
      <c r="M10" s="9"/>
      <c r="N10" s="218" t="s">
        <v>128</v>
      </c>
      <c r="O10" s="218"/>
      <c r="P10" s="218"/>
      <c r="Q10" s="218"/>
      <c r="R10" s="7"/>
      <c r="S10" s="111"/>
      <c r="T10" s="113"/>
      <c r="U10" s="7"/>
      <c r="V10" s="111"/>
      <c r="W10" s="112"/>
    </row>
    <row r="11" spans="1:23" x14ac:dyDescent="0.2">
      <c r="A11" s="215" t="s">
        <v>1</v>
      </c>
      <c r="B11" s="215"/>
      <c r="C11" s="215"/>
      <c r="D11" s="215"/>
      <c r="E11" s="215"/>
      <c r="F11" s="215"/>
      <c r="G11" s="215"/>
      <c r="H11" s="215"/>
      <c r="I11" s="215"/>
      <c r="J11" s="215"/>
      <c r="K11" s="215"/>
      <c r="L11" s="215"/>
      <c r="M11" s="9"/>
      <c r="N11" s="223" t="s">
        <v>129</v>
      </c>
      <c r="O11" s="223"/>
      <c r="P11" s="223"/>
      <c r="Q11" s="223"/>
      <c r="R11" s="7"/>
      <c r="S11" s="111"/>
      <c r="T11" s="113"/>
      <c r="U11" s="7"/>
      <c r="V11" s="111"/>
      <c r="W11" s="112"/>
    </row>
    <row r="12" spans="1:23" ht="20.100000000000001" customHeight="1" x14ac:dyDescent="0.2">
      <c r="A12" s="129" t="s">
        <v>2</v>
      </c>
      <c r="B12" s="219" t="s">
        <v>36</v>
      </c>
      <c r="C12" s="219"/>
      <c r="D12" s="219"/>
      <c r="E12" s="219"/>
      <c r="F12" s="219" t="s">
        <v>5</v>
      </c>
      <c r="G12" s="219"/>
      <c r="H12" s="124" t="s">
        <v>34</v>
      </c>
      <c r="I12" s="131"/>
      <c r="J12" s="131"/>
      <c r="K12" s="131"/>
      <c r="L12" s="131"/>
      <c r="N12" s="1"/>
      <c r="O12" s="1"/>
      <c r="P12" s="1"/>
      <c r="Q12" s="1"/>
    </row>
    <row r="13" spans="1:23" ht="20.100000000000001" customHeight="1" x14ac:dyDescent="0.2">
      <c r="A13" s="129"/>
      <c r="B13" s="219" t="s">
        <v>3</v>
      </c>
      <c r="C13" s="219"/>
      <c r="D13" s="219" t="s">
        <v>4</v>
      </c>
      <c r="E13" s="219"/>
      <c r="F13" s="219"/>
      <c r="G13" s="219"/>
      <c r="H13" s="127" t="s">
        <v>35</v>
      </c>
      <c r="I13" s="130"/>
      <c r="J13" s="130"/>
      <c r="K13" s="130"/>
      <c r="L13" s="130"/>
    </row>
    <row r="14" spans="1:23" ht="20.100000000000001" customHeight="1" x14ac:dyDescent="0.2">
      <c r="A14" s="5" t="s">
        <v>6</v>
      </c>
      <c r="B14" s="7"/>
      <c r="C14" s="5"/>
      <c r="D14" s="120"/>
      <c r="E14" s="120"/>
      <c r="F14" s="221" t="str">
        <f t="shared" ref="F14:F40" si="0">IF(OR(B14="",D14=""),"",IF(ISERROR(D14/B14),IF(D14=0,0,""),D14/B14))</f>
        <v/>
      </c>
      <c r="G14" s="221"/>
      <c r="H14" s="120"/>
      <c r="I14" s="120"/>
      <c r="J14" s="120"/>
      <c r="K14" s="120"/>
      <c r="L14" s="120"/>
      <c r="M14" s="129" t="s">
        <v>115</v>
      </c>
      <c r="N14" s="219" t="s">
        <v>116</v>
      </c>
      <c r="O14" s="219"/>
      <c r="P14" s="219"/>
      <c r="Q14" s="219"/>
      <c r="R14" s="219" t="s">
        <v>117</v>
      </c>
      <c r="S14" s="219"/>
      <c r="T14" s="219"/>
      <c r="U14" s="219" t="s">
        <v>130</v>
      </c>
      <c r="V14" s="219" t="s">
        <v>69</v>
      </c>
      <c r="W14" s="128" t="s">
        <v>131</v>
      </c>
    </row>
    <row r="15" spans="1:23" ht="20.100000000000001" customHeight="1" x14ac:dyDescent="0.2">
      <c r="A15" s="5" t="s">
        <v>7</v>
      </c>
      <c r="B15" s="5"/>
      <c r="C15" s="5"/>
      <c r="D15" s="219"/>
      <c r="E15" s="219"/>
      <c r="F15" s="221" t="str">
        <f t="shared" si="0"/>
        <v/>
      </c>
      <c r="G15" s="221"/>
      <c r="H15" s="120"/>
      <c r="I15" s="120"/>
      <c r="J15" s="120"/>
      <c r="K15" s="120"/>
      <c r="L15" s="120"/>
      <c r="M15" s="129"/>
      <c r="N15" s="219"/>
      <c r="O15" s="219"/>
      <c r="P15" s="219"/>
      <c r="Q15" s="219"/>
      <c r="R15" s="224" t="s">
        <v>130</v>
      </c>
      <c r="S15" s="219" t="s">
        <v>69</v>
      </c>
      <c r="T15" s="219" t="s">
        <v>131</v>
      </c>
      <c r="U15" s="219"/>
      <c r="V15" s="219"/>
      <c r="W15" s="128"/>
    </row>
    <row r="16" spans="1:23" ht="20.100000000000001" customHeight="1" x14ac:dyDescent="0.2">
      <c r="A16" s="5" t="s">
        <v>8</v>
      </c>
      <c r="B16" s="21">
        <f>'Ячейка 13БОС'!D19+'Ячейка 32БОС'!D19+'ячейка 25БОС'!D19</f>
        <v>1144.0799999949377</v>
      </c>
      <c r="C16" s="21"/>
      <c r="D16" s="225">
        <f>'Ячейка 13БОС'!H19+'Ячейка 32БОС'!H19+'ячейка 25БОС'!H19</f>
        <v>787.679999998727</v>
      </c>
      <c r="E16" s="225"/>
      <c r="F16" s="221">
        <f t="shared" si="0"/>
        <v>0.68848332284649005</v>
      </c>
      <c r="G16" s="221"/>
      <c r="H16" s="120"/>
      <c r="I16" s="120"/>
      <c r="J16" s="120"/>
      <c r="K16" s="120"/>
      <c r="L16" s="120"/>
      <c r="M16" s="129"/>
      <c r="N16" s="219"/>
      <c r="O16" s="219"/>
      <c r="P16" s="219"/>
      <c r="Q16" s="219"/>
      <c r="R16" s="224"/>
      <c r="S16" s="219"/>
      <c r="T16" s="219"/>
      <c r="U16" s="219"/>
      <c r="V16" s="219"/>
      <c r="W16" s="128"/>
    </row>
    <row r="17" spans="1:23" ht="20.100000000000001" customHeight="1" x14ac:dyDescent="0.2">
      <c r="A17" s="5" t="s">
        <v>9</v>
      </c>
      <c r="B17" s="21">
        <f>'Ячейка 13БОС'!D20+'Ячейка 32БОС'!D20+'ячейка 25БОС'!D20</f>
        <v>1142.4000000013621</v>
      </c>
      <c r="C17" s="21"/>
      <c r="D17" s="225">
        <f>'Ячейка 13БОС'!H20+'Ячейка 32БОС'!H20+'ячейка 25БОС'!H20</f>
        <v>780.96000000041386</v>
      </c>
      <c r="E17" s="225"/>
      <c r="F17" s="221">
        <f t="shared" si="0"/>
        <v>0.68361344537769853</v>
      </c>
      <c r="G17" s="221"/>
      <c r="H17" s="120"/>
      <c r="I17" s="120"/>
      <c r="J17" s="120"/>
      <c r="K17" s="120"/>
      <c r="L17" s="120"/>
      <c r="M17" s="129"/>
      <c r="N17" s="219"/>
      <c r="O17" s="219"/>
      <c r="P17" s="219"/>
      <c r="Q17" s="219"/>
      <c r="R17" s="224"/>
      <c r="S17" s="219"/>
      <c r="T17" s="219"/>
      <c r="U17" s="219"/>
      <c r="V17" s="219"/>
      <c r="W17" s="128"/>
    </row>
    <row r="18" spans="1:23" ht="20.100000000000001" customHeight="1" x14ac:dyDescent="0.2">
      <c r="A18" s="5" t="s">
        <v>10</v>
      </c>
      <c r="B18" s="21">
        <f>'Ячейка 13БОС'!D21+'Ячейка 32БОС'!D21+'ячейка 25БОС'!D21</f>
        <v>1140.9600000017235</v>
      </c>
      <c r="C18" s="21"/>
      <c r="D18" s="225">
        <f>'Ячейка 13БОС'!H21+'Ячейка 32БОС'!H21+'ячейка 25БОС'!H21</f>
        <v>787.92000000139524</v>
      </c>
      <c r="E18" s="225"/>
      <c r="F18" s="221">
        <f t="shared" si="0"/>
        <v>0.69057635675238838</v>
      </c>
      <c r="G18" s="221"/>
      <c r="H18" s="120"/>
      <c r="I18" s="120"/>
      <c r="J18" s="120"/>
      <c r="K18" s="120"/>
      <c r="L18" s="120"/>
      <c r="M18" s="129"/>
      <c r="N18" s="219"/>
      <c r="O18" s="219"/>
      <c r="P18" s="219"/>
      <c r="Q18" s="219"/>
      <c r="R18" s="224"/>
      <c r="S18" s="219"/>
      <c r="T18" s="219"/>
      <c r="U18" s="219"/>
      <c r="V18" s="219"/>
      <c r="W18" s="128"/>
    </row>
    <row r="19" spans="1:23" ht="20.100000000000001" customHeight="1" x14ac:dyDescent="0.2">
      <c r="A19" s="5" t="s">
        <v>11</v>
      </c>
      <c r="B19" s="21">
        <f>'Ячейка 13БОС'!D22+'Ячейка 32БОС'!D22+'ячейка 25БОС'!D22</f>
        <v>1143.1200000028184</v>
      </c>
      <c r="C19" s="21"/>
      <c r="D19" s="225">
        <f>'Ячейка 13БОС'!H22+'Ячейка 32БОС'!H22+'ячейка 25БОС'!H22</f>
        <v>790.31999999970139</v>
      </c>
      <c r="E19" s="225"/>
      <c r="F19" s="221">
        <f t="shared" si="0"/>
        <v>0.69137098467155922</v>
      </c>
      <c r="G19" s="221"/>
      <c r="H19" s="120"/>
      <c r="I19" s="120"/>
      <c r="J19" s="120"/>
      <c r="K19" s="120"/>
      <c r="L19" s="120"/>
      <c r="M19" s="9"/>
      <c r="N19" s="216" t="s">
        <v>132</v>
      </c>
      <c r="O19" s="216"/>
      <c r="P19" s="216"/>
      <c r="Q19" s="216"/>
      <c r="R19" s="7"/>
      <c r="S19" s="7"/>
      <c r="T19" s="7"/>
      <c r="U19" s="7"/>
      <c r="V19" s="7"/>
      <c r="W19" s="8"/>
    </row>
    <row r="20" spans="1:23" ht="20.100000000000001" customHeight="1" x14ac:dyDescent="0.2">
      <c r="A20" s="5" t="s">
        <v>12</v>
      </c>
      <c r="B20" s="21">
        <f>'Ячейка 13БОС'!D23+'Ячейка 32БОС'!D23+'ячейка 25БОС'!D23</f>
        <v>1152.7199999971344</v>
      </c>
      <c r="C20" s="21"/>
      <c r="D20" s="225">
        <f>'Ячейка 13БОС'!H23+'Ячейка 32БОС'!H23+'ячейка 25БОС'!H23</f>
        <v>791.03999999570078</v>
      </c>
      <c r="E20" s="225"/>
      <c r="F20" s="221">
        <f t="shared" si="0"/>
        <v>0.68623776805960446</v>
      </c>
      <c r="G20" s="221"/>
      <c r="H20" s="120"/>
      <c r="I20" s="120"/>
      <c r="J20" s="120"/>
      <c r="K20" s="120"/>
      <c r="L20" s="120"/>
      <c r="M20" s="9"/>
      <c r="N20" s="217" t="s">
        <v>133</v>
      </c>
      <c r="O20" s="217"/>
      <c r="P20" s="217"/>
      <c r="Q20" s="217"/>
      <c r="R20" s="7"/>
      <c r="S20" s="7"/>
      <c r="T20" s="7"/>
      <c r="U20" s="7"/>
      <c r="V20" s="7"/>
      <c r="W20" s="8"/>
    </row>
    <row r="21" spans="1:23" ht="20.100000000000001" customHeight="1" x14ac:dyDescent="0.2">
      <c r="A21" s="5" t="s">
        <v>13</v>
      </c>
      <c r="B21" s="21">
        <f>'Ячейка 13БОС'!D24+'Ячейка 32БОС'!D24+'ячейка 25БОС'!D24</f>
        <v>1151.040000001376</v>
      </c>
      <c r="C21" s="21"/>
      <c r="D21" s="225">
        <f>'Ячейка 13БОС'!H24+'Ячейка 32БОС'!H24+'ячейка 25БОС'!H24</f>
        <v>786.24000000236265</v>
      </c>
      <c r="E21" s="225"/>
      <c r="F21" s="221">
        <f t="shared" si="0"/>
        <v>0.68306922435486406</v>
      </c>
      <c r="G21" s="221"/>
      <c r="H21" s="120"/>
      <c r="I21" s="120"/>
      <c r="J21" s="120"/>
      <c r="K21" s="120"/>
      <c r="L21" s="120"/>
      <c r="M21" s="9"/>
      <c r="N21" s="222" t="s">
        <v>134</v>
      </c>
      <c r="O21" s="222"/>
      <c r="P21" s="222"/>
      <c r="Q21" s="222"/>
      <c r="R21" s="7"/>
      <c r="S21" s="7"/>
      <c r="T21" s="7"/>
      <c r="U21" s="7"/>
      <c r="V21" s="7"/>
      <c r="W21" s="8"/>
    </row>
    <row r="22" spans="1:23" ht="20.100000000000001" customHeight="1" x14ac:dyDescent="0.2">
      <c r="A22" s="5" t="s">
        <v>14</v>
      </c>
      <c r="B22" s="21">
        <f>'Ячейка 13БОС'!D25+'Ячейка 32БОС'!D25+'ячейка 25БОС'!D25</f>
        <v>1165.1999999961845</v>
      </c>
      <c r="C22" s="21"/>
      <c r="D22" s="225">
        <f>'Ячейка 13БОС'!H25+'Ячейка 32БОС'!H25+'ячейка 25БОС'!H25</f>
        <v>781.44000000029337</v>
      </c>
      <c r="E22" s="225"/>
      <c r="F22" s="221">
        <f t="shared" si="0"/>
        <v>0.67064881565641288</v>
      </c>
      <c r="G22" s="221"/>
      <c r="H22" s="120"/>
      <c r="I22" s="120"/>
      <c r="J22" s="120"/>
      <c r="K22" s="120"/>
      <c r="L22" s="120"/>
    </row>
    <row r="23" spans="1:23" ht="20.100000000000001" customHeight="1" x14ac:dyDescent="0.2">
      <c r="A23" s="5" t="s">
        <v>15</v>
      </c>
      <c r="B23" s="21">
        <f>'Ячейка 13БОС'!D26+'Ячейка 32БОС'!D26+'ячейка 25БОС'!D26</f>
        <v>1139.2800000005082</v>
      </c>
      <c r="C23" s="21"/>
      <c r="D23" s="225">
        <f>'Ячейка 13БОС'!H26+'Ячейка 32БОС'!H26+'ячейка 25БОС'!H26</f>
        <v>770.64000000355009</v>
      </c>
      <c r="E23" s="225"/>
      <c r="F23" s="221">
        <f t="shared" si="0"/>
        <v>0.67642721719261845</v>
      </c>
      <c r="G23" s="221"/>
      <c r="H23" s="120"/>
      <c r="I23" s="120"/>
      <c r="J23" s="120"/>
      <c r="K23" s="120"/>
      <c r="L23" s="120"/>
    </row>
    <row r="24" spans="1:23" ht="20.100000000000001" customHeight="1" x14ac:dyDescent="0.2">
      <c r="A24" s="5" t="s">
        <v>16</v>
      </c>
      <c r="B24" s="21">
        <f>'Ячейка 13БОС'!D27+'Ячейка 32БОС'!D27+'ячейка 25БОС'!D27</f>
        <v>1285.6800000041403</v>
      </c>
      <c r="C24" s="21"/>
      <c r="D24" s="225">
        <f>'Ячейка 13БОС'!H27+'Ячейка 32БОС'!H27+'ячейка 25БОС'!H27</f>
        <v>923.03999999639927</v>
      </c>
      <c r="E24" s="225"/>
      <c r="F24" s="221">
        <f t="shared" si="0"/>
        <v>0.71793914503875522</v>
      </c>
      <c r="G24" s="221"/>
      <c r="H24" s="120"/>
      <c r="I24" s="120"/>
      <c r="J24" s="120"/>
      <c r="K24" s="120"/>
      <c r="L24" s="120"/>
      <c r="N24" s="145" t="s">
        <v>135</v>
      </c>
      <c r="O24" s="145"/>
      <c r="P24" s="145"/>
      <c r="Q24" s="145"/>
      <c r="R24" s="145"/>
      <c r="S24" s="145"/>
      <c r="T24" s="145"/>
      <c r="U24" s="145"/>
      <c r="V24" s="145"/>
    </row>
    <row r="25" spans="1:23" ht="20.100000000000001" customHeight="1" x14ac:dyDescent="0.2">
      <c r="A25" s="5" t="s">
        <v>17</v>
      </c>
      <c r="B25" s="21">
        <f>'Ячейка 13БОС'!D28+'Ячейка 32БОС'!D28+'ячейка 25БОС'!D28</f>
        <v>1302.9599999965285</v>
      </c>
      <c r="C25" s="21"/>
      <c r="D25" s="225">
        <f>'Ячейка 13БОС'!H28+'Ячейка 32БОС'!H28+'ячейка 25БОС'!H28</f>
        <v>924.9599999991915</v>
      </c>
      <c r="E25" s="225"/>
      <c r="F25" s="221">
        <f t="shared" si="0"/>
        <v>0.70989132437039959</v>
      </c>
      <c r="G25" s="221"/>
      <c r="H25" s="120"/>
      <c r="I25" s="120"/>
      <c r="J25" s="120"/>
      <c r="K25" s="120"/>
      <c r="L25" s="120"/>
      <c r="N25" s="17" t="s">
        <v>136</v>
      </c>
      <c r="O25" s="145" t="s">
        <v>137</v>
      </c>
      <c r="P25" s="145"/>
      <c r="Q25" s="145"/>
      <c r="R25" s="145"/>
      <c r="S25" s="145"/>
      <c r="T25" s="145"/>
      <c r="U25" s="145"/>
      <c r="V25" s="145"/>
    </row>
    <row r="26" spans="1:23" ht="20.100000000000001" customHeight="1" x14ac:dyDescent="0.2">
      <c r="A26" s="5" t="s">
        <v>18</v>
      </c>
      <c r="B26" s="21">
        <f>'Ячейка 13БОС'!D29+'Ячейка 32БОС'!D29+'ячейка 25БОС'!D29</f>
        <v>1209.1199999988021</v>
      </c>
      <c r="C26" s="21"/>
      <c r="D26" s="225">
        <f>'Ячейка 13БОС'!H29+'Ячейка 32БОС'!H29+'ячейка 25БОС'!H29</f>
        <v>799.92000000165717</v>
      </c>
      <c r="E26" s="225"/>
      <c r="F26" s="221">
        <f t="shared" si="0"/>
        <v>0.6615720524037727</v>
      </c>
      <c r="G26" s="221"/>
      <c r="H26" s="120"/>
      <c r="I26" s="120"/>
      <c r="J26" s="120"/>
      <c r="K26" s="120"/>
      <c r="L26" s="120"/>
      <c r="N26" s="17" t="s">
        <v>138</v>
      </c>
      <c r="O26" s="145" t="s">
        <v>180</v>
      </c>
      <c r="P26" s="145"/>
      <c r="Q26" s="145"/>
      <c r="R26" s="145"/>
      <c r="S26" s="145"/>
      <c r="T26" s="145"/>
      <c r="U26" s="145"/>
      <c r="V26" s="145"/>
    </row>
    <row r="27" spans="1:23" ht="20.100000000000001" customHeight="1" x14ac:dyDescent="0.2">
      <c r="A27" s="5" t="s">
        <v>19</v>
      </c>
      <c r="B27" s="21">
        <f>'Ячейка 13БОС'!D30+'Ячейка 32БОС'!D30+'ячейка 25БОС'!D30</f>
        <v>1241.2800000027346</v>
      </c>
      <c r="C27" s="21"/>
      <c r="D27" s="225">
        <f>'Ячейка 13БОС'!H30+'Ячейка 32БОС'!H30+'ячейка 25БОС'!H30</f>
        <v>823.43999999575317</v>
      </c>
      <c r="E27" s="225"/>
      <c r="F27" s="221">
        <f t="shared" si="0"/>
        <v>0.66337973704074749</v>
      </c>
      <c r="G27" s="221"/>
      <c r="H27" s="120"/>
      <c r="I27" s="120"/>
      <c r="J27" s="120"/>
      <c r="K27" s="120"/>
      <c r="L27" s="120"/>
      <c r="N27" s="17" t="s">
        <v>139</v>
      </c>
      <c r="O27" s="145" t="s">
        <v>140</v>
      </c>
      <c r="P27" s="145"/>
      <c r="Q27" s="145"/>
      <c r="R27" s="145"/>
      <c r="S27" s="145"/>
      <c r="T27" s="145"/>
      <c r="U27" s="145"/>
      <c r="V27" s="145"/>
    </row>
    <row r="28" spans="1:23" ht="20.100000000000001" customHeight="1" x14ac:dyDescent="0.2">
      <c r="A28" s="5" t="s">
        <v>20</v>
      </c>
      <c r="B28" s="21">
        <f>'Ячейка 13БОС'!D31+'Ячейка 32БОС'!D31+'ячейка 25БОС'!D31</f>
        <v>1259.5200000014302</v>
      </c>
      <c r="C28" s="21"/>
      <c r="D28" s="225">
        <f>'Ячейка 13БОС'!H31+'Ячейка 32БОС'!H31+'ячейка 25БОС'!H31</f>
        <v>864.24000000406522</v>
      </c>
      <c r="E28" s="225"/>
      <c r="F28" s="221">
        <f t="shared" si="0"/>
        <v>0.68616615853903384</v>
      </c>
      <c r="G28" s="221"/>
      <c r="H28" s="120"/>
      <c r="I28" s="120"/>
      <c r="J28" s="120"/>
      <c r="K28" s="120"/>
      <c r="L28" s="120"/>
      <c r="N28" s="17"/>
      <c r="O28" s="145" t="s">
        <v>141</v>
      </c>
      <c r="P28" s="145"/>
      <c r="Q28" s="145"/>
      <c r="R28" s="145"/>
      <c r="S28" s="145"/>
      <c r="T28" s="145"/>
      <c r="U28" s="145"/>
      <c r="V28" s="145"/>
    </row>
    <row r="29" spans="1:23" ht="20.100000000000001" customHeight="1" x14ac:dyDescent="0.2">
      <c r="A29" s="5" t="s">
        <v>21</v>
      </c>
      <c r="B29" s="21">
        <f>'Ячейка 13БОС'!D32+'Ячейка 32БОС'!D32+'ячейка 25БОС'!D32</f>
        <v>1324.8000000003231</v>
      </c>
      <c r="C29" s="21"/>
      <c r="D29" s="225">
        <f>'Ячейка 13БОС'!H32+'Ячейка 32БОС'!H32+'ячейка 25БОС'!H32</f>
        <v>931.92000000017288</v>
      </c>
      <c r="E29" s="225"/>
      <c r="F29" s="221">
        <f t="shared" si="0"/>
        <v>0.70344202898546615</v>
      </c>
      <c r="G29" s="221"/>
      <c r="H29" s="120"/>
      <c r="I29" s="120"/>
      <c r="J29" s="120"/>
      <c r="K29" s="120"/>
      <c r="L29" s="120"/>
      <c r="N29" s="17"/>
      <c r="O29" s="145" t="s">
        <v>142</v>
      </c>
      <c r="P29" s="145"/>
      <c r="Q29" s="145"/>
      <c r="R29" s="145"/>
      <c r="S29" s="145"/>
      <c r="T29" s="145"/>
      <c r="U29" s="145"/>
      <c r="V29" s="145"/>
    </row>
    <row r="30" spans="1:23" ht="20.100000000000001" customHeight="1" x14ac:dyDescent="0.2">
      <c r="A30" s="5" t="s">
        <v>22</v>
      </c>
      <c r="B30" s="21">
        <f>'Ячейка 13БОС'!D33+'Ячейка 32БОС'!D33+'ячейка 25БОС'!D33</f>
        <v>1503.5999999963678</v>
      </c>
      <c r="C30" s="21"/>
      <c r="D30" s="225">
        <f>'Ячейка 13БОС'!H33+'Ячейка 32БОС'!H33+'ячейка 25БОС'!H33</f>
        <v>1079.759999999078</v>
      </c>
      <c r="E30" s="225"/>
      <c r="F30" s="221">
        <f t="shared" si="0"/>
        <v>0.71811652035227869</v>
      </c>
      <c r="G30" s="221"/>
      <c r="H30" s="120"/>
      <c r="I30" s="120"/>
      <c r="J30" s="120"/>
      <c r="K30" s="120"/>
      <c r="L30" s="120"/>
      <c r="N30" s="17" t="s">
        <v>143</v>
      </c>
      <c r="O30" s="145" t="s">
        <v>144</v>
      </c>
      <c r="P30" s="145"/>
      <c r="Q30" s="145"/>
      <c r="R30" s="145"/>
      <c r="S30" s="145"/>
      <c r="T30" s="145"/>
      <c r="U30" s="145"/>
      <c r="V30" s="145"/>
    </row>
    <row r="31" spans="1:23" ht="20.100000000000001" customHeight="1" x14ac:dyDescent="0.2">
      <c r="A31" s="5" t="s">
        <v>23</v>
      </c>
      <c r="B31" s="21">
        <f>'Ячейка 13БОС'!D34+'Ячейка 32БОС'!D34+'ячейка 25БОС'!D34</f>
        <v>1256.8800000048213</v>
      </c>
      <c r="C31" s="21"/>
      <c r="D31" s="225">
        <f>'Ячейка 13БОС'!H34+'Ячейка 32БОС'!H34+'ячейка 25БОС'!H34</f>
        <v>852.72000000040862</v>
      </c>
      <c r="E31" s="225"/>
      <c r="F31" s="221">
        <f t="shared" si="0"/>
        <v>0.67844185602216411</v>
      </c>
      <c r="G31" s="221"/>
      <c r="H31" s="120"/>
      <c r="I31" s="120"/>
      <c r="J31" s="120"/>
      <c r="K31" s="120"/>
      <c r="L31" s="120"/>
      <c r="N31" s="17"/>
      <c r="O31" s="145" t="s">
        <v>145</v>
      </c>
      <c r="P31" s="145"/>
      <c r="Q31" s="145"/>
      <c r="R31" s="145"/>
      <c r="S31" s="145"/>
      <c r="T31" s="145"/>
      <c r="U31" s="145"/>
      <c r="V31" s="145"/>
    </row>
    <row r="32" spans="1:23" ht="20.100000000000001" customHeight="1" x14ac:dyDescent="0.2">
      <c r="A32" s="5" t="s">
        <v>24</v>
      </c>
      <c r="B32" s="21">
        <f>'Ячейка 13БОС'!D35+'Ячейка 32БОС'!D35+'ячейка 25БОС'!D35</f>
        <v>1245.8399999955873</v>
      </c>
      <c r="C32" s="21"/>
      <c r="D32" s="225">
        <f>'Ячейка 13БОС'!H35+'Ячейка 32БОС'!H35+'ячейка 25БОС'!H35</f>
        <v>827.04000000303495</v>
      </c>
      <c r="E32" s="225"/>
      <c r="F32" s="221">
        <f t="shared" si="0"/>
        <v>0.66384126373046648</v>
      </c>
      <c r="G32" s="221"/>
      <c r="H32" s="120"/>
      <c r="I32" s="120"/>
      <c r="J32" s="120"/>
      <c r="K32" s="120"/>
      <c r="L32" s="120"/>
      <c r="N32" s="17" t="s">
        <v>146</v>
      </c>
      <c r="O32" s="145" t="s">
        <v>147</v>
      </c>
      <c r="P32" s="145"/>
      <c r="Q32" s="145"/>
      <c r="R32" s="145"/>
      <c r="S32" s="145"/>
      <c r="T32" s="145"/>
      <c r="U32" s="145"/>
      <c r="V32" s="145"/>
    </row>
    <row r="33" spans="1:24" ht="20.100000000000001" customHeight="1" x14ac:dyDescent="0.2">
      <c r="A33" s="5" t="s">
        <v>25</v>
      </c>
      <c r="B33" s="21">
        <f>'Ячейка 13БОС'!D36+'Ячейка 32БОС'!D36+'ячейка 25БОС'!D36</f>
        <v>1236.0000000062428</v>
      </c>
      <c r="C33" s="21"/>
      <c r="D33" s="225">
        <f>'Ячейка 13БОС'!H36+'Ячейка 32БОС'!H36+'ячейка 25БОС'!H36</f>
        <v>809.51999999706459</v>
      </c>
      <c r="E33" s="225"/>
      <c r="F33" s="221">
        <f t="shared" si="0"/>
        <v>0.65495145630499663</v>
      </c>
      <c r="G33" s="221"/>
      <c r="H33" s="120"/>
      <c r="I33" s="120"/>
      <c r="J33" s="120"/>
      <c r="K33" s="120"/>
      <c r="L33" s="120"/>
      <c r="N33" s="17" t="s">
        <v>148</v>
      </c>
      <c r="O33" s="145" t="s">
        <v>149</v>
      </c>
      <c r="P33" s="145"/>
      <c r="Q33" s="145"/>
      <c r="R33" s="145"/>
      <c r="S33" s="145"/>
      <c r="T33" s="145"/>
      <c r="U33" s="145"/>
      <c r="V33" s="145"/>
    </row>
    <row r="34" spans="1:24" ht="20.100000000000001" customHeight="1" x14ac:dyDescent="0.2">
      <c r="A34" s="5" t="s">
        <v>26</v>
      </c>
      <c r="B34" s="21">
        <f>'Ячейка 13БОС'!D37+'Ячейка 32БОС'!D37+'ячейка 25БОС'!D37</f>
        <v>1187.5199999987672</v>
      </c>
      <c r="C34" s="21"/>
      <c r="D34" s="225">
        <f>'Ячейка 13БОС'!H37+'Ячейка 32БОС'!H37+'ячейка 25БОС'!H37</f>
        <v>749.04000000133237</v>
      </c>
      <c r="E34" s="225"/>
      <c r="F34" s="221">
        <f t="shared" si="0"/>
        <v>0.63075990299288431</v>
      </c>
      <c r="G34" s="221"/>
      <c r="H34" s="120"/>
      <c r="I34" s="120"/>
      <c r="J34" s="120"/>
      <c r="K34" s="120"/>
      <c r="L34" s="120"/>
    </row>
    <row r="35" spans="1:24" ht="20.100000000000001" customHeight="1" x14ac:dyDescent="0.2">
      <c r="A35" s="5" t="s">
        <v>27</v>
      </c>
      <c r="B35" s="21">
        <f>'Ячейка 13БОС'!D38+'Ячейка 32БОС'!D38+'ячейка 25БОС'!D38</f>
        <v>1235.0399999999354</v>
      </c>
      <c r="C35" s="21"/>
      <c r="D35" s="225">
        <f>'Ячейка 13БОС'!H38+'Ячейка 32БОС'!H38+'ячейка 25БОС'!H38</f>
        <v>775.67999999955646</v>
      </c>
      <c r="E35" s="225"/>
      <c r="F35" s="221">
        <f t="shared" si="0"/>
        <v>0.62806062961490883</v>
      </c>
      <c r="G35" s="221"/>
      <c r="H35" s="120"/>
      <c r="I35" s="120"/>
      <c r="J35" s="120"/>
      <c r="K35" s="120"/>
      <c r="L35" s="120"/>
    </row>
    <row r="36" spans="1:24" ht="20.100000000000001" customHeight="1" x14ac:dyDescent="0.2">
      <c r="A36" s="5" t="s">
        <v>28</v>
      </c>
      <c r="B36" s="21">
        <f>'Ячейка 13БОС'!D39+'Ячейка 32БОС'!D39+'ячейка 25БОС'!D39</f>
        <v>1175.5199999941397</v>
      </c>
      <c r="C36" s="21"/>
      <c r="D36" s="225">
        <f>'Ячейка 13БОС'!H39+'Ячейка 32БОС'!H39+'ячейка 25БОС'!H39</f>
        <v>767.28000000002794</v>
      </c>
      <c r="E36" s="225"/>
      <c r="F36" s="221">
        <f t="shared" si="0"/>
        <v>0.65271539404166079</v>
      </c>
      <c r="G36" s="221"/>
      <c r="H36" s="120"/>
      <c r="I36" s="120"/>
      <c r="J36" s="120"/>
      <c r="K36" s="120"/>
      <c r="L36" s="120"/>
    </row>
    <row r="37" spans="1:24" ht="20.100000000000001" customHeight="1" x14ac:dyDescent="0.2">
      <c r="A37" s="5" t="s">
        <v>29</v>
      </c>
      <c r="B37" s="21">
        <f>'Ячейка 13БОС'!D40+'Ячейка 32БОС'!D40+'ячейка 25БОС'!D40</f>
        <v>1177.9200000000856</v>
      </c>
      <c r="C37" s="21"/>
      <c r="D37" s="225">
        <f>'Ячейка 13БОС'!H40+'Ячейка 32БОС'!H40+'ячейка 25БОС'!H40</f>
        <v>787.92000000030384</v>
      </c>
      <c r="E37" s="225"/>
      <c r="F37" s="221">
        <f t="shared" si="0"/>
        <v>0.66890790546068202</v>
      </c>
      <c r="G37" s="221"/>
      <c r="H37" s="120"/>
      <c r="I37" s="120"/>
      <c r="J37" s="120"/>
      <c r="K37" s="120"/>
      <c r="L37" s="120"/>
    </row>
    <row r="38" spans="1:24" ht="20.100000000000001" customHeight="1" x14ac:dyDescent="0.2">
      <c r="A38" s="5" t="s">
        <v>30</v>
      </c>
      <c r="B38" s="21">
        <f>'Ячейка 13БОС'!D41+'Ячейка 32БОС'!D41+'ячейка 25БОС'!D41</f>
        <v>1170.0000000048021</v>
      </c>
      <c r="C38" s="21"/>
      <c r="D38" s="225">
        <f>'Ячейка 13БОС'!H41+'Ячейка 32БОС'!H41+'ячейка 25БОС'!H41</f>
        <v>791.75999999933993</v>
      </c>
      <c r="E38" s="225"/>
      <c r="F38" s="221">
        <f t="shared" si="0"/>
        <v>0.676717948714607</v>
      </c>
      <c r="G38" s="221"/>
      <c r="H38" s="120"/>
      <c r="I38" s="120"/>
      <c r="J38" s="120"/>
      <c r="K38" s="120"/>
      <c r="L38" s="120"/>
    </row>
    <row r="39" spans="1:24" ht="20.100000000000001" customHeight="1" x14ac:dyDescent="0.2">
      <c r="A39" s="5" t="s">
        <v>31</v>
      </c>
      <c r="B39" s="21">
        <f>'Ячейка 13БОС'!D42+'Ячейка 32БОС'!D42+'ячейка 25БОС'!D42</f>
        <v>1184.3999999913649</v>
      </c>
      <c r="C39" s="21"/>
      <c r="D39" s="225">
        <f>'Ячейка 13БОС'!H42+'Ячейка 32БОС'!H42+'ячейка 25БОС'!H42</f>
        <v>802.32000000105472</v>
      </c>
      <c r="E39" s="225"/>
      <c r="F39" s="221">
        <f t="shared" si="0"/>
        <v>0.67740628166743011</v>
      </c>
      <c r="G39" s="221"/>
      <c r="H39" s="120"/>
      <c r="I39" s="120"/>
      <c r="J39" s="120"/>
      <c r="K39" s="120"/>
      <c r="L39" s="120"/>
      <c r="P39" s="177" t="s">
        <v>150</v>
      </c>
      <c r="Q39" s="177"/>
      <c r="R39" s="177"/>
      <c r="S39" s="176" t="s">
        <v>364</v>
      </c>
      <c r="T39" s="176"/>
      <c r="U39" s="176"/>
      <c r="V39" s="176"/>
      <c r="W39" s="176"/>
      <c r="X39" s="176"/>
    </row>
    <row r="40" spans="1:24" ht="20.100000000000001" customHeight="1" x14ac:dyDescent="0.2">
      <c r="A40" s="5" t="s">
        <v>32</v>
      </c>
      <c r="B40" s="21">
        <f>SUM(B15:B39)</f>
        <v>29174.879999992118</v>
      </c>
      <c r="C40" s="21"/>
      <c r="D40" s="225">
        <f>SUM(D15:E39)</f>
        <v>19786.800000000585</v>
      </c>
      <c r="E40" s="225"/>
      <c r="F40" s="221">
        <f t="shared" si="0"/>
        <v>0.67821358648282126</v>
      </c>
      <c r="G40" s="221"/>
      <c r="H40" s="120"/>
      <c r="I40" s="120"/>
      <c r="J40" s="120"/>
      <c r="K40" s="120"/>
      <c r="L40" s="120"/>
    </row>
    <row r="41" spans="1:24" ht="20.100000000000001" customHeight="1" x14ac:dyDescent="0.2">
      <c r="A41" s="5" t="s">
        <v>33</v>
      </c>
      <c r="B41" s="5"/>
      <c r="C41" s="5"/>
      <c r="D41" s="219"/>
      <c r="E41" s="219"/>
      <c r="F41" s="221"/>
      <c r="G41" s="221"/>
      <c r="H41" s="120"/>
      <c r="I41" s="120"/>
      <c r="J41" s="120"/>
      <c r="K41" s="120"/>
      <c r="L41" s="120"/>
    </row>
    <row r="42" spans="1:24" ht="20.100000000000001" customHeight="1" x14ac:dyDescent="0.2">
      <c r="A42" s="129" t="s">
        <v>2</v>
      </c>
      <c r="B42" s="128" t="s">
        <v>37</v>
      </c>
      <c r="C42" s="132"/>
      <c r="D42" s="129"/>
      <c r="E42" s="128" t="s">
        <v>40</v>
      </c>
      <c r="F42" s="132"/>
      <c r="G42" s="132"/>
      <c r="H42" s="132"/>
      <c r="I42" s="129"/>
      <c r="J42" s="124" t="s">
        <v>5</v>
      </c>
      <c r="K42" s="131"/>
      <c r="L42" s="131"/>
    </row>
    <row r="43" spans="1:24" ht="36" customHeight="1" x14ac:dyDescent="0.2">
      <c r="A43" s="129"/>
      <c r="B43" s="219" t="s">
        <v>38</v>
      </c>
      <c r="C43" s="219"/>
      <c r="D43" s="5" t="s">
        <v>39</v>
      </c>
      <c r="E43" s="128" t="s">
        <v>41</v>
      </c>
      <c r="F43" s="132"/>
      <c r="G43" s="129"/>
      <c r="H43" s="128" t="s">
        <v>42</v>
      </c>
      <c r="I43" s="129"/>
      <c r="J43" s="127"/>
      <c r="K43" s="130"/>
      <c r="L43" s="130"/>
    </row>
    <row r="44" spans="1:24" ht="20.100000000000001" customHeight="1" x14ac:dyDescent="0.2">
      <c r="A44" s="4" t="s">
        <v>153</v>
      </c>
      <c r="B44" s="226">
        <f>SUM(B24:B26)</f>
        <v>3797.7599999994709</v>
      </c>
      <c r="C44" s="227"/>
      <c r="D44" s="21">
        <f>SUM(D24:E26)</f>
        <v>2647.9199999972479</v>
      </c>
      <c r="E44" s="226">
        <f>B44/3</f>
        <v>1265.9199999998236</v>
      </c>
      <c r="F44" s="231"/>
      <c r="G44" s="227"/>
      <c r="H44" s="226">
        <f>D44/3</f>
        <v>882.63999999908265</v>
      </c>
      <c r="I44" s="227"/>
      <c r="J44" s="228">
        <f>H44/E44</f>
        <v>0.69723205257773446</v>
      </c>
      <c r="K44" s="229"/>
      <c r="L44" s="229"/>
    </row>
    <row r="45" spans="1:24" ht="20.100000000000001" customHeight="1" x14ac:dyDescent="0.2">
      <c r="A45" s="4" t="s">
        <v>43</v>
      </c>
      <c r="B45" s="226">
        <f>SUM(B33:B36)</f>
        <v>4834.079999999085</v>
      </c>
      <c r="C45" s="227"/>
      <c r="D45" s="21">
        <f>SUM(D33:E36)</f>
        <v>3101.5199999979814</v>
      </c>
      <c r="E45" s="226">
        <f>B45/4</f>
        <v>1208.5199999997712</v>
      </c>
      <c r="F45" s="231"/>
      <c r="G45" s="227"/>
      <c r="H45" s="226">
        <f>D45/4</f>
        <v>775.37999999949534</v>
      </c>
      <c r="I45" s="227"/>
      <c r="J45" s="228">
        <f>H45/E45</f>
        <v>0.64159467778741108</v>
      </c>
      <c r="K45" s="229"/>
      <c r="L45" s="229"/>
    </row>
    <row r="46" spans="1:24" ht="20.100000000000001" customHeight="1" x14ac:dyDescent="0.2">
      <c r="A46" s="4" t="s">
        <v>44</v>
      </c>
      <c r="B46" s="226">
        <f>SUM(B16:B39)</f>
        <v>29174.879999992118</v>
      </c>
      <c r="C46" s="227"/>
      <c r="D46" s="21">
        <f>SUM(D16:E39)</f>
        <v>19786.800000000585</v>
      </c>
      <c r="E46" s="226">
        <f>B46/24</f>
        <v>1215.6199999996716</v>
      </c>
      <c r="F46" s="231"/>
      <c r="G46" s="227"/>
      <c r="H46" s="226">
        <f>D46/24</f>
        <v>824.45000000002437</v>
      </c>
      <c r="I46" s="227"/>
      <c r="J46" s="228">
        <f>H46/E46</f>
        <v>0.67821358648282126</v>
      </c>
      <c r="K46" s="229"/>
      <c r="L46" s="229"/>
    </row>
    <row r="47" spans="1:24" ht="20.100000000000001" customHeight="1" x14ac:dyDescent="0.2"/>
    <row r="48" spans="1:24" ht="20.100000000000001" customHeight="1" x14ac:dyDescent="0.2"/>
    <row r="49" spans="3:9" ht="20.100000000000001" customHeight="1" x14ac:dyDescent="0.2"/>
    <row r="50" spans="3:9" ht="20.100000000000001" customHeight="1" x14ac:dyDescent="0.2">
      <c r="C50" s="122" t="s">
        <v>186</v>
      </c>
      <c r="D50" s="122"/>
      <c r="E50" s="122"/>
      <c r="F50" s="122"/>
      <c r="G50" s="122"/>
      <c r="H50" s="122"/>
      <c r="I50" s="122"/>
    </row>
    <row r="51" spans="3:9" ht="20.100000000000001" customHeight="1" x14ac:dyDescent="0.2"/>
  </sheetData>
  <sheetProtection sheet="1" objects="1" scenarios="1"/>
  <mergeCells count="189">
    <mergeCell ref="F1:H2"/>
    <mergeCell ref="I1:L2"/>
    <mergeCell ref="M1:M3"/>
    <mergeCell ref="N1:Q3"/>
    <mergeCell ref="F5:H6"/>
    <mergeCell ref="I5:L6"/>
    <mergeCell ref="F3:H4"/>
    <mergeCell ref="I3:L4"/>
    <mergeCell ref="R1:T1"/>
    <mergeCell ref="S4:T4"/>
    <mergeCell ref="S5:T5"/>
    <mergeCell ref="S6:T6"/>
    <mergeCell ref="U1:W1"/>
    <mergeCell ref="R2:R3"/>
    <mergeCell ref="U2:U3"/>
    <mergeCell ref="S2:T2"/>
    <mergeCell ref="S3:T3"/>
    <mergeCell ref="V2:W2"/>
    <mergeCell ref="V3:W3"/>
    <mergeCell ref="N8:Q8"/>
    <mergeCell ref="N9:Q9"/>
    <mergeCell ref="V4:W4"/>
    <mergeCell ref="V5:W5"/>
    <mergeCell ref="V6:W6"/>
    <mergeCell ref="V7:W7"/>
    <mergeCell ref="V8:W8"/>
    <mergeCell ref="V9:W9"/>
    <mergeCell ref="S7:T7"/>
    <mergeCell ref="S8:T8"/>
    <mergeCell ref="S9:T9"/>
    <mergeCell ref="N4:Q4"/>
    <mergeCell ref="N5:Q5"/>
    <mergeCell ref="N6:Q6"/>
    <mergeCell ref="N7:Q7"/>
    <mergeCell ref="W14:W18"/>
    <mergeCell ref="N19:Q19"/>
    <mergeCell ref="M14:M18"/>
    <mergeCell ref="N14:Q18"/>
    <mergeCell ref="R14:T14"/>
    <mergeCell ref="T15:T18"/>
    <mergeCell ref="S15:S18"/>
    <mergeCell ref="R15:R18"/>
    <mergeCell ref="S10:T10"/>
    <mergeCell ref="S11:T11"/>
    <mergeCell ref="V10:W10"/>
    <mergeCell ref="V11:W11"/>
    <mergeCell ref="N21:Q21"/>
    <mergeCell ref="N24:V24"/>
    <mergeCell ref="O25:V25"/>
    <mergeCell ref="U14:U18"/>
    <mergeCell ref="V14:V18"/>
    <mergeCell ref="O30:V30"/>
    <mergeCell ref="O31:V31"/>
    <mergeCell ref="O32:V32"/>
    <mergeCell ref="N10:Q10"/>
    <mergeCell ref="N11:Q11"/>
    <mergeCell ref="O33:V33"/>
    <mergeCell ref="O26:V26"/>
    <mergeCell ref="O27:V27"/>
    <mergeCell ref="O28:V28"/>
    <mergeCell ref="O29:V29"/>
    <mergeCell ref="P39:R39"/>
    <mergeCell ref="C50:I50"/>
    <mergeCell ref="A10:B10"/>
    <mergeCell ref="C10:H10"/>
    <mergeCell ref="A11:L11"/>
    <mergeCell ref="H13:L13"/>
    <mergeCell ref="A12:A13"/>
    <mergeCell ref="B13:C13"/>
    <mergeCell ref="D13:E13"/>
    <mergeCell ref="D20:E20"/>
    <mergeCell ref="D27:E27"/>
    <mergeCell ref="B12:E12"/>
    <mergeCell ref="D16:E16"/>
    <mergeCell ref="D17:E17"/>
    <mergeCell ref="D18:E18"/>
    <mergeCell ref="D19:E19"/>
    <mergeCell ref="D23:E23"/>
    <mergeCell ref="D24:E24"/>
    <mergeCell ref="N20:Q20"/>
    <mergeCell ref="D35:E35"/>
    <mergeCell ref="D36:E36"/>
    <mergeCell ref="F38:G38"/>
    <mergeCell ref="A7:L7"/>
    <mergeCell ref="F12:G13"/>
    <mergeCell ref="H12:L12"/>
    <mergeCell ref="F9:H9"/>
    <mergeCell ref="A9:E9"/>
    <mergeCell ref="A8:L8"/>
    <mergeCell ref="D14:E14"/>
    <mergeCell ref="D15:E15"/>
    <mergeCell ref="F14:G14"/>
    <mergeCell ref="F15:G15"/>
    <mergeCell ref="H14:L14"/>
    <mergeCell ref="H15:L15"/>
    <mergeCell ref="H16:L16"/>
    <mergeCell ref="H17:L17"/>
    <mergeCell ref="H18:L18"/>
    <mergeCell ref="H21:L21"/>
    <mergeCell ref="H22:L22"/>
    <mergeCell ref="H23:L23"/>
    <mergeCell ref="H37:L37"/>
    <mergeCell ref="F32:G32"/>
    <mergeCell ref="H25:L25"/>
    <mergeCell ref="A42:A43"/>
    <mergeCell ref="B43:C43"/>
    <mergeCell ref="D26:E26"/>
    <mergeCell ref="D40:E40"/>
    <mergeCell ref="D33:E33"/>
    <mergeCell ref="D34:E34"/>
    <mergeCell ref="D28:E28"/>
    <mergeCell ref="D39:E39"/>
    <mergeCell ref="F21:G21"/>
    <mergeCell ref="F22:G22"/>
    <mergeCell ref="D37:E37"/>
    <mergeCell ref="D25:E25"/>
    <mergeCell ref="F24:G24"/>
    <mergeCell ref="F25:G25"/>
    <mergeCell ref="F26:G26"/>
    <mergeCell ref="D21:E21"/>
    <mergeCell ref="D22:E22"/>
    <mergeCell ref="D29:E29"/>
    <mergeCell ref="D30:E30"/>
    <mergeCell ref="D31:E31"/>
    <mergeCell ref="D32:E32"/>
    <mergeCell ref="F36:G36"/>
    <mergeCell ref="F37:G37"/>
    <mergeCell ref="F31:G31"/>
    <mergeCell ref="H26:L26"/>
    <mergeCell ref="H27:L27"/>
    <mergeCell ref="H20:L20"/>
    <mergeCell ref="F33:G33"/>
    <mergeCell ref="F34:G34"/>
    <mergeCell ref="F27:G27"/>
    <mergeCell ref="F28:G28"/>
    <mergeCell ref="F29:G29"/>
    <mergeCell ref="F30:G30"/>
    <mergeCell ref="H28:L28"/>
    <mergeCell ref="H24:L24"/>
    <mergeCell ref="H33:L33"/>
    <mergeCell ref="H34:L34"/>
    <mergeCell ref="A1:E1"/>
    <mergeCell ref="A2:E2"/>
    <mergeCell ref="A3:E3"/>
    <mergeCell ref="A4:E4"/>
    <mergeCell ref="A5:E5"/>
    <mergeCell ref="A6:E6"/>
    <mergeCell ref="B46:C46"/>
    <mergeCell ref="E46:G46"/>
    <mergeCell ref="B44:C44"/>
    <mergeCell ref="B45:C45"/>
    <mergeCell ref="D41:E41"/>
    <mergeCell ref="E45:G45"/>
    <mergeCell ref="F41:G41"/>
    <mergeCell ref="B42:D42"/>
    <mergeCell ref="F40:G40"/>
    <mergeCell ref="D38:E38"/>
    <mergeCell ref="F23:G23"/>
    <mergeCell ref="F39:G39"/>
    <mergeCell ref="F16:G16"/>
    <mergeCell ref="F17:G17"/>
    <mergeCell ref="F18:G18"/>
    <mergeCell ref="F19:G19"/>
    <mergeCell ref="F20:G20"/>
    <mergeCell ref="F35:G35"/>
    <mergeCell ref="I9:M9"/>
    <mergeCell ref="S39:X39"/>
    <mergeCell ref="H46:I46"/>
    <mergeCell ref="E42:I42"/>
    <mergeCell ref="E43:G43"/>
    <mergeCell ref="H43:I43"/>
    <mergeCell ref="E44:G44"/>
    <mergeCell ref="H44:I44"/>
    <mergeCell ref="J46:L46"/>
    <mergeCell ref="J42:L43"/>
    <mergeCell ref="J44:L44"/>
    <mergeCell ref="J45:L45"/>
    <mergeCell ref="H45:I45"/>
    <mergeCell ref="H41:L41"/>
    <mergeCell ref="H40:L40"/>
    <mergeCell ref="H35:L35"/>
    <mergeCell ref="H36:L36"/>
    <mergeCell ref="H19:L19"/>
    <mergeCell ref="H38:L38"/>
    <mergeCell ref="H39:L39"/>
    <mergeCell ref="H29:L29"/>
    <mergeCell ref="H30:L30"/>
    <mergeCell ref="H31:L31"/>
    <mergeCell ref="H32:L32"/>
  </mergeCells>
  <phoneticPr fontId="0" type="noConversion"/>
  <printOptions horizontalCentered="1"/>
  <pageMargins left="0.39370078740157483" right="0.39370078740157483" top="0.19685039370078741" bottom="0.19685039370078741" header="0" footer="0"/>
  <pageSetup paperSize="9" scale="75" orientation="portrait" verticalDpi="180" r:id="rId1"/>
  <headerFooter alignWithMargins="0"/>
  <rowBreaks count="1" manualBreakCount="1">
    <brk id="50" max="22" man="1"/>
  </rowBreaks>
  <colBreaks count="1" manualBreakCount="1">
    <brk id="12" max="49" man="1"/>
  </colBreak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8"/>
  <dimension ref="A1:X51"/>
  <sheetViews>
    <sheetView view="pageBreakPreview" topLeftCell="A10" zoomScale="75" zoomScaleNormal="100" workbookViewId="0">
      <selection activeCell="F9" sqref="F9:H9"/>
    </sheetView>
  </sheetViews>
  <sheetFormatPr defaultRowHeight="18.75" x14ac:dyDescent="0.2"/>
  <cols>
    <col min="1" max="1" width="15" style="2" customWidth="1"/>
    <col min="2" max="2" width="15.7109375" style="2" customWidth="1"/>
    <col min="3" max="3" width="6.28515625" style="2" customWidth="1"/>
    <col min="4" max="4" width="22.7109375" style="2" customWidth="1"/>
    <col min="5" max="5" width="3.42578125" style="2" customWidth="1"/>
    <col min="6" max="8" width="9.140625" style="2"/>
    <col min="9" max="9" width="9.7109375" style="2" customWidth="1"/>
    <col min="10" max="10" width="6" style="2" customWidth="1"/>
    <col min="11" max="11" width="6.140625" style="2" customWidth="1"/>
    <col min="12" max="12" width="6.85546875" style="2" customWidth="1"/>
    <col min="13" max="13" width="8.42578125" style="2" customWidth="1"/>
    <col min="14" max="18" width="10.7109375" style="2" customWidth="1"/>
    <col min="19" max="19" width="13.85546875" style="2" customWidth="1"/>
    <col min="20" max="20" width="14" style="2" customWidth="1"/>
    <col min="21" max="21" width="12.42578125" style="2" customWidth="1"/>
    <col min="22" max="22" width="13.140625" style="2" customWidth="1"/>
    <col min="23" max="23" width="13.28515625" style="2" customWidth="1"/>
    <col min="24" max="28" width="10.28515625" style="2" customWidth="1"/>
    <col min="29" max="16384" width="9.140625" style="2"/>
  </cols>
  <sheetData>
    <row r="1" spans="1:23" ht="26.25" x14ac:dyDescent="0.2">
      <c r="A1" s="115" t="s">
        <v>161</v>
      </c>
      <c r="B1" s="115"/>
      <c r="C1" s="115"/>
      <c r="D1" s="115"/>
      <c r="E1" s="115"/>
      <c r="F1" s="150" t="s">
        <v>154</v>
      </c>
      <c r="G1" s="150"/>
      <c r="H1" s="150"/>
      <c r="I1" s="115" t="s">
        <v>163</v>
      </c>
      <c r="J1" s="115"/>
      <c r="K1" s="115"/>
      <c r="L1" s="115"/>
      <c r="M1" s="123" t="s">
        <v>115</v>
      </c>
      <c r="N1" s="121" t="s">
        <v>116</v>
      </c>
      <c r="O1" s="121"/>
      <c r="P1" s="121"/>
      <c r="Q1" s="121"/>
      <c r="R1" s="219" t="s">
        <v>117</v>
      </c>
      <c r="S1" s="219"/>
      <c r="T1" s="219"/>
      <c r="U1" s="219" t="s">
        <v>118</v>
      </c>
      <c r="V1" s="219"/>
      <c r="W1" s="128"/>
    </row>
    <row r="2" spans="1:23" ht="18.75" customHeight="1" x14ac:dyDescent="0.2">
      <c r="A2" s="146" t="s">
        <v>45</v>
      </c>
      <c r="B2" s="146"/>
      <c r="C2" s="146"/>
      <c r="D2" s="146"/>
      <c r="E2" s="146"/>
      <c r="F2" s="150"/>
      <c r="G2" s="150"/>
      <c r="H2" s="150"/>
      <c r="I2" s="115"/>
      <c r="J2" s="115"/>
      <c r="K2" s="115"/>
      <c r="L2" s="115"/>
      <c r="M2" s="116"/>
      <c r="N2" s="118"/>
      <c r="O2" s="118"/>
      <c r="P2" s="118"/>
      <c r="Q2" s="118"/>
      <c r="R2" s="118" t="s">
        <v>119</v>
      </c>
      <c r="S2" s="118" t="s">
        <v>120</v>
      </c>
      <c r="T2" s="118"/>
      <c r="U2" s="118" t="s">
        <v>119</v>
      </c>
      <c r="V2" s="118" t="s">
        <v>120</v>
      </c>
      <c r="W2" s="125"/>
    </row>
    <row r="3" spans="1:23" ht="21.75" customHeight="1" x14ac:dyDescent="0.2">
      <c r="A3" s="115" t="s">
        <v>173</v>
      </c>
      <c r="B3" s="115"/>
      <c r="C3" s="115"/>
      <c r="D3" s="115"/>
      <c r="E3" s="115"/>
      <c r="F3" s="150" t="s">
        <v>155</v>
      </c>
      <c r="G3" s="150"/>
      <c r="H3" s="150"/>
      <c r="I3" s="115" t="s">
        <v>252</v>
      </c>
      <c r="J3" s="115"/>
      <c r="K3" s="115"/>
      <c r="L3" s="115"/>
      <c r="M3" s="117"/>
      <c r="N3" s="119"/>
      <c r="O3" s="119"/>
      <c r="P3" s="119"/>
      <c r="Q3" s="119"/>
      <c r="R3" s="119"/>
      <c r="S3" s="119" t="s">
        <v>121</v>
      </c>
      <c r="T3" s="119"/>
      <c r="U3" s="119"/>
      <c r="V3" s="119" t="s">
        <v>121</v>
      </c>
      <c r="W3" s="127"/>
    </row>
    <row r="4" spans="1:23" ht="29.25" customHeight="1" x14ac:dyDescent="0.2">
      <c r="A4" s="146" t="s">
        <v>46</v>
      </c>
      <c r="B4" s="146"/>
      <c r="C4" s="146"/>
      <c r="D4" s="146"/>
      <c r="E4" s="146"/>
      <c r="F4" s="150"/>
      <c r="G4" s="150"/>
      <c r="H4" s="150"/>
      <c r="I4" s="115"/>
      <c r="J4" s="115"/>
      <c r="K4" s="115"/>
      <c r="L4" s="115"/>
      <c r="M4" s="9"/>
      <c r="N4" s="216" t="s">
        <v>122</v>
      </c>
      <c r="O4" s="216"/>
      <c r="P4" s="216"/>
      <c r="Q4" s="216"/>
      <c r="R4" s="7"/>
      <c r="S4" s="111"/>
      <c r="T4" s="113"/>
      <c r="U4" s="7"/>
      <c r="V4" s="111"/>
      <c r="W4" s="112"/>
    </row>
    <row r="5" spans="1:23" ht="21" customHeight="1" x14ac:dyDescent="0.2">
      <c r="A5" s="234" t="s">
        <v>159</v>
      </c>
      <c r="B5" s="234"/>
      <c r="C5" s="234"/>
      <c r="D5" s="234"/>
      <c r="E5" s="234"/>
      <c r="F5" s="150" t="s">
        <v>156</v>
      </c>
      <c r="G5" s="150"/>
      <c r="H5" s="150"/>
      <c r="I5" s="115" t="s">
        <v>362</v>
      </c>
      <c r="J5" s="115"/>
      <c r="K5" s="115"/>
      <c r="L5" s="115"/>
      <c r="M5" s="9"/>
      <c r="N5" s="217" t="s">
        <v>123</v>
      </c>
      <c r="O5" s="217"/>
      <c r="P5" s="217"/>
      <c r="Q5" s="217"/>
      <c r="R5" s="7"/>
      <c r="S5" s="111"/>
      <c r="T5" s="113"/>
      <c r="U5" s="7"/>
      <c r="V5" s="111"/>
      <c r="W5" s="112"/>
    </row>
    <row r="6" spans="1:23" x14ac:dyDescent="0.2">
      <c r="A6" s="146" t="s">
        <v>47</v>
      </c>
      <c r="B6" s="146"/>
      <c r="C6" s="146"/>
      <c r="D6" s="146"/>
      <c r="E6" s="146"/>
      <c r="F6" s="150"/>
      <c r="G6" s="150"/>
      <c r="H6" s="150"/>
      <c r="I6" s="115"/>
      <c r="J6" s="115"/>
      <c r="K6" s="115"/>
      <c r="L6" s="115"/>
      <c r="M6" s="9"/>
      <c r="N6" s="217" t="s">
        <v>124</v>
      </c>
      <c r="O6" s="217"/>
      <c r="P6" s="217"/>
      <c r="Q6" s="217"/>
      <c r="R6" s="7"/>
      <c r="S6" s="111"/>
      <c r="T6" s="113"/>
      <c r="U6" s="7"/>
      <c r="V6" s="111"/>
      <c r="W6" s="112"/>
    </row>
    <row r="7" spans="1:23" x14ac:dyDescent="0.2">
      <c r="A7" s="122"/>
      <c r="B7" s="122"/>
      <c r="C7" s="122"/>
      <c r="D7" s="122"/>
      <c r="E7" s="122"/>
      <c r="F7" s="122"/>
      <c r="G7" s="122"/>
      <c r="H7" s="122"/>
      <c r="I7" s="122"/>
      <c r="J7" s="122"/>
      <c r="K7" s="122"/>
      <c r="L7" s="122"/>
      <c r="M7" s="9"/>
      <c r="N7" s="218" t="s">
        <v>125</v>
      </c>
      <c r="O7" s="218"/>
      <c r="P7" s="218"/>
      <c r="Q7" s="218"/>
      <c r="R7" s="7"/>
      <c r="S7" s="111"/>
      <c r="T7" s="113"/>
      <c r="U7" s="7"/>
      <c r="V7" s="111"/>
      <c r="W7" s="112"/>
    </row>
    <row r="8" spans="1:23" ht="22.5" x14ac:dyDescent="0.2">
      <c r="A8" s="143" t="s">
        <v>0</v>
      </c>
      <c r="B8" s="143"/>
      <c r="C8" s="143"/>
      <c r="D8" s="143"/>
      <c r="E8" s="143"/>
      <c r="F8" s="143"/>
      <c r="G8" s="143"/>
      <c r="H8" s="143"/>
      <c r="I8" s="143"/>
      <c r="J8" s="143"/>
      <c r="K8" s="143"/>
      <c r="L8" s="143"/>
      <c r="M8" s="9"/>
      <c r="N8" s="217" t="s">
        <v>126</v>
      </c>
      <c r="O8" s="217"/>
      <c r="P8" s="217"/>
      <c r="Q8" s="217"/>
      <c r="R8" s="7"/>
      <c r="S8" s="111"/>
      <c r="T8" s="113"/>
      <c r="U8" s="7"/>
      <c r="V8" s="111"/>
      <c r="W8" s="112"/>
    </row>
    <row r="9" spans="1:23" ht="18.75" customHeight="1" x14ac:dyDescent="0.2">
      <c r="A9" s="220" t="s">
        <v>152</v>
      </c>
      <c r="B9" s="220"/>
      <c r="C9" s="220"/>
      <c r="D9" s="220"/>
      <c r="E9" s="220"/>
      <c r="F9" s="162" t="s">
        <v>407</v>
      </c>
      <c r="G9" s="163"/>
      <c r="H9" s="163"/>
      <c r="I9" s="138" t="s">
        <v>369</v>
      </c>
      <c r="J9" s="138"/>
      <c r="K9" s="138"/>
      <c r="L9" s="138"/>
      <c r="M9" s="138"/>
      <c r="N9" s="217" t="s">
        <v>127</v>
      </c>
      <c r="O9" s="217"/>
      <c r="P9" s="217"/>
      <c r="Q9" s="217"/>
      <c r="R9" s="7"/>
      <c r="S9" s="111"/>
      <c r="T9" s="113"/>
      <c r="U9" s="7"/>
      <c r="V9" s="111"/>
      <c r="W9" s="112"/>
    </row>
    <row r="10" spans="1:23" ht="19.5" customHeight="1" x14ac:dyDescent="0.2">
      <c r="A10" s="220" t="s">
        <v>151</v>
      </c>
      <c r="B10" s="220"/>
      <c r="C10" s="163" t="s">
        <v>253</v>
      </c>
      <c r="D10" s="163"/>
      <c r="E10" s="163"/>
      <c r="F10" s="163"/>
      <c r="G10" s="163"/>
      <c r="H10" s="163"/>
      <c r="I10" s="3"/>
      <c r="J10" s="3"/>
      <c r="K10" s="3"/>
      <c r="L10" s="3"/>
      <c r="M10" s="9"/>
      <c r="N10" s="218" t="s">
        <v>128</v>
      </c>
      <c r="O10" s="218"/>
      <c r="P10" s="218"/>
      <c r="Q10" s="218"/>
      <c r="R10" s="7"/>
      <c r="S10" s="111"/>
      <c r="T10" s="113"/>
      <c r="U10" s="7"/>
      <c r="V10" s="111"/>
      <c r="W10" s="112"/>
    </row>
    <row r="11" spans="1:23" x14ac:dyDescent="0.2">
      <c r="A11" s="215" t="s">
        <v>1</v>
      </c>
      <c r="B11" s="215"/>
      <c r="C11" s="215"/>
      <c r="D11" s="215"/>
      <c r="E11" s="215"/>
      <c r="F11" s="215"/>
      <c r="G11" s="215"/>
      <c r="H11" s="215"/>
      <c r="I11" s="215"/>
      <c r="J11" s="215"/>
      <c r="K11" s="215"/>
      <c r="L11" s="215"/>
      <c r="M11" s="9"/>
      <c r="N11" s="223" t="s">
        <v>129</v>
      </c>
      <c r="O11" s="223"/>
      <c r="P11" s="223"/>
      <c r="Q11" s="223"/>
      <c r="R11" s="7"/>
      <c r="S11" s="111"/>
      <c r="T11" s="113"/>
      <c r="U11" s="7"/>
      <c r="V11" s="111"/>
      <c r="W11" s="112"/>
    </row>
    <row r="12" spans="1:23" ht="20.100000000000001" customHeight="1" x14ac:dyDescent="0.2">
      <c r="A12" s="129" t="s">
        <v>2</v>
      </c>
      <c r="B12" s="219" t="s">
        <v>36</v>
      </c>
      <c r="C12" s="219"/>
      <c r="D12" s="219"/>
      <c r="E12" s="219"/>
      <c r="F12" s="219" t="s">
        <v>5</v>
      </c>
      <c r="G12" s="219"/>
      <c r="H12" s="124" t="s">
        <v>34</v>
      </c>
      <c r="I12" s="131"/>
      <c r="J12" s="131"/>
      <c r="K12" s="131"/>
      <c r="L12" s="131"/>
      <c r="N12" s="1"/>
      <c r="O12" s="1"/>
      <c r="P12" s="1"/>
      <c r="Q12" s="1"/>
    </row>
    <row r="13" spans="1:23" ht="20.100000000000001" customHeight="1" x14ac:dyDescent="0.2">
      <c r="A13" s="129"/>
      <c r="B13" s="219" t="s">
        <v>3</v>
      </c>
      <c r="C13" s="219"/>
      <c r="D13" s="219" t="s">
        <v>4</v>
      </c>
      <c r="E13" s="219"/>
      <c r="F13" s="219"/>
      <c r="G13" s="219"/>
      <c r="H13" s="127" t="s">
        <v>35</v>
      </c>
      <c r="I13" s="130"/>
      <c r="J13" s="130"/>
      <c r="K13" s="130"/>
      <c r="L13" s="130"/>
    </row>
    <row r="14" spans="1:23" ht="20.100000000000001" customHeight="1" x14ac:dyDescent="0.2">
      <c r="A14" s="5" t="s">
        <v>6</v>
      </c>
      <c r="B14" s="7"/>
      <c r="C14" s="5"/>
      <c r="D14" s="120"/>
      <c r="E14" s="120"/>
      <c r="F14" s="221" t="str">
        <f t="shared" ref="F14:F40" si="0">IF(OR(B14="",D14=""),"",IF(ISERROR(D14/B14),IF(D14=0,0,""),D14/B14))</f>
        <v/>
      </c>
      <c r="G14" s="221"/>
      <c r="H14" s="120"/>
      <c r="I14" s="120"/>
      <c r="J14" s="120"/>
      <c r="K14" s="120"/>
      <c r="L14" s="120"/>
      <c r="M14" s="129" t="s">
        <v>115</v>
      </c>
      <c r="N14" s="219" t="s">
        <v>116</v>
      </c>
      <c r="O14" s="219"/>
      <c r="P14" s="219"/>
      <c r="Q14" s="219"/>
      <c r="R14" s="219" t="s">
        <v>117</v>
      </c>
      <c r="S14" s="219"/>
      <c r="T14" s="219"/>
      <c r="U14" s="219" t="s">
        <v>130</v>
      </c>
      <c r="V14" s="219" t="s">
        <v>69</v>
      </c>
      <c r="W14" s="128" t="s">
        <v>131</v>
      </c>
    </row>
    <row r="15" spans="1:23" ht="20.100000000000001" customHeight="1" x14ac:dyDescent="0.2">
      <c r="A15" s="5" t="s">
        <v>7</v>
      </c>
      <c r="B15" s="5"/>
      <c r="C15" s="5"/>
      <c r="D15" s="219"/>
      <c r="E15" s="219"/>
      <c r="F15" s="221" t="str">
        <f t="shared" si="0"/>
        <v/>
      </c>
      <c r="G15" s="221"/>
      <c r="H15" s="120"/>
      <c r="I15" s="120"/>
      <c r="J15" s="120"/>
      <c r="K15" s="120"/>
      <c r="L15" s="120"/>
      <c r="M15" s="129"/>
      <c r="N15" s="219"/>
      <c r="O15" s="219"/>
      <c r="P15" s="219"/>
      <c r="Q15" s="219"/>
      <c r="R15" s="224" t="s">
        <v>130</v>
      </c>
      <c r="S15" s="219" t="s">
        <v>69</v>
      </c>
      <c r="T15" s="219" t="s">
        <v>131</v>
      </c>
      <c r="U15" s="219"/>
      <c r="V15" s="219"/>
      <c r="W15" s="128"/>
    </row>
    <row r="16" spans="1:23" ht="20.100000000000001" customHeight="1" x14ac:dyDescent="0.2">
      <c r="A16" s="5" t="s">
        <v>8</v>
      </c>
      <c r="B16" s="21">
        <f>'Ячейка 3Гео'!D19+'Ячейка 26Гео '!D19</f>
        <v>253.4399999974994</v>
      </c>
      <c r="C16" s="21"/>
      <c r="D16" s="225">
        <f>'Ячейка 3Гео'!H19+'Ячейка 26Гео '!H19</f>
        <v>65.760000000136642</v>
      </c>
      <c r="E16" s="225"/>
      <c r="F16" s="221">
        <f t="shared" si="0"/>
        <v>0.2594696969727962</v>
      </c>
      <c r="G16" s="221"/>
      <c r="H16" s="120"/>
      <c r="I16" s="120"/>
      <c r="J16" s="120"/>
      <c r="K16" s="120"/>
      <c r="L16" s="120"/>
      <c r="M16" s="129"/>
      <c r="N16" s="219"/>
      <c r="O16" s="219"/>
      <c r="P16" s="219"/>
      <c r="Q16" s="219"/>
      <c r="R16" s="224"/>
      <c r="S16" s="219"/>
      <c r="T16" s="219"/>
      <c r="U16" s="219"/>
      <c r="V16" s="219"/>
      <c r="W16" s="128"/>
    </row>
    <row r="17" spans="1:23" ht="20.100000000000001" customHeight="1" x14ac:dyDescent="0.2">
      <c r="A17" s="5" t="s">
        <v>9</v>
      </c>
      <c r="B17" s="38">
        <f>'Ячейка 3Гео'!D20+'Ячейка 26Гео '!D20</f>
        <v>265.44000000212691</v>
      </c>
      <c r="C17" s="21"/>
      <c r="D17" s="225">
        <f>'Ячейка 3Гео'!H20+'Ячейка 26Гео '!H20</f>
        <v>71.039999998538406</v>
      </c>
      <c r="E17" s="225"/>
      <c r="F17" s="221">
        <f t="shared" si="0"/>
        <v>0.26763110306649029</v>
      </c>
      <c r="G17" s="221"/>
      <c r="H17" s="120"/>
      <c r="I17" s="120"/>
      <c r="J17" s="120"/>
      <c r="K17" s="120"/>
      <c r="L17" s="120"/>
      <c r="M17" s="129"/>
      <c r="N17" s="219"/>
      <c r="O17" s="219"/>
      <c r="P17" s="219"/>
      <c r="Q17" s="219"/>
      <c r="R17" s="224"/>
      <c r="S17" s="219"/>
      <c r="T17" s="219"/>
      <c r="U17" s="219"/>
      <c r="V17" s="219"/>
      <c r="W17" s="128"/>
    </row>
    <row r="18" spans="1:23" ht="20.100000000000001" customHeight="1" x14ac:dyDescent="0.2">
      <c r="A18" s="5" t="s">
        <v>10</v>
      </c>
      <c r="B18" s="38">
        <f>'Ячейка 3Гео'!D21+'Ячейка 26Гео '!D21</f>
        <v>260.63999999678344</v>
      </c>
      <c r="C18" s="21"/>
      <c r="D18" s="225">
        <f>'Ячейка 3Гео'!H21+'Ячейка 26Гео '!H21</f>
        <v>72.960000001603476</v>
      </c>
      <c r="E18" s="225"/>
      <c r="F18" s="221">
        <f t="shared" si="0"/>
        <v>0.27992633518456062</v>
      </c>
      <c r="G18" s="221"/>
      <c r="H18" s="120"/>
      <c r="I18" s="120"/>
      <c r="J18" s="120"/>
      <c r="K18" s="120"/>
      <c r="L18" s="120"/>
      <c r="M18" s="129"/>
      <c r="N18" s="219"/>
      <c r="O18" s="219"/>
      <c r="P18" s="219"/>
      <c r="Q18" s="219"/>
      <c r="R18" s="224"/>
      <c r="S18" s="219"/>
      <c r="T18" s="219"/>
      <c r="U18" s="219"/>
      <c r="V18" s="219"/>
      <c r="W18" s="128"/>
    </row>
    <row r="19" spans="1:23" ht="20.100000000000001" customHeight="1" x14ac:dyDescent="0.2">
      <c r="A19" s="5" t="s">
        <v>11</v>
      </c>
      <c r="B19" s="38">
        <f>'Ячейка 3Гео'!D22+'Ячейка 26Гео '!D22</f>
        <v>253.92000000283588</v>
      </c>
      <c r="C19" s="21"/>
      <c r="D19" s="225">
        <f>'Ячейка 3Гео'!H22+'Ячейка 26Гео '!H22</f>
        <v>71.999999998570274</v>
      </c>
      <c r="E19" s="225"/>
      <c r="F19" s="221">
        <f t="shared" si="0"/>
        <v>0.28355387522749742</v>
      </c>
      <c r="G19" s="221"/>
      <c r="H19" s="120"/>
      <c r="I19" s="120"/>
      <c r="J19" s="120"/>
      <c r="K19" s="120"/>
      <c r="L19" s="120"/>
      <c r="M19" s="9"/>
      <c r="N19" s="216" t="s">
        <v>132</v>
      </c>
      <c r="O19" s="216"/>
      <c r="P19" s="216"/>
      <c r="Q19" s="216"/>
      <c r="R19" s="7"/>
      <c r="S19" s="7"/>
      <c r="T19" s="7"/>
      <c r="U19" s="7"/>
      <c r="V19" s="7"/>
      <c r="W19" s="8"/>
    </row>
    <row r="20" spans="1:23" ht="20.100000000000001" customHeight="1" x14ac:dyDescent="0.2">
      <c r="A20" s="5" t="s">
        <v>12</v>
      </c>
      <c r="B20" s="38">
        <f>'Ячейка 3Гео'!D23+'Ячейка 26Гео '!D23</f>
        <v>244.79999999748543</v>
      </c>
      <c r="C20" s="21"/>
      <c r="D20" s="225">
        <f>'Ячейка 3Гео'!H23+'Ячейка 26Гео '!H23</f>
        <v>70.56000000138738</v>
      </c>
      <c r="E20" s="225"/>
      <c r="F20" s="221">
        <f t="shared" si="0"/>
        <v>0.28823529412627519</v>
      </c>
      <c r="G20" s="221"/>
      <c r="H20" s="120"/>
      <c r="I20" s="120"/>
      <c r="J20" s="120"/>
      <c r="K20" s="120"/>
      <c r="L20" s="120"/>
      <c r="M20" s="9"/>
      <c r="N20" s="217" t="s">
        <v>133</v>
      </c>
      <c r="O20" s="217"/>
      <c r="P20" s="217"/>
      <c r="Q20" s="217"/>
      <c r="R20" s="7"/>
      <c r="S20" s="7"/>
      <c r="T20" s="7"/>
      <c r="U20" s="7"/>
      <c r="V20" s="7"/>
      <c r="W20" s="8"/>
    </row>
    <row r="21" spans="1:23" ht="20.100000000000001" customHeight="1" x14ac:dyDescent="0.2">
      <c r="A21" s="5" t="s">
        <v>13</v>
      </c>
      <c r="B21" s="38">
        <f>'Ячейка 3Гео'!D24+'Ячейка 26Гео '!D24</f>
        <v>253.44000000186497</v>
      </c>
      <c r="C21" s="21"/>
      <c r="D21" s="225">
        <f>'Ячейка 3Гео'!H24+'Ячейка 26Гео '!H24</f>
        <v>71.519999999782158</v>
      </c>
      <c r="E21" s="225"/>
      <c r="F21" s="221">
        <f t="shared" si="0"/>
        <v>0.28219696969403357</v>
      </c>
      <c r="G21" s="221"/>
      <c r="H21" s="120"/>
      <c r="I21" s="120"/>
      <c r="J21" s="120"/>
      <c r="K21" s="120"/>
      <c r="L21" s="120"/>
      <c r="M21" s="9"/>
      <c r="N21" s="222" t="s">
        <v>134</v>
      </c>
      <c r="O21" s="222"/>
      <c r="P21" s="222"/>
      <c r="Q21" s="222"/>
      <c r="R21" s="7"/>
      <c r="S21" s="7"/>
      <c r="T21" s="7"/>
      <c r="U21" s="7"/>
      <c r="V21" s="7"/>
      <c r="W21" s="8"/>
    </row>
    <row r="22" spans="1:23" ht="20.100000000000001" customHeight="1" x14ac:dyDescent="0.2">
      <c r="A22" s="5" t="s">
        <v>14</v>
      </c>
      <c r="B22" s="38">
        <f>'Ячейка 3Гео'!D25+'Ячейка 26Гео '!D25</f>
        <v>258.24000000066007</v>
      </c>
      <c r="C22" s="21"/>
      <c r="D22" s="225">
        <f>'Ячейка 3Гео'!H25+'Ячейка 26Гео '!H25</f>
        <v>72.479999999541178</v>
      </c>
      <c r="E22" s="225"/>
      <c r="F22" s="221">
        <f t="shared" si="0"/>
        <v>0.28066914497891848</v>
      </c>
      <c r="G22" s="221"/>
      <c r="H22" s="120"/>
      <c r="I22" s="120"/>
      <c r="J22" s="120"/>
      <c r="K22" s="120"/>
      <c r="L22" s="120"/>
    </row>
    <row r="23" spans="1:23" ht="20.100000000000001" customHeight="1" x14ac:dyDescent="0.2">
      <c r="A23" s="5" t="s">
        <v>15</v>
      </c>
      <c r="B23" s="38">
        <f>'Ячейка 3Гео'!D26+'Ячейка 26Гео '!D26</f>
        <v>255.36000000138301</v>
      </c>
      <c r="C23" s="21"/>
      <c r="D23" s="225">
        <f>'Ячейка 3Гео'!H26+'Ячейка 26Гео '!H26</f>
        <v>67.679999999381835</v>
      </c>
      <c r="E23" s="225"/>
      <c r="F23" s="221">
        <f t="shared" si="0"/>
        <v>0.26503759398110621</v>
      </c>
      <c r="G23" s="221"/>
      <c r="H23" s="120"/>
      <c r="I23" s="120"/>
      <c r="J23" s="120"/>
      <c r="K23" s="120"/>
      <c r="L23" s="120"/>
    </row>
    <row r="24" spans="1:23" ht="20.100000000000001" customHeight="1" x14ac:dyDescent="0.2">
      <c r="A24" s="5" t="s">
        <v>16</v>
      </c>
      <c r="B24" s="38">
        <f>'Ячейка 3Гео'!D27+'Ячейка 26Гео '!D27</f>
        <v>261.11999999993714</v>
      </c>
      <c r="C24" s="21"/>
      <c r="D24" s="225">
        <f>'Ячейка 3Гео'!H27+'Ячейка 26Гео '!H27</f>
        <v>59.999999999672582</v>
      </c>
      <c r="E24" s="225"/>
      <c r="F24" s="221">
        <f t="shared" si="0"/>
        <v>0.2297794117635073</v>
      </c>
      <c r="G24" s="221"/>
      <c r="H24" s="120"/>
      <c r="I24" s="120"/>
      <c r="J24" s="120"/>
      <c r="K24" s="120"/>
      <c r="L24" s="120"/>
      <c r="N24" s="145" t="s">
        <v>135</v>
      </c>
      <c r="O24" s="145"/>
      <c r="P24" s="145"/>
      <c r="Q24" s="145"/>
      <c r="R24" s="145"/>
      <c r="S24" s="145"/>
      <c r="T24" s="145"/>
      <c r="U24" s="145"/>
      <c r="V24" s="145"/>
    </row>
    <row r="25" spans="1:23" ht="20.100000000000001" customHeight="1" x14ac:dyDescent="0.2">
      <c r="A25" s="5" t="s">
        <v>17</v>
      </c>
      <c r="B25" s="38">
        <f>'Ячейка 3Гео'!D28+'Ячейка 26Гео '!D28</f>
        <v>281.27999999705935</v>
      </c>
      <c r="C25" s="21"/>
      <c r="D25" s="225">
        <f>'Ячейка 3Гео'!H28+'Ячейка 26Гео '!H28</f>
        <v>63.359999999920547</v>
      </c>
      <c r="E25" s="225"/>
      <c r="F25" s="221">
        <f t="shared" si="0"/>
        <v>0.22525597269831821</v>
      </c>
      <c r="G25" s="221"/>
      <c r="H25" s="120"/>
      <c r="I25" s="120"/>
      <c r="J25" s="120"/>
      <c r="K25" s="120"/>
      <c r="L25" s="120"/>
      <c r="N25" s="17" t="s">
        <v>136</v>
      </c>
      <c r="O25" s="145" t="s">
        <v>137</v>
      </c>
      <c r="P25" s="145"/>
      <c r="Q25" s="145"/>
      <c r="R25" s="145"/>
      <c r="S25" s="145"/>
      <c r="T25" s="145"/>
      <c r="U25" s="145"/>
      <c r="V25" s="145"/>
    </row>
    <row r="26" spans="1:23" ht="20.100000000000001" customHeight="1" x14ac:dyDescent="0.2">
      <c r="A26" s="5" t="s">
        <v>18</v>
      </c>
      <c r="B26" s="38">
        <f>'Ячейка 3Гео'!D29+'Ячейка 26Гео '!D29</f>
        <v>272.16000000044005</v>
      </c>
      <c r="C26" s="21"/>
      <c r="D26" s="225">
        <f>'Ячейка 3Гео'!H29+'Ячейка 26Гео '!H29</f>
        <v>66.72000000044136</v>
      </c>
      <c r="E26" s="225"/>
      <c r="F26" s="221">
        <f t="shared" si="0"/>
        <v>0.2451499118178038</v>
      </c>
      <c r="G26" s="221"/>
      <c r="H26" s="120"/>
      <c r="I26" s="120"/>
      <c r="J26" s="120"/>
      <c r="K26" s="120"/>
      <c r="L26" s="120"/>
      <c r="N26" s="17" t="s">
        <v>138</v>
      </c>
      <c r="O26" s="145" t="s">
        <v>180</v>
      </c>
      <c r="P26" s="145"/>
      <c r="Q26" s="145"/>
      <c r="R26" s="145"/>
      <c r="S26" s="145"/>
      <c r="T26" s="145"/>
      <c r="U26" s="145"/>
      <c r="V26" s="145"/>
    </row>
    <row r="27" spans="1:23" ht="20.100000000000001" customHeight="1" x14ac:dyDescent="0.2">
      <c r="A27" s="5" t="s">
        <v>19</v>
      </c>
      <c r="B27" s="38">
        <f>'Ячейка 3Гео'!D30+'Ячейка 26Гео '!D30</f>
        <v>208.79999999888241</v>
      </c>
      <c r="C27" s="21"/>
      <c r="D27" s="225">
        <f>'Ячейка 3Гео'!H30+'Ячейка 26Гео '!H30</f>
        <v>45.600000000285945</v>
      </c>
      <c r="E27" s="225"/>
      <c r="F27" s="221">
        <f t="shared" si="0"/>
        <v>0.21839080460023955</v>
      </c>
      <c r="G27" s="221"/>
      <c r="H27" s="120"/>
      <c r="I27" s="120"/>
      <c r="J27" s="120"/>
      <c r="K27" s="120"/>
      <c r="L27" s="120"/>
      <c r="N27" s="17" t="s">
        <v>139</v>
      </c>
      <c r="O27" s="145" t="s">
        <v>140</v>
      </c>
      <c r="P27" s="145"/>
      <c r="Q27" s="145"/>
      <c r="R27" s="145"/>
      <c r="S27" s="145"/>
      <c r="T27" s="145"/>
      <c r="U27" s="145"/>
      <c r="V27" s="145"/>
    </row>
    <row r="28" spans="1:23" ht="20.100000000000001" customHeight="1" x14ac:dyDescent="0.2">
      <c r="A28" s="5" t="s">
        <v>20</v>
      </c>
      <c r="B28" s="38">
        <f>'Ячейка 3Гео'!D31+'Ячейка 26Гео '!D31</f>
        <v>188.16000000297208</v>
      </c>
      <c r="C28" s="21"/>
      <c r="D28" s="225">
        <f>'Ячейка 3Гео'!H31+'Ячейка 26Гео '!H31</f>
        <v>40.320000000792788</v>
      </c>
      <c r="E28" s="225"/>
      <c r="F28" s="221">
        <f t="shared" si="0"/>
        <v>0.21428571428654292</v>
      </c>
      <c r="G28" s="221"/>
      <c r="H28" s="120"/>
      <c r="I28" s="120"/>
      <c r="J28" s="120"/>
      <c r="K28" s="120"/>
      <c r="L28" s="120"/>
      <c r="N28" s="17"/>
      <c r="O28" s="145" t="s">
        <v>141</v>
      </c>
      <c r="P28" s="145"/>
      <c r="Q28" s="145"/>
      <c r="R28" s="145"/>
      <c r="S28" s="145"/>
      <c r="T28" s="145"/>
      <c r="U28" s="145"/>
      <c r="V28" s="145"/>
    </row>
    <row r="29" spans="1:23" ht="20.100000000000001" customHeight="1" x14ac:dyDescent="0.2">
      <c r="A29" s="5" t="s">
        <v>21</v>
      </c>
      <c r="B29" s="38">
        <f>'Ячейка 3Гео'!D32+'Ячейка 26Гео '!D32</f>
        <v>195.83999999886146</v>
      </c>
      <c r="C29" s="21"/>
      <c r="D29" s="225">
        <f>'Ячейка 3Гео'!H32+'Ячейка 26Гео '!H32</f>
        <v>39.359999998578132</v>
      </c>
      <c r="E29" s="225"/>
      <c r="F29" s="221">
        <f t="shared" si="0"/>
        <v>0.20098039215077082</v>
      </c>
      <c r="G29" s="221"/>
      <c r="H29" s="120"/>
      <c r="I29" s="120"/>
      <c r="J29" s="120"/>
      <c r="K29" s="120"/>
      <c r="L29" s="120"/>
      <c r="N29" s="17"/>
      <c r="O29" s="145" t="s">
        <v>142</v>
      </c>
      <c r="P29" s="145"/>
      <c r="Q29" s="145"/>
      <c r="R29" s="145"/>
      <c r="S29" s="145"/>
      <c r="T29" s="145"/>
      <c r="U29" s="145"/>
      <c r="V29" s="145"/>
    </row>
    <row r="30" spans="1:23" ht="20.100000000000001" customHeight="1" x14ac:dyDescent="0.2">
      <c r="A30" s="5" t="s">
        <v>22</v>
      </c>
      <c r="B30" s="38">
        <f>'Ячейка 3Гео'!D33+'Ячейка 26Гео '!D33</f>
        <v>194.40000000031432</v>
      </c>
      <c r="C30" s="21"/>
      <c r="D30" s="225">
        <f>'Ячейка 3Гео'!H33+'Ячейка 26Гео '!H33</f>
        <v>39.36000000076092</v>
      </c>
      <c r="E30" s="225"/>
      <c r="F30" s="221">
        <f t="shared" si="0"/>
        <v>0.20246913580605597</v>
      </c>
      <c r="G30" s="221"/>
      <c r="H30" s="120"/>
      <c r="I30" s="120"/>
      <c r="J30" s="120"/>
      <c r="K30" s="120"/>
      <c r="L30" s="120"/>
      <c r="N30" s="17" t="s">
        <v>143</v>
      </c>
      <c r="O30" s="145" t="s">
        <v>144</v>
      </c>
      <c r="P30" s="145"/>
      <c r="Q30" s="145"/>
      <c r="R30" s="145"/>
      <c r="S30" s="145"/>
      <c r="T30" s="145"/>
      <c r="U30" s="145"/>
      <c r="V30" s="145"/>
    </row>
    <row r="31" spans="1:23" ht="20.100000000000001" customHeight="1" x14ac:dyDescent="0.2">
      <c r="A31" s="5" t="s">
        <v>23</v>
      </c>
      <c r="B31" s="38">
        <f>'Ячейка 3Гео'!D34+'Ячейка 26Гео '!D34</f>
        <v>204.47999999669264</v>
      </c>
      <c r="C31" s="21"/>
      <c r="D31" s="225">
        <f>'Ячейка 3Гео'!H34+'Ячейка 26Гео '!H34</f>
        <v>39.36000000076092</v>
      </c>
      <c r="E31" s="225"/>
      <c r="F31" s="221">
        <f t="shared" si="0"/>
        <v>0.19248826291763277</v>
      </c>
      <c r="G31" s="221"/>
      <c r="H31" s="120"/>
      <c r="I31" s="120"/>
      <c r="J31" s="120"/>
      <c r="K31" s="120"/>
      <c r="L31" s="120"/>
      <c r="N31" s="17"/>
      <c r="O31" s="145" t="s">
        <v>145</v>
      </c>
      <c r="P31" s="145"/>
      <c r="Q31" s="145"/>
      <c r="R31" s="145"/>
      <c r="S31" s="145"/>
      <c r="T31" s="145"/>
      <c r="U31" s="145"/>
      <c r="V31" s="145"/>
    </row>
    <row r="32" spans="1:23" ht="20.100000000000001" customHeight="1" x14ac:dyDescent="0.2">
      <c r="A32" s="5" t="s">
        <v>24</v>
      </c>
      <c r="B32" s="38">
        <f>'Ячейка 3Гео'!D35+'Ячейка 26Гео '!D35</f>
        <v>185.76000000030035</v>
      </c>
      <c r="C32" s="21"/>
      <c r="D32" s="225">
        <f>'Ячейка 3Гео'!H35+'Ячейка 26Гео '!H35</f>
        <v>34.559999999783031</v>
      </c>
      <c r="E32" s="225"/>
      <c r="F32" s="221">
        <f t="shared" si="0"/>
        <v>0.18604651162643815</v>
      </c>
      <c r="G32" s="221"/>
      <c r="H32" s="120"/>
      <c r="I32" s="120"/>
      <c r="J32" s="120"/>
      <c r="K32" s="120"/>
      <c r="L32" s="120"/>
      <c r="N32" s="17" t="s">
        <v>146</v>
      </c>
      <c r="O32" s="145" t="s">
        <v>147</v>
      </c>
      <c r="P32" s="145"/>
      <c r="Q32" s="145"/>
      <c r="R32" s="145"/>
      <c r="S32" s="145"/>
      <c r="T32" s="145"/>
      <c r="U32" s="145"/>
      <c r="V32" s="145"/>
    </row>
    <row r="33" spans="1:24" ht="20.100000000000001" customHeight="1" x14ac:dyDescent="0.2">
      <c r="A33" s="5" t="s">
        <v>25</v>
      </c>
      <c r="B33" s="38">
        <f>'Ячейка 3Гео'!D36+'Ячейка 26Гео '!D36</f>
        <v>199.20000000129221</v>
      </c>
      <c r="C33" s="21"/>
      <c r="D33" s="225">
        <f>'Ячейка 3Гео'!H36+'Ячейка 26Гео '!H36</f>
        <v>39.839999999549036</v>
      </c>
      <c r="E33" s="225"/>
      <c r="F33" s="221">
        <f t="shared" si="0"/>
        <v>0.19999999999643872</v>
      </c>
      <c r="G33" s="221"/>
      <c r="H33" s="120"/>
      <c r="I33" s="120"/>
      <c r="J33" s="120"/>
      <c r="K33" s="120"/>
      <c r="L33" s="120"/>
      <c r="N33" s="17" t="s">
        <v>148</v>
      </c>
      <c r="O33" s="145" t="s">
        <v>149</v>
      </c>
      <c r="P33" s="145"/>
      <c r="Q33" s="145"/>
      <c r="R33" s="145"/>
      <c r="S33" s="145"/>
      <c r="T33" s="145"/>
      <c r="U33" s="145"/>
      <c r="V33" s="145"/>
    </row>
    <row r="34" spans="1:24" ht="20.100000000000001" customHeight="1" x14ac:dyDescent="0.2">
      <c r="A34" s="5" t="s">
        <v>26</v>
      </c>
      <c r="B34" s="38">
        <f>'Ячейка 3Гео'!D37+'Ячейка 26Гео '!D37</f>
        <v>180.00000000174623</v>
      </c>
      <c r="C34" s="21"/>
      <c r="D34" s="225">
        <f>'Ячейка 3Гео'!H37+'Ячейка 26Гео '!H37</f>
        <v>33.599999999751162</v>
      </c>
      <c r="E34" s="225"/>
      <c r="F34" s="221">
        <f t="shared" si="0"/>
        <v>0.18666666666347334</v>
      </c>
      <c r="G34" s="221"/>
      <c r="H34" s="120"/>
      <c r="I34" s="120"/>
      <c r="J34" s="120"/>
      <c r="K34" s="120"/>
      <c r="L34" s="120"/>
    </row>
    <row r="35" spans="1:24" ht="20.100000000000001" customHeight="1" x14ac:dyDescent="0.2">
      <c r="A35" s="5" t="s">
        <v>27</v>
      </c>
      <c r="B35" s="38">
        <f>'Ячейка 3Гео'!D38+'Ячейка 26Гео '!D38</f>
        <v>172.8000000002794</v>
      </c>
      <c r="C35" s="21"/>
      <c r="D35" s="225">
        <f>'Ячейка 3Гео'!H38+'Ячейка 26Гео '!H38</f>
        <v>30.24000000086744</v>
      </c>
      <c r="E35" s="225"/>
      <c r="F35" s="221">
        <f t="shared" si="0"/>
        <v>0.17500000000473695</v>
      </c>
      <c r="G35" s="221"/>
      <c r="H35" s="120"/>
      <c r="I35" s="120"/>
      <c r="J35" s="120"/>
      <c r="K35" s="120"/>
      <c r="L35" s="120"/>
    </row>
    <row r="36" spans="1:24" ht="20.100000000000001" customHeight="1" x14ac:dyDescent="0.2">
      <c r="A36" s="5" t="s">
        <v>28</v>
      </c>
      <c r="B36" s="38">
        <f>'Ячейка 3Гео'!D39+'Ячейка 26Гео '!D39</f>
        <v>169.91999999881955</v>
      </c>
      <c r="C36" s="21"/>
      <c r="D36" s="225">
        <f>'Ячейка 3Гео'!H39+'Ячейка 26Гео '!H39</f>
        <v>32.64000000026499</v>
      </c>
      <c r="E36" s="225"/>
      <c r="F36" s="221">
        <f t="shared" si="0"/>
        <v>0.19209039548311996</v>
      </c>
      <c r="G36" s="221"/>
      <c r="H36" s="120"/>
      <c r="I36" s="120"/>
      <c r="J36" s="120"/>
      <c r="K36" s="120"/>
      <c r="L36" s="120"/>
    </row>
    <row r="37" spans="1:24" ht="20.100000000000001" customHeight="1" x14ac:dyDescent="0.2">
      <c r="A37" s="5" t="s">
        <v>29</v>
      </c>
      <c r="B37" s="38">
        <f>'Ячейка 3Гео'!D40+'Ячейка 26Гео '!D40</f>
        <v>187.67999999981839</v>
      </c>
      <c r="C37" s="21"/>
      <c r="D37" s="225">
        <f>'Ячейка 3Гео'!H40+'Ячейка 26Гео '!H40</f>
        <v>41.759999997975683</v>
      </c>
      <c r="E37" s="225"/>
      <c r="F37" s="221">
        <f t="shared" si="0"/>
        <v>0.2225063938513219</v>
      </c>
      <c r="G37" s="221"/>
      <c r="H37" s="120"/>
      <c r="I37" s="120"/>
      <c r="J37" s="120"/>
      <c r="K37" s="120"/>
      <c r="L37" s="120"/>
    </row>
    <row r="38" spans="1:24" ht="20.100000000000001" customHeight="1" x14ac:dyDescent="0.2">
      <c r="A38" s="5" t="s">
        <v>30</v>
      </c>
      <c r="B38" s="38">
        <f>'Ячейка 3Гео'!D41+'Ячейка 26Гео '!D41</f>
        <v>187.6799999976356</v>
      </c>
      <c r="C38" s="21"/>
      <c r="D38" s="225">
        <f>'Ячейка 3Гео'!H41+'Ячейка 26Гео '!H41</f>
        <v>39.839999999821885</v>
      </c>
      <c r="E38" s="225"/>
      <c r="F38" s="221">
        <f t="shared" si="0"/>
        <v>0.21227621483548481</v>
      </c>
      <c r="G38" s="221"/>
      <c r="H38" s="120"/>
      <c r="I38" s="120"/>
      <c r="J38" s="120"/>
      <c r="K38" s="120"/>
      <c r="L38" s="120"/>
    </row>
    <row r="39" spans="1:24" ht="20.100000000000001" customHeight="1" x14ac:dyDescent="0.2">
      <c r="A39" s="5" t="s">
        <v>31</v>
      </c>
      <c r="B39" s="38">
        <f>'Ячейка 3Гео'!D42+'Ячейка 26Гео '!D42</f>
        <v>191.52000000322005</v>
      </c>
      <c r="C39" s="21"/>
      <c r="D39" s="225">
        <f>'Ячейка 3Гео'!H42+'Ячейка 26Гео '!H42</f>
        <v>37.920000000576692</v>
      </c>
      <c r="E39" s="225"/>
      <c r="F39" s="221">
        <f t="shared" si="0"/>
        <v>0.19799498746835389</v>
      </c>
      <c r="G39" s="221"/>
      <c r="H39" s="120"/>
      <c r="I39" s="120"/>
      <c r="J39" s="120"/>
      <c r="K39" s="120"/>
      <c r="L39" s="120"/>
      <c r="P39" s="177" t="s">
        <v>150</v>
      </c>
      <c r="Q39" s="177"/>
      <c r="R39" s="177"/>
      <c r="S39" s="176" t="s">
        <v>364</v>
      </c>
      <c r="T39" s="176"/>
      <c r="U39" s="176"/>
      <c r="V39" s="176"/>
      <c r="W39" s="176"/>
      <c r="X39" s="176"/>
    </row>
    <row r="40" spans="1:24" ht="20.100000000000001" customHeight="1" x14ac:dyDescent="0.2">
      <c r="A40" s="5" t="s">
        <v>32</v>
      </c>
      <c r="B40" s="21">
        <f>SUM(B15:B39)</f>
        <v>5326.0799999989104</v>
      </c>
      <c r="C40" s="21"/>
      <c r="D40" s="225">
        <f>SUM(D15:E39)</f>
        <v>1248.4799999987445</v>
      </c>
      <c r="E40" s="225"/>
      <c r="F40" s="221">
        <f t="shared" si="0"/>
        <v>0.23440879596232123</v>
      </c>
      <c r="G40" s="221"/>
      <c r="H40" s="120"/>
      <c r="I40" s="120"/>
      <c r="J40" s="120"/>
      <c r="K40" s="120"/>
      <c r="L40" s="120"/>
    </row>
    <row r="41" spans="1:24" ht="20.100000000000001" customHeight="1" x14ac:dyDescent="0.2">
      <c r="A41" s="5" t="s">
        <v>33</v>
      </c>
      <c r="B41" s="5"/>
      <c r="C41" s="5"/>
      <c r="D41" s="219"/>
      <c r="E41" s="219"/>
      <c r="F41" s="221"/>
      <c r="G41" s="221"/>
      <c r="H41" s="120"/>
      <c r="I41" s="120"/>
      <c r="J41" s="120"/>
      <c r="K41" s="120"/>
      <c r="L41" s="120"/>
    </row>
    <row r="42" spans="1:24" ht="20.100000000000001" customHeight="1" x14ac:dyDescent="0.2">
      <c r="A42" s="129" t="s">
        <v>2</v>
      </c>
      <c r="B42" s="128" t="s">
        <v>37</v>
      </c>
      <c r="C42" s="132"/>
      <c r="D42" s="129"/>
      <c r="E42" s="128" t="s">
        <v>40</v>
      </c>
      <c r="F42" s="132"/>
      <c r="G42" s="132"/>
      <c r="H42" s="132"/>
      <c r="I42" s="129"/>
      <c r="J42" s="124" t="s">
        <v>5</v>
      </c>
      <c r="K42" s="131"/>
      <c r="L42" s="131"/>
    </row>
    <row r="43" spans="1:24" ht="36" customHeight="1" x14ac:dyDescent="0.2">
      <c r="A43" s="129"/>
      <c r="B43" s="219" t="s">
        <v>38</v>
      </c>
      <c r="C43" s="219"/>
      <c r="D43" s="5" t="s">
        <v>39</v>
      </c>
      <c r="E43" s="128" t="s">
        <v>41</v>
      </c>
      <c r="F43" s="132"/>
      <c r="G43" s="129"/>
      <c r="H43" s="128" t="s">
        <v>42</v>
      </c>
      <c r="I43" s="129"/>
      <c r="J43" s="127"/>
      <c r="K43" s="130"/>
      <c r="L43" s="130"/>
    </row>
    <row r="44" spans="1:24" ht="20.100000000000001" customHeight="1" x14ac:dyDescent="0.2">
      <c r="A44" s="4" t="s">
        <v>153</v>
      </c>
      <c r="B44" s="226">
        <f>SUM(B24:B26)</f>
        <v>814.55999999743653</v>
      </c>
      <c r="C44" s="227"/>
      <c r="D44" s="21">
        <f>SUM(D24:E26)</f>
        <v>190.08000000003449</v>
      </c>
      <c r="E44" s="226">
        <f>B44/3</f>
        <v>271.51999999914551</v>
      </c>
      <c r="F44" s="231"/>
      <c r="G44" s="227"/>
      <c r="H44" s="226">
        <f>D44/3</f>
        <v>63.360000000011496</v>
      </c>
      <c r="I44" s="227"/>
      <c r="J44" s="228">
        <f>H44/E44</f>
        <v>0.23335297584049386</v>
      </c>
      <c r="K44" s="229"/>
      <c r="L44" s="229"/>
    </row>
    <row r="45" spans="1:24" ht="20.100000000000001" customHeight="1" x14ac:dyDescent="0.2">
      <c r="A45" s="4" t="s">
        <v>43</v>
      </c>
      <c r="B45" s="226">
        <f>SUM(B33:B36)</f>
        <v>721.92000000213739</v>
      </c>
      <c r="C45" s="227"/>
      <c r="D45" s="21">
        <f>SUM(D33:E36)</f>
        <v>136.32000000043263</v>
      </c>
      <c r="E45" s="226">
        <f>B45/4</f>
        <v>180.48000000053435</v>
      </c>
      <c r="F45" s="231"/>
      <c r="G45" s="227"/>
      <c r="H45" s="226">
        <f>D45/4</f>
        <v>34.080000000108157</v>
      </c>
      <c r="I45" s="227"/>
      <c r="J45" s="228">
        <f>H45/E45</f>
        <v>0.18882978723408275</v>
      </c>
      <c r="K45" s="229"/>
      <c r="L45" s="229"/>
    </row>
    <row r="46" spans="1:24" ht="20.100000000000001" customHeight="1" x14ac:dyDescent="0.2">
      <c r="A46" s="4" t="s">
        <v>44</v>
      </c>
      <c r="B46" s="226">
        <f>SUM(B16:B39)</f>
        <v>5326.0799999989104</v>
      </c>
      <c r="C46" s="227"/>
      <c r="D46" s="21">
        <f>SUM(D16:E39)</f>
        <v>1248.4799999987445</v>
      </c>
      <c r="E46" s="226">
        <f>B46/24</f>
        <v>221.9199999999546</v>
      </c>
      <c r="F46" s="231"/>
      <c r="G46" s="227"/>
      <c r="H46" s="226">
        <f>D46/24</f>
        <v>52.019999999947686</v>
      </c>
      <c r="I46" s="227"/>
      <c r="J46" s="228">
        <f>H46/E46</f>
        <v>0.23440879596232123</v>
      </c>
      <c r="K46" s="229"/>
      <c r="L46" s="229"/>
    </row>
    <row r="47" spans="1:24" ht="20.100000000000001" customHeight="1" x14ac:dyDescent="0.2"/>
    <row r="48" spans="1:24" ht="20.100000000000001" customHeight="1" x14ac:dyDescent="0.2"/>
    <row r="49" spans="3:9" ht="20.100000000000001" customHeight="1" x14ac:dyDescent="0.2"/>
    <row r="50" spans="3:9" ht="20.100000000000001" customHeight="1" x14ac:dyDescent="0.2">
      <c r="C50" s="122" t="s">
        <v>186</v>
      </c>
      <c r="D50" s="122"/>
      <c r="E50" s="122"/>
      <c r="F50" s="122"/>
      <c r="G50" s="122"/>
      <c r="H50" s="122"/>
      <c r="I50" s="122"/>
    </row>
    <row r="51" spans="3:9" ht="20.100000000000001" customHeight="1" x14ac:dyDescent="0.2"/>
  </sheetData>
  <sheetProtection sheet="1" objects="1" scenarios="1"/>
  <mergeCells count="189">
    <mergeCell ref="B45:C45"/>
    <mergeCell ref="J44:L44"/>
    <mergeCell ref="J45:L45"/>
    <mergeCell ref="D41:E41"/>
    <mergeCell ref="E45:G45"/>
    <mergeCell ref="F40:G40"/>
    <mergeCell ref="F29:G29"/>
    <mergeCell ref="F30:G30"/>
    <mergeCell ref="F31:G31"/>
    <mergeCell ref="F32:G32"/>
    <mergeCell ref="H45:I45"/>
    <mergeCell ref="F41:G41"/>
    <mergeCell ref="H35:L35"/>
    <mergeCell ref="H36:L36"/>
    <mergeCell ref="H37:L37"/>
    <mergeCell ref="H38:L38"/>
    <mergeCell ref="H39:L39"/>
    <mergeCell ref="H40:L40"/>
    <mergeCell ref="H29:L29"/>
    <mergeCell ref="H30:L30"/>
    <mergeCell ref="H31:L31"/>
    <mergeCell ref="H32:L32"/>
    <mergeCell ref="H33:L33"/>
    <mergeCell ref="H34:L34"/>
    <mergeCell ref="J46:L46"/>
    <mergeCell ref="J42:L43"/>
    <mergeCell ref="A1:E1"/>
    <mergeCell ref="A2:E2"/>
    <mergeCell ref="A3:E3"/>
    <mergeCell ref="A4:E4"/>
    <mergeCell ref="A5:E5"/>
    <mergeCell ref="A6:E6"/>
    <mergeCell ref="B46:C46"/>
    <mergeCell ref="E46:G46"/>
    <mergeCell ref="H46:I46"/>
    <mergeCell ref="E42:I42"/>
    <mergeCell ref="E43:G43"/>
    <mergeCell ref="H43:I43"/>
    <mergeCell ref="E44:G44"/>
    <mergeCell ref="H44:I44"/>
    <mergeCell ref="H41:L41"/>
    <mergeCell ref="B42:D42"/>
    <mergeCell ref="B44:C44"/>
    <mergeCell ref="H18:L18"/>
    <mergeCell ref="H19:L19"/>
    <mergeCell ref="H20:L20"/>
    <mergeCell ref="H21:L21"/>
    <mergeCell ref="H22:L22"/>
    <mergeCell ref="F18:G18"/>
    <mergeCell ref="F19:G19"/>
    <mergeCell ref="F20:G20"/>
    <mergeCell ref="F34:G34"/>
    <mergeCell ref="D30:E30"/>
    <mergeCell ref="D31:E31"/>
    <mergeCell ref="D32:E32"/>
    <mergeCell ref="D23:E23"/>
    <mergeCell ref="D24:E24"/>
    <mergeCell ref="F23:G23"/>
    <mergeCell ref="F24:G24"/>
    <mergeCell ref="F25:G25"/>
    <mergeCell ref="F26:G26"/>
    <mergeCell ref="F33:G33"/>
    <mergeCell ref="D25:E25"/>
    <mergeCell ref="D26:E26"/>
    <mergeCell ref="D14:E14"/>
    <mergeCell ref="D15:E15"/>
    <mergeCell ref="D16:E16"/>
    <mergeCell ref="D17:E17"/>
    <mergeCell ref="D18:E18"/>
    <mergeCell ref="D19:E19"/>
    <mergeCell ref="D20:E20"/>
    <mergeCell ref="C50:I50"/>
    <mergeCell ref="A10:B10"/>
    <mergeCell ref="C10:H10"/>
    <mergeCell ref="A11:L11"/>
    <mergeCell ref="H13:L13"/>
    <mergeCell ref="A12:A13"/>
    <mergeCell ref="B13:C13"/>
    <mergeCell ref="D13:E13"/>
    <mergeCell ref="B12:E12"/>
    <mergeCell ref="A42:A43"/>
    <mergeCell ref="B43:C43"/>
    <mergeCell ref="D27:E27"/>
    <mergeCell ref="D28:E28"/>
    <mergeCell ref="D40:E40"/>
    <mergeCell ref="D33:E33"/>
    <mergeCell ref="D34:E34"/>
    <mergeCell ref="D35:E35"/>
    <mergeCell ref="D36:E36"/>
    <mergeCell ref="D38:E38"/>
    <mergeCell ref="D39:E39"/>
    <mergeCell ref="D37:E37"/>
    <mergeCell ref="D29:E29"/>
    <mergeCell ref="F21:G21"/>
    <mergeCell ref="D21:E21"/>
    <mergeCell ref="N20:Q20"/>
    <mergeCell ref="N21:Q21"/>
    <mergeCell ref="D22:E22"/>
    <mergeCell ref="F27:G27"/>
    <mergeCell ref="F28:G28"/>
    <mergeCell ref="F22:G22"/>
    <mergeCell ref="F35:G35"/>
    <mergeCell ref="F36:G36"/>
    <mergeCell ref="F37:G37"/>
    <mergeCell ref="F38:G38"/>
    <mergeCell ref="F39:G39"/>
    <mergeCell ref="H23:L23"/>
    <mergeCell ref="H24:L24"/>
    <mergeCell ref="H25:L25"/>
    <mergeCell ref="H26:L26"/>
    <mergeCell ref="H27:L27"/>
    <mergeCell ref="H28:L28"/>
    <mergeCell ref="N10:Q10"/>
    <mergeCell ref="N11:Q11"/>
    <mergeCell ref="M14:M18"/>
    <mergeCell ref="N14:Q18"/>
    <mergeCell ref="R14:T14"/>
    <mergeCell ref="T15:T18"/>
    <mergeCell ref="S15:S18"/>
    <mergeCell ref="R15:R18"/>
    <mergeCell ref="S10:T10"/>
    <mergeCell ref="S11:T11"/>
    <mergeCell ref="N8:Q8"/>
    <mergeCell ref="N9:Q9"/>
    <mergeCell ref="M1:M3"/>
    <mergeCell ref="N1:Q3"/>
    <mergeCell ref="R1:T1"/>
    <mergeCell ref="S8:T8"/>
    <mergeCell ref="S9:T9"/>
    <mergeCell ref="S7:T7"/>
    <mergeCell ref="N19:Q19"/>
    <mergeCell ref="I9:M9"/>
    <mergeCell ref="A7:L7"/>
    <mergeCell ref="F12:G13"/>
    <mergeCell ref="H12:L12"/>
    <mergeCell ref="F9:H9"/>
    <mergeCell ref="A9:E9"/>
    <mergeCell ref="A8:L8"/>
    <mergeCell ref="F14:G14"/>
    <mergeCell ref="F15:G15"/>
    <mergeCell ref="F16:G16"/>
    <mergeCell ref="F17:G17"/>
    <mergeCell ref="H14:L14"/>
    <mergeCell ref="H15:L15"/>
    <mergeCell ref="H16:L16"/>
    <mergeCell ref="H17:L17"/>
    <mergeCell ref="U1:W1"/>
    <mergeCell ref="R2:R3"/>
    <mergeCell ref="U2:U3"/>
    <mergeCell ref="S2:T2"/>
    <mergeCell ref="S3:T3"/>
    <mergeCell ref="V2:W2"/>
    <mergeCell ref="V3:W3"/>
    <mergeCell ref="F5:H6"/>
    <mergeCell ref="I5:L6"/>
    <mergeCell ref="F3:H4"/>
    <mergeCell ref="I3:L4"/>
    <mergeCell ref="F1:H2"/>
    <mergeCell ref="I1:L2"/>
    <mergeCell ref="S4:T4"/>
    <mergeCell ref="S5:T5"/>
    <mergeCell ref="S6:T6"/>
    <mergeCell ref="N4:Q4"/>
    <mergeCell ref="N5:Q5"/>
    <mergeCell ref="N6:Q6"/>
    <mergeCell ref="V8:W8"/>
    <mergeCell ref="V9:W9"/>
    <mergeCell ref="V10:W10"/>
    <mergeCell ref="V11:W11"/>
    <mergeCell ref="V4:W4"/>
    <mergeCell ref="V5:W5"/>
    <mergeCell ref="V6:W6"/>
    <mergeCell ref="V7:W7"/>
    <mergeCell ref="S39:X39"/>
    <mergeCell ref="U14:U18"/>
    <mergeCell ref="V14:V18"/>
    <mergeCell ref="W14:W18"/>
    <mergeCell ref="O30:V30"/>
    <mergeCell ref="O31:V31"/>
    <mergeCell ref="O32:V32"/>
    <mergeCell ref="O33:V33"/>
    <mergeCell ref="P39:R39"/>
    <mergeCell ref="N24:V24"/>
    <mergeCell ref="O25:V25"/>
    <mergeCell ref="O26:V26"/>
    <mergeCell ref="O27:V27"/>
    <mergeCell ref="O28:V28"/>
    <mergeCell ref="O29:V29"/>
    <mergeCell ref="N7:Q7"/>
  </mergeCells>
  <phoneticPr fontId="0" type="noConversion"/>
  <printOptions horizontalCentered="1"/>
  <pageMargins left="0.39370078740157483" right="0.39370078740157483" top="0.19685039370078741" bottom="0.19685039370078741" header="0" footer="0"/>
  <pageSetup paperSize="9" scale="74" orientation="portrait" horizontalDpi="180" verticalDpi="180" r:id="rId1"/>
  <headerFooter alignWithMargins="0"/>
  <rowBreaks count="1" manualBreakCount="1">
    <brk id="50" max="22" man="1"/>
  </rowBreaks>
  <colBreaks count="1" manualBreakCount="1">
    <brk id="12" max="49" man="1"/>
  </colBreak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1"/>
  <sheetViews>
    <sheetView view="pageBreakPreview" topLeftCell="A10" zoomScale="75" zoomScaleNormal="100" workbookViewId="0">
      <selection activeCell="F9" sqref="F9:H9"/>
    </sheetView>
  </sheetViews>
  <sheetFormatPr defaultRowHeight="18.75" x14ac:dyDescent="0.2"/>
  <cols>
    <col min="1" max="1" width="15" style="88" customWidth="1"/>
    <col min="2" max="2" width="15.7109375" style="88" customWidth="1"/>
    <col min="3" max="3" width="6.28515625" style="88" customWidth="1"/>
    <col min="4" max="4" width="22.7109375" style="88" customWidth="1"/>
    <col min="5" max="5" width="3.42578125" style="88" customWidth="1"/>
    <col min="6" max="8" width="9.140625" style="88"/>
    <col min="9" max="9" width="9.7109375" style="88" customWidth="1"/>
    <col min="10" max="10" width="6" style="88" customWidth="1"/>
    <col min="11" max="11" width="6.140625" style="88" customWidth="1"/>
    <col min="12" max="12" width="6.85546875" style="88" customWidth="1"/>
    <col min="13" max="13" width="8.42578125" style="88" customWidth="1"/>
    <col min="14" max="18" width="10.7109375" style="88" customWidth="1"/>
    <col min="19" max="19" width="13.85546875" style="88" customWidth="1"/>
    <col min="20" max="20" width="14" style="88" customWidth="1"/>
    <col min="21" max="21" width="12.42578125" style="88" customWidth="1"/>
    <col min="22" max="22" width="13.140625" style="88" customWidth="1"/>
    <col min="23" max="23" width="13.28515625" style="88" customWidth="1"/>
    <col min="24" max="28" width="10.28515625" style="88" customWidth="1"/>
    <col min="29" max="16384" width="9.140625" style="88"/>
  </cols>
  <sheetData>
    <row r="1" spans="1:23" ht="26.25" x14ac:dyDescent="0.2">
      <c r="A1" s="115" t="s">
        <v>161</v>
      </c>
      <c r="B1" s="115"/>
      <c r="C1" s="115"/>
      <c r="D1" s="115"/>
      <c r="E1" s="115"/>
      <c r="F1" s="150" t="s">
        <v>154</v>
      </c>
      <c r="G1" s="150"/>
      <c r="H1" s="150"/>
      <c r="I1" s="115" t="s">
        <v>163</v>
      </c>
      <c r="J1" s="115"/>
      <c r="K1" s="115"/>
      <c r="L1" s="115"/>
      <c r="M1" s="123" t="s">
        <v>115</v>
      </c>
      <c r="N1" s="121" t="s">
        <v>116</v>
      </c>
      <c r="O1" s="121"/>
      <c r="P1" s="121"/>
      <c r="Q1" s="121"/>
      <c r="R1" s="219" t="s">
        <v>117</v>
      </c>
      <c r="S1" s="219"/>
      <c r="T1" s="219"/>
      <c r="U1" s="219" t="s">
        <v>118</v>
      </c>
      <c r="V1" s="219"/>
      <c r="W1" s="128"/>
    </row>
    <row r="2" spans="1:23" ht="18.75" customHeight="1" x14ac:dyDescent="0.2">
      <c r="A2" s="146" t="s">
        <v>45</v>
      </c>
      <c r="B2" s="146"/>
      <c r="C2" s="146"/>
      <c r="D2" s="146"/>
      <c r="E2" s="146"/>
      <c r="F2" s="150"/>
      <c r="G2" s="150"/>
      <c r="H2" s="150"/>
      <c r="I2" s="115"/>
      <c r="J2" s="115"/>
      <c r="K2" s="115"/>
      <c r="L2" s="115"/>
      <c r="M2" s="116"/>
      <c r="N2" s="118"/>
      <c r="O2" s="118"/>
      <c r="P2" s="118"/>
      <c r="Q2" s="118"/>
      <c r="R2" s="118" t="s">
        <v>119</v>
      </c>
      <c r="S2" s="118" t="s">
        <v>120</v>
      </c>
      <c r="T2" s="118"/>
      <c r="U2" s="118" t="s">
        <v>119</v>
      </c>
      <c r="V2" s="118" t="s">
        <v>120</v>
      </c>
      <c r="W2" s="125"/>
    </row>
    <row r="3" spans="1:23" ht="21.75" customHeight="1" x14ac:dyDescent="0.2">
      <c r="A3" s="115" t="s">
        <v>173</v>
      </c>
      <c r="B3" s="115"/>
      <c r="C3" s="115"/>
      <c r="D3" s="115"/>
      <c r="E3" s="115"/>
      <c r="F3" s="150" t="s">
        <v>155</v>
      </c>
      <c r="G3" s="150"/>
      <c r="H3" s="150"/>
      <c r="I3" s="115" t="s">
        <v>399</v>
      </c>
      <c r="J3" s="115"/>
      <c r="K3" s="115"/>
      <c r="L3" s="115"/>
      <c r="M3" s="117"/>
      <c r="N3" s="119"/>
      <c r="O3" s="119"/>
      <c r="P3" s="119"/>
      <c r="Q3" s="119"/>
      <c r="R3" s="119"/>
      <c r="S3" s="119" t="s">
        <v>121</v>
      </c>
      <c r="T3" s="119"/>
      <c r="U3" s="119"/>
      <c r="V3" s="119" t="s">
        <v>121</v>
      </c>
      <c r="W3" s="127"/>
    </row>
    <row r="4" spans="1:23" ht="29.25" customHeight="1" x14ac:dyDescent="0.2">
      <c r="A4" s="146" t="s">
        <v>46</v>
      </c>
      <c r="B4" s="146"/>
      <c r="C4" s="146"/>
      <c r="D4" s="146"/>
      <c r="E4" s="146"/>
      <c r="F4" s="150"/>
      <c r="G4" s="150"/>
      <c r="H4" s="150"/>
      <c r="I4" s="115"/>
      <c r="J4" s="115"/>
      <c r="K4" s="115"/>
      <c r="L4" s="115"/>
      <c r="M4" s="85"/>
      <c r="N4" s="216" t="s">
        <v>122</v>
      </c>
      <c r="O4" s="216"/>
      <c r="P4" s="216"/>
      <c r="Q4" s="216"/>
      <c r="R4" s="87"/>
      <c r="S4" s="111"/>
      <c r="T4" s="113"/>
      <c r="U4" s="87"/>
      <c r="V4" s="111"/>
      <c r="W4" s="112"/>
    </row>
    <row r="5" spans="1:23" ht="21" customHeight="1" x14ac:dyDescent="0.2">
      <c r="A5" s="234" t="s">
        <v>159</v>
      </c>
      <c r="B5" s="234"/>
      <c r="C5" s="234"/>
      <c r="D5" s="234"/>
      <c r="E5" s="234"/>
      <c r="F5" s="150" t="s">
        <v>156</v>
      </c>
      <c r="G5" s="150"/>
      <c r="H5" s="150"/>
      <c r="I5" s="115" t="s">
        <v>400</v>
      </c>
      <c r="J5" s="115"/>
      <c r="K5" s="115"/>
      <c r="L5" s="115"/>
      <c r="M5" s="85"/>
      <c r="N5" s="217" t="s">
        <v>123</v>
      </c>
      <c r="O5" s="217"/>
      <c r="P5" s="217"/>
      <c r="Q5" s="217"/>
      <c r="R5" s="87"/>
      <c r="S5" s="111"/>
      <c r="T5" s="113"/>
      <c r="U5" s="87"/>
      <c r="V5" s="111"/>
      <c r="W5" s="112"/>
    </row>
    <row r="6" spans="1:23" x14ac:dyDescent="0.2">
      <c r="A6" s="146" t="s">
        <v>47</v>
      </c>
      <c r="B6" s="146"/>
      <c r="C6" s="146"/>
      <c r="D6" s="146"/>
      <c r="E6" s="146"/>
      <c r="F6" s="150"/>
      <c r="G6" s="150"/>
      <c r="H6" s="150"/>
      <c r="I6" s="115"/>
      <c r="J6" s="115"/>
      <c r="K6" s="115"/>
      <c r="L6" s="115"/>
      <c r="M6" s="85"/>
      <c r="N6" s="217" t="s">
        <v>124</v>
      </c>
      <c r="O6" s="217"/>
      <c r="P6" s="217"/>
      <c r="Q6" s="217"/>
      <c r="R6" s="87"/>
      <c r="S6" s="111"/>
      <c r="T6" s="113"/>
      <c r="U6" s="87"/>
      <c r="V6" s="111"/>
      <c r="W6" s="112"/>
    </row>
    <row r="7" spans="1:23" x14ac:dyDescent="0.2">
      <c r="A7" s="122"/>
      <c r="B7" s="122"/>
      <c r="C7" s="122"/>
      <c r="D7" s="122"/>
      <c r="E7" s="122"/>
      <c r="F7" s="122"/>
      <c r="G7" s="122"/>
      <c r="H7" s="122"/>
      <c r="I7" s="122"/>
      <c r="J7" s="122"/>
      <c r="K7" s="122"/>
      <c r="L7" s="122"/>
      <c r="M7" s="85"/>
      <c r="N7" s="218" t="s">
        <v>125</v>
      </c>
      <c r="O7" s="218"/>
      <c r="P7" s="218"/>
      <c r="Q7" s="218"/>
      <c r="R7" s="87"/>
      <c r="S7" s="111"/>
      <c r="T7" s="113"/>
      <c r="U7" s="87"/>
      <c r="V7" s="111"/>
      <c r="W7" s="112"/>
    </row>
    <row r="8" spans="1:23" ht="22.5" x14ac:dyDescent="0.2">
      <c r="A8" s="143" t="s">
        <v>0</v>
      </c>
      <c r="B8" s="143"/>
      <c r="C8" s="143"/>
      <c r="D8" s="143"/>
      <c r="E8" s="143"/>
      <c r="F8" s="143"/>
      <c r="G8" s="143"/>
      <c r="H8" s="143"/>
      <c r="I8" s="143"/>
      <c r="J8" s="143"/>
      <c r="K8" s="143"/>
      <c r="L8" s="143"/>
      <c r="M8" s="85"/>
      <c r="N8" s="217" t="s">
        <v>126</v>
      </c>
      <c r="O8" s="217"/>
      <c r="P8" s="217"/>
      <c r="Q8" s="217"/>
      <c r="R8" s="87"/>
      <c r="S8" s="111"/>
      <c r="T8" s="113"/>
      <c r="U8" s="87"/>
      <c r="V8" s="111"/>
      <c r="W8" s="112"/>
    </row>
    <row r="9" spans="1:23" ht="18.75" customHeight="1" x14ac:dyDescent="0.2">
      <c r="A9" s="220" t="s">
        <v>152</v>
      </c>
      <c r="B9" s="220"/>
      <c r="C9" s="220"/>
      <c r="D9" s="220"/>
      <c r="E9" s="220"/>
      <c r="F9" s="162" t="s">
        <v>407</v>
      </c>
      <c r="G9" s="163"/>
      <c r="H9" s="163"/>
      <c r="I9" s="138" t="s">
        <v>369</v>
      </c>
      <c r="J9" s="138"/>
      <c r="K9" s="138"/>
      <c r="L9" s="138"/>
      <c r="M9" s="138"/>
      <c r="N9" s="217" t="s">
        <v>127</v>
      </c>
      <c r="O9" s="217"/>
      <c r="P9" s="217"/>
      <c r="Q9" s="217"/>
      <c r="R9" s="87"/>
      <c r="S9" s="111"/>
      <c r="T9" s="113"/>
      <c r="U9" s="87"/>
      <c r="V9" s="111"/>
      <c r="W9" s="112"/>
    </row>
    <row r="10" spans="1:23" ht="19.5" customHeight="1" x14ac:dyDescent="0.2">
      <c r="A10" s="220" t="s">
        <v>151</v>
      </c>
      <c r="B10" s="220"/>
      <c r="C10" s="163" t="s">
        <v>401</v>
      </c>
      <c r="D10" s="163"/>
      <c r="E10" s="163"/>
      <c r="F10" s="163"/>
      <c r="G10" s="163"/>
      <c r="H10" s="163"/>
      <c r="I10" s="93"/>
      <c r="J10" s="93"/>
      <c r="K10" s="93"/>
      <c r="L10" s="93"/>
      <c r="M10" s="85"/>
      <c r="N10" s="218" t="s">
        <v>128</v>
      </c>
      <c r="O10" s="218"/>
      <c r="P10" s="218"/>
      <c r="Q10" s="218"/>
      <c r="R10" s="87"/>
      <c r="S10" s="111"/>
      <c r="T10" s="113"/>
      <c r="U10" s="87"/>
      <c r="V10" s="111"/>
      <c r="W10" s="112"/>
    </row>
    <row r="11" spans="1:23" x14ac:dyDescent="0.2">
      <c r="A11" s="215" t="s">
        <v>1</v>
      </c>
      <c r="B11" s="215"/>
      <c r="C11" s="215"/>
      <c r="D11" s="215"/>
      <c r="E11" s="215"/>
      <c r="F11" s="215"/>
      <c r="G11" s="215"/>
      <c r="H11" s="215"/>
      <c r="I11" s="215"/>
      <c r="J11" s="215"/>
      <c r="K11" s="215"/>
      <c r="L11" s="215"/>
      <c r="M11" s="85"/>
      <c r="N11" s="223" t="s">
        <v>129</v>
      </c>
      <c r="O11" s="223"/>
      <c r="P11" s="223"/>
      <c r="Q11" s="223"/>
      <c r="R11" s="87"/>
      <c r="S11" s="111"/>
      <c r="T11" s="113"/>
      <c r="U11" s="87"/>
      <c r="V11" s="111"/>
      <c r="W11" s="112"/>
    </row>
    <row r="12" spans="1:23" ht="20.100000000000001" customHeight="1" x14ac:dyDescent="0.2">
      <c r="A12" s="129" t="s">
        <v>2</v>
      </c>
      <c r="B12" s="219" t="s">
        <v>36</v>
      </c>
      <c r="C12" s="219"/>
      <c r="D12" s="219"/>
      <c r="E12" s="219"/>
      <c r="F12" s="219" t="s">
        <v>5</v>
      </c>
      <c r="G12" s="219"/>
      <c r="H12" s="124" t="s">
        <v>34</v>
      </c>
      <c r="I12" s="131"/>
      <c r="J12" s="131"/>
      <c r="K12" s="131"/>
      <c r="L12" s="131"/>
      <c r="N12" s="89"/>
      <c r="O12" s="89"/>
      <c r="P12" s="89"/>
      <c r="Q12" s="89"/>
    </row>
    <row r="13" spans="1:23" ht="20.100000000000001" customHeight="1" x14ac:dyDescent="0.2">
      <c r="A13" s="129"/>
      <c r="B13" s="219" t="s">
        <v>3</v>
      </c>
      <c r="C13" s="219"/>
      <c r="D13" s="219" t="s">
        <v>4</v>
      </c>
      <c r="E13" s="219"/>
      <c r="F13" s="219"/>
      <c r="G13" s="219"/>
      <c r="H13" s="127" t="s">
        <v>35</v>
      </c>
      <c r="I13" s="130"/>
      <c r="J13" s="130"/>
      <c r="K13" s="130"/>
      <c r="L13" s="130"/>
    </row>
    <row r="14" spans="1:23" ht="20.100000000000001" customHeight="1" x14ac:dyDescent="0.2">
      <c r="A14" s="106" t="s">
        <v>6</v>
      </c>
      <c r="B14" s="87"/>
      <c r="C14" s="106"/>
      <c r="D14" s="120"/>
      <c r="E14" s="120"/>
      <c r="F14" s="221" t="str">
        <f t="shared" ref="F14:F40" si="0">IF(OR(B14="",D14=""),"",IF(ISERROR(D14/B14),IF(D14=0,0,""),D14/B14))</f>
        <v/>
      </c>
      <c r="G14" s="221"/>
      <c r="H14" s="120"/>
      <c r="I14" s="120"/>
      <c r="J14" s="120"/>
      <c r="K14" s="120"/>
      <c r="L14" s="120"/>
      <c r="M14" s="129" t="s">
        <v>115</v>
      </c>
      <c r="N14" s="219" t="s">
        <v>116</v>
      </c>
      <c r="O14" s="219"/>
      <c r="P14" s="219"/>
      <c r="Q14" s="219"/>
      <c r="R14" s="219" t="s">
        <v>117</v>
      </c>
      <c r="S14" s="219"/>
      <c r="T14" s="219"/>
      <c r="U14" s="219" t="s">
        <v>130</v>
      </c>
      <c r="V14" s="219" t="s">
        <v>69</v>
      </c>
      <c r="W14" s="128" t="s">
        <v>131</v>
      </c>
    </row>
    <row r="15" spans="1:23" ht="20.100000000000001" customHeight="1" x14ac:dyDescent="0.2">
      <c r="A15" s="106" t="s">
        <v>7</v>
      </c>
      <c r="B15" s="106"/>
      <c r="C15" s="106"/>
      <c r="D15" s="219"/>
      <c r="E15" s="219"/>
      <c r="F15" s="221" t="str">
        <f t="shared" si="0"/>
        <v/>
      </c>
      <c r="G15" s="221"/>
      <c r="H15" s="120"/>
      <c r="I15" s="120"/>
      <c r="J15" s="120"/>
      <c r="K15" s="120"/>
      <c r="L15" s="120"/>
      <c r="M15" s="129"/>
      <c r="N15" s="219"/>
      <c r="O15" s="219"/>
      <c r="P15" s="219"/>
      <c r="Q15" s="219"/>
      <c r="R15" s="224" t="s">
        <v>130</v>
      </c>
      <c r="S15" s="219" t="s">
        <v>69</v>
      </c>
      <c r="T15" s="219" t="s">
        <v>131</v>
      </c>
      <c r="U15" s="219"/>
      <c r="V15" s="219"/>
      <c r="W15" s="128"/>
    </row>
    <row r="16" spans="1:23" ht="20.100000000000001" customHeight="1" x14ac:dyDescent="0.2">
      <c r="A16" s="106" t="s">
        <v>8</v>
      </c>
      <c r="B16" s="107">
        <f>'УЗСК вв1'!D19+'УЗСК вв2'!D19+'УЗСК вв3'!D19</f>
        <v>1.216000000006261</v>
      </c>
      <c r="C16" s="107"/>
      <c r="D16" s="225">
        <f>'УЗСК вв1'!H19+'УЗСК вв2'!H19+'УЗСК вв3'!H19</f>
        <v>1.983999999996513</v>
      </c>
      <c r="E16" s="225"/>
      <c r="F16" s="221">
        <f t="shared" si="0"/>
        <v>1.6315789473571527</v>
      </c>
      <c r="G16" s="221"/>
      <c r="H16" s="120"/>
      <c r="I16" s="120"/>
      <c r="J16" s="120"/>
      <c r="K16" s="120"/>
      <c r="L16" s="120"/>
      <c r="M16" s="129"/>
      <c r="N16" s="219"/>
      <c r="O16" s="219"/>
      <c r="P16" s="219"/>
      <c r="Q16" s="219"/>
      <c r="R16" s="224"/>
      <c r="S16" s="219"/>
      <c r="T16" s="219"/>
      <c r="U16" s="219"/>
      <c r="V16" s="219"/>
      <c r="W16" s="128"/>
    </row>
    <row r="17" spans="1:23" ht="20.100000000000001" customHeight="1" x14ac:dyDescent="0.2">
      <c r="A17" s="106" t="s">
        <v>9</v>
      </c>
      <c r="B17" s="107">
        <f>'УЗСК вв1'!D20+'УЗСК вв2'!D20+'УЗСК вв3'!D20</f>
        <v>1.2479999999959546</v>
      </c>
      <c r="C17" s="107"/>
      <c r="D17" s="225">
        <f>'УЗСК вв1'!H20+'УЗСК вв2'!H20+'УЗСК вв3'!H20</f>
        <v>1.983999999996513</v>
      </c>
      <c r="E17" s="225"/>
      <c r="F17" s="221">
        <f t="shared" si="0"/>
        <v>1.5897435897459489</v>
      </c>
      <c r="G17" s="221"/>
      <c r="H17" s="120"/>
      <c r="I17" s="120"/>
      <c r="J17" s="120"/>
      <c r="K17" s="120"/>
      <c r="L17" s="120"/>
      <c r="M17" s="129"/>
      <c r="N17" s="219"/>
      <c r="O17" s="219"/>
      <c r="P17" s="219"/>
      <c r="Q17" s="219"/>
      <c r="R17" s="224"/>
      <c r="S17" s="219"/>
      <c r="T17" s="219"/>
      <c r="U17" s="219"/>
      <c r="V17" s="219"/>
      <c r="W17" s="128"/>
    </row>
    <row r="18" spans="1:23" ht="20.100000000000001" customHeight="1" x14ac:dyDescent="0.2">
      <c r="A18" s="106" t="s">
        <v>10</v>
      </c>
      <c r="B18" s="107">
        <f>'УЗСК вв1'!D21+'УЗСК вв2'!D21+'УЗСК вв3'!D21</f>
        <v>1.2159999999926185</v>
      </c>
      <c r="C18" s="107"/>
      <c r="D18" s="225">
        <f>'УЗСК вв1'!H21+'УЗСК вв2'!H21+'УЗСК вв3'!H21</f>
        <v>1.9519999999965876</v>
      </c>
      <c r="E18" s="225"/>
      <c r="F18" s="221">
        <f t="shared" si="0"/>
        <v>1.605263157901675</v>
      </c>
      <c r="G18" s="221"/>
      <c r="H18" s="120"/>
      <c r="I18" s="120"/>
      <c r="J18" s="120"/>
      <c r="K18" s="120"/>
      <c r="L18" s="120"/>
      <c r="M18" s="129"/>
      <c r="N18" s="219"/>
      <c r="O18" s="219"/>
      <c r="P18" s="219"/>
      <c r="Q18" s="219"/>
      <c r="R18" s="224"/>
      <c r="S18" s="219"/>
      <c r="T18" s="219"/>
      <c r="U18" s="219"/>
      <c r="V18" s="219"/>
      <c r="W18" s="128"/>
    </row>
    <row r="19" spans="1:23" ht="20.100000000000001" customHeight="1" x14ac:dyDescent="0.2">
      <c r="A19" s="106" t="s">
        <v>11</v>
      </c>
      <c r="B19" s="107">
        <f>'УЗСК вв1'!D22+'УЗСК вв2'!D22+'УЗСК вв3'!D22</f>
        <v>1.2479999999959546</v>
      </c>
      <c r="C19" s="107"/>
      <c r="D19" s="225">
        <f>'УЗСК вв1'!H22+'УЗСК вв2'!H22+'УЗСК вв3'!H22</f>
        <v>2.0160000000055334</v>
      </c>
      <c r="E19" s="225"/>
      <c r="F19" s="221">
        <f t="shared" si="0"/>
        <v>1.6153846153942855</v>
      </c>
      <c r="G19" s="221"/>
      <c r="H19" s="120"/>
      <c r="I19" s="120"/>
      <c r="J19" s="120"/>
      <c r="K19" s="120"/>
      <c r="L19" s="120"/>
      <c r="M19" s="85"/>
      <c r="N19" s="216" t="s">
        <v>132</v>
      </c>
      <c r="O19" s="216"/>
      <c r="P19" s="216"/>
      <c r="Q19" s="216"/>
      <c r="R19" s="87"/>
      <c r="S19" s="87"/>
      <c r="T19" s="87"/>
      <c r="U19" s="87"/>
      <c r="V19" s="87"/>
      <c r="W19" s="84"/>
    </row>
    <row r="20" spans="1:23" ht="20.100000000000001" customHeight="1" x14ac:dyDescent="0.2">
      <c r="A20" s="106" t="s">
        <v>12</v>
      </c>
      <c r="B20" s="107">
        <f>'УЗСК вв1'!D23+'УЗСК вв2'!D23+'УЗСК вв3'!D23</f>
        <v>1.2480000000164182</v>
      </c>
      <c r="C20" s="107"/>
      <c r="D20" s="225">
        <f>'УЗСК вв1'!H23+'УЗСК вв2'!H23+'УЗСК вв3'!H23</f>
        <v>1.9840000000067448</v>
      </c>
      <c r="E20" s="225"/>
      <c r="F20" s="221">
        <f t="shared" si="0"/>
        <v>1.5897435897280803</v>
      </c>
      <c r="G20" s="221"/>
      <c r="H20" s="120"/>
      <c r="I20" s="120"/>
      <c r="J20" s="120"/>
      <c r="K20" s="120"/>
      <c r="L20" s="120"/>
      <c r="M20" s="85"/>
      <c r="N20" s="217" t="s">
        <v>133</v>
      </c>
      <c r="O20" s="217"/>
      <c r="P20" s="217"/>
      <c r="Q20" s="217"/>
      <c r="R20" s="87"/>
      <c r="S20" s="87"/>
      <c r="T20" s="87"/>
      <c r="U20" s="87"/>
      <c r="V20" s="87"/>
      <c r="W20" s="84"/>
    </row>
    <row r="21" spans="1:23" ht="20.100000000000001" customHeight="1" x14ac:dyDescent="0.2">
      <c r="A21" s="106" t="s">
        <v>13</v>
      </c>
      <c r="B21" s="107">
        <f>'УЗСК вв1'!D24+'УЗСК вв2'!D24+'УЗСК вв3'!D24</f>
        <v>1.2479999999959546</v>
      </c>
      <c r="C21" s="107"/>
      <c r="D21" s="225">
        <f>'УЗСК вв1'!H24+'УЗСК вв2'!H24+'УЗСК вв3'!H24</f>
        <v>2.0159999999930278</v>
      </c>
      <c r="E21" s="225"/>
      <c r="F21" s="221">
        <f t="shared" si="0"/>
        <v>1.615384615384265</v>
      </c>
      <c r="G21" s="221"/>
      <c r="H21" s="120"/>
      <c r="I21" s="120"/>
      <c r="J21" s="120"/>
      <c r="K21" s="120"/>
      <c r="L21" s="120"/>
      <c r="M21" s="85"/>
      <c r="N21" s="222" t="s">
        <v>134</v>
      </c>
      <c r="O21" s="222"/>
      <c r="P21" s="222"/>
      <c r="Q21" s="222"/>
      <c r="R21" s="87"/>
      <c r="S21" s="87"/>
      <c r="T21" s="87"/>
      <c r="U21" s="87"/>
      <c r="V21" s="87"/>
      <c r="W21" s="84"/>
    </row>
    <row r="22" spans="1:23" ht="20.100000000000001" customHeight="1" x14ac:dyDescent="0.2">
      <c r="A22" s="106" t="s">
        <v>14</v>
      </c>
      <c r="B22" s="107">
        <f>'УЗСК вв1'!D25+'УЗСК вв2'!D25+'УЗСК вв3'!D25</f>
        <v>1.2479999999936808</v>
      </c>
      <c r="C22" s="107"/>
      <c r="D22" s="225">
        <f>'УЗСК вв1'!H25+'УЗСК вв2'!H25+'УЗСК вв3'!H25</f>
        <v>1.9519999999954507</v>
      </c>
      <c r="E22" s="225"/>
      <c r="F22" s="221">
        <f t="shared" si="0"/>
        <v>1.5641025641068387</v>
      </c>
      <c r="G22" s="221"/>
      <c r="H22" s="120"/>
      <c r="I22" s="120"/>
      <c r="J22" s="120"/>
      <c r="K22" s="120"/>
      <c r="L22" s="120"/>
    </row>
    <row r="23" spans="1:23" ht="20.100000000000001" customHeight="1" x14ac:dyDescent="0.2">
      <c r="A23" s="106" t="s">
        <v>15</v>
      </c>
      <c r="B23" s="107">
        <f>'УЗСК вв1'!D26+'УЗСК вв2'!D26+'УЗСК вв3'!D26</f>
        <v>21.824000000001433</v>
      </c>
      <c r="C23" s="107"/>
      <c r="D23" s="225">
        <f>'УЗСК вв1'!H26+'УЗСК вв2'!H26+'УЗСК вв3'!H26</f>
        <v>10.752000000005637</v>
      </c>
      <c r="E23" s="225"/>
      <c r="F23" s="221">
        <f t="shared" si="0"/>
        <v>0.4926686217011057</v>
      </c>
      <c r="G23" s="221"/>
      <c r="H23" s="120"/>
      <c r="I23" s="120"/>
      <c r="J23" s="120"/>
      <c r="K23" s="120"/>
      <c r="L23" s="120"/>
    </row>
    <row r="24" spans="1:23" ht="20.100000000000001" customHeight="1" x14ac:dyDescent="0.2">
      <c r="A24" s="106" t="s">
        <v>16</v>
      </c>
      <c r="B24" s="107">
        <f>'УЗСК вв1'!D27+'УЗСК вв2'!D27+'УЗСК вв3'!D27</f>
        <v>55.648000000003321</v>
      </c>
      <c r="C24" s="107"/>
      <c r="D24" s="225">
        <f>'УЗСК вв1'!H27+'УЗСК вв2'!H27+'УЗСК вв3'!H27</f>
        <v>36.704000000003134</v>
      </c>
      <c r="E24" s="225"/>
      <c r="F24" s="221">
        <f t="shared" si="0"/>
        <v>0.65957446808512332</v>
      </c>
      <c r="G24" s="221"/>
      <c r="H24" s="120"/>
      <c r="I24" s="120"/>
      <c r="J24" s="120"/>
      <c r="K24" s="120"/>
      <c r="L24" s="120"/>
      <c r="N24" s="145" t="s">
        <v>135</v>
      </c>
      <c r="O24" s="145"/>
      <c r="P24" s="145"/>
      <c r="Q24" s="145"/>
      <c r="R24" s="145"/>
      <c r="S24" s="145"/>
      <c r="T24" s="145"/>
      <c r="U24" s="145"/>
      <c r="V24" s="145"/>
    </row>
    <row r="25" spans="1:23" ht="20.100000000000001" customHeight="1" x14ac:dyDescent="0.2">
      <c r="A25" s="106" t="s">
        <v>17</v>
      </c>
      <c r="B25" s="107">
        <f>'УЗСК вв1'!D28+'УЗСК вв2'!D28+'УЗСК вв3'!D28</f>
        <v>48.192000000001372</v>
      </c>
      <c r="C25" s="107"/>
      <c r="D25" s="225">
        <f>'УЗСК вв1'!H28+'УЗСК вв2'!H28+'УЗСК вв3'!H28</f>
        <v>32.287999999995236</v>
      </c>
      <c r="E25" s="225"/>
      <c r="F25" s="221">
        <f t="shared" si="0"/>
        <v>0.66998671978739865</v>
      </c>
      <c r="G25" s="221"/>
      <c r="H25" s="120"/>
      <c r="I25" s="120"/>
      <c r="J25" s="120"/>
      <c r="K25" s="120"/>
      <c r="L25" s="120"/>
      <c r="N25" s="17" t="s">
        <v>136</v>
      </c>
      <c r="O25" s="145" t="s">
        <v>137</v>
      </c>
      <c r="P25" s="145"/>
      <c r="Q25" s="145"/>
      <c r="R25" s="145"/>
      <c r="S25" s="145"/>
      <c r="T25" s="145"/>
      <c r="U25" s="145"/>
      <c r="V25" s="145"/>
    </row>
    <row r="26" spans="1:23" ht="20.100000000000001" customHeight="1" x14ac:dyDescent="0.2">
      <c r="A26" s="106" t="s">
        <v>18</v>
      </c>
      <c r="B26" s="107">
        <f>'УЗСК вв1'!D29+'УЗСК вв2'!D29+'УЗСК вв3'!D29</f>
        <v>52.607999999993353</v>
      </c>
      <c r="C26" s="107"/>
      <c r="D26" s="225">
        <f>'УЗСК вв1'!H29+'УЗСК вв2'!H29+'УЗСК вв3'!H29</f>
        <v>35.936000000004924</v>
      </c>
      <c r="E26" s="225"/>
      <c r="F26" s="221">
        <f t="shared" si="0"/>
        <v>0.68309002433108013</v>
      </c>
      <c r="G26" s="221"/>
      <c r="H26" s="120"/>
      <c r="I26" s="120"/>
      <c r="J26" s="120"/>
      <c r="K26" s="120"/>
      <c r="L26" s="120"/>
      <c r="N26" s="17" t="s">
        <v>138</v>
      </c>
      <c r="O26" s="145" t="s">
        <v>180</v>
      </c>
      <c r="P26" s="145"/>
      <c r="Q26" s="145"/>
      <c r="R26" s="145"/>
      <c r="S26" s="145"/>
      <c r="T26" s="145"/>
      <c r="U26" s="145"/>
      <c r="V26" s="145"/>
    </row>
    <row r="27" spans="1:23" ht="20.100000000000001" customHeight="1" x14ac:dyDescent="0.2">
      <c r="A27" s="106" t="s">
        <v>19</v>
      </c>
      <c r="B27" s="107">
        <f>'УЗСК вв1'!D30+'УЗСК вв2'!D30+'УЗСК вв3'!D30</f>
        <v>72.416000000002896</v>
      </c>
      <c r="C27" s="107"/>
      <c r="D27" s="225">
        <f>'УЗСК вв1'!H30+'УЗСК вв2'!H30+'УЗСК вв3'!H30</f>
        <v>57.855999999997039</v>
      </c>
      <c r="E27" s="225"/>
      <c r="F27" s="221">
        <f t="shared" si="0"/>
        <v>0.79893946089254753</v>
      </c>
      <c r="G27" s="221"/>
      <c r="H27" s="120"/>
      <c r="I27" s="120"/>
      <c r="J27" s="120"/>
      <c r="K27" s="120"/>
      <c r="L27" s="120"/>
      <c r="N27" s="17" t="s">
        <v>139</v>
      </c>
      <c r="O27" s="145" t="s">
        <v>140</v>
      </c>
      <c r="P27" s="145"/>
      <c r="Q27" s="145"/>
      <c r="R27" s="145"/>
      <c r="S27" s="145"/>
      <c r="T27" s="145"/>
      <c r="U27" s="145"/>
      <c r="V27" s="145"/>
    </row>
    <row r="28" spans="1:23" ht="20.100000000000001" customHeight="1" x14ac:dyDescent="0.2">
      <c r="A28" s="106" t="s">
        <v>20</v>
      </c>
      <c r="B28" s="107">
        <f>'УЗСК вв1'!D31+'УЗСК вв2'!D31+'УЗСК вв3'!D31</f>
        <v>72.672000000002299</v>
      </c>
      <c r="C28" s="107"/>
      <c r="D28" s="225">
        <f>'УЗСК вв1'!H31+'УЗСК вв2'!H31+'УЗСК вв3'!H31</f>
        <v>62.655999999999494</v>
      </c>
      <c r="E28" s="225"/>
      <c r="F28" s="221">
        <f t="shared" si="0"/>
        <v>0.86217525319239197</v>
      </c>
      <c r="G28" s="221"/>
      <c r="H28" s="120"/>
      <c r="I28" s="120"/>
      <c r="J28" s="120"/>
      <c r="K28" s="120"/>
      <c r="L28" s="120"/>
      <c r="N28" s="17"/>
      <c r="O28" s="145" t="s">
        <v>141</v>
      </c>
      <c r="P28" s="145"/>
      <c r="Q28" s="145"/>
      <c r="R28" s="145"/>
      <c r="S28" s="145"/>
      <c r="T28" s="145"/>
      <c r="U28" s="145"/>
      <c r="V28" s="145"/>
    </row>
    <row r="29" spans="1:23" ht="20.100000000000001" customHeight="1" x14ac:dyDescent="0.2">
      <c r="A29" s="106" t="s">
        <v>21</v>
      </c>
      <c r="B29" s="107">
        <f>'УЗСК вв1'!D32+'УЗСК вв2'!D32+'УЗСК вв3'!D32</f>
        <v>70.81599999999753</v>
      </c>
      <c r="C29" s="107"/>
      <c r="D29" s="225">
        <f>'УЗСК вв1'!H32+'УЗСК вв2'!H32+'УЗСК вв3'!H32</f>
        <v>59.423999999997932</v>
      </c>
      <c r="E29" s="225"/>
      <c r="F29" s="221">
        <f t="shared" si="0"/>
        <v>0.83913239945774976</v>
      </c>
      <c r="G29" s="221"/>
      <c r="H29" s="120"/>
      <c r="I29" s="120"/>
      <c r="J29" s="120"/>
      <c r="K29" s="120"/>
      <c r="L29" s="120"/>
      <c r="N29" s="17"/>
      <c r="O29" s="145" t="s">
        <v>142</v>
      </c>
      <c r="P29" s="145"/>
      <c r="Q29" s="145"/>
      <c r="R29" s="145"/>
      <c r="S29" s="145"/>
      <c r="T29" s="145"/>
      <c r="U29" s="145"/>
      <c r="V29" s="145"/>
    </row>
    <row r="30" spans="1:23" ht="20.100000000000001" customHeight="1" x14ac:dyDescent="0.2">
      <c r="A30" s="106" t="s">
        <v>22</v>
      </c>
      <c r="B30" s="107">
        <f>'УЗСК вв1'!D33+'УЗСК вв2'!D33+'УЗСК вв3'!D33</f>
        <v>84.51200000000199</v>
      </c>
      <c r="C30" s="107"/>
      <c r="D30" s="225">
        <f>'УЗСК вв1'!H33+'УЗСК вв2'!H33+'УЗСК вв3'!H33</f>
        <v>72.992000000009511</v>
      </c>
      <c r="E30" s="225"/>
      <c r="F30" s="221">
        <f t="shared" si="0"/>
        <v>0.86368799697093657</v>
      </c>
      <c r="G30" s="221"/>
      <c r="H30" s="120"/>
      <c r="I30" s="120"/>
      <c r="J30" s="120"/>
      <c r="K30" s="120"/>
      <c r="L30" s="120"/>
      <c r="N30" s="17" t="s">
        <v>143</v>
      </c>
      <c r="O30" s="145" t="s">
        <v>144</v>
      </c>
      <c r="P30" s="145"/>
      <c r="Q30" s="145"/>
      <c r="R30" s="145"/>
      <c r="S30" s="145"/>
      <c r="T30" s="145"/>
      <c r="U30" s="145"/>
      <c r="V30" s="145"/>
    </row>
    <row r="31" spans="1:23" ht="20.100000000000001" customHeight="1" x14ac:dyDescent="0.2">
      <c r="A31" s="106" t="s">
        <v>23</v>
      </c>
      <c r="B31" s="107">
        <f>'УЗСК вв1'!D34+'УЗСК вв2'!D34+'УЗСК вв3'!D34</f>
        <v>60.000000000006821</v>
      </c>
      <c r="C31" s="107"/>
      <c r="D31" s="225">
        <f>'УЗСК вв1'!H34+'УЗСК вв2'!H34+'УЗСК вв3'!H34</f>
        <v>44.991999999992913</v>
      </c>
      <c r="E31" s="225"/>
      <c r="F31" s="221">
        <f t="shared" si="0"/>
        <v>0.74986666666646329</v>
      </c>
      <c r="G31" s="221"/>
      <c r="H31" s="120"/>
      <c r="I31" s="120"/>
      <c r="J31" s="120"/>
      <c r="K31" s="120"/>
      <c r="L31" s="120"/>
      <c r="N31" s="17"/>
      <c r="O31" s="145" t="s">
        <v>145</v>
      </c>
      <c r="P31" s="145"/>
      <c r="Q31" s="145"/>
      <c r="R31" s="145"/>
      <c r="S31" s="145"/>
      <c r="T31" s="145"/>
      <c r="U31" s="145"/>
      <c r="V31" s="145"/>
    </row>
    <row r="32" spans="1:23" ht="20.100000000000001" customHeight="1" x14ac:dyDescent="0.2">
      <c r="A32" s="106" t="s">
        <v>24</v>
      </c>
      <c r="B32" s="107">
        <f>'УЗСК вв1'!D35+'УЗСК вв2'!D35+'УЗСК вв3'!D35</f>
        <v>9.3119999999908032</v>
      </c>
      <c r="C32" s="107"/>
      <c r="D32" s="225">
        <f>'УЗСК вв1'!H35+'УЗСК вв2'!H35+'УЗСК вв3'!H35</f>
        <v>4.3519999999955417</v>
      </c>
      <c r="E32" s="225"/>
      <c r="F32" s="221">
        <f t="shared" si="0"/>
        <v>0.46735395189001716</v>
      </c>
      <c r="G32" s="221"/>
      <c r="H32" s="120"/>
      <c r="I32" s="120"/>
      <c r="J32" s="120"/>
      <c r="K32" s="120"/>
      <c r="L32" s="120"/>
      <c r="N32" s="17" t="s">
        <v>146</v>
      </c>
      <c r="O32" s="145" t="s">
        <v>147</v>
      </c>
      <c r="P32" s="145"/>
      <c r="Q32" s="145"/>
      <c r="R32" s="145"/>
      <c r="S32" s="145"/>
      <c r="T32" s="145"/>
      <c r="U32" s="145"/>
      <c r="V32" s="145"/>
    </row>
    <row r="33" spans="1:24" ht="20.100000000000001" customHeight="1" x14ac:dyDescent="0.2">
      <c r="A33" s="106" t="s">
        <v>25</v>
      </c>
      <c r="B33" s="107">
        <f>'УЗСК вв1'!D36+'УЗСК вв2'!D36+'УЗСК вв3'!D36</f>
        <v>1.2160000000039872</v>
      </c>
      <c r="C33" s="107"/>
      <c r="D33" s="225">
        <f>'УЗСК вв1'!H36+'УЗСК вв2'!H36+'УЗСК вв3'!H36</f>
        <v>1.9200000000125783</v>
      </c>
      <c r="E33" s="225"/>
      <c r="F33" s="221">
        <f t="shared" si="0"/>
        <v>1.5789473684262194</v>
      </c>
      <c r="G33" s="221"/>
      <c r="H33" s="120"/>
      <c r="I33" s="120"/>
      <c r="J33" s="120"/>
      <c r="K33" s="120"/>
      <c r="L33" s="120"/>
      <c r="N33" s="17" t="s">
        <v>148</v>
      </c>
      <c r="O33" s="145" t="s">
        <v>149</v>
      </c>
      <c r="P33" s="145"/>
      <c r="Q33" s="145"/>
      <c r="R33" s="145"/>
      <c r="S33" s="145"/>
      <c r="T33" s="145"/>
      <c r="U33" s="145"/>
      <c r="V33" s="145"/>
    </row>
    <row r="34" spans="1:24" ht="20.100000000000001" customHeight="1" x14ac:dyDescent="0.2">
      <c r="A34" s="106" t="s">
        <v>26</v>
      </c>
      <c r="B34" s="107">
        <f>'УЗСК вв1'!D37+'УЗСК вв2'!D37+'УЗСК вв3'!D37</f>
        <v>1.215999999997166</v>
      </c>
      <c r="C34" s="107"/>
      <c r="D34" s="225">
        <f>'УЗСК вв1'!H37+'УЗСК вв2'!H37+'УЗСК вв3'!H37</f>
        <v>1.7919999999958236</v>
      </c>
      <c r="E34" s="225"/>
      <c r="F34" s="221">
        <f t="shared" si="0"/>
        <v>1.4736842105263157</v>
      </c>
      <c r="G34" s="221"/>
      <c r="H34" s="120"/>
      <c r="I34" s="120"/>
      <c r="J34" s="120"/>
      <c r="K34" s="120"/>
      <c r="L34" s="120"/>
    </row>
    <row r="35" spans="1:24" ht="20.100000000000001" customHeight="1" x14ac:dyDescent="0.2">
      <c r="A35" s="106" t="s">
        <v>27</v>
      </c>
      <c r="B35" s="107">
        <f>'УЗСК вв1'!D38+'УЗСК вв2'!D38+'УЗСК вв3'!D38</f>
        <v>1.215999999997166</v>
      </c>
      <c r="C35" s="107"/>
      <c r="D35" s="225">
        <f>'УЗСК вв1'!H38+'УЗСК вв2'!H38+'УЗСК вв3'!H38</f>
        <v>1.8560000000024957</v>
      </c>
      <c r="E35" s="225"/>
      <c r="F35" s="221">
        <f t="shared" si="0"/>
        <v>1.5263157894792938</v>
      </c>
      <c r="G35" s="221"/>
      <c r="H35" s="120"/>
      <c r="I35" s="120"/>
      <c r="J35" s="120"/>
      <c r="K35" s="120"/>
      <c r="L35" s="120"/>
    </row>
    <row r="36" spans="1:24" ht="20.100000000000001" customHeight="1" x14ac:dyDescent="0.2">
      <c r="A36" s="106" t="s">
        <v>28</v>
      </c>
      <c r="B36" s="107">
        <f>'УЗСК вв1'!D39+'УЗСК вв2'!D39+'УЗСК вв3'!D39</f>
        <v>1.2159999999948923</v>
      </c>
      <c r="C36" s="107"/>
      <c r="D36" s="225">
        <f>'УЗСК вв1'!H39+'УЗСК вв2'!H39+'УЗСК вв3'!H39</f>
        <v>1.8559999999934007</v>
      </c>
      <c r="E36" s="225"/>
      <c r="F36" s="221">
        <f t="shared" si="0"/>
        <v>1.5263157894746684</v>
      </c>
      <c r="G36" s="221"/>
      <c r="H36" s="120"/>
      <c r="I36" s="120"/>
      <c r="J36" s="120"/>
      <c r="K36" s="120"/>
      <c r="L36" s="120"/>
    </row>
    <row r="37" spans="1:24" ht="20.100000000000001" customHeight="1" x14ac:dyDescent="0.2">
      <c r="A37" s="106" t="s">
        <v>29</v>
      </c>
      <c r="B37" s="107">
        <f>'УЗСК вв1'!D40+'УЗСК вв2'!D40+'УЗСК вв3'!D40</f>
        <v>1.2479999999982283</v>
      </c>
      <c r="C37" s="107"/>
      <c r="D37" s="225">
        <f>'УЗСК вв1'!H40+'УЗСК вв2'!H40+'УЗСК вв3'!H40</f>
        <v>1.8879999999933261</v>
      </c>
      <c r="E37" s="225"/>
      <c r="F37" s="221">
        <f t="shared" si="0"/>
        <v>1.5128205128173129</v>
      </c>
      <c r="G37" s="221"/>
      <c r="H37" s="120"/>
      <c r="I37" s="120"/>
      <c r="J37" s="120"/>
      <c r="K37" s="120"/>
      <c r="L37" s="120"/>
    </row>
    <row r="38" spans="1:24" ht="20.100000000000001" customHeight="1" x14ac:dyDescent="0.2">
      <c r="A38" s="106" t="s">
        <v>30</v>
      </c>
      <c r="B38" s="107">
        <f>'УЗСК вв1'!D41+'УЗСК вв2'!D41+'УЗСК вв3'!D41</f>
        <v>1.1840000000142936</v>
      </c>
      <c r="C38" s="107"/>
      <c r="D38" s="225">
        <f>'УЗСК вв1'!H41+'УЗСК вв2'!H41+'УЗСК вв3'!H41</f>
        <v>1.9520000000147775</v>
      </c>
      <c r="E38" s="225"/>
      <c r="F38" s="221">
        <f t="shared" si="0"/>
        <v>1.6486486486412266</v>
      </c>
      <c r="G38" s="221"/>
      <c r="H38" s="120"/>
      <c r="I38" s="120"/>
      <c r="J38" s="120"/>
      <c r="K38" s="120"/>
      <c r="L38" s="120"/>
    </row>
    <row r="39" spans="1:24" ht="20.100000000000001" customHeight="1" x14ac:dyDescent="0.2">
      <c r="A39" s="106" t="s">
        <v>31</v>
      </c>
      <c r="B39" s="107">
        <f>'УЗСК вв1'!D42+'УЗСК вв2'!D42+'УЗСК вв3'!D42</f>
        <v>1.2479999999868596</v>
      </c>
      <c r="C39" s="107"/>
      <c r="D39" s="225">
        <f>'УЗСК вв1'!H42+'УЗСК вв2'!H42+'УЗСК вв3'!H42</f>
        <v>1.9199999999864303</v>
      </c>
      <c r="E39" s="225"/>
      <c r="F39" s="221">
        <f t="shared" si="0"/>
        <v>1.5384615384668641</v>
      </c>
      <c r="G39" s="221"/>
      <c r="H39" s="120"/>
      <c r="I39" s="120"/>
      <c r="J39" s="120"/>
      <c r="K39" s="120"/>
      <c r="L39" s="120"/>
      <c r="P39" s="177" t="s">
        <v>150</v>
      </c>
      <c r="Q39" s="177"/>
      <c r="R39" s="177"/>
      <c r="S39" s="176" t="s">
        <v>364</v>
      </c>
      <c r="T39" s="176"/>
      <c r="U39" s="176"/>
      <c r="V39" s="176"/>
      <c r="W39" s="176"/>
      <c r="X39" s="176"/>
    </row>
    <row r="40" spans="1:24" ht="20.100000000000001" customHeight="1" x14ac:dyDescent="0.2">
      <c r="A40" s="106" t="s">
        <v>32</v>
      </c>
      <c r="B40" s="107">
        <f>SUM(B15:B39)</f>
        <v>565.21599999999125</v>
      </c>
      <c r="C40" s="107"/>
      <c r="D40" s="225">
        <f>SUM(D15:E39)</f>
        <v>445.02399999999056</v>
      </c>
      <c r="E40" s="225"/>
      <c r="F40" s="221">
        <f t="shared" si="0"/>
        <v>0.78735209194360645</v>
      </c>
      <c r="G40" s="221"/>
      <c r="H40" s="120"/>
      <c r="I40" s="120"/>
      <c r="J40" s="120"/>
      <c r="K40" s="120"/>
      <c r="L40" s="120"/>
    </row>
    <row r="41" spans="1:24" ht="20.100000000000001" customHeight="1" x14ac:dyDescent="0.2">
      <c r="A41" s="106" t="s">
        <v>33</v>
      </c>
      <c r="B41" s="106"/>
      <c r="C41" s="106"/>
      <c r="D41" s="219"/>
      <c r="E41" s="219"/>
      <c r="F41" s="221"/>
      <c r="G41" s="221"/>
      <c r="H41" s="120"/>
      <c r="I41" s="120"/>
      <c r="J41" s="120"/>
      <c r="K41" s="120"/>
      <c r="L41" s="120"/>
    </row>
    <row r="42" spans="1:24" ht="20.100000000000001" customHeight="1" x14ac:dyDescent="0.2">
      <c r="A42" s="129" t="s">
        <v>2</v>
      </c>
      <c r="B42" s="128" t="s">
        <v>37</v>
      </c>
      <c r="C42" s="132"/>
      <c r="D42" s="129"/>
      <c r="E42" s="128" t="s">
        <v>40</v>
      </c>
      <c r="F42" s="132"/>
      <c r="G42" s="132"/>
      <c r="H42" s="132"/>
      <c r="I42" s="129"/>
      <c r="J42" s="124" t="s">
        <v>5</v>
      </c>
      <c r="K42" s="131"/>
      <c r="L42" s="131"/>
    </row>
    <row r="43" spans="1:24" ht="36" customHeight="1" x14ac:dyDescent="0.2">
      <c r="A43" s="129"/>
      <c r="B43" s="219" t="s">
        <v>38</v>
      </c>
      <c r="C43" s="219"/>
      <c r="D43" s="106" t="s">
        <v>39</v>
      </c>
      <c r="E43" s="128" t="s">
        <v>41</v>
      </c>
      <c r="F43" s="132"/>
      <c r="G43" s="129"/>
      <c r="H43" s="128" t="s">
        <v>42</v>
      </c>
      <c r="I43" s="129"/>
      <c r="J43" s="127"/>
      <c r="K43" s="130"/>
      <c r="L43" s="130"/>
    </row>
    <row r="44" spans="1:24" ht="20.100000000000001" customHeight="1" x14ac:dyDescent="0.2">
      <c r="A44" s="86" t="s">
        <v>153</v>
      </c>
      <c r="B44" s="226">
        <f>SUM(B24:B26)</f>
        <v>156.44799999999805</v>
      </c>
      <c r="C44" s="227"/>
      <c r="D44" s="107">
        <f>SUM(D24:E26)</f>
        <v>104.92800000000329</v>
      </c>
      <c r="E44" s="226">
        <f>B44/3</f>
        <v>52.149333333332685</v>
      </c>
      <c r="F44" s="231"/>
      <c r="G44" s="227"/>
      <c r="H44" s="226">
        <f>D44/3</f>
        <v>34.9760000000011</v>
      </c>
      <c r="I44" s="227"/>
      <c r="J44" s="228">
        <f>H44/E44</f>
        <v>0.67068930251588132</v>
      </c>
      <c r="K44" s="229"/>
      <c r="L44" s="229"/>
    </row>
    <row r="45" spans="1:24" ht="20.100000000000001" customHeight="1" x14ac:dyDescent="0.2">
      <c r="A45" s="86" t="s">
        <v>43</v>
      </c>
      <c r="B45" s="226">
        <f>SUM(B33:B36)</f>
        <v>4.8639999999932115</v>
      </c>
      <c r="C45" s="227"/>
      <c r="D45" s="107">
        <f>SUM(D33:E36)</f>
        <v>7.4240000000042983</v>
      </c>
      <c r="E45" s="226">
        <f>B45/4</f>
        <v>1.2159999999983029</v>
      </c>
      <c r="F45" s="231"/>
      <c r="G45" s="227"/>
      <c r="H45" s="226">
        <f>D45/4</f>
        <v>1.8560000000010746</v>
      </c>
      <c r="I45" s="227"/>
      <c r="J45" s="228">
        <f>H45/E45</f>
        <v>1.5263157894766981</v>
      </c>
      <c r="K45" s="229"/>
      <c r="L45" s="229"/>
    </row>
    <row r="46" spans="1:24" ht="20.100000000000001" customHeight="1" x14ac:dyDescent="0.2">
      <c r="A46" s="86" t="s">
        <v>44</v>
      </c>
      <c r="B46" s="226">
        <f>SUM(B16:B39)</f>
        <v>565.21599999999125</v>
      </c>
      <c r="C46" s="227"/>
      <c r="D46" s="107">
        <f>SUM(D16:E39)</f>
        <v>445.02399999999056</v>
      </c>
      <c r="E46" s="226">
        <f>B46/24</f>
        <v>23.550666666666302</v>
      </c>
      <c r="F46" s="231"/>
      <c r="G46" s="227"/>
      <c r="H46" s="226">
        <f>D46/24</f>
        <v>18.542666666666275</v>
      </c>
      <c r="I46" s="227"/>
      <c r="J46" s="228">
        <f>H46/E46</f>
        <v>0.78735209194360645</v>
      </c>
      <c r="K46" s="229"/>
      <c r="L46" s="229"/>
    </row>
    <row r="47" spans="1:24" ht="20.100000000000001" customHeight="1" x14ac:dyDescent="0.2"/>
    <row r="48" spans="1:24" ht="20.100000000000001" customHeight="1" x14ac:dyDescent="0.2"/>
    <row r="49" spans="3:9" ht="20.100000000000001" customHeight="1" x14ac:dyDescent="0.2"/>
    <row r="50" spans="3:9" ht="20.100000000000001" customHeight="1" x14ac:dyDescent="0.2">
      <c r="C50" s="122" t="s">
        <v>186</v>
      </c>
      <c r="D50" s="122"/>
      <c r="E50" s="122"/>
      <c r="F50" s="122"/>
      <c r="G50" s="122"/>
      <c r="H50" s="122"/>
      <c r="I50" s="122"/>
    </row>
    <row r="51" spans="3:9" ht="20.100000000000001" customHeight="1" x14ac:dyDescent="0.2"/>
  </sheetData>
  <sheetProtection sheet="1" objects="1" scenarios="1"/>
  <mergeCells count="189">
    <mergeCell ref="U1:W1"/>
    <mergeCell ref="A2:E2"/>
    <mergeCell ref="R2:R3"/>
    <mergeCell ref="S2:T2"/>
    <mergeCell ref="U2:U3"/>
    <mergeCell ref="V2:W2"/>
    <mergeCell ref="A3:E3"/>
    <mergeCell ref="F3:H4"/>
    <mergeCell ref="I3:L4"/>
    <mergeCell ref="S3:T3"/>
    <mergeCell ref="A1:E1"/>
    <mergeCell ref="F1:H2"/>
    <mergeCell ref="I1:L2"/>
    <mergeCell ref="M1:M3"/>
    <mergeCell ref="N1:Q3"/>
    <mergeCell ref="R1:T1"/>
    <mergeCell ref="V3:W3"/>
    <mergeCell ref="A4:E4"/>
    <mergeCell ref="N4:Q4"/>
    <mergeCell ref="S4:T4"/>
    <mergeCell ref="V4:W4"/>
    <mergeCell ref="A5:E5"/>
    <mergeCell ref="F5:H6"/>
    <mergeCell ref="I5:L6"/>
    <mergeCell ref="N5:Q5"/>
    <mergeCell ref="S5:T5"/>
    <mergeCell ref="V5:W5"/>
    <mergeCell ref="A6:E6"/>
    <mergeCell ref="N6:Q6"/>
    <mergeCell ref="S6:T6"/>
    <mergeCell ref="V6:W6"/>
    <mergeCell ref="A7:L7"/>
    <mergeCell ref="N7:Q7"/>
    <mergeCell ref="S7:T7"/>
    <mergeCell ref="V7:W7"/>
    <mergeCell ref="N10:Q10"/>
    <mergeCell ref="S10:T10"/>
    <mergeCell ref="V10:W10"/>
    <mergeCell ref="A11:L11"/>
    <mergeCell ref="N11:Q11"/>
    <mergeCell ref="S11:T11"/>
    <mergeCell ref="V11:W11"/>
    <mergeCell ref="A8:L8"/>
    <mergeCell ref="N8:Q8"/>
    <mergeCell ref="S8:T8"/>
    <mergeCell ref="V8:W8"/>
    <mergeCell ref="A9:E9"/>
    <mergeCell ref="F9:H9"/>
    <mergeCell ref="I9:M9"/>
    <mergeCell ref="N9:Q9"/>
    <mergeCell ref="S9:T9"/>
    <mergeCell ref="V9:W9"/>
    <mergeCell ref="A12:A13"/>
    <mergeCell ref="B12:E12"/>
    <mergeCell ref="F12:G13"/>
    <mergeCell ref="H12:L12"/>
    <mergeCell ref="B13:C13"/>
    <mergeCell ref="D13:E13"/>
    <mergeCell ref="H13:L13"/>
    <mergeCell ref="A10:B10"/>
    <mergeCell ref="C10:H10"/>
    <mergeCell ref="W14:W18"/>
    <mergeCell ref="D15:E15"/>
    <mergeCell ref="F15:G15"/>
    <mergeCell ref="H15:L15"/>
    <mergeCell ref="R15:R18"/>
    <mergeCell ref="S15:S18"/>
    <mergeCell ref="T15:T18"/>
    <mergeCell ref="D16:E16"/>
    <mergeCell ref="D14:E14"/>
    <mergeCell ref="F14:G14"/>
    <mergeCell ref="H14:L14"/>
    <mergeCell ref="M14:M18"/>
    <mergeCell ref="N14:Q18"/>
    <mergeCell ref="R14:T14"/>
    <mergeCell ref="F16:G16"/>
    <mergeCell ref="H16:L16"/>
    <mergeCell ref="D17:E17"/>
    <mergeCell ref="F17:G17"/>
    <mergeCell ref="H17:L17"/>
    <mergeCell ref="D18:E18"/>
    <mergeCell ref="F18:G18"/>
    <mergeCell ref="H18:L18"/>
    <mergeCell ref="D19:E19"/>
    <mergeCell ref="F19:G19"/>
    <mergeCell ref="H19:L19"/>
    <mergeCell ref="U14:U18"/>
    <mergeCell ref="V14:V18"/>
    <mergeCell ref="N19:Q19"/>
    <mergeCell ref="D20:E20"/>
    <mergeCell ref="F20:G20"/>
    <mergeCell ref="H20:L20"/>
    <mergeCell ref="N20:Q20"/>
    <mergeCell ref="D21:E21"/>
    <mergeCell ref="F21:G21"/>
    <mergeCell ref="H21:L21"/>
    <mergeCell ref="N21:Q21"/>
    <mergeCell ref="D24:E24"/>
    <mergeCell ref="F24:G24"/>
    <mergeCell ref="H24:L24"/>
    <mergeCell ref="N24:V24"/>
    <mergeCell ref="D25:E25"/>
    <mergeCell ref="F25:G25"/>
    <mergeCell ref="H25:L25"/>
    <mergeCell ref="O25:V25"/>
    <mergeCell ref="D22:E22"/>
    <mergeCell ref="F22:G22"/>
    <mergeCell ref="H22:L22"/>
    <mergeCell ref="D23:E23"/>
    <mergeCell ref="F23:G23"/>
    <mergeCell ref="H23:L23"/>
    <mergeCell ref="D28:E28"/>
    <mergeCell ref="F28:G28"/>
    <mergeCell ref="H28:L28"/>
    <mergeCell ref="O28:V28"/>
    <mergeCell ref="D29:E29"/>
    <mergeCell ref="F29:G29"/>
    <mergeCell ref="H29:L29"/>
    <mergeCell ref="O29:V29"/>
    <mergeCell ref="D26:E26"/>
    <mergeCell ref="F26:G26"/>
    <mergeCell ref="H26:L26"/>
    <mergeCell ref="O26:V26"/>
    <mergeCell ref="D27:E27"/>
    <mergeCell ref="F27:G27"/>
    <mergeCell ref="H27:L27"/>
    <mergeCell ref="O27:V27"/>
    <mergeCell ref="O32:V32"/>
    <mergeCell ref="D33:E33"/>
    <mergeCell ref="F33:G33"/>
    <mergeCell ref="H33:L33"/>
    <mergeCell ref="O33:V33"/>
    <mergeCell ref="D30:E30"/>
    <mergeCell ref="F30:G30"/>
    <mergeCell ref="H30:L30"/>
    <mergeCell ref="O30:V30"/>
    <mergeCell ref="D31:E31"/>
    <mergeCell ref="F31:G31"/>
    <mergeCell ref="H31:L31"/>
    <mergeCell ref="O31:V31"/>
    <mergeCell ref="D34:E34"/>
    <mergeCell ref="F34:G34"/>
    <mergeCell ref="H34:L34"/>
    <mergeCell ref="D35:E35"/>
    <mergeCell ref="F35:G35"/>
    <mergeCell ref="H35:L35"/>
    <mergeCell ref="D32:E32"/>
    <mergeCell ref="F32:G32"/>
    <mergeCell ref="H32:L32"/>
    <mergeCell ref="D38:E38"/>
    <mergeCell ref="F38:G38"/>
    <mergeCell ref="H38:L38"/>
    <mergeCell ref="D39:E39"/>
    <mergeCell ref="F39:G39"/>
    <mergeCell ref="H39:L39"/>
    <mergeCell ref="D36:E36"/>
    <mergeCell ref="F36:G36"/>
    <mergeCell ref="H36:L36"/>
    <mergeCell ref="D37:E37"/>
    <mergeCell ref="F37:G37"/>
    <mergeCell ref="H37:L37"/>
    <mergeCell ref="A42:A43"/>
    <mergeCell ref="B42:D42"/>
    <mergeCell ref="E42:I42"/>
    <mergeCell ref="J42:L43"/>
    <mergeCell ref="B43:C43"/>
    <mergeCell ref="E43:G43"/>
    <mergeCell ref="H43:I43"/>
    <mergeCell ref="P39:R39"/>
    <mergeCell ref="S39:X39"/>
    <mergeCell ref="D40:E40"/>
    <mergeCell ref="F40:G40"/>
    <mergeCell ref="H40:L40"/>
    <mergeCell ref="D41:E41"/>
    <mergeCell ref="F41:G41"/>
    <mergeCell ref="H41:L41"/>
    <mergeCell ref="B46:C46"/>
    <mergeCell ref="E46:G46"/>
    <mergeCell ref="H46:I46"/>
    <mergeCell ref="J46:L46"/>
    <mergeCell ref="C50:I50"/>
    <mergeCell ref="B44:C44"/>
    <mergeCell ref="E44:G44"/>
    <mergeCell ref="H44:I44"/>
    <mergeCell ref="J44:L44"/>
    <mergeCell ref="B45:C45"/>
    <mergeCell ref="E45:G45"/>
    <mergeCell ref="H45:I45"/>
    <mergeCell ref="J45:L45"/>
  </mergeCells>
  <printOptions horizontalCentered="1"/>
  <pageMargins left="0.39370078740157483" right="0.39370078740157483" top="0.19685039370078741" bottom="0.19685039370078741" header="0" footer="0"/>
  <pageSetup paperSize="9" scale="74" orientation="portrait" horizontalDpi="180" verticalDpi="180" r:id="rId1"/>
  <headerFooter alignWithMargins="0"/>
  <rowBreaks count="1" manualBreakCount="1">
    <brk id="50" max="22" man="1"/>
  </rowBreaks>
  <colBreaks count="1" manualBreakCount="1">
    <brk id="12" max="49" man="1"/>
  </colBreak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1"/>
  <sheetViews>
    <sheetView view="pageBreakPreview" topLeftCell="A13" zoomScale="75" zoomScaleNormal="100" workbookViewId="0">
      <selection activeCell="H34" sqref="H34:L34"/>
    </sheetView>
  </sheetViews>
  <sheetFormatPr defaultRowHeight="18.75" x14ac:dyDescent="0.2"/>
  <cols>
    <col min="1" max="1" width="15" style="88" customWidth="1"/>
    <col min="2" max="2" width="15.7109375" style="88" customWidth="1"/>
    <col min="3" max="3" width="6.28515625" style="88" customWidth="1"/>
    <col min="4" max="4" width="22.7109375" style="88" customWidth="1"/>
    <col min="5" max="5" width="3.42578125" style="88" customWidth="1"/>
    <col min="6" max="8" width="9.140625" style="88"/>
    <col min="9" max="9" width="9.7109375" style="88" customWidth="1"/>
    <col min="10" max="10" width="6" style="88" customWidth="1"/>
    <col min="11" max="11" width="6.140625" style="88" customWidth="1"/>
    <col min="12" max="12" width="6.85546875" style="88" customWidth="1"/>
    <col min="13" max="13" width="8.42578125" style="88" customWidth="1"/>
    <col min="14" max="18" width="10.7109375" style="88" customWidth="1"/>
    <col min="19" max="19" width="13.85546875" style="88" customWidth="1"/>
    <col min="20" max="20" width="14" style="88" customWidth="1"/>
    <col min="21" max="21" width="12.42578125" style="88" customWidth="1"/>
    <col min="22" max="22" width="13.140625" style="88" customWidth="1"/>
    <col min="23" max="23" width="13.28515625" style="88" customWidth="1"/>
    <col min="24" max="28" width="10.28515625" style="88" customWidth="1"/>
    <col min="29" max="16384" width="9.140625" style="88"/>
  </cols>
  <sheetData>
    <row r="1" spans="1:23" ht="26.25" x14ac:dyDescent="0.2">
      <c r="A1" s="115" t="s">
        <v>161</v>
      </c>
      <c r="B1" s="115"/>
      <c r="C1" s="115"/>
      <c r="D1" s="115"/>
      <c r="E1" s="115"/>
      <c r="F1" s="150" t="s">
        <v>154</v>
      </c>
      <c r="G1" s="150"/>
      <c r="H1" s="150"/>
      <c r="I1" s="115" t="s">
        <v>163</v>
      </c>
      <c r="J1" s="115"/>
      <c r="K1" s="115"/>
      <c r="L1" s="115"/>
      <c r="M1" s="123" t="s">
        <v>115</v>
      </c>
      <c r="N1" s="121" t="s">
        <v>116</v>
      </c>
      <c r="O1" s="121"/>
      <c r="P1" s="121"/>
      <c r="Q1" s="121"/>
      <c r="R1" s="219" t="s">
        <v>117</v>
      </c>
      <c r="S1" s="219"/>
      <c r="T1" s="219"/>
      <c r="U1" s="219" t="s">
        <v>118</v>
      </c>
      <c r="V1" s="219"/>
      <c r="W1" s="128"/>
    </row>
    <row r="2" spans="1:23" ht="18.75" customHeight="1" x14ac:dyDescent="0.2">
      <c r="A2" s="146" t="s">
        <v>45</v>
      </c>
      <c r="B2" s="146"/>
      <c r="C2" s="146"/>
      <c r="D2" s="146"/>
      <c r="E2" s="146"/>
      <c r="F2" s="150"/>
      <c r="G2" s="150"/>
      <c r="H2" s="150"/>
      <c r="I2" s="115"/>
      <c r="J2" s="115"/>
      <c r="K2" s="115"/>
      <c r="L2" s="115"/>
      <c r="M2" s="116"/>
      <c r="N2" s="118"/>
      <c r="O2" s="118"/>
      <c r="P2" s="118"/>
      <c r="Q2" s="118"/>
      <c r="R2" s="118" t="s">
        <v>119</v>
      </c>
      <c r="S2" s="118" t="s">
        <v>120</v>
      </c>
      <c r="T2" s="118"/>
      <c r="U2" s="118" t="s">
        <v>119</v>
      </c>
      <c r="V2" s="118" t="s">
        <v>120</v>
      </c>
      <c r="W2" s="125"/>
    </row>
    <row r="3" spans="1:23" ht="21.75" customHeight="1" x14ac:dyDescent="0.2">
      <c r="A3" s="115" t="s">
        <v>173</v>
      </c>
      <c r="B3" s="115"/>
      <c r="C3" s="115"/>
      <c r="D3" s="115"/>
      <c r="E3" s="115"/>
      <c r="F3" s="150" t="s">
        <v>155</v>
      </c>
      <c r="G3" s="150"/>
      <c r="H3" s="150"/>
      <c r="I3" s="115" t="s">
        <v>409</v>
      </c>
      <c r="J3" s="115"/>
      <c r="K3" s="115"/>
      <c r="L3" s="115"/>
      <c r="M3" s="117"/>
      <c r="N3" s="119"/>
      <c r="O3" s="119"/>
      <c r="P3" s="119"/>
      <c r="Q3" s="119"/>
      <c r="R3" s="119"/>
      <c r="S3" s="119" t="s">
        <v>121</v>
      </c>
      <c r="T3" s="119"/>
      <c r="U3" s="119"/>
      <c r="V3" s="119" t="s">
        <v>121</v>
      </c>
      <c r="W3" s="127"/>
    </row>
    <row r="4" spans="1:23" ht="29.25" customHeight="1" x14ac:dyDescent="0.2">
      <c r="A4" s="146" t="s">
        <v>46</v>
      </c>
      <c r="B4" s="146"/>
      <c r="C4" s="146"/>
      <c r="D4" s="146"/>
      <c r="E4" s="146"/>
      <c r="F4" s="150"/>
      <c r="G4" s="150"/>
      <c r="H4" s="150"/>
      <c r="I4" s="115"/>
      <c r="J4" s="115"/>
      <c r="K4" s="115"/>
      <c r="L4" s="115"/>
      <c r="M4" s="85"/>
      <c r="N4" s="216" t="s">
        <v>122</v>
      </c>
      <c r="O4" s="216"/>
      <c r="P4" s="216"/>
      <c r="Q4" s="216"/>
      <c r="R4" s="87"/>
      <c r="S4" s="111"/>
      <c r="T4" s="113"/>
      <c r="U4" s="87"/>
      <c r="V4" s="111"/>
      <c r="W4" s="112"/>
    </row>
    <row r="5" spans="1:23" ht="21" customHeight="1" x14ac:dyDescent="0.2">
      <c r="A5" s="234" t="s">
        <v>159</v>
      </c>
      <c r="B5" s="234"/>
      <c r="C5" s="234"/>
      <c r="D5" s="234"/>
      <c r="E5" s="234"/>
      <c r="F5" s="150" t="s">
        <v>156</v>
      </c>
      <c r="G5" s="150"/>
      <c r="H5" s="150"/>
      <c r="I5" s="115" t="s">
        <v>402</v>
      </c>
      <c r="J5" s="115"/>
      <c r="K5" s="115"/>
      <c r="L5" s="115"/>
      <c r="M5" s="85"/>
      <c r="N5" s="217" t="s">
        <v>123</v>
      </c>
      <c r="O5" s="217"/>
      <c r="P5" s="217"/>
      <c r="Q5" s="217"/>
      <c r="R5" s="87"/>
      <c r="S5" s="111"/>
      <c r="T5" s="113"/>
      <c r="U5" s="87"/>
      <c r="V5" s="111"/>
      <c r="W5" s="112"/>
    </row>
    <row r="6" spans="1:23" x14ac:dyDescent="0.2">
      <c r="A6" s="146" t="s">
        <v>47</v>
      </c>
      <c r="B6" s="146"/>
      <c r="C6" s="146"/>
      <c r="D6" s="146"/>
      <c r="E6" s="146"/>
      <c r="F6" s="150"/>
      <c r="G6" s="150"/>
      <c r="H6" s="150"/>
      <c r="I6" s="115"/>
      <c r="J6" s="115"/>
      <c r="K6" s="115"/>
      <c r="L6" s="115"/>
      <c r="M6" s="85"/>
      <c r="N6" s="217" t="s">
        <v>124</v>
      </c>
      <c r="O6" s="217"/>
      <c r="P6" s="217"/>
      <c r="Q6" s="217"/>
      <c r="R6" s="87"/>
      <c r="S6" s="111"/>
      <c r="T6" s="113"/>
      <c r="U6" s="87"/>
      <c r="V6" s="111"/>
      <c r="W6" s="112"/>
    </row>
    <row r="7" spans="1:23" x14ac:dyDescent="0.2">
      <c r="A7" s="122"/>
      <c r="B7" s="122"/>
      <c r="C7" s="122"/>
      <c r="D7" s="122"/>
      <c r="E7" s="122"/>
      <c r="F7" s="122"/>
      <c r="G7" s="122"/>
      <c r="H7" s="122"/>
      <c r="I7" s="122"/>
      <c r="J7" s="122"/>
      <c r="K7" s="122"/>
      <c r="L7" s="122"/>
      <c r="M7" s="85"/>
      <c r="N7" s="218" t="s">
        <v>125</v>
      </c>
      <c r="O7" s="218"/>
      <c r="P7" s="218"/>
      <c r="Q7" s="218"/>
      <c r="R7" s="87"/>
      <c r="S7" s="111"/>
      <c r="T7" s="113"/>
      <c r="U7" s="87"/>
      <c r="V7" s="111"/>
      <c r="W7" s="112"/>
    </row>
    <row r="8" spans="1:23" ht="22.5" x14ac:dyDescent="0.2">
      <c r="A8" s="143" t="s">
        <v>0</v>
      </c>
      <c r="B8" s="143"/>
      <c r="C8" s="143"/>
      <c r="D8" s="143"/>
      <c r="E8" s="143"/>
      <c r="F8" s="143"/>
      <c r="G8" s="143"/>
      <c r="H8" s="143"/>
      <c r="I8" s="143"/>
      <c r="J8" s="143"/>
      <c r="K8" s="143"/>
      <c r="L8" s="143"/>
      <c r="M8" s="85"/>
      <c r="N8" s="217" t="s">
        <v>126</v>
      </c>
      <c r="O8" s="217"/>
      <c r="P8" s="217"/>
      <c r="Q8" s="217"/>
      <c r="R8" s="87"/>
      <c r="S8" s="111"/>
      <c r="T8" s="113"/>
      <c r="U8" s="87"/>
      <c r="V8" s="111"/>
      <c r="W8" s="112"/>
    </row>
    <row r="9" spans="1:23" ht="18.75" customHeight="1" x14ac:dyDescent="0.2">
      <c r="A9" s="220" t="s">
        <v>152</v>
      </c>
      <c r="B9" s="220"/>
      <c r="C9" s="220"/>
      <c r="D9" s="220"/>
      <c r="E9" s="220"/>
      <c r="F9" s="162" t="s">
        <v>407</v>
      </c>
      <c r="G9" s="163"/>
      <c r="H9" s="163"/>
      <c r="I9" s="138" t="s">
        <v>369</v>
      </c>
      <c r="J9" s="138"/>
      <c r="K9" s="138"/>
      <c r="L9" s="138"/>
      <c r="M9" s="138"/>
      <c r="N9" s="217" t="s">
        <v>127</v>
      </c>
      <c r="O9" s="217"/>
      <c r="P9" s="217"/>
      <c r="Q9" s="217"/>
      <c r="R9" s="87"/>
      <c r="S9" s="111"/>
      <c r="T9" s="113"/>
      <c r="U9" s="87"/>
      <c r="V9" s="111"/>
      <c r="W9" s="112"/>
    </row>
    <row r="10" spans="1:23" ht="19.5" customHeight="1" x14ac:dyDescent="0.2">
      <c r="A10" s="220" t="s">
        <v>151</v>
      </c>
      <c r="B10" s="220"/>
      <c r="C10" s="163" t="s">
        <v>408</v>
      </c>
      <c r="D10" s="163"/>
      <c r="E10" s="163"/>
      <c r="F10" s="163"/>
      <c r="G10" s="163"/>
      <c r="H10" s="163"/>
      <c r="I10" s="93"/>
      <c r="J10" s="93"/>
      <c r="K10" s="93"/>
      <c r="L10" s="93"/>
      <c r="M10" s="85"/>
      <c r="N10" s="218" t="s">
        <v>128</v>
      </c>
      <c r="O10" s="218"/>
      <c r="P10" s="218"/>
      <c r="Q10" s="218"/>
      <c r="R10" s="87"/>
      <c r="S10" s="111"/>
      <c r="T10" s="113"/>
      <c r="U10" s="87"/>
      <c r="V10" s="111"/>
      <c r="W10" s="112"/>
    </row>
    <row r="11" spans="1:23" x14ac:dyDescent="0.2">
      <c r="A11" s="215" t="s">
        <v>1</v>
      </c>
      <c r="B11" s="215"/>
      <c r="C11" s="215"/>
      <c r="D11" s="215"/>
      <c r="E11" s="215"/>
      <c r="F11" s="215"/>
      <c r="G11" s="215"/>
      <c r="H11" s="215"/>
      <c r="I11" s="215"/>
      <c r="J11" s="215"/>
      <c r="K11" s="215"/>
      <c r="L11" s="215"/>
      <c r="M11" s="85"/>
      <c r="N11" s="223" t="s">
        <v>129</v>
      </c>
      <c r="O11" s="223"/>
      <c r="P11" s="223"/>
      <c r="Q11" s="223"/>
      <c r="R11" s="87"/>
      <c r="S11" s="111"/>
      <c r="T11" s="113"/>
      <c r="U11" s="87"/>
      <c r="V11" s="111"/>
      <c r="W11" s="112"/>
    </row>
    <row r="12" spans="1:23" ht="20.100000000000001" customHeight="1" x14ac:dyDescent="0.2">
      <c r="A12" s="129" t="s">
        <v>2</v>
      </c>
      <c r="B12" s="219" t="s">
        <v>36</v>
      </c>
      <c r="C12" s="219"/>
      <c r="D12" s="219"/>
      <c r="E12" s="219"/>
      <c r="F12" s="219" t="s">
        <v>5</v>
      </c>
      <c r="G12" s="219"/>
      <c r="H12" s="124" t="s">
        <v>34</v>
      </c>
      <c r="I12" s="131"/>
      <c r="J12" s="131"/>
      <c r="K12" s="131"/>
      <c r="L12" s="131"/>
      <c r="N12" s="89"/>
      <c r="O12" s="89"/>
      <c r="P12" s="89"/>
      <c r="Q12" s="89"/>
    </row>
    <row r="13" spans="1:23" ht="20.100000000000001" customHeight="1" x14ac:dyDescent="0.2">
      <c r="A13" s="129"/>
      <c r="B13" s="219" t="s">
        <v>3</v>
      </c>
      <c r="C13" s="219"/>
      <c r="D13" s="219" t="s">
        <v>4</v>
      </c>
      <c r="E13" s="219"/>
      <c r="F13" s="219"/>
      <c r="G13" s="219"/>
      <c r="H13" s="127" t="s">
        <v>35</v>
      </c>
      <c r="I13" s="130"/>
      <c r="J13" s="130"/>
      <c r="K13" s="130"/>
      <c r="L13" s="130"/>
    </row>
    <row r="14" spans="1:23" ht="20.100000000000001" customHeight="1" x14ac:dyDescent="0.2">
      <c r="A14" s="106" t="s">
        <v>6</v>
      </c>
      <c r="B14" s="87"/>
      <c r="C14" s="106"/>
      <c r="D14" s="120"/>
      <c r="E14" s="120"/>
      <c r="F14" s="221" t="str">
        <f t="shared" ref="F14:F40" si="0">IF(OR(B14="",D14=""),"",IF(ISERROR(D14/B14),IF(D14=0,0,""),D14/B14))</f>
        <v/>
      </c>
      <c r="G14" s="221"/>
      <c r="H14" s="120"/>
      <c r="I14" s="120"/>
      <c r="J14" s="120"/>
      <c r="K14" s="120"/>
      <c r="L14" s="120"/>
      <c r="M14" s="129" t="s">
        <v>115</v>
      </c>
      <c r="N14" s="219" t="s">
        <v>116</v>
      </c>
      <c r="O14" s="219"/>
      <c r="P14" s="219"/>
      <c r="Q14" s="219"/>
      <c r="R14" s="219" t="s">
        <v>117</v>
      </c>
      <c r="S14" s="219"/>
      <c r="T14" s="219"/>
      <c r="U14" s="219" t="s">
        <v>130</v>
      </c>
      <c r="V14" s="219" t="s">
        <v>69</v>
      </c>
      <c r="W14" s="128" t="s">
        <v>131</v>
      </c>
    </row>
    <row r="15" spans="1:23" ht="20.100000000000001" customHeight="1" x14ac:dyDescent="0.2">
      <c r="A15" s="106" t="s">
        <v>7</v>
      </c>
      <c r="B15" s="106"/>
      <c r="C15" s="106"/>
      <c r="D15" s="219"/>
      <c r="E15" s="219"/>
      <c r="F15" s="221" t="str">
        <f t="shared" si="0"/>
        <v/>
      </c>
      <c r="G15" s="221"/>
      <c r="H15" s="120"/>
      <c r="I15" s="120"/>
      <c r="J15" s="120"/>
      <c r="K15" s="120"/>
      <c r="L15" s="120"/>
      <c r="M15" s="129"/>
      <c r="N15" s="219"/>
      <c r="O15" s="219"/>
      <c r="P15" s="219"/>
      <c r="Q15" s="219"/>
      <c r="R15" s="224" t="s">
        <v>130</v>
      </c>
      <c r="S15" s="219" t="s">
        <v>69</v>
      </c>
      <c r="T15" s="219" t="s">
        <v>131</v>
      </c>
      <c r="U15" s="219"/>
      <c r="V15" s="219"/>
      <c r="W15" s="128"/>
    </row>
    <row r="16" spans="1:23" ht="20.100000000000001" customHeight="1" x14ac:dyDescent="0.2">
      <c r="A16" s="106" t="s">
        <v>8</v>
      </c>
      <c r="B16" s="107">
        <f>'Добрыня вв1'!D19+'Добрыня вв2'!D19</f>
        <v>1.2100000000000364</v>
      </c>
      <c r="C16" s="107"/>
      <c r="D16" s="225">
        <f>'Добрыня вв1'!H19+'Добрыня вв2'!H19</f>
        <v>9.3999999999994088E-2</v>
      </c>
      <c r="E16" s="225"/>
      <c r="F16" s="221">
        <f t="shared" si="0"/>
        <v>7.7685950413215923E-2</v>
      </c>
      <c r="G16" s="221"/>
      <c r="H16" s="120"/>
      <c r="I16" s="120"/>
      <c r="J16" s="120"/>
      <c r="K16" s="120"/>
      <c r="L16" s="120"/>
      <c r="M16" s="129"/>
      <c r="N16" s="219"/>
      <c r="O16" s="219"/>
      <c r="P16" s="219"/>
      <c r="Q16" s="219"/>
      <c r="R16" s="224"/>
      <c r="S16" s="219"/>
      <c r="T16" s="219"/>
      <c r="U16" s="219"/>
      <c r="V16" s="219"/>
      <c r="W16" s="128"/>
    </row>
    <row r="17" spans="1:23" ht="20.100000000000001" customHeight="1" x14ac:dyDescent="0.2">
      <c r="A17" s="106" t="s">
        <v>9</v>
      </c>
      <c r="B17" s="107">
        <f>'Добрыня вв1'!D20+'Добрыня вв2'!D20</f>
        <v>1.2079999999996289</v>
      </c>
      <c r="C17" s="107"/>
      <c r="D17" s="225">
        <f>'Добрыня вв1'!H20+'Добрыня вв2'!H20</f>
        <v>9.2000000000041382E-2</v>
      </c>
      <c r="E17" s="225"/>
      <c r="F17" s="221">
        <f t="shared" si="0"/>
        <v>7.6158940397408642E-2</v>
      </c>
      <c r="G17" s="221"/>
      <c r="H17" s="120"/>
      <c r="I17" s="120"/>
      <c r="J17" s="120"/>
      <c r="K17" s="120"/>
      <c r="L17" s="120"/>
      <c r="M17" s="129"/>
      <c r="N17" s="219"/>
      <c r="O17" s="219"/>
      <c r="P17" s="219"/>
      <c r="Q17" s="219"/>
      <c r="R17" s="224"/>
      <c r="S17" s="219"/>
      <c r="T17" s="219"/>
      <c r="U17" s="219"/>
      <c r="V17" s="219"/>
      <c r="W17" s="128"/>
    </row>
    <row r="18" spans="1:23" ht="20.100000000000001" customHeight="1" x14ac:dyDescent="0.2">
      <c r="A18" s="106" t="s">
        <v>10</v>
      </c>
      <c r="B18" s="107">
        <f>'Добрыня вв1'!D21+'Добрыня вв2'!D21</f>
        <v>1.2080000000005384</v>
      </c>
      <c r="C18" s="107"/>
      <c r="D18" s="225">
        <f>'Добрыня вв1'!H21+'Добрыня вв2'!H21</f>
        <v>9.3999999999994088E-2</v>
      </c>
      <c r="E18" s="225"/>
      <c r="F18" s="221">
        <f t="shared" si="0"/>
        <v>7.781456953638427E-2</v>
      </c>
      <c r="G18" s="221"/>
      <c r="H18" s="120"/>
      <c r="I18" s="120"/>
      <c r="J18" s="120"/>
      <c r="K18" s="120"/>
      <c r="L18" s="120"/>
      <c r="M18" s="129"/>
      <c r="N18" s="219"/>
      <c r="O18" s="219"/>
      <c r="P18" s="219"/>
      <c r="Q18" s="219"/>
      <c r="R18" s="224"/>
      <c r="S18" s="219"/>
      <c r="T18" s="219"/>
      <c r="U18" s="219"/>
      <c r="V18" s="219"/>
      <c r="W18" s="128"/>
    </row>
    <row r="19" spans="1:23" ht="20.100000000000001" customHeight="1" x14ac:dyDescent="0.2">
      <c r="A19" s="106" t="s">
        <v>11</v>
      </c>
      <c r="B19" s="107">
        <f>'Добрыня вв1'!D22+'Добрыня вв2'!D22</f>
        <v>1.8919999999997401</v>
      </c>
      <c r="C19" s="107"/>
      <c r="D19" s="225">
        <f>'Добрыня вв1'!H22+'Добрыня вв2'!H22</f>
        <v>0.18999999999998352</v>
      </c>
      <c r="E19" s="225"/>
      <c r="F19" s="221">
        <f t="shared" si="0"/>
        <v>0.10042283298097759</v>
      </c>
      <c r="G19" s="221"/>
      <c r="H19" s="120"/>
      <c r="I19" s="120"/>
      <c r="J19" s="120"/>
      <c r="K19" s="120"/>
      <c r="L19" s="120"/>
      <c r="M19" s="85"/>
      <c r="N19" s="216" t="s">
        <v>132</v>
      </c>
      <c r="O19" s="216"/>
      <c r="P19" s="216"/>
      <c r="Q19" s="216"/>
      <c r="R19" s="87"/>
      <c r="S19" s="87"/>
      <c r="T19" s="87"/>
      <c r="U19" s="87"/>
      <c r="V19" s="87"/>
      <c r="W19" s="84"/>
    </row>
    <row r="20" spans="1:23" ht="20.100000000000001" customHeight="1" x14ac:dyDescent="0.2">
      <c r="A20" s="106" t="s">
        <v>12</v>
      </c>
      <c r="B20" s="107">
        <f>'Добрыня вв1'!D23+'Добрыня вв2'!D23</f>
        <v>2.0179999999997733</v>
      </c>
      <c r="C20" s="107"/>
      <c r="D20" s="225">
        <f>'Добрыня вв1'!H23+'Добрыня вв2'!H23</f>
        <v>0.21600000000004371</v>
      </c>
      <c r="E20" s="225"/>
      <c r="F20" s="221">
        <f t="shared" si="0"/>
        <v>0.10703666997030127</v>
      </c>
      <c r="G20" s="221"/>
      <c r="H20" s="120"/>
      <c r="I20" s="120"/>
      <c r="J20" s="120"/>
      <c r="K20" s="120"/>
      <c r="L20" s="120"/>
      <c r="M20" s="85"/>
      <c r="N20" s="217" t="s">
        <v>133</v>
      </c>
      <c r="O20" s="217"/>
      <c r="P20" s="217"/>
      <c r="Q20" s="217"/>
      <c r="R20" s="87"/>
      <c r="S20" s="87"/>
      <c r="T20" s="87"/>
      <c r="U20" s="87"/>
      <c r="V20" s="87"/>
      <c r="W20" s="84"/>
    </row>
    <row r="21" spans="1:23" ht="20.100000000000001" customHeight="1" x14ac:dyDescent="0.2">
      <c r="A21" s="106" t="s">
        <v>13</v>
      </c>
      <c r="B21" s="107">
        <f>'Добрыня вв1'!D24+'Добрыня вв2'!D24</f>
        <v>2.0100000000003888</v>
      </c>
      <c r="C21" s="107"/>
      <c r="D21" s="225">
        <f>'Добрыня вв1'!H24+'Добрыня вв2'!H24</f>
        <v>0.2039999999999651</v>
      </c>
      <c r="E21" s="225"/>
      <c r="F21" s="221">
        <f t="shared" si="0"/>
        <v>0.10149253731339584</v>
      </c>
      <c r="G21" s="221"/>
      <c r="H21" s="120"/>
      <c r="I21" s="120"/>
      <c r="J21" s="120"/>
      <c r="K21" s="120"/>
      <c r="L21" s="120"/>
      <c r="M21" s="85"/>
      <c r="N21" s="222" t="s">
        <v>134</v>
      </c>
      <c r="O21" s="222"/>
      <c r="P21" s="222"/>
      <c r="Q21" s="222"/>
      <c r="R21" s="87"/>
      <c r="S21" s="87"/>
      <c r="T21" s="87"/>
      <c r="U21" s="87"/>
      <c r="V21" s="87"/>
      <c r="W21" s="84"/>
    </row>
    <row r="22" spans="1:23" ht="20.100000000000001" customHeight="1" x14ac:dyDescent="0.2">
      <c r="A22" s="106" t="s">
        <v>14</v>
      </c>
      <c r="B22" s="107">
        <f>'Добрыня вв1'!D25+'Добрыня вв2'!D25</f>
        <v>1.9479999999998086</v>
      </c>
      <c r="C22" s="107"/>
      <c r="D22" s="225">
        <f>'Добрыня вв1'!H25+'Добрыня вв2'!H25</f>
        <v>0.19600000000000506</v>
      </c>
      <c r="E22" s="225"/>
      <c r="F22" s="221">
        <f t="shared" si="0"/>
        <v>0.10061601642711721</v>
      </c>
      <c r="G22" s="221"/>
      <c r="H22" s="120"/>
      <c r="I22" s="120"/>
      <c r="J22" s="120"/>
      <c r="K22" s="120"/>
      <c r="L22" s="120"/>
    </row>
    <row r="23" spans="1:23" ht="20.100000000000001" customHeight="1" x14ac:dyDescent="0.2">
      <c r="A23" s="106" t="s">
        <v>15</v>
      </c>
      <c r="B23" s="107">
        <f>'Добрыня вв1'!D26+'Добрыня вв2'!D26</f>
        <v>1.0379999999999541</v>
      </c>
      <c r="C23" s="107"/>
      <c r="D23" s="225">
        <f>'Добрыня вв1'!H26+'Добрыня вв2'!H26</f>
        <v>0.1479999999999535</v>
      </c>
      <c r="E23" s="225"/>
      <c r="F23" s="221">
        <f t="shared" si="0"/>
        <v>0.14258188824658966</v>
      </c>
      <c r="G23" s="221"/>
      <c r="H23" s="120"/>
      <c r="I23" s="120"/>
      <c r="J23" s="120"/>
      <c r="K23" s="120"/>
      <c r="L23" s="120"/>
    </row>
    <row r="24" spans="1:23" ht="20.100000000000001" customHeight="1" x14ac:dyDescent="0.2">
      <c r="A24" s="106" t="s">
        <v>16</v>
      </c>
      <c r="B24" s="107">
        <f>'Добрыня вв1'!D27+'Добрыня вв2'!D27</f>
        <v>1.7180000000006714</v>
      </c>
      <c r="C24" s="107"/>
      <c r="D24" s="225">
        <f>'Добрыня вв1'!H27+'Добрыня вв2'!H27</f>
        <v>0.14400000000006941</v>
      </c>
      <c r="E24" s="225"/>
      <c r="F24" s="221">
        <f t="shared" si="0"/>
        <v>8.3818393480799253E-2</v>
      </c>
      <c r="G24" s="221"/>
      <c r="H24" s="120"/>
      <c r="I24" s="120"/>
      <c r="J24" s="120"/>
      <c r="K24" s="120"/>
      <c r="L24" s="120"/>
      <c r="N24" s="145" t="s">
        <v>135</v>
      </c>
      <c r="O24" s="145"/>
      <c r="P24" s="145"/>
      <c r="Q24" s="145"/>
      <c r="R24" s="145"/>
      <c r="S24" s="145"/>
      <c r="T24" s="145"/>
      <c r="U24" s="145"/>
      <c r="V24" s="145"/>
    </row>
    <row r="25" spans="1:23" ht="20.100000000000001" customHeight="1" x14ac:dyDescent="0.2">
      <c r="A25" s="106" t="s">
        <v>17</v>
      </c>
      <c r="B25" s="107">
        <f>'Добрыня вв1'!D28+'Добрыня вв2'!D28</f>
        <v>4.5639999999995382</v>
      </c>
      <c r="C25" s="107"/>
      <c r="D25" s="225">
        <f>'Добрыня вв1'!H28+'Добрыня вв2'!H28</f>
        <v>1.1859999999999431</v>
      </c>
      <c r="E25" s="225"/>
      <c r="F25" s="221">
        <f t="shared" si="0"/>
        <v>0.25985977212972461</v>
      </c>
      <c r="G25" s="221"/>
      <c r="H25" s="120"/>
      <c r="I25" s="120"/>
      <c r="J25" s="120"/>
      <c r="K25" s="120"/>
      <c r="L25" s="120"/>
      <c r="N25" s="17" t="s">
        <v>136</v>
      </c>
      <c r="O25" s="145" t="s">
        <v>137</v>
      </c>
      <c r="P25" s="145"/>
      <c r="Q25" s="145"/>
      <c r="R25" s="145"/>
      <c r="S25" s="145"/>
      <c r="T25" s="145"/>
      <c r="U25" s="145"/>
      <c r="V25" s="145"/>
    </row>
    <row r="26" spans="1:23" ht="20.100000000000001" customHeight="1" x14ac:dyDescent="0.2">
      <c r="A26" s="106" t="s">
        <v>18</v>
      </c>
      <c r="B26" s="107">
        <f>'Добрыня вв1'!D29+'Добрыня вв2'!D29</f>
        <v>6.7179999999999893</v>
      </c>
      <c r="C26" s="107"/>
      <c r="D26" s="225">
        <f>'Добрыня вв1'!H29+'Добрыня вв2'!H29</f>
        <v>2.7700000000000102</v>
      </c>
      <c r="E26" s="225"/>
      <c r="F26" s="221">
        <f t="shared" si="0"/>
        <v>0.4123250967549888</v>
      </c>
      <c r="G26" s="221"/>
      <c r="H26" s="120"/>
      <c r="I26" s="120"/>
      <c r="J26" s="120"/>
      <c r="K26" s="120"/>
      <c r="L26" s="120"/>
      <c r="N26" s="17" t="s">
        <v>138</v>
      </c>
      <c r="O26" s="145" t="s">
        <v>180</v>
      </c>
      <c r="P26" s="145"/>
      <c r="Q26" s="145"/>
      <c r="R26" s="145"/>
      <c r="S26" s="145"/>
      <c r="T26" s="145"/>
      <c r="U26" s="145"/>
      <c r="V26" s="145"/>
    </row>
    <row r="27" spans="1:23" ht="20.100000000000001" customHeight="1" x14ac:dyDescent="0.2">
      <c r="A27" s="106" t="s">
        <v>19</v>
      </c>
      <c r="B27" s="107">
        <f>'Добрыня вв1'!D30+'Добрыня вв2'!D30</f>
        <v>4.109999999999701</v>
      </c>
      <c r="C27" s="107"/>
      <c r="D27" s="225">
        <f>'Добрыня вв1'!H30+'Добрыня вв2'!H30</f>
        <v>0.96999999999994202</v>
      </c>
      <c r="E27" s="225"/>
      <c r="F27" s="221">
        <f t="shared" si="0"/>
        <v>0.23600973236010039</v>
      </c>
      <c r="G27" s="221"/>
      <c r="H27" s="120"/>
      <c r="I27" s="120"/>
      <c r="J27" s="120"/>
      <c r="K27" s="120"/>
      <c r="L27" s="120"/>
      <c r="N27" s="17" t="s">
        <v>139</v>
      </c>
      <c r="O27" s="145" t="s">
        <v>140</v>
      </c>
      <c r="P27" s="145"/>
      <c r="Q27" s="145"/>
      <c r="R27" s="145"/>
      <c r="S27" s="145"/>
      <c r="T27" s="145"/>
      <c r="U27" s="145"/>
      <c r="V27" s="145"/>
    </row>
    <row r="28" spans="1:23" ht="20.100000000000001" customHeight="1" x14ac:dyDescent="0.2">
      <c r="A28" s="106" t="s">
        <v>20</v>
      </c>
      <c r="B28" s="107">
        <f>'Добрыня вв1'!D31+'Добрыня вв2'!D31</f>
        <v>3.6380000000004884</v>
      </c>
      <c r="C28" s="107"/>
      <c r="D28" s="225">
        <f>'Добрыня вв1'!H31+'Добрыня вв2'!H31</f>
        <v>0.7100000000000648</v>
      </c>
      <c r="E28" s="225"/>
      <c r="F28" s="221">
        <f t="shared" si="0"/>
        <v>0.19516217702033245</v>
      </c>
      <c r="G28" s="221"/>
      <c r="H28" s="120"/>
      <c r="I28" s="120"/>
      <c r="J28" s="120"/>
      <c r="K28" s="120"/>
      <c r="L28" s="120"/>
      <c r="N28" s="17"/>
      <c r="O28" s="145" t="s">
        <v>141</v>
      </c>
      <c r="P28" s="145"/>
      <c r="Q28" s="145"/>
      <c r="R28" s="145"/>
      <c r="S28" s="145"/>
      <c r="T28" s="145"/>
      <c r="U28" s="145"/>
      <c r="V28" s="145"/>
    </row>
    <row r="29" spans="1:23" ht="20.100000000000001" customHeight="1" x14ac:dyDescent="0.2">
      <c r="A29" s="106" t="s">
        <v>21</v>
      </c>
      <c r="B29" s="107">
        <f>'Добрыня вв1'!D32+'Добрыня вв2'!D32</f>
        <v>2.0799999999995293</v>
      </c>
      <c r="C29" s="107"/>
      <c r="D29" s="225">
        <f>'Добрыня вв1'!H32+'Добрыня вв2'!H32</f>
        <v>0.12199999999995015</v>
      </c>
      <c r="E29" s="225"/>
      <c r="F29" s="221">
        <f t="shared" si="0"/>
        <v>5.8653846153835461E-2</v>
      </c>
      <c r="G29" s="221"/>
      <c r="H29" s="120"/>
      <c r="I29" s="120"/>
      <c r="J29" s="120"/>
      <c r="K29" s="120"/>
      <c r="L29" s="120"/>
      <c r="N29" s="17"/>
      <c r="O29" s="145" t="s">
        <v>142</v>
      </c>
      <c r="P29" s="145"/>
      <c r="Q29" s="145"/>
      <c r="R29" s="145"/>
      <c r="S29" s="145"/>
      <c r="T29" s="145"/>
      <c r="U29" s="145"/>
      <c r="V29" s="145"/>
    </row>
    <row r="30" spans="1:23" ht="20.100000000000001" customHeight="1" x14ac:dyDescent="0.2">
      <c r="A30" s="106" t="s">
        <v>22</v>
      </c>
      <c r="B30" s="107">
        <f>'Добрыня вв1'!D33+'Добрыня вв2'!D33</f>
        <v>3.4220000000005086</v>
      </c>
      <c r="C30" s="107"/>
      <c r="D30" s="225">
        <f>'Добрыня вв1'!H33+'Добрыня вв2'!H33</f>
        <v>2.9980000000000331</v>
      </c>
      <c r="E30" s="225"/>
      <c r="F30" s="221">
        <f t="shared" si="0"/>
        <v>0.87609585037977422</v>
      </c>
      <c r="G30" s="221"/>
      <c r="H30" s="120"/>
      <c r="I30" s="120"/>
      <c r="J30" s="120"/>
      <c r="K30" s="120"/>
      <c r="L30" s="120"/>
      <c r="N30" s="17" t="s">
        <v>143</v>
      </c>
      <c r="O30" s="145" t="s">
        <v>144</v>
      </c>
      <c r="P30" s="145"/>
      <c r="Q30" s="145"/>
      <c r="R30" s="145"/>
      <c r="S30" s="145"/>
      <c r="T30" s="145"/>
      <c r="U30" s="145"/>
      <c r="V30" s="145"/>
    </row>
    <row r="31" spans="1:23" ht="20.100000000000001" customHeight="1" x14ac:dyDescent="0.2">
      <c r="A31" s="106" t="s">
        <v>23</v>
      </c>
      <c r="B31" s="107">
        <f>'Добрыня вв1'!D34+'Добрыня вв2'!D34</f>
        <v>2.0679999999995573</v>
      </c>
      <c r="C31" s="107"/>
      <c r="D31" s="225">
        <f>'Добрыня вв1'!H34+'Добрыня вв2'!H34</f>
        <v>0.64399999999999835</v>
      </c>
      <c r="E31" s="225"/>
      <c r="F31" s="221">
        <f t="shared" si="0"/>
        <v>0.31141199226312194</v>
      </c>
      <c r="G31" s="221"/>
      <c r="H31" s="120"/>
      <c r="I31" s="120"/>
      <c r="J31" s="120"/>
      <c r="K31" s="120"/>
      <c r="L31" s="120"/>
      <c r="N31" s="17"/>
      <c r="O31" s="145" t="s">
        <v>145</v>
      </c>
      <c r="P31" s="145"/>
      <c r="Q31" s="145"/>
      <c r="R31" s="145"/>
      <c r="S31" s="145"/>
      <c r="T31" s="145"/>
      <c r="U31" s="145"/>
      <c r="V31" s="145"/>
    </row>
    <row r="32" spans="1:23" ht="20.100000000000001" customHeight="1" x14ac:dyDescent="0.2">
      <c r="A32" s="106" t="s">
        <v>24</v>
      </c>
      <c r="B32" s="107">
        <f>'Добрыня вв1'!D35+'Добрыня вв2'!D35</f>
        <v>2.6040000000004682</v>
      </c>
      <c r="C32" s="107"/>
      <c r="D32" s="225">
        <f>'Добрыня вв1'!H35+'Добрыня вв2'!H35</f>
        <v>0.49000000000003041</v>
      </c>
      <c r="E32" s="225"/>
      <c r="F32" s="221">
        <f t="shared" si="0"/>
        <v>0.18817204301073054</v>
      </c>
      <c r="G32" s="221"/>
      <c r="H32" s="120"/>
      <c r="I32" s="120"/>
      <c r="J32" s="120"/>
      <c r="K32" s="120"/>
      <c r="L32" s="120"/>
      <c r="N32" s="17" t="s">
        <v>146</v>
      </c>
      <c r="O32" s="145" t="s">
        <v>147</v>
      </c>
      <c r="P32" s="145"/>
      <c r="Q32" s="145"/>
      <c r="R32" s="145"/>
      <c r="S32" s="145"/>
      <c r="T32" s="145"/>
      <c r="U32" s="145"/>
      <c r="V32" s="145"/>
    </row>
    <row r="33" spans="1:24" ht="20.100000000000001" customHeight="1" x14ac:dyDescent="0.2">
      <c r="A33" s="106" t="s">
        <v>25</v>
      </c>
      <c r="B33" s="107">
        <f>'Добрыня вв1'!D36+'Добрыня вв2'!D36</f>
        <v>3.1659999999995136</v>
      </c>
      <c r="C33" s="107"/>
      <c r="D33" s="225">
        <f>'Добрыня вв1'!H36+'Добрыня вв2'!H36</f>
        <v>2.5659999999999314</v>
      </c>
      <c r="E33" s="225"/>
      <c r="F33" s="221">
        <f t="shared" si="0"/>
        <v>0.81048641819340672</v>
      </c>
      <c r="G33" s="221"/>
      <c r="H33" s="120"/>
      <c r="I33" s="120"/>
      <c r="J33" s="120"/>
      <c r="K33" s="120"/>
      <c r="L33" s="120"/>
      <c r="N33" s="17" t="s">
        <v>148</v>
      </c>
      <c r="O33" s="145" t="s">
        <v>149</v>
      </c>
      <c r="P33" s="145"/>
      <c r="Q33" s="145"/>
      <c r="R33" s="145"/>
      <c r="S33" s="145"/>
      <c r="T33" s="145"/>
      <c r="U33" s="145"/>
      <c r="V33" s="145"/>
    </row>
    <row r="34" spans="1:24" ht="20.100000000000001" customHeight="1" x14ac:dyDescent="0.2">
      <c r="A34" s="106" t="s">
        <v>26</v>
      </c>
      <c r="B34" s="107">
        <f>'Добрыня вв1'!D37+'Добрыня вв2'!D37</f>
        <v>3.1760000000002435</v>
      </c>
      <c r="C34" s="107"/>
      <c r="D34" s="225">
        <f>'Добрыня вв1'!H37+'Добрыня вв2'!H37</f>
        <v>0.1600000000000108</v>
      </c>
      <c r="E34" s="225"/>
      <c r="F34" s="221">
        <f t="shared" si="0"/>
        <v>5.0377833753148152E-2</v>
      </c>
      <c r="G34" s="221"/>
      <c r="H34" s="120"/>
      <c r="I34" s="120"/>
      <c r="J34" s="120"/>
      <c r="K34" s="120"/>
      <c r="L34" s="120"/>
    </row>
    <row r="35" spans="1:24" ht="20.100000000000001" customHeight="1" x14ac:dyDescent="0.2">
      <c r="A35" s="106" t="s">
        <v>27</v>
      </c>
      <c r="B35" s="107">
        <f>'Добрыня вв1'!D38+'Добрыня вв2'!D38</f>
        <v>3.1919999999997515</v>
      </c>
      <c r="C35" s="107"/>
      <c r="D35" s="225">
        <f>'Добрыня вв1'!H38+'Добрыня вв2'!H38</f>
        <v>0.12200000000009226</v>
      </c>
      <c r="E35" s="225"/>
      <c r="F35" s="221">
        <f t="shared" si="0"/>
        <v>3.822055137847799E-2</v>
      </c>
      <c r="G35" s="221"/>
      <c r="H35" s="120"/>
      <c r="I35" s="120"/>
      <c r="J35" s="120"/>
      <c r="K35" s="120"/>
      <c r="L35" s="120"/>
    </row>
    <row r="36" spans="1:24" ht="20.100000000000001" customHeight="1" x14ac:dyDescent="0.2">
      <c r="A36" s="106" t="s">
        <v>28</v>
      </c>
      <c r="B36" s="107">
        <f>'Добрыня вв1'!D39+'Добрыня вв2'!D39</f>
        <v>4.0740000000002681</v>
      </c>
      <c r="C36" s="107"/>
      <c r="D36" s="225">
        <f>'Добрыня вв1'!H39+'Добрыня вв2'!H39</f>
        <v>0.20599999999994623</v>
      </c>
      <c r="E36" s="225"/>
      <c r="F36" s="221">
        <f t="shared" si="0"/>
        <v>5.0564555719178367E-2</v>
      </c>
      <c r="G36" s="221"/>
      <c r="H36" s="120"/>
      <c r="I36" s="120"/>
      <c r="J36" s="120"/>
      <c r="K36" s="120"/>
      <c r="L36" s="120"/>
    </row>
    <row r="37" spans="1:24" ht="20.100000000000001" customHeight="1" x14ac:dyDescent="0.2">
      <c r="A37" s="106" t="s">
        <v>29</v>
      </c>
      <c r="B37" s="107">
        <f>'Добрыня вв1'!D40+'Добрыня вв2'!D40</f>
        <v>2.4619999999999322</v>
      </c>
      <c r="C37" s="107"/>
      <c r="D37" s="225">
        <f>'Добрыня вв1'!H40+'Добрыня вв2'!H40</f>
        <v>0.21599999999996555</v>
      </c>
      <c r="E37" s="225"/>
      <c r="F37" s="221">
        <f t="shared" si="0"/>
        <v>8.7733549959371035E-2</v>
      </c>
      <c r="G37" s="221"/>
      <c r="H37" s="120"/>
      <c r="I37" s="120"/>
      <c r="J37" s="120"/>
      <c r="K37" s="120"/>
      <c r="L37" s="120"/>
    </row>
    <row r="38" spans="1:24" ht="20.100000000000001" customHeight="1" x14ac:dyDescent="0.2">
      <c r="A38" s="106" t="s">
        <v>30</v>
      </c>
      <c r="B38" s="107">
        <f>'Добрыня вв1'!D41+'Добрыня вв2'!D41</f>
        <v>2.1099999999998431</v>
      </c>
      <c r="C38" s="107"/>
      <c r="D38" s="225">
        <f>'Добрыня вв1'!H41+'Добрыня вв2'!H41</f>
        <v>0.18400000000008987</v>
      </c>
      <c r="E38" s="225"/>
      <c r="F38" s="221">
        <f t="shared" si="0"/>
        <v>8.7203791469243383E-2</v>
      </c>
      <c r="G38" s="221"/>
      <c r="H38" s="120"/>
      <c r="I38" s="120"/>
      <c r="J38" s="120"/>
      <c r="K38" s="120"/>
      <c r="L38" s="120"/>
    </row>
    <row r="39" spans="1:24" ht="20.100000000000001" customHeight="1" x14ac:dyDescent="0.2">
      <c r="A39" s="106" t="s">
        <v>31</v>
      </c>
      <c r="B39" s="107">
        <f>'Добрыня вв1'!D42+'Добрыня вв2'!D42</f>
        <v>2.0539999999998315</v>
      </c>
      <c r="C39" s="107"/>
      <c r="D39" s="225">
        <f>'Добрыня вв1'!H42+'Добрыня вв2'!H42</f>
        <v>0.14199999999995327</v>
      </c>
      <c r="E39" s="225"/>
      <c r="F39" s="221">
        <f t="shared" si="0"/>
        <v>6.9133398247305217E-2</v>
      </c>
      <c r="G39" s="221"/>
      <c r="H39" s="120"/>
      <c r="I39" s="120"/>
      <c r="J39" s="120"/>
      <c r="K39" s="120"/>
      <c r="L39" s="120"/>
      <c r="P39" s="177" t="s">
        <v>150</v>
      </c>
      <c r="Q39" s="177"/>
      <c r="R39" s="177"/>
      <c r="S39" s="176" t="s">
        <v>364</v>
      </c>
      <c r="T39" s="176"/>
      <c r="U39" s="176"/>
      <c r="V39" s="176"/>
      <c r="W39" s="176"/>
      <c r="X39" s="176"/>
    </row>
    <row r="40" spans="1:24" ht="20.100000000000001" customHeight="1" x14ac:dyDescent="0.2">
      <c r="A40" s="106" t="s">
        <v>32</v>
      </c>
      <c r="B40" s="107">
        <f>SUM(B15:B39)</f>
        <v>63.687999999999704</v>
      </c>
      <c r="C40" s="107"/>
      <c r="D40" s="225">
        <f>SUM(D15:E39)</f>
        <v>14.864000000000011</v>
      </c>
      <c r="E40" s="225"/>
      <c r="F40" s="221">
        <f t="shared" si="0"/>
        <v>0.2333877653561123</v>
      </c>
      <c r="G40" s="221"/>
      <c r="H40" s="120"/>
      <c r="I40" s="120"/>
      <c r="J40" s="120"/>
      <c r="K40" s="120"/>
      <c r="L40" s="120"/>
    </row>
    <row r="41" spans="1:24" ht="20.100000000000001" customHeight="1" x14ac:dyDescent="0.2">
      <c r="A41" s="106" t="s">
        <v>33</v>
      </c>
      <c r="B41" s="106"/>
      <c r="C41" s="106"/>
      <c r="D41" s="219"/>
      <c r="E41" s="219"/>
      <c r="F41" s="221"/>
      <c r="G41" s="221"/>
      <c r="H41" s="120"/>
      <c r="I41" s="120"/>
      <c r="J41" s="120"/>
      <c r="K41" s="120"/>
      <c r="L41" s="120"/>
    </row>
    <row r="42" spans="1:24" ht="20.100000000000001" customHeight="1" x14ac:dyDescent="0.2">
      <c r="A42" s="129" t="s">
        <v>2</v>
      </c>
      <c r="B42" s="128" t="s">
        <v>37</v>
      </c>
      <c r="C42" s="132"/>
      <c r="D42" s="129"/>
      <c r="E42" s="128" t="s">
        <v>40</v>
      </c>
      <c r="F42" s="132"/>
      <c r="G42" s="132"/>
      <c r="H42" s="132"/>
      <c r="I42" s="129"/>
      <c r="J42" s="124" t="s">
        <v>5</v>
      </c>
      <c r="K42" s="131"/>
      <c r="L42" s="131"/>
    </row>
    <row r="43" spans="1:24" ht="36" customHeight="1" x14ac:dyDescent="0.2">
      <c r="A43" s="129"/>
      <c r="B43" s="219" t="s">
        <v>38</v>
      </c>
      <c r="C43" s="219"/>
      <c r="D43" s="106" t="s">
        <v>39</v>
      </c>
      <c r="E43" s="128" t="s">
        <v>41</v>
      </c>
      <c r="F43" s="132"/>
      <c r="G43" s="129"/>
      <c r="H43" s="128" t="s">
        <v>42</v>
      </c>
      <c r="I43" s="129"/>
      <c r="J43" s="127"/>
      <c r="K43" s="130"/>
      <c r="L43" s="130"/>
    </row>
    <row r="44" spans="1:24" ht="20.100000000000001" customHeight="1" x14ac:dyDescent="0.2">
      <c r="A44" s="86" t="s">
        <v>153</v>
      </c>
      <c r="B44" s="226">
        <f>SUM(B24:B26)</f>
        <v>13.000000000000199</v>
      </c>
      <c r="C44" s="227"/>
      <c r="D44" s="107">
        <f>SUM(D24:E26)</f>
        <v>4.1000000000000227</v>
      </c>
      <c r="E44" s="226">
        <f>B44/3</f>
        <v>4.3333333333333997</v>
      </c>
      <c r="F44" s="231"/>
      <c r="G44" s="227"/>
      <c r="H44" s="226">
        <f>D44/3</f>
        <v>1.3666666666666742</v>
      </c>
      <c r="I44" s="227"/>
      <c r="J44" s="228">
        <f>H44/E44</f>
        <v>0.31538461538461232</v>
      </c>
      <c r="K44" s="229"/>
      <c r="L44" s="229"/>
    </row>
    <row r="45" spans="1:24" ht="20.100000000000001" customHeight="1" x14ac:dyDescent="0.2">
      <c r="A45" s="86" t="s">
        <v>43</v>
      </c>
      <c r="B45" s="226">
        <f>SUM(B33:B36)</f>
        <v>13.607999999999777</v>
      </c>
      <c r="C45" s="227"/>
      <c r="D45" s="107">
        <f>SUM(D33:E36)</f>
        <v>3.0539999999999807</v>
      </c>
      <c r="E45" s="226">
        <f>B45/4</f>
        <v>3.4019999999999442</v>
      </c>
      <c r="F45" s="231"/>
      <c r="G45" s="227"/>
      <c r="H45" s="226">
        <f>D45/4</f>
        <v>0.76349999999999518</v>
      </c>
      <c r="I45" s="227"/>
      <c r="J45" s="228">
        <f>H45/E45</f>
        <v>0.22442680776014337</v>
      </c>
      <c r="K45" s="229"/>
      <c r="L45" s="229"/>
    </row>
    <row r="46" spans="1:24" ht="20.100000000000001" customHeight="1" x14ac:dyDescent="0.2">
      <c r="A46" s="86" t="s">
        <v>44</v>
      </c>
      <c r="B46" s="226">
        <f>SUM(B16:B39)</f>
        <v>63.687999999999704</v>
      </c>
      <c r="C46" s="227"/>
      <c r="D46" s="107">
        <f>SUM(D16:E39)</f>
        <v>14.864000000000011</v>
      </c>
      <c r="E46" s="226">
        <f>B46/24</f>
        <v>2.6536666666666542</v>
      </c>
      <c r="F46" s="231"/>
      <c r="G46" s="227"/>
      <c r="H46" s="226">
        <f>D46/24</f>
        <v>0.61933333333333385</v>
      </c>
      <c r="I46" s="227"/>
      <c r="J46" s="228">
        <f>H46/E46</f>
        <v>0.23338776535611233</v>
      </c>
      <c r="K46" s="229"/>
      <c r="L46" s="229"/>
    </row>
    <row r="47" spans="1:24" ht="20.100000000000001" customHeight="1" x14ac:dyDescent="0.2"/>
    <row r="48" spans="1:24" ht="20.100000000000001" customHeight="1" x14ac:dyDescent="0.2"/>
    <row r="49" spans="3:9" ht="20.100000000000001" customHeight="1" x14ac:dyDescent="0.2"/>
    <row r="50" spans="3:9" ht="20.100000000000001" customHeight="1" x14ac:dyDescent="0.2">
      <c r="C50" s="122" t="s">
        <v>186</v>
      </c>
      <c r="D50" s="122"/>
      <c r="E50" s="122"/>
      <c r="F50" s="122"/>
      <c r="G50" s="122"/>
      <c r="H50" s="122"/>
      <c r="I50" s="122"/>
    </row>
    <row r="51" spans="3:9" ht="20.100000000000001" customHeight="1" x14ac:dyDescent="0.2"/>
  </sheetData>
  <sheetProtection sheet="1" objects="1" scenarios="1"/>
  <mergeCells count="189">
    <mergeCell ref="U1:W1"/>
    <mergeCell ref="A2:E2"/>
    <mergeCell ref="R2:R3"/>
    <mergeCell ref="S2:T2"/>
    <mergeCell ref="U2:U3"/>
    <mergeCell ref="V2:W2"/>
    <mergeCell ref="A3:E3"/>
    <mergeCell ref="F3:H4"/>
    <mergeCell ref="I3:L4"/>
    <mergeCell ref="S3:T3"/>
    <mergeCell ref="A1:E1"/>
    <mergeCell ref="F1:H2"/>
    <mergeCell ref="I1:L2"/>
    <mergeCell ref="M1:M3"/>
    <mergeCell ref="N1:Q3"/>
    <mergeCell ref="R1:T1"/>
    <mergeCell ref="V3:W3"/>
    <mergeCell ref="A4:E4"/>
    <mergeCell ref="N4:Q4"/>
    <mergeCell ref="S4:T4"/>
    <mergeCell ref="V4:W4"/>
    <mergeCell ref="A5:E5"/>
    <mergeCell ref="F5:H6"/>
    <mergeCell ref="I5:L6"/>
    <mergeCell ref="N5:Q5"/>
    <mergeCell ref="S5:T5"/>
    <mergeCell ref="V5:W5"/>
    <mergeCell ref="A6:E6"/>
    <mergeCell ref="N6:Q6"/>
    <mergeCell ref="S6:T6"/>
    <mergeCell ref="V6:W6"/>
    <mergeCell ref="A7:L7"/>
    <mergeCell ref="N7:Q7"/>
    <mergeCell ref="S7:T7"/>
    <mergeCell ref="V7:W7"/>
    <mergeCell ref="N10:Q10"/>
    <mergeCell ref="S10:T10"/>
    <mergeCell ref="V10:W10"/>
    <mergeCell ref="A11:L11"/>
    <mergeCell ref="N11:Q11"/>
    <mergeCell ref="S11:T11"/>
    <mergeCell ref="V11:W11"/>
    <mergeCell ref="A8:L8"/>
    <mergeCell ref="N8:Q8"/>
    <mergeCell ref="S8:T8"/>
    <mergeCell ref="V8:W8"/>
    <mergeCell ref="A9:E9"/>
    <mergeCell ref="F9:H9"/>
    <mergeCell ref="I9:M9"/>
    <mergeCell ref="N9:Q9"/>
    <mergeCell ref="S9:T9"/>
    <mergeCell ref="V9:W9"/>
    <mergeCell ref="A12:A13"/>
    <mergeCell ref="B12:E12"/>
    <mergeCell ref="F12:G13"/>
    <mergeCell ref="H12:L12"/>
    <mergeCell ref="B13:C13"/>
    <mergeCell ref="D13:E13"/>
    <mergeCell ref="H13:L13"/>
    <mergeCell ref="A10:B10"/>
    <mergeCell ref="C10:H10"/>
    <mergeCell ref="W14:W18"/>
    <mergeCell ref="D15:E15"/>
    <mergeCell ref="F15:G15"/>
    <mergeCell ref="H15:L15"/>
    <mergeCell ref="R15:R18"/>
    <mergeCell ref="S15:S18"/>
    <mergeCell ref="T15:T18"/>
    <mergeCell ref="D16:E16"/>
    <mergeCell ref="D14:E14"/>
    <mergeCell ref="F14:G14"/>
    <mergeCell ref="H14:L14"/>
    <mergeCell ref="M14:M18"/>
    <mergeCell ref="N14:Q18"/>
    <mergeCell ref="R14:T14"/>
    <mergeCell ref="F16:G16"/>
    <mergeCell ref="H16:L16"/>
    <mergeCell ref="D17:E17"/>
    <mergeCell ref="F17:G17"/>
    <mergeCell ref="H17:L17"/>
    <mergeCell ref="D18:E18"/>
    <mergeCell ref="F18:G18"/>
    <mergeCell ref="H18:L18"/>
    <mergeCell ref="D19:E19"/>
    <mergeCell ref="F19:G19"/>
    <mergeCell ref="H19:L19"/>
    <mergeCell ref="U14:U18"/>
    <mergeCell ref="V14:V18"/>
    <mergeCell ref="N19:Q19"/>
    <mergeCell ref="D20:E20"/>
    <mergeCell ref="F20:G20"/>
    <mergeCell ref="H20:L20"/>
    <mergeCell ref="N20:Q20"/>
    <mergeCell ref="D21:E21"/>
    <mergeCell ref="F21:G21"/>
    <mergeCell ref="H21:L21"/>
    <mergeCell ref="N21:Q21"/>
    <mergeCell ref="D24:E24"/>
    <mergeCell ref="F24:G24"/>
    <mergeCell ref="H24:L24"/>
    <mergeCell ref="N24:V24"/>
    <mergeCell ref="D25:E25"/>
    <mergeCell ref="F25:G25"/>
    <mergeCell ref="H25:L25"/>
    <mergeCell ref="O25:V25"/>
    <mergeCell ref="D22:E22"/>
    <mergeCell ref="F22:G22"/>
    <mergeCell ref="H22:L22"/>
    <mergeCell ref="D23:E23"/>
    <mergeCell ref="F23:G23"/>
    <mergeCell ref="H23:L23"/>
    <mergeCell ref="D28:E28"/>
    <mergeCell ref="F28:G28"/>
    <mergeCell ref="H28:L28"/>
    <mergeCell ref="O28:V28"/>
    <mergeCell ref="D29:E29"/>
    <mergeCell ref="F29:G29"/>
    <mergeCell ref="H29:L29"/>
    <mergeCell ref="O29:V29"/>
    <mergeCell ref="D26:E26"/>
    <mergeCell ref="F26:G26"/>
    <mergeCell ref="H26:L26"/>
    <mergeCell ref="O26:V26"/>
    <mergeCell ref="D27:E27"/>
    <mergeCell ref="F27:G27"/>
    <mergeCell ref="H27:L27"/>
    <mergeCell ref="O27:V27"/>
    <mergeCell ref="O32:V32"/>
    <mergeCell ref="D33:E33"/>
    <mergeCell ref="F33:G33"/>
    <mergeCell ref="H33:L33"/>
    <mergeCell ref="O33:V33"/>
    <mergeCell ref="D30:E30"/>
    <mergeCell ref="F30:G30"/>
    <mergeCell ref="H30:L30"/>
    <mergeCell ref="O30:V30"/>
    <mergeCell ref="D31:E31"/>
    <mergeCell ref="F31:G31"/>
    <mergeCell ref="H31:L31"/>
    <mergeCell ref="O31:V31"/>
    <mergeCell ref="D34:E34"/>
    <mergeCell ref="F34:G34"/>
    <mergeCell ref="H34:L34"/>
    <mergeCell ref="D35:E35"/>
    <mergeCell ref="F35:G35"/>
    <mergeCell ref="H35:L35"/>
    <mergeCell ref="D32:E32"/>
    <mergeCell ref="F32:G32"/>
    <mergeCell ref="H32:L32"/>
    <mergeCell ref="D38:E38"/>
    <mergeCell ref="F38:G38"/>
    <mergeCell ref="H38:L38"/>
    <mergeCell ref="D39:E39"/>
    <mergeCell ref="F39:G39"/>
    <mergeCell ref="H39:L39"/>
    <mergeCell ref="D36:E36"/>
    <mergeCell ref="F36:G36"/>
    <mergeCell ref="H36:L36"/>
    <mergeCell ref="D37:E37"/>
    <mergeCell ref="F37:G37"/>
    <mergeCell ref="H37:L37"/>
    <mergeCell ref="A42:A43"/>
    <mergeCell ref="B42:D42"/>
    <mergeCell ref="E42:I42"/>
    <mergeCell ref="J42:L43"/>
    <mergeCell ref="B43:C43"/>
    <mergeCell ref="E43:G43"/>
    <mergeCell ref="H43:I43"/>
    <mergeCell ref="P39:R39"/>
    <mergeCell ref="S39:X39"/>
    <mergeCell ref="D40:E40"/>
    <mergeCell ref="F40:G40"/>
    <mergeCell ref="H40:L40"/>
    <mergeCell ref="D41:E41"/>
    <mergeCell ref="F41:G41"/>
    <mergeCell ref="H41:L41"/>
    <mergeCell ref="B46:C46"/>
    <mergeCell ref="E46:G46"/>
    <mergeCell ref="H46:I46"/>
    <mergeCell ref="J46:L46"/>
    <mergeCell ref="C50:I50"/>
    <mergeCell ref="B44:C44"/>
    <mergeCell ref="E44:G44"/>
    <mergeCell ref="H44:I44"/>
    <mergeCell ref="J44:L44"/>
    <mergeCell ref="B45:C45"/>
    <mergeCell ref="E45:G45"/>
    <mergeCell ref="H45:I45"/>
    <mergeCell ref="J45:L45"/>
  </mergeCells>
  <printOptions horizontalCentered="1"/>
  <pageMargins left="0.39370078740157483" right="0.39370078740157483" top="0.19685039370078741" bottom="0.19685039370078741" header="0" footer="0"/>
  <pageSetup paperSize="9" scale="74" orientation="portrait" horizontalDpi="180" verticalDpi="180" r:id="rId1"/>
  <headerFooter alignWithMargins="0"/>
  <rowBreaks count="1" manualBreakCount="1">
    <brk id="50" max="22" man="1"/>
  </rowBreaks>
  <colBreaks count="1" manualBreakCount="1">
    <brk id="12" max="49" man="1"/>
  </colBreak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9"/>
  <dimension ref="A1:X51"/>
  <sheetViews>
    <sheetView tabSelected="1" view="pageBreakPreview" topLeftCell="A10" zoomScale="75" zoomScaleNormal="100" zoomScaleSheetLayoutView="75" workbookViewId="0">
      <selection activeCell="T44" sqref="T44"/>
    </sheetView>
  </sheetViews>
  <sheetFormatPr defaultRowHeight="18.75" x14ac:dyDescent="0.2"/>
  <cols>
    <col min="1" max="1" width="15.42578125" style="2" customWidth="1"/>
    <col min="2" max="2" width="15.7109375" style="2" customWidth="1"/>
    <col min="3" max="3" width="6.28515625" style="2" customWidth="1"/>
    <col min="4" max="4" width="22.7109375" style="2" customWidth="1"/>
    <col min="5" max="5" width="3.42578125" style="2" customWidth="1"/>
    <col min="6" max="8" width="9.140625" style="2"/>
    <col min="9" max="9" width="9.7109375" style="2" customWidth="1"/>
    <col min="10" max="10" width="6" style="2" customWidth="1"/>
    <col min="11" max="11" width="6.140625" style="2" customWidth="1"/>
    <col min="12" max="12" width="8.7109375" style="2" customWidth="1"/>
    <col min="13" max="13" width="8.42578125" style="2" customWidth="1"/>
    <col min="14" max="18" width="10.7109375" style="2" customWidth="1"/>
    <col min="19" max="19" width="11.85546875" style="2" customWidth="1"/>
    <col min="20" max="20" width="15.7109375" style="2" customWidth="1"/>
    <col min="21" max="21" width="12.42578125" style="2" customWidth="1"/>
    <col min="22" max="22" width="12.7109375" style="2" customWidth="1"/>
    <col min="23" max="23" width="14.7109375" style="2" customWidth="1"/>
    <col min="24" max="28" width="10.28515625" style="2" customWidth="1"/>
    <col min="29" max="16384" width="9.140625" style="2"/>
  </cols>
  <sheetData>
    <row r="1" spans="1:23" ht="26.25" x14ac:dyDescent="0.2">
      <c r="A1" s="115" t="s">
        <v>161</v>
      </c>
      <c r="B1" s="115"/>
      <c r="C1" s="115"/>
      <c r="D1" s="115"/>
      <c r="E1" s="115"/>
      <c r="F1" s="150" t="s">
        <v>154</v>
      </c>
      <c r="G1" s="150"/>
      <c r="H1" s="150"/>
      <c r="I1" s="115" t="s">
        <v>163</v>
      </c>
      <c r="J1" s="115"/>
      <c r="K1" s="115"/>
      <c r="L1" s="115"/>
      <c r="M1" s="123" t="s">
        <v>115</v>
      </c>
      <c r="N1" s="121" t="s">
        <v>116</v>
      </c>
      <c r="O1" s="121"/>
      <c r="P1" s="121"/>
      <c r="Q1" s="121"/>
      <c r="R1" s="219" t="s">
        <v>117</v>
      </c>
      <c r="S1" s="219"/>
      <c r="T1" s="219"/>
      <c r="U1" s="219" t="s">
        <v>118</v>
      </c>
      <c r="V1" s="219"/>
      <c r="W1" s="128"/>
    </row>
    <row r="2" spans="1:23" ht="18.75" customHeight="1" x14ac:dyDescent="0.2">
      <c r="A2" s="146" t="s">
        <v>45</v>
      </c>
      <c r="B2" s="146"/>
      <c r="C2" s="146"/>
      <c r="D2" s="146"/>
      <c r="E2" s="146"/>
      <c r="F2" s="150"/>
      <c r="G2" s="150"/>
      <c r="H2" s="150"/>
      <c r="I2" s="115"/>
      <c r="J2" s="115"/>
      <c r="K2" s="115"/>
      <c r="L2" s="115"/>
      <c r="M2" s="116"/>
      <c r="N2" s="118"/>
      <c r="O2" s="118"/>
      <c r="P2" s="118"/>
      <c r="Q2" s="118"/>
      <c r="R2" s="118" t="s">
        <v>119</v>
      </c>
      <c r="S2" s="118" t="s">
        <v>120</v>
      </c>
      <c r="T2" s="118"/>
      <c r="U2" s="118" t="s">
        <v>119</v>
      </c>
      <c r="V2" s="118" t="s">
        <v>120</v>
      </c>
      <c r="W2" s="125"/>
    </row>
    <row r="3" spans="1:23" ht="21.75" customHeight="1" x14ac:dyDescent="0.2">
      <c r="A3" s="115" t="s">
        <v>162</v>
      </c>
      <c r="B3" s="115"/>
      <c r="C3" s="115"/>
      <c r="D3" s="115"/>
      <c r="E3" s="115"/>
      <c r="F3" s="150" t="s">
        <v>155</v>
      </c>
      <c r="G3" s="150"/>
      <c r="H3" s="150"/>
      <c r="I3" s="115" t="s">
        <v>226</v>
      </c>
      <c r="J3" s="115"/>
      <c r="K3" s="115"/>
      <c r="L3" s="115"/>
      <c r="M3" s="117"/>
      <c r="N3" s="119"/>
      <c r="O3" s="119"/>
      <c r="P3" s="119"/>
      <c r="Q3" s="119"/>
      <c r="R3" s="119"/>
      <c r="S3" s="119" t="s">
        <v>121</v>
      </c>
      <c r="T3" s="119"/>
      <c r="U3" s="119"/>
      <c r="V3" s="119" t="s">
        <v>121</v>
      </c>
      <c r="W3" s="127"/>
    </row>
    <row r="4" spans="1:23" ht="29.25" customHeight="1" x14ac:dyDescent="0.2">
      <c r="A4" s="146" t="s">
        <v>46</v>
      </c>
      <c r="B4" s="146"/>
      <c r="C4" s="146"/>
      <c r="D4" s="146"/>
      <c r="E4" s="146"/>
      <c r="F4" s="150"/>
      <c r="G4" s="150"/>
      <c r="H4" s="150"/>
      <c r="I4" s="115"/>
      <c r="J4" s="115"/>
      <c r="K4" s="115"/>
      <c r="L4" s="115"/>
      <c r="M4" s="9"/>
      <c r="N4" s="216" t="s">
        <v>122</v>
      </c>
      <c r="O4" s="216"/>
      <c r="P4" s="216"/>
      <c r="Q4" s="216"/>
      <c r="R4" s="7"/>
      <c r="S4" s="111"/>
      <c r="T4" s="113"/>
      <c r="U4" s="7"/>
      <c r="V4" s="111"/>
      <c r="W4" s="112"/>
    </row>
    <row r="5" spans="1:23" ht="18" customHeight="1" x14ac:dyDescent="0.2">
      <c r="A5" s="230" t="s">
        <v>176</v>
      </c>
      <c r="B5" s="230"/>
      <c r="C5" s="230"/>
      <c r="D5" s="230"/>
      <c r="E5" s="230"/>
      <c r="F5" s="150" t="s">
        <v>156</v>
      </c>
      <c r="G5" s="150"/>
      <c r="H5" s="150"/>
      <c r="I5" s="115" t="s">
        <v>163</v>
      </c>
      <c r="J5" s="115"/>
      <c r="K5" s="115"/>
      <c r="L5" s="115"/>
      <c r="M5" s="9"/>
      <c r="N5" s="217" t="s">
        <v>123</v>
      </c>
      <c r="O5" s="217"/>
      <c r="P5" s="217"/>
      <c r="Q5" s="217"/>
      <c r="R5" s="7">
        <v>4</v>
      </c>
      <c r="S5" s="111">
        <v>110000</v>
      </c>
      <c r="T5" s="113"/>
      <c r="U5" s="7"/>
      <c r="V5" s="111"/>
      <c r="W5" s="112"/>
    </row>
    <row r="6" spans="1:23" x14ac:dyDescent="0.2">
      <c r="A6" s="146" t="s">
        <v>47</v>
      </c>
      <c r="B6" s="146"/>
      <c r="C6" s="146"/>
      <c r="D6" s="146"/>
      <c r="E6" s="146"/>
      <c r="F6" s="150"/>
      <c r="G6" s="150"/>
      <c r="H6" s="150"/>
      <c r="I6" s="115"/>
      <c r="J6" s="115"/>
      <c r="K6" s="115"/>
      <c r="L6" s="115"/>
      <c r="M6" s="9"/>
      <c r="N6" s="217" t="s">
        <v>124</v>
      </c>
      <c r="O6" s="217"/>
      <c r="P6" s="217"/>
      <c r="Q6" s="217"/>
      <c r="R6" s="7">
        <v>73</v>
      </c>
      <c r="S6" s="111">
        <v>57450</v>
      </c>
      <c r="T6" s="113"/>
      <c r="U6" s="7">
        <v>16</v>
      </c>
      <c r="V6" s="111">
        <v>14750</v>
      </c>
      <c r="W6" s="112"/>
    </row>
    <row r="7" spans="1:23" x14ac:dyDescent="0.2">
      <c r="A7" s="122"/>
      <c r="B7" s="122"/>
      <c r="C7" s="122"/>
      <c r="D7" s="122"/>
      <c r="E7" s="122"/>
      <c r="F7" s="122"/>
      <c r="G7" s="122"/>
      <c r="H7" s="122"/>
      <c r="I7" s="122"/>
      <c r="J7" s="122"/>
      <c r="K7" s="122"/>
      <c r="L7" s="122"/>
      <c r="M7" s="9"/>
      <c r="N7" s="218" t="s">
        <v>125</v>
      </c>
      <c r="O7" s="218"/>
      <c r="P7" s="218"/>
      <c r="Q7" s="218"/>
      <c r="R7" s="7"/>
      <c r="S7" s="111"/>
      <c r="T7" s="113"/>
      <c r="U7" s="7"/>
      <c r="V7" s="111"/>
      <c r="W7" s="112"/>
    </row>
    <row r="8" spans="1:23" ht="22.5" x14ac:dyDescent="0.2">
      <c r="A8" s="143" t="s">
        <v>0</v>
      </c>
      <c r="B8" s="143"/>
      <c r="C8" s="143"/>
      <c r="D8" s="143"/>
      <c r="E8" s="143"/>
      <c r="F8" s="143"/>
      <c r="G8" s="143"/>
      <c r="H8" s="143"/>
      <c r="I8" s="143"/>
      <c r="J8" s="143"/>
      <c r="K8" s="143"/>
      <c r="L8" s="143"/>
      <c r="M8" s="9"/>
      <c r="N8" s="217" t="s">
        <v>126</v>
      </c>
      <c r="O8" s="217"/>
      <c r="P8" s="217"/>
      <c r="Q8" s="217"/>
      <c r="R8" s="7">
        <v>5</v>
      </c>
      <c r="S8" s="111">
        <v>1940</v>
      </c>
      <c r="T8" s="113"/>
      <c r="U8" s="7">
        <v>3</v>
      </c>
      <c r="V8" s="111">
        <v>1220</v>
      </c>
      <c r="W8" s="112"/>
    </row>
    <row r="9" spans="1:23" ht="18.75" customHeight="1" x14ac:dyDescent="0.2">
      <c r="A9" s="220" t="s">
        <v>152</v>
      </c>
      <c r="B9" s="220"/>
      <c r="C9" s="220"/>
      <c r="D9" s="220"/>
      <c r="E9" s="220"/>
      <c r="F9" s="162" t="s">
        <v>407</v>
      </c>
      <c r="G9" s="163"/>
      <c r="H9" s="163"/>
      <c r="I9" s="138" t="s">
        <v>369</v>
      </c>
      <c r="J9" s="138"/>
      <c r="K9" s="138"/>
      <c r="L9" s="138"/>
      <c r="M9" s="138"/>
      <c r="N9" s="217" t="s">
        <v>127</v>
      </c>
      <c r="O9" s="217"/>
      <c r="P9" s="217"/>
      <c r="Q9" s="217"/>
      <c r="R9" s="7">
        <v>3</v>
      </c>
      <c r="S9" s="111">
        <v>1890</v>
      </c>
      <c r="T9" s="113"/>
      <c r="U9" s="7">
        <v>5</v>
      </c>
      <c r="V9" s="111">
        <v>3150</v>
      </c>
      <c r="W9" s="112"/>
    </row>
    <row r="10" spans="1:23" ht="19.5" customHeight="1" x14ac:dyDescent="0.2">
      <c r="A10" s="220" t="s">
        <v>151</v>
      </c>
      <c r="B10" s="220"/>
      <c r="C10" s="163" t="s">
        <v>164</v>
      </c>
      <c r="D10" s="163"/>
      <c r="E10" s="163"/>
      <c r="F10" s="163"/>
      <c r="G10" s="163"/>
      <c r="H10" s="163"/>
      <c r="I10" s="3"/>
      <c r="J10" s="3"/>
      <c r="K10" s="3"/>
      <c r="L10" s="3"/>
      <c r="M10" s="9"/>
      <c r="N10" s="218" t="s">
        <v>128</v>
      </c>
      <c r="O10" s="218"/>
      <c r="P10" s="218"/>
      <c r="Q10" s="218"/>
      <c r="R10" s="7"/>
      <c r="S10" s="111"/>
      <c r="T10" s="113"/>
      <c r="U10" s="7"/>
      <c r="V10" s="111"/>
      <c r="W10" s="112"/>
    </row>
    <row r="11" spans="1:23" x14ac:dyDescent="0.2">
      <c r="A11" s="215" t="s">
        <v>1</v>
      </c>
      <c r="B11" s="215"/>
      <c r="C11" s="215"/>
      <c r="D11" s="215"/>
      <c r="E11" s="215"/>
      <c r="F11" s="215"/>
      <c r="G11" s="215"/>
      <c r="H11" s="215"/>
      <c r="I11" s="215"/>
      <c r="J11" s="215"/>
      <c r="K11" s="215"/>
      <c r="L11" s="215"/>
      <c r="M11" s="9"/>
      <c r="N11" s="223" t="s">
        <v>129</v>
      </c>
      <c r="O11" s="223"/>
      <c r="P11" s="223"/>
      <c r="Q11" s="223"/>
      <c r="R11" s="7">
        <v>6</v>
      </c>
      <c r="S11" s="111">
        <v>1125</v>
      </c>
      <c r="T11" s="113"/>
      <c r="U11" s="7">
        <v>1</v>
      </c>
      <c r="V11" s="111">
        <v>200</v>
      </c>
      <c r="W11" s="112"/>
    </row>
    <row r="12" spans="1:23" ht="20.100000000000001" customHeight="1" x14ac:dyDescent="0.2">
      <c r="A12" s="219" t="s">
        <v>2</v>
      </c>
      <c r="B12" s="219" t="s">
        <v>36</v>
      </c>
      <c r="C12" s="219"/>
      <c r="D12" s="219"/>
      <c r="E12" s="219"/>
      <c r="F12" s="219" t="s">
        <v>5</v>
      </c>
      <c r="G12" s="219"/>
      <c r="H12" s="219" t="s">
        <v>34</v>
      </c>
      <c r="I12" s="219"/>
      <c r="J12" s="219"/>
      <c r="K12" s="219"/>
      <c r="L12" s="219"/>
      <c r="N12" s="1"/>
      <c r="O12" s="1"/>
      <c r="P12" s="1"/>
      <c r="Q12" s="1"/>
    </row>
    <row r="13" spans="1:23" ht="20.100000000000001" customHeight="1" x14ac:dyDescent="0.2">
      <c r="A13" s="219"/>
      <c r="B13" s="219" t="s">
        <v>3</v>
      </c>
      <c r="C13" s="219"/>
      <c r="D13" s="219" t="s">
        <v>4</v>
      </c>
      <c r="E13" s="219"/>
      <c r="F13" s="219"/>
      <c r="G13" s="219"/>
      <c r="H13" s="219" t="s">
        <v>35</v>
      </c>
      <c r="I13" s="219"/>
      <c r="J13" s="219"/>
      <c r="K13" s="219"/>
      <c r="L13" s="219"/>
    </row>
    <row r="14" spans="1:23" ht="20.100000000000001" customHeight="1" x14ac:dyDescent="0.2">
      <c r="A14" s="5" t="s">
        <v>6</v>
      </c>
      <c r="B14" s="7"/>
      <c r="C14" s="5"/>
      <c r="D14" s="120"/>
      <c r="E14" s="120"/>
      <c r="F14" s="221" t="str">
        <f t="shared" ref="F14:F40" si="0">IF(OR(B14="",D14=""),"",IF(ISERROR(D14/B14),IF(D14=0,0,""),D14/B14))</f>
        <v/>
      </c>
      <c r="G14" s="221"/>
      <c r="H14" s="120"/>
      <c r="I14" s="120"/>
      <c r="J14" s="120"/>
      <c r="K14" s="120"/>
      <c r="L14" s="120"/>
      <c r="M14" s="129" t="s">
        <v>115</v>
      </c>
      <c r="N14" s="219" t="s">
        <v>116</v>
      </c>
      <c r="O14" s="219"/>
      <c r="P14" s="219"/>
      <c r="Q14" s="219"/>
      <c r="R14" s="219" t="s">
        <v>117</v>
      </c>
      <c r="S14" s="219"/>
      <c r="T14" s="219"/>
      <c r="U14" s="219" t="s">
        <v>130</v>
      </c>
      <c r="V14" s="219" t="s">
        <v>69</v>
      </c>
      <c r="W14" s="128" t="s">
        <v>131</v>
      </c>
    </row>
    <row r="15" spans="1:23" ht="20.100000000000001" customHeight="1" x14ac:dyDescent="0.2">
      <c r="A15" s="5" t="s">
        <v>7</v>
      </c>
      <c r="B15" s="5"/>
      <c r="C15" s="5"/>
      <c r="D15" s="219"/>
      <c r="E15" s="219"/>
      <c r="F15" s="221" t="str">
        <f t="shared" si="0"/>
        <v/>
      </c>
      <c r="G15" s="221"/>
      <c r="H15" s="120"/>
      <c r="I15" s="120"/>
      <c r="J15" s="120"/>
      <c r="K15" s="120"/>
      <c r="L15" s="120"/>
      <c r="M15" s="129"/>
      <c r="N15" s="219"/>
      <c r="O15" s="219"/>
      <c r="P15" s="219"/>
      <c r="Q15" s="219"/>
      <c r="R15" s="224" t="s">
        <v>130</v>
      </c>
      <c r="S15" s="219" t="s">
        <v>69</v>
      </c>
      <c r="T15" s="219" t="s">
        <v>131</v>
      </c>
      <c r="U15" s="219"/>
      <c r="V15" s="219"/>
      <c r="W15" s="128"/>
    </row>
    <row r="16" spans="1:23" ht="20.100000000000001" customHeight="1" x14ac:dyDescent="0.2">
      <c r="A16" s="5" t="s">
        <v>8</v>
      </c>
      <c r="B16" s="21">
        <f>'Всего с субабонентами'!B16-Субабоненты!B16</f>
        <v>6795.6134999754668</v>
      </c>
      <c r="C16" s="21"/>
      <c r="D16" s="225">
        <f>'Всего с субабонентами'!D16:E16-Субабоненты!D16</f>
        <v>3843.7124999906091</v>
      </c>
      <c r="E16" s="225"/>
      <c r="F16" s="221">
        <f t="shared" si="0"/>
        <v>0.56561670259859331</v>
      </c>
      <c r="G16" s="221"/>
      <c r="H16" s="120"/>
      <c r="I16" s="120"/>
      <c r="J16" s="120"/>
      <c r="K16" s="120"/>
      <c r="L16" s="120"/>
      <c r="M16" s="129"/>
      <c r="N16" s="219"/>
      <c r="O16" s="219"/>
      <c r="P16" s="219"/>
      <c r="Q16" s="219"/>
      <c r="R16" s="224"/>
      <c r="S16" s="219"/>
      <c r="T16" s="219"/>
      <c r="U16" s="219"/>
      <c r="V16" s="219"/>
      <c r="W16" s="128"/>
    </row>
    <row r="17" spans="1:23" ht="20.100000000000001" customHeight="1" x14ac:dyDescent="0.2">
      <c r="A17" s="5" t="s">
        <v>9</v>
      </c>
      <c r="B17" s="21">
        <f>'Всего с субабонентами'!B17-Субабоненты!B17</f>
        <v>6821.6100000303304</v>
      </c>
      <c r="C17" s="21"/>
      <c r="D17" s="225">
        <f>'Всего с субабонентами'!D17:E17-Субабоненты!D17</f>
        <v>3862.7895000005533</v>
      </c>
      <c r="E17" s="225"/>
      <c r="F17" s="221">
        <f t="shared" si="0"/>
        <v>0.56625774560307296</v>
      </c>
      <c r="G17" s="221"/>
      <c r="H17" s="120"/>
      <c r="I17" s="120"/>
      <c r="J17" s="120"/>
      <c r="K17" s="120"/>
      <c r="L17" s="120"/>
      <c r="M17" s="129"/>
      <c r="N17" s="219"/>
      <c r="O17" s="219"/>
      <c r="P17" s="219"/>
      <c r="Q17" s="219"/>
      <c r="R17" s="224"/>
      <c r="S17" s="219"/>
      <c r="T17" s="219"/>
      <c r="U17" s="219"/>
      <c r="V17" s="219"/>
      <c r="W17" s="128"/>
    </row>
    <row r="18" spans="1:23" ht="20.100000000000001" customHeight="1" x14ac:dyDescent="0.2">
      <c r="A18" s="5" t="s">
        <v>10</v>
      </c>
      <c r="B18" s="21">
        <f>'Всего с субабонентами'!B18-Субабоненты!B18</f>
        <v>6775.4259999955775</v>
      </c>
      <c r="C18" s="21"/>
      <c r="D18" s="225">
        <f>'Всего с субабонентами'!D18:E18-Субабоненты!D18</f>
        <v>3859.0079999892396</v>
      </c>
      <c r="E18" s="225"/>
      <c r="F18" s="221">
        <f t="shared" si="0"/>
        <v>0.56955946386127732</v>
      </c>
      <c r="G18" s="221"/>
      <c r="H18" s="120"/>
      <c r="I18" s="120"/>
      <c r="J18" s="120"/>
      <c r="K18" s="120"/>
      <c r="L18" s="120"/>
      <c r="M18" s="129"/>
      <c r="N18" s="219"/>
      <c r="O18" s="219"/>
      <c r="P18" s="219"/>
      <c r="Q18" s="219"/>
      <c r="R18" s="224"/>
      <c r="S18" s="219"/>
      <c r="T18" s="219"/>
      <c r="U18" s="219"/>
      <c r="V18" s="219"/>
      <c r="W18" s="128"/>
    </row>
    <row r="19" spans="1:23" ht="20.100000000000001" customHeight="1" x14ac:dyDescent="0.2">
      <c r="A19" s="5" t="s">
        <v>11</v>
      </c>
      <c r="B19" s="21">
        <f>'Всего с субабонентами'!B19-Субабоненты!B19</f>
        <v>6739.4444999776906</v>
      </c>
      <c r="C19" s="21"/>
      <c r="D19" s="225">
        <f>'Всего с субабонентами'!D19:E19-Субабоненты!D19</f>
        <v>3870.9434999919181</v>
      </c>
      <c r="E19" s="225"/>
      <c r="F19" s="221">
        <f t="shared" si="0"/>
        <v>0.57437130018723825</v>
      </c>
      <c r="G19" s="221"/>
      <c r="H19" s="120"/>
      <c r="I19" s="120"/>
      <c r="J19" s="120"/>
      <c r="K19" s="120"/>
      <c r="L19" s="120"/>
      <c r="M19" s="9"/>
      <c r="N19" s="216" t="s">
        <v>132</v>
      </c>
      <c r="O19" s="216"/>
      <c r="P19" s="216"/>
      <c r="Q19" s="216"/>
      <c r="R19" s="7"/>
      <c r="S19" s="7"/>
      <c r="T19" s="7"/>
      <c r="U19" s="7"/>
      <c r="V19" s="7"/>
      <c r="W19" s="8"/>
    </row>
    <row r="20" spans="1:23" ht="20.100000000000001" customHeight="1" x14ac:dyDescent="0.2">
      <c r="A20" s="5" t="s">
        <v>12</v>
      </c>
      <c r="B20" s="21">
        <f>'Всего с субабонентами'!B20-Субабоненты!B20</f>
        <v>6738.4110000217715</v>
      </c>
      <c r="C20" s="21"/>
      <c r="D20" s="225">
        <f>'Всего с субабонентами'!D20:E20-Субабоненты!D20</f>
        <v>3886.9135000244719</v>
      </c>
      <c r="E20" s="225"/>
      <c r="F20" s="221">
        <f t="shared" si="0"/>
        <v>0.57682938900757363</v>
      </c>
      <c r="G20" s="221"/>
      <c r="H20" s="120"/>
      <c r="I20" s="120"/>
      <c r="J20" s="120"/>
      <c r="K20" s="120"/>
      <c r="L20" s="120"/>
      <c r="M20" s="9"/>
      <c r="N20" s="217" t="s">
        <v>133</v>
      </c>
      <c r="O20" s="217"/>
      <c r="P20" s="217"/>
      <c r="Q20" s="217"/>
      <c r="R20" s="7"/>
      <c r="S20" s="7">
        <v>1740</v>
      </c>
      <c r="T20" s="7"/>
      <c r="U20" s="7"/>
      <c r="V20" s="7">
        <v>500</v>
      </c>
      <c r="W20" s="8"/>
    </row>
    <row r="21" spans="1:23" ht="20.100000000000001" customHeight="1" x14ac:dyDescent="0.2">
      <c r="A21" s="5" t="s">
        <v>13</v>
      </c>
      <c r="B21" s="21">
        <f>'Всего с субабонентами'!B21-Субабоненты!B21</f>
        <v>6712.9439999821352</v>
      </c>
      <c r="C21" s="21"/>
      <c r="D21" s="225">
        <f>'Всего с субабонентами'!D21:E21-Субабоненты!D21</f>
        <v>3848.2469999984414</v>
      </c>
      <c r="E21" s="225"/>
      <c r="F21" s="221">
        <f t="shared" si="0"/>
        <v>0.57325772418311294</v>
      </c>
      <c r="G21" s="221"/>
      <c r="H21" s="120"/>
      <c r="I21" s="120"/>
      <c r="J21" s="120"/>
      <c r="K21" s="120"/>
      <c r="L21" s="120"/>
      <c r="M21" s="9"/>
      <c r="N21" s="222" t="s">
        <v>134</v>
      </c>
      <c r="O21" s="222"/>
      <c r="P21" s="222"/>
      <c r="Q21" s="222"/>
      <c r="R21" s="7"/>
      <c r="S21" s="7">
        <v>2732</v>
      </c>
      <c r="T21" s="7"/>
      <c r="U21" s="7"/>
      <c r="V21" s="7"/>
      <c r="W21" s="8"/>
    </row>
    <row r="22" spans="1:23" ht="20.100000000000001" customHeight="1" x14ac:dyDescent="0.2">
      <c r="A22" s="5" t="s">
        <v>14</v>
      </c>
      <c r="B22" s="21">
        <f>'Всего с субабонентами'!B22-Субабоненты!B22</f>
        <v>6794.345500043024</v>
      </c>
      <c r="C22" s="21"/>
      <c r="D22" s="225">
        <f>'Всего с субабонентами'!D22:E22-Субабоненты!D22</f>
        <v>3764.1874999898146</v>
      </c>
      <c r="E22" s="225"/>
      <c r="F22" s="221">
        <f t="shared" si="0"/>
        <v>0.55401767542818925</v>
      </c>
      <c r="G22" s="221"/>
      <c r="H22" s="120"/>
      <c r="I22" s="120"/>
      <c r="J22" s="120"/>
      <c r="K22" s="120"/>
      <c r="L22" s="120"/>
    </row>
    <row r="23" spans="1:23" ht="20.100000000000001" customHeight="1" x14ac:dyDescent="0.2">
      <c r="A23" s="5" t="s">
        <v>15</v>
      </c>
      <c r="B23" s="21">
        <f>'Всего с субабонентами'!B23-Субабоненты!B23</f>
        <v>7088.307999982525</v>
      </c>
      <c r="C23" s="21"/>
      <c r="D23" s="225">
        <f>'Всего с субабонентами'!D23:E23-Субабоненты!D23</f>
        <v>3763.2470000031258</v>
      </c>
      <c r="E23" s="225"/>
      <c r="F23" s="221">
        <f t="shared" si="0"/>
        <v>0.53090906885146683</v>
      </c>
      <c r="G23" s="221"/>
      <c r="H23" s="120"/>
      <c r="I23" s="120"/>
      <c r="J23" s="120"/>
      <c r="K23" s="120"/>
      <c r="L23" s="120"/>
    </row>
    <row r="24" spans="1:23" ht="20.100000000000001" customHeight="1" x14ac:dyDescent="0.2">
      <c r="A24" s="5" t="s">
        <v>16</v>
      </c>
      <c r="B24" s="21">
        <f>'Всего с субабонентами'!B24-Субабоненты!B24</f>
        <v>7276.825999976094</v>
      </c>
      <c r="C24" s="21"/>
      <c r="D24" s="225">
        <f>'Всего с субабонентами'!D24:E24-Субабоненты!D24</f>
        <v>3814.0099999956128</v>
      </c>
      <c r="E24" s="225"/>
      <c r="F24" s="221">
        <f t="shared" si="0"/>
        <v>0.52413098787962531</v>
      </c>
      <c r="G24" s="221"/>
      <c r="H24" s="120"/>
      <c r="I24" s="120"/>
      <c r="J24" s="120"/>
      <c r="K24" s="120"/>
      <c r="L24" s="120"/>
      <c r="N24" s="145" t="s">
        <v>135</v>
      </c>
      <c r="O24" s="145"/>
      <c r="P24" s="145"/>
      <c r="Q24" s="145"/>
      <c r="R24" s="145"/>
      <c r="S24" s="145"/>
      <c r="T24" s="145"/>
      <c r="U24" s="145"/>
      <c r="V24" s="145"/>
    </row>
    <row r="25" spans="1:23" ht="20.100000000000001" customHeight="1" x14ac:dyDescent="0.2">
      <c r="A25" s="5" t="s">
        <v>17</v>
      </c>
      <c r="B25" s="21">
        <f>'Всего с субабонентами'!B25-Субабоненты!B25</f>
        <v>7434.0280000207267</v>
      </c>
      <c r="C25" s="21"/>
      <c r="D25" s="225">
        <f>'Всего с субабонентами'!D25:E25-Субабоненты!D25</f>
        <v>3939.1695000280743</v>
      </c>
      <c r="E25" s="225"/>
      <c r="F25" s="221">
        <f t="shared" si="0"/>
        <v>0.52988359742754421</v>
      </c>
      <c r="G25" s="221"/>
      <c r="H25" s="120"/>
      <c r="I25" s="120"/>
      <c r="J25" s="120"/>
      <c r="K25" s="120"/>
      <c r="L25" s="120"/>
      <c r="N25" s="17" t="s">
        <v>136</v>
      </c>
      <c r="O25" s="145" t="s">
        <v>137</v>
      </c>
      <c r="P25" s="145"/>
      <c r="Q25" s="145"/>
      <c r="R25" s="145"/>
      <c r="S25" s="145"/>
      <c r="T25" s="145"/>
      <c r="U25" s="145"/>
      <c r="V25" s="145"/>
    </row>
    <row r="26" spans="1:23" ht="20.100000000000001" customHeight="1" x14ac:dyDescent="0.2">
      <c r="A26" s="5" t="s">
        <v>18</v>
      </c>
      <c r="B26" s="21">
        <f>'Всего с субабонентами'!B26-Субабоненты!B26</f>
        <v>7420.2294999558462</v>
      </c>
      <c r="C26" s="21"/>
      <c r="D26" s="225">
        <f>'Всего с субабонентами'!D26:E26-Субабоненты!D26</f>
        <v>4008.9209999879558</v>
      </c>
      <c r="E26" s="225"/>
      <c r="F26" s="221">
        <f t="shared" si="0"/>
        <v>0.54026913857742687</v>
      </c>
      <c r="G26" s="221"/>
      <c r="H26" s="120"/>
      <c r="I26" s="120"/>
      <c r="J26" s="120"/>
      <c r="K26" s="120"/>
      <c r="L26" s="120"/>
      <c r="N26" s="17" t="s">
        <v>138</v>
      </c>
      <c r="O26" s="145" t="s">
        <v>180</v>
      </c>
      <c r="P26" s="145"/>
      <c r="Q26" s="145"/>
      <c r="R26" s="145"/>
      <c r="S26" s="145"/>
      <c r="T26" s="145"/>
      <c r="U26" s="145"/>
      <c r="V26" s="145"/>
    </row>
    <row r="27" spans="1:23" ht="20.100000000000001" customHeight="1" x14ac:dyDescent="0.2">
      <c r="A27" s="5" t="s">
        <v>19</v>
      </c>
      <c r="B27" s="21">
        <f>'Всего с субабонентами'!B27-Субабоненты!B27</f>
        <v>7303.8325000161867</v>
      </c>
      <c r="C27" s="21"/>
      <c r="D27" s="225">
        <f>'Всего с субабонентами'!D27:E27-Субабоненты!D27</f>
        <v>4006.8689999921771</v>
      </c>
      <c r="E27" s="225"/>
      <c r="F27" s="221">
        <f t="shared" si="0"/>
        <v>0.54859815035233861</v>
      </c>
      <c r="G27" s="221"/>
      <c r="H27" s="120"/>
      <c r="I27" s="120"/>
      <c r="J27" s="120"/>
      <c r="K27" s="120"/>
      <c r="L27" s="120"/>
      <c r="N27" s="17" t="s">
        <v>139</v>
      </c>
      <c r="O27" s="145" t="s">
        <v>140</v>
      </c>
      <c r="P27" s="145"/>
      <c r="Q27" s="145"/>
      <c r="R27" s="145"/>
      <c r="S27" s="145"/>
      <c r="T27" s="145"/>
      <c r="U27" s="145"/>
      <c r="V27" s="145"/>
    </row>
    <row r="28" spans="1:23" ht="20.100000000000001" customHeight="1" x14ac:dyDescent="0.2">
      <c r="A28" s="5" t="s">
        <v>20</v>
      </c>
      <c r="B28" s="21">
        <f>'Всего с субабонентами'!B28-Субабоненты!B28</f>
        <v>6878.6854999993702</v>
      </c>
      <c r="C28" s="21"/>
      <c r="D28" s="225">
        <f>'Всего с субабонентами'!D28:E28-Субабоненты!D28</f>
        <v>3857.7389999984589</v>
      </c>
      <c r="E28" s="225"/>
      <c r="F28" s="221">
        <f t="shared" si="0"/>
        <v>0.56082502972389303</v>
      </c>
      <c r="G28" s="221"/>
      <c r="H28" s="120"/>
      <c r="I28" s="120"/>
      <c r="J28" s="120"/>
      <c r="K28" s="120"/>
      <c r="L28" s="120"/>
      <c r="N28" s="17"/>
      <c r="O28" s="145" t="s">
        <v>141</v>
      </c>
      <c r="P28" s="145"/>
      <c r="Q28" s="145"/>
      <c r="R28" s="145"/>
      <c r="S28" s="145"/>
      <c r="T28" s="145"/>
      <c r="U28" s="145"/>
      <c r="V28" s="145"/>
    </row>
    <row r="29" spans="1:23" ht="20.100000000000001" customHeight="1" x14ac:dyDescent="0.2">
      <c r="A29" s="5" t="s">
        <v>21</v>
      </c>
      <c r="B29" s="21">
        <f>'Всего с субабонентами'!B29-Субабоненты!B29</f>
        <v>7097.563999975835</v>
      </c>
      <c r="C29" s="21"/>
      <c r="D29" s="225">
        <f>'Всего с субабонентами'!D29:E29-Субабоненты!D29</f>
        <v>4004.8319999944169</v>
      </c>
      <c r="E29" s="225"/>
      <c r="F29" s="221">
        <f t="shared" si="0"/>
        <v>0.56425443997518754</v>
      </c>
      <c r="G29" s="221"/>
      <c r="H29" s="120"/>
      <c r="I29" s="120"/>
      <c r="J29" s="120"/>
      <c r="K29" s="120"/>
      <c r="L29" s="120"/>
      <c r="N29" s="17"/>
      <c r="O29" s="145" t="s">
        <v>142</v>
      </c>
      <c r="P29" s="145"/>
      <c r="Q29" s="145"/>
      <c r="R29" s="145"/>
      <c r="S29" s="145"/>
      <c r="T29" s="145"/>
      <c r="U29" s="145"/>
      <c r="V29" s="145"/>
    </row>
    <row r="30" spans="1:23" ht="20.100000000000001" customHeight="1" x14ac:dyDescent="0.2">
      <c r="A30" s="5" t="s">
        <v>22</v>
      </c>
      <c r="B30" s="21">
        <f>'Всего с субабонентами'!B30-Субабоненты!B30</f>
        <v>7153.9165000280891</v>
      </c>
      <c r="C30" s="21"/>
      <c r="D30" s="225">
        <f>'Всего с субабонентами'!D30:E30-Субабоненты!D30</f>
        <v>3981.4415000130698</v>
      </c>
      <c r="E30" s="225"/>
      <c r="F30" s="221">
        <f t="shared" si="0"/>
        <v>0.55654011337669895</v>
      </c>
      <c r="G30" s="221"/>
      <c r="H30" s="120"/>
      <c r="I30" s="120"/>
      <c r="J30" s="120"/>
      <c r="K30" s="120"/>
      <c r="L30" s="120"/>
      <c r="N30" s="17" t="s">
        <v>143</v>
      </c>
      <c r="O30" s="145" t="s">
        <v>144</v>
      </c>
      <c r="P30" s="145"/>
      <c r="Q30" s="145"/>
      <c r="R30" s="145"/>
      <c r="S30" s="145"/>
      <c r="T30" s="145"/>
      <c r="U30" s="145"/>
      <c r="V30" s="145"/>
    </row>
    <row r="31" spans="1:23" ht="20.100000000000001" customHeight="1" x14ac:dyDescent="0.2">
      <c r="A31" s="5" t="s">
        <v>23</v>
      </c>
      <c r="B31" s="21">
        <f>'Всего с субабонентами'!B31-Субабоненты!B31</f>
        <v>7193.4460000358686</v>
      </c>
      <c r="C31" s="21"/>
      <c r="D31" s="225">
        <f>'Всего с субабонентами'!D31:E31-Субабоненты!D31</f>
        <v>4047.6495000054438</v>
      </c>
      <c r="E31" s="225"/>
      <c r="F31" s="221">
        <f t="shared" si="0"/>
        <v>0.56268574199142674</v>
      </c>
      <c r="G31" s="221"/>
      <c r="H31" s="120"/>
      <c r="I31" s="120"/>
      <c r="J31" s="120"/>
      <c r="K31" s="120"/>
      <c r="L31" s="120"/>
      <c r="N31" s="17"/>
      <c r="O31" s="145" t="s">
        <v>145</v>
      </c>
      <c r="P31" s="145"/>
      <c r="Q31" s="145"/>
      <c r="R31" s="145"/>
      <c r="S31" s="145"/>
      <c r="T31" s="145"/>
      <c r="U31" s="145"/>
      <c r="V31" s="145"/>
    </row>
    <row r="32" spans="1:23" ht="20.100000000000001" customHeight="1" x14ac:dyDescent="0.2">
      <c r="A32" s="5" t="s">
        <v>24</v>
      </c>
      <c r="B32" s="21">
        <f>'Всего с субабонентами'!B32-Субабоненты!B32</f>
        <v>7282.1444999691312</v>
      </c>
      <c r="C32" s="21"/>
      <c r="D32" s="225">
        <f>'Всего с субабонентами'!D32:E32-Субабоненты!D32</f>
        <v>3950.1939999757496</v>
      </c>
      <c r="E32" s="225"/>
      <c r="F32" s="221">
        <f t="shared" si="0"/>
        <v>0.54244927438510648</v>
      </c>
      <c r="G32" s="221"/>
      <c r="H32" s="120"/>
      <c r="I32" s="120"/>
      <c r="J32" s="120"/>
      <c r="K32" s="120"/>
      <c r="L32" s="120"/>
      <c r="N32" s="17" t="s">
        <v>146</v>
      </c>
      <c r="O32" s="145" t="s">
        <v>147</v>
      </c>
      <c r="P32" s="145"/>
      <c r="Q32" s="145"/>
      <c r="R32" s="145"/>
      <c r="S32" s="145"/>
      <c r="T32" s="145"/>
      <c r="U32" s="145"/>
      <c r="V32" s="145"/>
    </row>
    <row r="33" spans="1:24" ht="20.100000000000001" customHeight="1" x14ac:dyDescent="0.2">
      <c r="A33" s="5" t="s">
        <v>25</v>
      </c>
      <c r="B33" s="21">
        <f>'Всего с субабонентами'!B33-Субабоненты!B33</f>
        <v>7063.6084999890036</v>
      </c>
      <c r="C33" s="21"/>
      <c r="D33" s="225">
        <f>'Всего с субабонентами'!D33:E33-Субабоненты!D33</f>
        <v>3941.5410000000929</v>
      </c>
      <c r="E33" s="225"/>
      <c r="F33" s="221">
        <f t="shared" si="0"/>
        <v>0.55800671852159256</v>
      </c>
      <c r="G33" s="221"/>
      <c r="H33" s="120"/>
      <c r="I33" s="120"/>
      <c r="J33" s="120"/>
      <c r="K33" s="120"/>
      <c r="L33" s="120"/>
      <c r="N33" s="17" t="s">
        <v>148</v>
      </c>
      <c r="O33" s="145" t="s">
        <v>149</v>
      </c>
      <c r="P33" s="145"/>
      <c r="Q33" s="145"/>
      <c r="R33" s="145"/>
      <c r="S33" s="145"/>
      <c r="T33" s="145"/>
      <c r="U33" s="145"/>
      <c r="V33" s="145"/>
    </row>
    <row r="34" spans="1:24" ht="20.100000000000001" customHeight="1" x14ac:dyDescent="0.2">
      <c r="A34" s="5" t="s">
        <v>26</v>
      </c>
      <c r="B34" s="21">
        <f>'Всего с субабонентами'!B34-Субабоненты!B34</f>
        <v>6828.837500012035</v>
      </c>
      <c r="C34" s="21"/>
      <c r="D34" s="225">
        <f>'Всего с субабонентами'!D34:E34-Субабоненты!D34</f>
        <v>3655.8075000159843</v>
      </c>
      <c r="E34" s="225"/>
      <c r="F34" s="221">
        <f t="shared" si="0"/>
        <v>0.5353484396150211</v>
      </c>
      <c r="G34" s="221"/>
      <c r="H34" s="120"/>
      <c r="I34" s="120"/>
      <c r="J34" s="120"/>
      <c r="K34" s="120"/>
      <c r="L34" s="120"/>
    </row>
    <row r="35" spans="1:24" ht="20.100000000000001" customHeight="1" x14ac:dyDescent="0.2">
      <c r="A35" s="5" t="s">
        <v>27</v>
      </c>
      <c r="B35" s="21">
        <f>'Всего с субабонентами'!B35-Субабоненты!B35</f>
        <v>7012.3704999895444</v>
      </c>
      <c r="C35" s="21"/>
      <c r="D35" s="225">
        <f>'Всего с субабонентами'!D35:E35-Субабоненты!D35</f>
        <v>3607.64249999204</v>
      </c>
      <c r="E35" s="225"/>
      <c r="F35" s="221">
        <f t="shared" si="0"/>
        <v>0.51446832422750899</v>
      </c>
      <c r="G35" s="221"/>
      <c r="H35" s="120"/>
      <c r="I35" s="120"/>
      <c r="J35" s="120"/>
      <c r="K35" s="120"/>
      <c r="L35" s="120"/>
    </row>
    <row r="36" spans="1:24" ht="20.100000000000001" customHeight="1" x14ac:dyDescent="0.2">
      <c r="A36" s="5" t="s">
        <v>28</v>
      </c>
      <c r="B36" s="21">
        <f>'Всего с субабонентами'!B36-Субабоненты!B36</f>
        <v>6862.9280000308881</v>
      </c>
      <c r="C36" s="21"/>
      <c r="D36" s="225">
        <f>'Всего с субабонентами'!D36:E36-Субабоненты!D36</f>
        <v>3709.1100000080387</v>
      </c>
      <c r="E36" s="225"/>
      <c r="F36" s="221">
        <f t="shared" si="0"/>
        <v>0.54045591036236207</v>
      </c>
      <c r="G36" s="221"/>
      <c r="H36" s="120"/>
      <c r="I36" s="120"/>
      <c r="J36" s="120"/>
      <c r="K36" s="120"/>
      <c r="L36" s="120"/>
    </row>
    <row r="37" spans="1:24" ht="20.100000000000001" customHeight="1" x14ac:dyDescent="0.2">
      <c r="A37" s="5" t="s">
        <v>29</v>
      </c>
      <c r="B37" s="21">
        <f>'Всего с субабонентами'!B37-Субабоненты!B37</f>
        <v>6962.3014999981815</v>
      </c>
      <c r="C37" s="21"/>
      <c r="D37" s="225">
        <f>'Всего с субабонентами'!D37:E37-Субабоненты!D37</f>
        <v>3808.6865000004996</v>
      </c>
      <c r="E37" s="225"/>
      <c r="F37" s="221">
        <f t="shared" si="0"/>
        <v>0.5470441778485885</v>
      </c>
      <c r="G37" s="221"/>
      <c r="H37" s="120"/>
      <c r="I37" s="120"/>
      <c r="J37" s="120"/>
      <c r="K37" s="120"/>
      <c r="L37" s="120"/>
    </row>
    <row r="38" spans="1:24" ht="20.100000000000001" customHeight="1" x14ac:dyDescent="0.2">
      <c r="A38" s="5" t="s">
        <v>30</v>
      </c>
      <c r="B38" s="21">
        <f>'Всего с субабонентами'!B38-Субабоненты!B38</f>
        <v>7000.3904999925262</v>
      </c>
      <c r="C38" s="21"/>
      <c r="D38" s="225">
        <f>'Всего с субабонентами'!D38:E38-Субабоненты!D38</f>
        <v>3921.1759999757701</v>
      </c>
      <c r="E38" s="225"/>
      <c r="F38" s="221">
        <f t="shared" si="0"/>
        <v>0.56013675236830807</v>
      </c>
      <c r="G38" s="221"/>
      <c r="H38" s="120"/>
      <c r="I38" s="120"/>
      <c r="J38" s="120"/>
      <c r="K38" s="120"/>
      <c r="L38" s="120"/>
    </row>
    <row r="39" spans="1:24" ht="20.100000000000001" customHeight="1" x14ac:dyDescent="0.2">
      <c r="A39" s="5" t="s">
        <v>31</v>
      </c>
      <c r="B39" s="21">
        <f>'Всего с субабонентами'!B39-Субабоненты!B39</f>
        <v>6857.4784999706153</v>
      </c>
      <c r="C39" s="21"/>
      <c r="D39" s="225">
        <f>'Всего с субабонентами'!D39:E39-Субабоненты!D39</f>
        <v>3885.734500012818</v>
      </c>
      <c r="E39" s="225"/>
      <c r="F39" s="221">
        <f t="shared" si="0"/>
        <v>0.56664187864817495</v>
      </c>
      <c r="G39" s="221"/>
      <c r="H39" s="120"/>
      <c r="I39" s="120"/>
      <c r="J39" s="120"/>
      <c r="K39" s="120"/>
      <c r="L39" s="120"/>
      <c r="P39" s="177" t="s">
        <v>150</v>
      </c>
      <c r="Q39" s="177"/>
      <c r="R39" s="177"/>
      <c r="S39" s="176" t="s">
        <v>364</v>
      </c>
      <c r="T39" s="176"/>
      <c r="U39" s="176"/>
      <c r="V39" s="176"/>
      <c r="W39" s="176"/>
      <c r="X39" s="176"/>
    </row>
    <row r="40" spans="1:24" ht="20.100000000000001" customHeight="1" x14ac:dyDescent="0.2">
      <c r="A40" s="5" t="s">
        <v>32</v>
      </c>
      <c r="B40" s="21">
        <f>SUM(B15:B39)</f>
        <v>168094.68999996842</v>
      </c>
      <c r="C40" s="21"/>
      <c r="D40" s="225">
        <f>SUM(D15:E39)</f>
        <v>92839.571999984357</v>
      </c>
      <c r="E40" s="225"/>
      <c r="F40" s="221">
        <f t="shared" si="0"/>
        <v>0.55230520369204883</v>
      </c>
      <c r="G40" s="221"/>
      <c r="H40" s="120"/>
      <c r="I40" s="120"/>
      <c r="J40" s="120"/>
      <c r="K40" s="120"/>
      <c r="L40" s="120"/>
    </row>
    <row r="41" spans="1:24" ht="20.100000000000001" customHeight="1" x14ac:dyDescent="0.2">
      <c r="A41" s="6" t="s">
        <v>33</v>
      </c>
      <c r="B41" s="27"/>
      <c r="C41" s="27"/>
      <c r="D41" s="127"/>
      <c r="E41" s="117"/>
      <c r="F41" s="236"/>
      <c r="G41" s="237"/>
      <c r="H41" s="207"/>
      <c r="I41" s="235"/>
      <c r="J41" s="235"/>
      <c r="K41" s="235"/>
      <c r="L41" s="235"/>
    </row>
    <row r="42" spans="1:24" ht="20.100000000000001" customHeight="1" x14ac:dyDescent="0.2">
      <c r="A42" s="129" t="s">
        <v>2</v>
      </c>
      <c r="B42" s="128" t="s">
        <v>37</v>
      </c>
      <c r="C42" s="132"/>
      <c r="D42" s="129"/>
      <c r="E42" s="128" t="s">
        <v>40</v>
      </c>
      <c r="F42" s="132"/>
      <c r="G42" s="132"/>
      <c r="H42" s="132"/>
      <c r="I42" s="129"/>
      <c r="J42" s="124" t="s">
        <v>5</v>
      </c>
      <c r="K42" s="131"/>
      <c r="L42" s="131"/>
    </row>
    <row r="43" spans="1:24" ht="44.25" customHeight="1" x14ac:dyDescent="0.2">
      <c r="A43" s="129"/>
      <c r="B43" s="219" t="s">
        <v>38</v>
      </c>
      <c r="C43" s="219"/>
      <c r="D43" s="5" t="s">
        <v>39</v>
      </c>
      <c r="E43" s="128" t="s">
        <v>41</v>
      </c>
      <c r="F43" s="132"/>
      <c r="G43" s="129"/>
      <c r="H43" s="128" t="s">
        <v>42</v>
      </c>
      <c r="I43" s="129"/>
      <c r="J43" s="127"/>
      <c r="K43" s="130"/>
      <c r="L43" s="130"/>
    </row>
    <row r="44" spans="1:24" ht="20.100000000000001" customHeight="1" x14ac:dyDescent="0.2">
      <c r="A44" s="4" t="s">
        <v>153</v>
      </c>
      <c r="B44" s="226">
        <f>SUM(B24:B26)</f>
        <v>22131.083499952667</v>
      </c>
      <c r="C44" s="227"/>
      <c r="D44" s="21">
        <f>SUM(D24:E26)</f>
        <v>11762.100500011642</v>
      </c>
      <c r="E44" s="226">
        <f>B44/3</f>
        <v>7377.0278333175556</v>
      </c>
      <c r="F44" s="231"/>
      <c r="G44" s="227"/>
      <c r="H44" s="226">
        <f>D44/3</f>
        <v>3920.7001666705473</v>
      </c>
      <c r="I44" s="227"/>
      <c r="J44" s="228">
        <f>H44/E44</f>
        <v>0.53147422718986159</v>
      </c>
      <c r="K44" s="229"/>
      <c r="L44" s="229"/>
    </row>
    <row r="45" spans="1:24" ht="20.100000000000001" customHeight="1" x14ac:dyDescent="0.2">
      <c r="A45" s="4" t="s">
        <v>43</v>
      </c>
      <c r="B45" s="226">
        <f>SUM(B33:B36)</f>
        <v>27767.744500021472</v>
      </c>
      <c r="C45" s="227"/>
      <c r="D45" s="21">
        <f>SUM(D33:E36)</f>
        <v>14914.101000016157</v>
      </c>
      <c r="E45" s="226">
        <f>B45/4</f>
        <v>6941.936125005368</v>
      </c>
      <c r="F45" s="231"/>
      <c r="G45" s="227"/>
      <c r="H45" s="226">
        <f>D45/4</f>
        <v>3728.5252500040392</v>
      </c>
      <c r="I45" s="227"/>
      <c r="J45" s="228">
        <f>H45/E45</f>
        <v>0.53710163603689975</v>
      </c>
      <c r="K45" s="229"/>
      <c r="L45" s="229"/>
    </row>
    <row r="46" spans="1:24" ht="20.100000000000001" customHeight="1" x14ac:dyDescent="0.2">
      <c r="A46" s="4" t="s">
        <v>44</v>
      </c>
      <c r="B46" s="226">
        <f>SUM(B16:B39)</f>
        <v>168094.68999996842</v>
      </c>
      <c r="C46" s="227"/>
      <c r="D46" s="21">
        <f>SUM(D16:E39)</f>
        <v>92839.571999984357</v>
      </c>
      <c r="E46" s="226">
        <f>B46/24</f>
        <v>7003.9454166653513</v>
      </c>
      <c r="F46" s="231"/>
      <c r="G46" s="227"/>
      <c r="H46" s="226">
        <f>D46/24</f>
        <v>3868.315499999348</v>
      </c>
      <c r="I46" s="227"/>
      <c r="J46" s="228">
        <f>H46/E46</f>
        <v>0.55230520369204872</v>
      </c>
      <c r="K46" s="229"/>
      <c r="L46" s="229"/>
    </row>
    <row r="47" spans="1:24" ht="20.100000000000001" customHeight="1" x14ac:dyDescent="0.2"/>
    <row r="48" spans="1:24" ht="20.100000000000001" customHeight="1" x14ac:dyDescent="0.2"/>
    <row r="49" spans="3:9" ht="20.100000000000001" customHeight="1" x14ac:dyDescent="0.2"/>
    <row r="50" spans="3:9" ht="20.100000000000001" customHeight="1" x14ac:dyDescent="0.2">
      <c r="C50" s="122" t="s">
        <v>186</v>
      </c>
      <c r="D50" s="122"/>
      <c r="E50" s="122"/>
      <c r="F50" s="122"/>
      <c r="G50" s="122"/>
      <c r="H50" s="122"/>
      <c r="I50" s="122"/>
    </row>
    <row r="51" spans="3:9" ht="20.100000000000001" customHeight="1" x14ac:dyDescent="0.2"/>
  </sheetData>
  <sheetProtection sheet="1" objects="1" scenarios="1"/>
  <mergeCells count="189">
    <mergeCell ref="B45:C45"/>
    <mergeCell ref="J44:L44"/>
    <mergeCell ref="J45:L45"/>
    <mergeCell ref="D41:E41"/>
    <mergeCell ref="E45:G45"/>
    <mergeCell ref="F40:G40"/>
    <mergeCell ref="F29:G29"/>
    <mergeCell ref="F30:G30"/>
    <mergeCell ref="F31:G31"/>
    <mergeCell ref="F32:G32"/>
    <mergeCell ref="H45:I45"/>
    <mergeCell ref="F41:G41"/>
    <mergeCell ref="H35:L35"/>
    <mergeCell ref="H36:L36"/>
    <mergeCell ref="H37:L37"/>
    <mergeCell ref="H38:L38"/>
    <mergeCell ref="H39:L39"/>
    <mergeCell ref="H40:L40"/>
    <mergeCell ref="H29:L29"/>
    <mergeCell ref="H30:L30"/>
    <mergeCell ref="H31:L31"/>
    <mergeCell ref="H32:L32"/>
    <mergeCell ref="H33:L33"/>
    <mergeCell ref="H34:L34"/>
    <mergeCell ref="J46:L46"/>
    <mergeCell ref="J42:L43"/>
    <mergeCell ref="A1:E1"/>
    <mergeCell ref="A2:E2"/>
    <mergeCell ref="A3:E3"/>
    <mergeCell ref="A4:E4"/>
    <mergeCell ref="A5:E5"/>
    <mergeCell ref="A6:E6"/>
    <mergeCell ref="B46:C46"/>
    <mergeCell ref="E46:G46"/>
    <mergeCell ref="H46:I46"/>
    <mergeCell ref="E42:I42"/>
    <mergeCell ref="E43:G43"/>
    <mergeCell ref="H43:I43"/>
    <mergeCell ref="E44:G44"/>
    <mergeCell ref="H44:I44"/>
    <mergeCell ref="H41:L41"/>
    <mergeCell ref="B42:D42"/>
    <mergeCell ref="B44:C44"/>
    <mergeCell ref="H18:L18"/>
    <mergeCell ref="H19:L19"/>
    <mergeCell ref="H20:L20"/>
    <mergeCell ref="H21:L21"/>
    <mergeCell ref="H22:L22"/>
    <mergeCell ref="F18:G18"/>
    <mergeCell ref="F19:G19"/>
    <mergeCell ref="F20:G20"/>
    <mergeCell ref="F34:G34"/>
    <mergeCell ref="D30:E30"/>
    <mergeCell ref="D31:E31"/>
    <mergeCell ref="D32:E32"/>
    <mergeCell ref="D23:E23"/>
    <mergeCell ref="D24:E24"/>
    <mergeCell ref="F23:G23"/>
    <mergeCell ref="F24:G24"/>
    <mergeCell ref="F25:G25"/>
    <mergeCell ref="F26:G26"/>
    <mergeCell ref="F33:G33"/>
    <mergeCell ref="D25:E25"/>
    <mergeCell ref="D26:E26"/>
    <mergeCell ref="D14:E14"/>
    <mergeCell ref="D15:E15"/>
    <mergeCell ref="D16:E16"/>
    <mergeCell ref="D17:E17"/>
    <mergeCell ref="D18:E18"/>
    <mergeCell ref="D19:E19"/>
    <mergeCell ref="D20:E20"/>
    <mergeCell ref="C50:I50"/>
    <mergeCell ref="A10:B10"/>
    <mergeCell ref="C10:H10"/>
    <mergeCell ref="A11:L11"/>
    <mergeCell ref="H13:L13"/>
    <mergeCell ref="A12:A13"/>
    <mergeCell ref="B13:C13"/>
    <mergeCell ref="D13:E13"/>
    <mergeCell ref="B12:E12"/>
    <mergeCell ref="A42:A43"/>
    <mergeCell ref="B43:C43"/>
    <mergeCell ref="D27:E27"/>
    <mergeCell ref="D28:E28"/>
    <mergeCell ref="D40:E40"/>
    <mergeCell ref="D33:E33"/>
    <mergeCell ref="D34:E34"/>
    <mergeCell ref="D35:E35"/>
    <mergeCell ref="D36:E36"/>
    <mergeCell ref="D38:E38"/>
    <mergeCell ref="D39:E39"/>
    <mergeCell ref="D37:E37"/>
    <mergeCell ref="D29:E29"/>
    <mergeCell ref="F21:G21"/>
    <mergeCell ref="D21:E21"/>
    <mergeCell ref="N20:Q20"/>
    <mergeCell ref="N21:Q21"/>
    <mergeCell ref="D22:E22"/>
    <mergeCell ref="F27:G27"/>
    <mergeCell ref="F28:G28"/>
    <mergeCell ref="F22:G22"/>
    <mergeCell ref="F35:G35"/>
    <mergeCell ref="F36:G36"/>
    <mergeCell ref="F37:G37"/>
    <mergeCell ref="F38:G38"/>
    <mergeCell ref="F39:G39"/>
    <mergeCell ref="H23:L23"/>
    <mergeCell ref="H24:L24"/>
    <mergeCell ref="H25:L25"/>
    <mergeCell ref="H26:L26"/>
    <mergeCell ref="H27:L27"/>
    <mergeCell ref="H28:L28"/>
    <mergeCell ref="N10:Q10"/>
    <mergeCell ref="N11:Q11"/>
    <mergeCell ref="M14:M18"/>
    <mergeCell ref="N14:Q18"/>
    <mergeCell ref="R14:T14"/>
    <mergeCell ref="T15:T18"/>
    <mergeCell ref="S15:S18"/>
    <mergeCell ref="R15:R18"/>
    <mergeCell ref="S10:T10"/>
    <mergeCell ref="S11:T11"/>
    <mergeCell ref="N8:Q8"/>
    <mergeCell ref="N9:Q9"/>
    <mergeCell ref="M1:M3"/>
    <mergeCell ref="N1:Q3"/>
    <mergeCell ref="R1:T1"/>
    <mergeCell ref="S8:T8"/>
    <mergeCell ref="S9:T9"/>
    <mergeCell ref="S7:T7"/>
    <mergeCell ref="N19:Q19"/>
    <mergeCell ref="I9:M9"/>
    <mergeCell ref="A7:L7"/>
    <mergeCell ref="F12:G13"/>
    <mergeCell ref="H12:L12"/>
    <mergeCell ref="F9:H9"/>
    <mergeCell ref="A9:E9"/>
    <mergeCell ref="A8:L8"/>
    <mergeCell ref="F14:G14"/>
    <mergeCell ref="F15:G15"/>
    <mergeCell ref="F16:G16"/>
    <mergeCell ref="F17:G17"/>
    <mergeCell ref="H14:L14"/>
    <mergeCell ref="H15:L15"/>
    <mergeCell ref="H16:L16"/>
    <mergeCell ref="H17:L17"/>
    <mergeCell ref="U1:W1"/>
    <mergeCell ref="R2:R3"/>
    <mergeCell ref="U2:U3"/>
    <mergeCell ref="S2:T2"/>
    <mergeCell ref="S3:T3"/>
    <mergeCell ref="V2:W2"/>
    <mergeCell ref="V3:W3"/>
    <mergeCell ref="F5:H6"/>
    <mergeCell ref="I5:L6"/>
    <mergeCell ref="F3:H4"/>
    <mergeCell ref="I3:L4"/>
    <mergeCell ref="F1:H2"/>
    <mergeCell ref="I1:L2"/>
    <mergeCell ref="S4:T4"/>
    <mergeCell ref="S5:T5"/>
    <mergeCell ref="S6:T6"/>
    <mergeCell ref="N4:Q4"/>
    <mergeCell ref="N5:Q5"/>
    <mergeCell ref="N6:Q6"/>
    <mergeCell ref="V8:W8"/>
    <mergeCell ref="V9:W9"/>
    <mergeCell ref="V10:W10"/>
    <mergeCell ref="V11:W11"/>
    <mergeCell ref="V4:W4"/>
    <mergeCell ref="V5:W5"/>
    <mergeCell ref="V6:W6"/>
    <mergeCell ref="V7:W7"/>
    <mergeCell ref="S39:X39"/>
    <mergeCell ref="U14:U18"/>
    <mergeCell ref="V14:V18"/>
    <mergeCell ref="W14:W18"/>
    <mergeCell ref="O30:V30"/>
    <mergeCell ref="O31:V31"/>
    <mergeCell ref="O32:V32"/>
    <mergeCell ref="O33:V33"/>
    <mergeCell ref="P39:R39"/>
    <mergeCell ref="N24:V24"/>
    <mergeCell ref="O25:V25"/>
    <mergeCell ref="O26:V26"/>
    <mergeCell ref="O27:V27"/>
    <mergeCell ref="O28:V28"/>
    <mergeCell ref="O29:V29"/>
    <mergeCell ref="N7:Q7"/>
  </mergeCells>
  <phoneticPr fontId="0" type="noConversion"/>
  <printOptions horizontalCentered="1"/>
  <pageMargins left="0.39370078740157483" right="0.39370078740157483" top="0.19685039370078741" bottom="0.19685039370078741" header="0" footer="0"/>
  <pageSetup paperSize="9" scale="75" orientation="portrait" verticalDpi="180" r:id="rId1"/>
  <headerFooter alignWithMargins="0"/>
  <rowBreaks count="1" manualBreakCount="1">
    <brk id="50" max="22" man="1"/>
  </rowBreaks>
  <colBreaks count="1" manualBreakCount="1">
    <brk id="12" max="49" man="1"/>
  </colBreak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8"/>
  <dimension ref="A1"/>
  <sheetViews>
    <sheetView workbookViewId="0">
      <selection activeCell="Q17" sqref="Q17"/>
    </sheetView>
  </sheetViews>
  <sheetFormatPr defaultRowHeight="12.75" x14ac:dyDescent="0.2"/>
  <sheetData/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39</vt:i4>
      </vt:variant>
      <vt:variant>
        <vt:lpstr>Именованные диапазоны</vt:lpstr>
      </vt:variant>
      <vt:variant>
        <vt:i4>121</vt:i4>
      </vt:variant>
    </vt:vector>
  </HeadingPairs>
  <TitlesOfParts>
    <vt:vector size="160" baseType="lpstr">
      <vt:lpstr>ObserverReportInfo_&amp;!()$bbQ</vt:lpstr>
      <vt:lpstr>Ячейка 24</vt:lpstr>
      <vt:lpstr>Ячейка 2</vt:lpstr>
      <vt:lpstr>Ячейка 3</vt:lpstr>
      <vt:lpstr>Ячейка 4</vt:lpstr>
      <vt:lpstr>Ячейка 36</vt:lpstr>
      <vt:lpstr>Ячейка 37</vt:lpstr>
      <vt:lpstr>Ячейка 27Эн</vt:lpstr>
      <vt:lpstr>Ячейка 30Эн</vt:lpstr>
      <vt:lpstr>Ячейка 10Эн</vt:lpstr>
      <vt:lpstr>Ячейка 16РЖД</vt:lpstr>
      <vt:lpstr>Ячейка 14РЖД</vt:lpstr>
      <vt:lpstr>Ячейка 3Гео</vt:lpstr>
      <vt:lpstr>Ячейка 26Гео </vt:lpstr>
      <vt:lpstr>Ячейка 13БОС</vt:lpstr>
      <vt:lpstr>Ячейка 32БОС</vt:lpstr>
      <vt:lpstr>ячейка 25БОС</vt:lpstr>
      <vt:lpstr>УЗСК вв1</vt:lpstr>
      <vt:lpstr>УЗСК вв2</vt:lpstr>
      <vt:lpstr>УЗСК вв3</vt:lpstr>
      <vt:lpstr>Добрыня вв1</vt:lpstr>
      <vt:lpstr>Добрыня вв2</vt:lpstr>
      <vt:lpstr>Мегафон</vt:lpstr>
      <vt:lpstr>Тихомирова</vt:lpstr>
      <vt:lpstr>Академия</vt:lpstr>
      <vt:lpstr>ПС 167</vt:lpstr>
      <vt:lpstr>ПС 214 Т1</vt:lpstr>
      <vt:lpstr>ПС 214 Т2</vt:lpstr>
      <vt:lpstr>ПС 214</vt:lpstr>
      <vt:lpstr>Всего с субабонентами</vt:lpstr>
      <vt:lpstr>Субабоненты</vt:lpstr>
      <vt:lpstr>Энергосеть</vt:lpstr>
      <vt:lpstr>РЖД</vt:lpstr>
      <vt:lpstr>БОС_Эксплуатация</vt:lpstr>
      <vt:lpstr>Пластик Геосинтетика</vt:lpstr>
      <vt:lpstr>УЗСК</vt:lpstr>
      <vt:lpstr>Добрыня</vt:lpstr>
      <vt:lpstr>Всего без субабонентов</vt:lpstr>
      <vt:lpstr>график без субаб</vt:lpstr>
      <vt:lpstr>ReportObject1_0</vt:lpstr>
      <vt:lpstr>ReportObject1_1</vt:lpstr>
      <vt:lpstr>ReportObject1_2</vt:lpstr>
      <vt:lpstr>ReportObject1_3</vt:lpstr>
      <vt:lpstr>ReportObject10_0</vt:lpstr>
      <vt:lpstr>ReportObject10_1</vt:lpstr>
      <vt:lpstr>ReportObject10_2</vt:lpstr>
      <vt:lpstr>ReportObject10_3</vt:lpstr>
      <vt:lpstr>ReportObject11_0</vt:lpstr>
      <vt:lpstr>ReportObject11_1</vt:lpstr>
      <vt:lpstr>ReportObject11_2</vt:lpstr>
      <vt:lpstr>ReportObject11_3</vt:lpstr>
      <vt:lpstr>ReportObject12_0</vt:lpstr>
      <vt:lpstr>ReportObject12_1</vt:lpstr>
      <vt:lpstr>ReportObject12_2</vt:lpstr>
      <vt:lpstr>ReportObject12_3</vt:lpstr>
      <vt:lpstr>ReportObject13_0</vt:lpstr>
      <vt:lpstr>ReportObject13_1</vt:lpstr>
      <vt:lpstr>ReportObject13_2</vt:lpstr>
      <vt:lpstr>ReportObject13_3</vt:lpstr>
      <vt:lpstr>ReportObject14_0</vt:lpstr>
      <vt:lpstr>ReportObject14_1</vt:lpstr>
      <vt:lpstr>ReportObject14_2</vt:lpstr>
      <vt:lpstr>ReportObject14_3</vt:lpstr>
      <vt:lpstr>Академия!ReportObject15_0</vt:lpstr>
      <vt:lpstr>'Добрыня вв1'!ReportObject15_0</vt:lpstr>
      <vt:lpstr>'Добрыня вв2'!ReportObject15_0</vt:lpstr>
      <vt:lpstr>Мегафон!ReportObject15_0</vt:lpstr>
      <vt:lpstr>Тихомирова!ReportObject15_0</vt:lpstr>
      <vt:lpstr>ReportObject15_0</vt:lpstr>
      <vt:lpstr>Академия!ReportObject15_1</vt:lpstr>
      <vt:lpstr>'Добрыня вв1'!ReportObject15_1</vt:lpstr>
      <vt:lpstr>'Добрыня вв2'!ReportObject15_1</vt:lpstr>
      <vt:lpstr>Мегафон!ReportObject15_1</vt:lpstr>
      <vt:lpstr>Тихомирова!ReportObject15_1</vt:lpstr>
      <vt:lpstr>ReportObject15_1</vt:lpstr>
      <vt:lpstr>Академия!ReportObject15_2</vt:lpstr>
      <vt:lpstr>'Добрыня вв1'!ReportObject15_2</vt:lpstr>
      <vt:lpstr>'Добрыня вв2'!ReportObject15_2</vt:lpstr>
      <vt:lpstr>Мегафон!ReportObject15_2</vt:lpstr>
      <vt:lpstr>Тихомирова!ReportObject15_2</vt:lpstr>
      <vt:lpstr>ReportObject15_2</vt:lpstr>
      <vt:lpstr>Академия!ReportObject15_3</vt:lpstr>
      <vt:lpstr>'Добрыня вв1'!ReportObject15_3</vt:lpstr>
      <vt:lpstr>'Добрыня вв2'!ReportObject15_3</vt:lpstr>
      <vt:lpstr>Мегафон!ReportObject15_3</vt:lpstr>
      <vt:lpstr>Тихомирова!ReportObject15_3</vt:lpstr>
      <vt:lpstr>ReportObject15_3</vt:lpstr>
      <vt:lpstr>ReportObject16_0</vt:lpstr>
      <vt:lpstr>ReportObject16_1</vt:lpstr>
      <vt:lpstr>ReportObject16_2</vt:lpstr>
      <vt:lpstr>ReportObject16_3</vt:lpstr>
      <vt:lpstr>ReportObject17_0</vt:lpstr>
      <vt:lpstr>ReportObject17_1</vt:lpstr>
      <vt:lpstr>ReportObject17_2</vt:lpstr>
      <vt:lpstr>ReportObject17_3</vt:lpstr>
      <vt:lpstr>'УЗСК вв1'!ReportObject18_0</vt:lpstr>
      <vt:lpstr>'УЗСК вв2'!ReportObject18_0</vt:lpstr>
      <vt:lpstr>'УЗСК вв3'!ReportObject18_0</vt:lpstr>
      <vt:lpstr>ReportObject18_0</vt:lpstr>
      <vt:lpstr>'УЗСК вв1'!ReportObject18_1</vt:lpstr>
      <vt:lpstr>'УЗСК вв2'!ReportObject18_1</vt:lpstr>
      <vt:lpstr>'УЗСК вв3'!ReportObject18_1</vt:lpstr>
      <vt:lpstr>ReportObject18_1</vt:lpstr>
      <vt:lpstr>'УЗСК вв1'!ReportObject18_2</vt:lpstr>
      <vt:lpstr>'УЗСК вв2'!ReportObject18_2</vt:lpstr>
      <vt:lpstr>'УЗСК вв3'!ReportObject18_2</vt:lpstr>
      <vt:lpstr>ReportObject18_2</vt:lpstr>
      <vt:lpstr>'УЗСК вв1'!ReportObject18_3</vt:lpstr>
      <vt:lpstr>'УЗСК вв2'!ReportObject18_3</vt:lpstr>
      <vt:lpstr>'УЗСК вв3'!ReportObject18_3</vt:lpstr>
      <vt:lpstr>ReportObject18_3</vt:lpstr>
      <vt:lpstr>ReportObject2_0</vt:lpstr>
      <vt:lpstr>ReportObject2_1</vt:lpstr>
      <vt:lpstr>ReportObject2_2</vt:lpstr>
      <vt:lpstr>ReportObject2_3</vt:lpstr>
      <vt:lpstr>ReportObject3_0</vt:lpstr>
      <vt:lpstr>ReportObject3_1</vt:lpstr>
      <vt:lpstr>ReportObject3_2</vt:lpstr>
      <vt:lpstr>ReportObject3_3</vt:lpstr>
      <vt:lpstr>ReportObject4_0</vt:lpstr>
      <vt:lpstr>ReportObject4_1</vt:lpstr>
      <vt:lpstr>ReportObject4_2</vt:lpstr>
      <vt:lpstr>ReportObject4_3</vt:lpstr>
      <vt:lpstr>ReportObject5_0</vt:lpstr>
      <vt:lpstr>ReportObject5_1</vt:lpstr>
      <vt:lpstr>ReportObject5_2</vt:lpstr>
      <vt:lpstr>ReportObject5_3</vt:lpstr>
      <vt:lpstr>ReportObject6_0</vt:lpstr>
      <vt:lpstr>ReportObject6_1</vt:lpstr>
      <vt:lpstr>ReportObject6_2</vt:lpstr>
      <vt:lpstr>ReportObject6_3</vt:lpstr>
      <vt:lpstr>ReportObject9_0</vt:lpstr>
      <vt:lpstr>ReportObject9_1</vt:lpstr>
      <vt:lpstr>ReportObject9_2</vt:lpstr>
      <vt:lpstr>ReportObject9_3</vt:lpstr>
      <vt:lpstr>Академия!Область_печати</vt:lpstr>
      <vt:lpstr>БОС_Эксплуатация!Область_печати</vt:lpstr>
      <vt:lpstr>'Всего без субабонентов'!Область_печати</vt:lpstr>
      <vt:lpstr>'Всего с субабонентами'!Область_печати</vt:lpstr>
      <vt:lpstr>Добрыня!Область_печати</vt:lpstr>
      <vt:lpstr>'Добрыня вв1'!Область_печати</vt:lpstr>
      <vt:lpstr>'Добрыня вв2'!Область_печати</vt:lpstr>
      <vt:lpstr>Мегафон!Область_печати</vt:lpstr>
      <vt:lpstr>'Пластик Геосинтетика'!Область_печати</vt:lpstr>
      <vt:lpstr>'ПС 167'!Область_печати</vt:lpstr>
      <vt:lpstr>'ПС 214'!Область_печати</vt:lpstr>
      <vt:lpstr>'ПС 214 Т1'!Область_печати</vt:lpstr>
      <vt:lpstr>'ПС 214 Т2'!Область_печати</vt:lpstr>
      <vt:lpstr>РЖД!Область_печати</vt:lpstr>
      <vt:lpstr>Субабоненты!Область_печати</vt:lpstr>
      <vt:lpstr>Тихомирова!Область_печати</vt:lpstr>
      <vt:lpstr>УЗСК!Область_печати</vt:lpstr>
      <vt:lpstr>'УЗСК вв1'!Область_печати</vt:lpstr>
      <vt:lpstr>'УЗСК вв2'!Область_печати</vt:lpstr>
      <vt:lpstr>'УЗСК вв3'!Область_печати</vt:lpstr>
      <vt:lpstr>Энергосеть!Область_печати</vt:lpstr>
      <vt:lpstr>'Ячейка 13БОС'!Область_печати</vt:lpstr>
      <vt:lpstr>'Ячейка 14РЖД'!Область_печати</vt:lpstr>
      <vt:lpstr>'ячейка 25БОС'!Область_печати</vt:lpstr>
      <vt:lpstr>'Ячейка 32БОС'!Область_печати</vt:lpstr>
    </vt:vector>
  </TitlesOfParts>
  <Company>База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Насветников</dc:creator>
  <cp:lastModifiedBy>Каргина Т.В.ОГЭ</cp:lastModifiedBy>
  <cp:lastPrinted>2017-12-21T11:32:26Z</cp:lastPrinted>
  <dcterms:created xsi:type="dcterms:W3CDTF">2000-12-15T11:47:44Z</dcterms:created>
  <dcterms:modified xsi:type="dcterms:W3CDTF">2017-12-21T11:35:57Z</dcterms:modified>
</cp:coreProperties>
</file>