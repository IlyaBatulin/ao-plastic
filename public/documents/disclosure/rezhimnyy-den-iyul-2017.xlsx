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ЭтаКнига" defaultThemeVersion="124226"/>
  <bookViews>
    <workbookView xWindow="11835" yWindow="15" windowWidth="12660" windowHeight="12450" tabRatio="933" firstSheet="13" activeTab="17"/>
  </bookViews>
  <sheets>
    <sheet name="ObserverReportInfo_&amp;!()$bbQ" sheetId="41" state="hidden" r:id="rId1"/>
    <sheet name="Ячейка 24" sheetId="5" r:id="rId2"/>
    <sheet name="Ячейка 2" sheetId="13" r:id="rId3"/>
    <sheet name="Ячейка 30" sheetId="18" r:id="rId4"/>
    <sheet name="Ячейка 27" sheetId="22" r:id="rId5"/>
    <sheet name="Ячейка 3Гео" sheetId="36" r:id="rId6"/>
    <sheet name="Ячейка 26Гео " sheetId="37" r:id="rId7"/>
    <sheet name="Ячейка 3" sheetId="14" r:id="rId8"/>
    <sheet name="Ячейка 4" sheetId="15" r:id="rId9"/>
    <sheet name="Ячейка 36" sheetId="16" r:id="rId10"/>
    <sheet name="Ячейка 37" sheetId="17" r:id="rId11"/>
    <sheet name="Ячейка 10" sheetId="19" r:id="rId12"/>
    <sheet name="Ячейка 16" sheetId="21" r:id="rId13"/>
    <sheet name="Ячейка 14 " sheetId="30" r:id="rId14"/>
    <sheet name="Ячейка 13БОС" sheetId="29" r:id="rId15"/>
    <sheet name="Ячейка 32БОС" sheetId="23" r:id="rId16"/>
    <sheet name="ячейка 25БОС" sheetId="31" r:id="rId17"/>
    <sheet name="ПС 167" sheetId="1" r:id="rId18"/>
    <sheet name="ПС 214 Т1" sheetId="6" r:id="rId19"/>
    <sheet name="ПС 214 Т2" sheetId="7" r:id="rId20"/>
    <sheet name="ПС 214" sheetId="24" r:id="rId21"/>
    <sheet name="Всего с субабонентами" sheetId="25" r:id="rId22"/>
    <sheet name="Субабоненты" sheetId="26" r:id="rId23"/>
    <sheet name="Энергосеть" sheetId="33" r:id="rId24"/>
    <sheet name="РЖД" sheetId="34" r:id="rId25"/>
    <sheet name="БОС_Эксплуатация" sheetId="35" r:id="rId26"/>
    <sheet name="Пластик Геосинтетика" sheetId="40" r:id="rId27"/>
    <sheet name="Всего без субабонентов" sheetId="27" r:id="rId28"/>
    <sheet name="график" sheetId="42" r:id="rId29"/>
  </sheets>
  <definedNames>
    <definedName name="ReportObject1_0">'Ячейка 24'!$E$10</definedName>
    <definedName name="ReportObject1_1">'Ячейка 24'!$H$10</definedName>
    <definedName name="ReportObject1_2">'Ячейка 24'!$B$18</definedName>
    <definedName name="ReportObject1_3">'Ячейка 24'!$F$18</definedName>
    <definedName name="ReportObject10_0">'Ячейка 4'!$E$10</definedName>
    <definedName name="ReportObject10_1">'Ячейка 4'!$H$10</definedName>
    <definedName name="ReportObject10_2">'Ячейка 4'!$B$18</definedName>
    <definedName name="ReportObject10_3">'Ячейка 4'!$F$18</definedName>
    <definedName name="ReportObject11_0">'Ячейка 36'!$E$10</definedName>
    <definedName name="ReportObject11_1">'Ячейка 36'!$H$10</definedName>
    <definedName name="ReportObject11_2">'Ячейка 36'!$B$18</definedName>
    <definedName name="ReportObject11_3">'Ячейка 36'!$F$18</definedName>
    <definedName name="ReportObject12_0">'Ячейка 37'!$E$10</definedName>
    <definedName name="ReportObject12_1">'Ячейка 37'!$H$10</definedName>
    <definedName name="ReportObject12_2">'Ячейка 37'!$B$18</definedName>
    <definedName name="ReportObject12_3">'Ячейка 37'!$F$18</definedName>
    <definedName name="ReportObject13_0">'Ячейка 10'!$E$10</definedName>
    <definedName name="ReportObject13_1">'Ячейка 10'!$H$10</definedName>
    <definedName name="ReportObject13_2">'Ячейка 10'!$B$18</definedName>
    <definedName name="ReportObject13_3">'Ячейка 10'!$F$18</definedName>
    <definedName name="ReportObject14_0">'Ячейка 16'!$E$10</definedName>
    <definedName name="ReportObject14_1">'Ячейка 16'!$H$10</definedName>
    <definedName name="ReportObject14_2">'Ячейка 16'!$B$18</definedName>
    <definedName name="ReportObject14_3">'Ячейка 16'!$F$18</definedName>
    <definedName name="ReportObject15_0">'Ячейка 14 '!$E$10</definedName>
    <definedName name="ReportObject15_1">'Ячейка 14 '!$H$10</definedName>
    <definedName name="ReportObject15_2">'Ячейка 14 '!$B$18</definedName>
    <definedName name="ReportObject15_3">'Ячейка 14 '!$F$18</definedName>
    <definedName name="ReportObject16_0">'Ячейка 13БОС'!$E$10</definedName>
    <definedName name="ReportObject16_1">'Ячейка 13БОС'!$H$10</definedName>
    <definedName name="ReportObject16_2">'Ячейка 13БОС'!$B$18</definedName>
    <definedName name="ReportObject16_3">'Ячейка 13БОС'!$F$18</definedName>
    <definedName name="ReportObject17_0">'Ячейка 32БОС'!$E$10</definedName>
    <definedName name="ReportObject17_1">'Ячейка 32БОС'!$H$10</definedName>
    <definedName name="ReportObject17_2">'Ячейка 32БОС'!$B$18</definedName>
    <definedName name="ReportObject17_3">'Ячейка 32БОС'!$F$18</definedName>
    <definedName name="ReportObject18_0">'ячейка 25БОС'!$E$10</definedName>
    <definedName name="ReportObject18_1">'ячейка 25БОС'!$H$10</definedName>
    <definedName name="ReportObject18_2">'ячейка 25БОС'!$B$18</definedName>
    <definedName name="ReportObject18_3">'ячейка 25БОС'!$F$18</definedName>
    <definedName name="ReportObject2_0">'Ячейка 2'!$E$10</definedName>
    <definedName name="ReportObject2_1">'Ячейка 2'!$H$10</definedName>
    <definedName name="ReportObject2_2">'Ячейка 2'!$B$18</definedName>
    <definedName name="ReportObject2_3">'Ячейка 2'!$F$18</definedName>
    <definedName name="ReportObject3_0">'Ячейка 30'!$E$10</definedName>
    <definedName name="ReportObject3_1">'Ячейка 30'!$H$10</definedName>
    <definedName name="ReportObject3_2">'Ячейка 30'!$B$18</definedName>
    <definedName name="ReportObject3_3">'Ячейка 30'!$F$18</definedName>
    <definedName name="ReportObject4_0">'Ячейка 27'!$E$10</definedName>
    <definedName name="ReportObject4_1">'Ячейка 27'!$H$10</definedName>
    <definedName name="ReportObject4_2">'Ячейка 27'!$B$18</definedName>
    <definedName name="ReportObject4_3">'Ячейка 27'!$F$18</definedName>
    <definedName name="ReportObject5_0">'Ячейка 3Гео'!$E$10</definedName>
    <definedName name="ReportObject5_1">'Ячейка 3Гео'!$H$10</definedName>
    <definedName name="ReportObject5_2">'Ячейка 3Гео'!$B$18</definedName>
    <definedName name="ReportObject5_3">'Ячейка 3Гео'!$F$18</definedName>
    <definedName name="ReportObject6_0">'Ячейка 26Гео '!$E$10</definedName>
    <definedName name="ReportObject6_1">'Ячейка 26Гео '!$H$10</definedName>
    <definedName name="ReportObject6_2">'Ячейка 26Гео '!$B$18</definedName>
    <definedName name="ReportObject6_3">'Ячейка 26Гео '!$F$18</definedName>
    <definedName name="ReportObject7_0">#REF!</definedName>
    <definedName name="ReportObject7_1">#REF!</definedName>
    <definedName name="ReportObject7_2">#REF!</definedName>
    <definedName name="ReportObject7_3">#REF!</definedName>
    <definedName name="ReportObject8_0">#REF!</definedName>
    <definedName name="ReportObject8_1">#REF!</definedName>
    <definedName name="ReportObject8_2">#REF!</definedName>
    <definedName name="ReportObject8_3">#REF!</definedName>
    <definedName name="ReportObject9_0">'Ячейка 3'!$E$10</definedName>
    <definedName name="ReportObject9_1">'Ячейка 3'!$H$10</definedName>
    <definedName name="ReportObject9_2">'Ячейка 3'!$B$18</definedName>
    <definedName name="ReportObject9_3">'Ячейка 3'!$F$18</definedName>
    <definedName name="_xlnm.Print_Area" localSheetId="25">БОС_Эксплуатация!$A$1:$W$50</definedName>
    <definedName name="_xlnm.Print_Area" localSheetId="27">'Всего без субабонентов'!$A$1:$W$50</definedName>
    <definedName name="_xlnm.Print_Area" localSheetId="21">'Всего с субабонентами'!$A$1:$W$50</definedName>
    <definedName name="_xlnm.Print_Area" localSheetId="26">'Пластик Геосинтетика'!$A$1:$W$50</definedName>
    <definedName name="_xlnm.Print_Area" localSheetId="17">'ПС 167'!$A$1:$W$50</definedName>
    <definedName name="_xlnm.Print_Area" localSheetId="20">'ПС 214'!$A$1:$W$50</definedName>
    <definedName name="_xlnm.Print_Area" localSheetId="18">'ПС 214 Т1'!$A$1:$W$50</definedName>
    <definedName name="_xlnm.Print_Area" localSheetId="19">'ПС 214 Т2'!$A$1:$W$50</definedName>
    <definedName name="_xlnm.Print_Area" localSheetId="24">РЖД!$A$1:$W$50</definedName>
    <definedName name="_xlnm.Print_Area" localSheetId="22">Субабоненты!$A$1:$W$50</definedName>
    <definedName name="_xlnm.Print_Area" localSheetId="23">Энергосеть!$A$1:$W$50</definedName>
    <definedName name="_xlnm.Print_Area" localSheetId="14">'Ячейка 13БОС'!$A$1:$Z$52</definedName>
    <definedName name="_xlnm.Print_Area" localSheetId="13">'Ячейка 14 '!$A$1:$Z$52</definedName>
    <definedName name="_xlnm.Print_Area" localSheetId="16">'ячейка 25БОС'!$A$1:$Z$52</definedName>
    <definedName name="_xlnm.Print_Area" localSheetId="15">'Ячейка 32БОС'!$A$1:$Z$52</definedName>
  </definedNames>
  <calcPr calcId="145621"/>
</workbook>
</file>

<file path=xl/calcChain.xml><?xml version="1.0" encoding="utf-8"?>
<calcChain xmlns="http://schemas.openxmlformats.org/spreadsheetml/2006/main">
  <c r="C42" i="31" l="1"/>
  <c r="D42" i="31" s="1"/>
  <c r="C41" i="31"/>
  <c r="D41" i="31" s="1"/>
  <c r="C40" i="31"/>
  <c r="D40" i="31" s="1"/>
  <c r="C39" i="31"/>
  <c r="D39" i="31" s="1"/>
  <c r="C38" i="31"/>
  <c r="D38" i="31" s="1"/>
  <c r="C37" i="31"/>
  <c r="D37" i="31" s="1"/>
  <c r="C36" i="31"/>
  <c r="D36" i="31" s="1"/>
  <c r="C35" i="31"/>
  <c r="D35" i="31" s="1"/>
  <c r="C34" i="31"/>
  <c r="D34" i="31" s="1"/>
  <c r="C33" i="31"/>
  <c r="D33" i="31" s="1"/>
  <c r="C32" i="31"/>
  <c r="D32" i="31" s="1"/>
  <c r="C31" i="31"/>
  <c r="D31" i="31" s="1"/>
  <c r="C30" i="31"/>
  <c r="D30" i="31" s="1"/>
  <c r="C29" i="31"/>
  <c r="D29" i="31" s="1"/>
  <c r="C28" i="31"/>
  <c r="D28" i="31" s="1"/>
  <c r="C27" i="31"/>
  <c r="D27" i="31" s="1"/>
  <c r="C26" i="31"/>
  <c r="D26" i="31" s="1"/>
  <c r="C25" i="31"/>
  <c r="D25" i="31" s="1"/>
  <c r="C24" i="31"/>
  <c r="D24" i="31" s="1"/>
  <c r="C23" i="31"/>
  <c r="D23" i="31" s="1"/>
  <c r="C22" i="31"/>
  <c r="D22" i="31" s="1"/>
  <c r="C21" i="31"/>
  <c r="D21" i="31" s="1"/>
  <c r="C20" i="31"/>
  <c r="D20" i="31" s="1"/>
  <c r="C19" i="31"/>
  <c r="D19" i="31" s="1"/>
  <c r="C42" i="23"/>
  <c r="D42" i="23" s="1"/>
  <c r="C41" i="23"/>
  <c r="D41" i="23" s="1"/>
  <c r="C40" i="23"/>
  <c r="D40" i="23" s="1"/>
  <c r="C39" i="23"/>
  <c r="D39" i="23" s="1"/>
  <c r="C38" i="23"/>
  <c r="D38" i="23" s="1"/>
  <c r="C37" i="23"/>
  <c r="D37" i="23" s="1"/>
  <c r="C36" i="23"/>
  <c r="D36" i="23" s="1"/>
  <c r="C35" i="23"/>
  <c r="D35" i="23" s="1"/>
  <c r="C34" i="23"/>
  <c r="D34" i="23" s="1"/>
  <c r="C33" i="23"/>
  <c r="D33" i="23" s="1"/>
  <c r="C32" i="23"/>
  <c r="D32" i="23" s="1"/>
  <c r="C31" i="23"/>
  <c r="D31" i="23" s="1"/>
  <c r="C30" i="23"/>
  <c r="D30" i="23" s="1"/>
  <c r="C29" i="23"/>
  <c r="D29" i="23" s="1"/>
  <c r="C28" i="23"/>
  <c r="D28" i="23" s="1"/>
  <c r="C27" i="23"/>
  <c r="D27" i="23" s="1"/>
  <c r="C26" i="23"/>
  <c r="D26" i="23" s="1"/>
  <c r="C25" i="23"/>
  <c r="D25" i="23" s="1"/>
  <c r="C24" i="23"/>
  <c r="D24" i="23" s="1"/>
  <c r="C23" i="23"/>
  <c r="D23" i="23" s="1"/>
  <c r="C22" i="23"/>
  <c r="D22" i="23" s="1"/>
  <c r="C21" i="23"/>
  <c r="D21" i="23" s="1"/>
  <c r="C20" i="23"/>
  <c r="D20" i="23" s="1"/>
  <c r="C19" i="23"/>
  <c r="D19" i="23" s="1"/>
  <c r="C42" i="29"/>
  <c r="D42" i="29" s="1"/>
  <c r="C41" i="29"/>
  <c r="D41" i="29" s="1"/>
  <c r="C40" i="29"/>
  <c r="D40" i="29" s="1"/>
  <c r="C39" i="29"/>
  <c r="D39" i="29" s="1"/>
  <c r="C38" i="29"/>
  <c r="D38" i="29" s="1"/>
  <c r="C37" i="29"/>
  <c r="D37" i="29" s="1"/>
  <c r="C36" i="29"/>
  <c r="D36" i="29" s="1"/>
  <c r="C35" i="29"/>
  <c r="D35" i="29" s="1"/>
  <c r="C34" i="29"/>
  <c r="D34" i="29" s="1"/>
  <c r="C33" i="29"/>
  <c r="D33" i="29" s="1"/>
  <c r="C32" i="29"/>
  <c r="D32" i="29" s="1"/>
  <c r="C31" i="29"/>
  <c r="D31" i="29" s="1"/>
  <c r="C30" i="29"/>
  <c r="D30" i="29" s="1"/>
  <c r="C29" i="29"/>
  <c r="D29" i="29" s="1"/>
  <c r="C28" i="29"/>
  <c r="D28" i="29" s="1"/>
  <c r="C27" i="29"/>
  <c r="D27" i="29" s="1"/>
  <c r="C26" i="29"/>
  <c r="D26" i="29" s="1"/>
  <c r="C25" i="29"/>
  <c r="D25" i="29" s="1"/>
  <c r="C24" i="29"/>
  <c r="D24" i="29" s="1"/>
  <c r="C23" i="29"/>
  <c r="D23" i="29" s="1"/>
  <c r="C22" i="29"/>
  <c r="D22" i="29" s="1"/>
  <c r="C21" i="29"/>
  <c r="D21" i="29" s="1"/>
  <c r="C20" i="29"/>
  <c r="D20" i="29" s="1"/>
  <c r="C19" i="29"/>
  <c r="D19" i="29" s="1"/>
  <c r="C42" i="30"/>
  <c r="D42" i="30" s="1"/>
  <c r="C41" i="30"/>
  <c r="D41" i="30" s="1"/>
  <c r="C40" i="30"/>
  <c r="D40" i="30" s="1"/>
  <c r="C39" i="30"/>
  <c r="D39" i="30" s="1"/>
  <c r="C38" i="30"/>
  <c r="D38" i="30" s="1"/>
  <c r="C37" i="30"/>
  <c r="D37" i="30" s="1"/>
  <c r="C36" i="30"/>
  <c r="D36" i="30" s="1"/>
  <c r="C35" i="30"/>
  <c r="D35" i="30" s="1"/>
  <c r="C34" i="30"/>
  <c r="D34" i="30" s="1"/>
  <c r="C33" i="30"/>
  <c r="D33" i="30" s="1"/>
  <c r="C32" i="30"/>
  <c r="D32" i="30" s="1"/>
  <c r="C31" i="30"/>
  <c r="D31" i="30" s="1"/>
  <c r="C30" i="30"/>
  <c r="D30" i="30" s="1"/>
  <c r="C29" i="30"/>
  <c r="D29" i="30" s="1"/>
  <c r="C28" i="30"/>
  <c r="D28" i="30" s="1"/>
  <c r="C27" i="30"/>
  <c r="D27" i="30" s="1"/>
  <c r="C26" i="30"/>
  <c r="D26" i="30" s="1"/>
  <c r="C25" i="30"/>
  <c r="D25" i="30" s="1"/>
  <c r="C24" i="30"/>
  <c r="D24" i="30" s="1"/>
  <c r="C23" i="30"/>
  <c r="D23" i="30" s="1"/>
  <c r="C22" i="30"/>
  <c r="D22" i="30" s="1"/>
  <c r="C21" i="30"/>
  <c r="D21" i="30" s="1"/>
  <c r="C20" i="30"/>
  <c r="D20" i="30" s="1"/>
  <c r="C19" i="30"/>
  <c r="D19" i="30" s="1"/>
  <c r="C42" i="21"/>
  <c r="D42" i="21" s="1"/>
  <c r="C41" i="21"/>
  <c r="D41" i="21" s="1"/>
  <c r="C40" i="21"/>
  <c r="D40" i="21" s="1"/>
  <c r="C39" i="21"/>
  <c r="D39" i="21" s="1"/>
  <c r="C38" i="21"/>
  <c r="D38" i="21" s="1"/>
  <c r="C37" i="21"/>
  <c r="D37" i="21" s="1"/>
  <c r="C36" i="21"/>
  <c r="D36" i="21" s="1"/>
  <c r="C35" i="21"/>
  <c r="D35" i="21" s="1"/>
  <c r="C34" i="21"/>
  <c r="D34" i="21" s="1"/>
  <c r="C33" i="21"/>
  <c r="D33" i="21" s="1"/>
  <c r="C32" i="21"/>
  <c r="D32" i="21" s="1"/>
  <c r="C31" i="21"/>
  <c r="D31" i="21" s="1"/>
  <c r="C30" i="21"/>
  <c r="D30" i="21" s="1"/>
  <c r="C29" i="21"/>
  <c r="D29" i="21" s="1"/>
  <c r="C28" i="21"/>
  <c r="D28" i="21" s="1"/>
  <c r="C27" i="21"/>
  <c r="D27" i="21" s="1"/>
  <c r="C26" i="21"/>
  <c r="D26" i="21" s="1"/>
  <c r="C25" i="21"/>
  <c r="D25" i="21" s="1"/>
  <c r="C24" i="21"/>
  <c r="D24" i="21" s="1"/>
  <c r="C23" i="21"/>
  <c r="D23" i="21" s="1"/>
  <c r="C22" i="21"/>
  <c r="D22" i="21" s="1"/>
  <c r="C21" i="21"/>
  <c r="D21" i="21" s="1"/>
  <c r="C20" i="21"/>
  <c r="D20" i="21" s="1"/>
  <c r="C19" i="21"/>
  <c r="D19" i="21" s="1"/>
  <c r="C42" i="19"/>
  <c r="D42" i="19" s="1"/>
  <c r="C41" i="19"/>
  <c r="D41" i="19" s="1"/>
  <c r="C40" i="19"/>
  <c r="D40" i="19" s="1"/>
  <c r="C39" i="19"/>
  <c r="D39" i="19" s="1"/>
  <c r="C38" i="19"/>
  <c r="D38" i="19" s="1"/>
  <c r="C37" i="19"/>
  <c r="D37" i="19" s="1"/>
  <c r="C36" i="19"/>
  <c r="D36" i="19" s="1"/>
  <c r="C35" i="19"/>
  <c r="D35" i="19" s="1"/>
  <c r="C34" i="19"/>
  <c r="D34" i="19" s="1"/>
  <c r="C33" i="19"/>
  <c r="D33" i="19" s="1"/>
  <c r="C32" i="19"/>
  <c r="D32" i="19" s="1"/>
  <c r="C31" i="19"/>
  <c r="D31" i="19" s="1"/>
  <c r="C30" i="19"/>
  <c r="D30" i="19" s="1"/>
  <c r="C29" i="19"/>
  <c r="D29" i="19" s="1"/>
  <c r="C28" i="19"/>
  <c r="D28" i="19" s="1"/>
  <c r="C27" i="19"/>
  <c r="D27" i="19" s="1"/>
  <c r="C26" i="19"/>
  <c r="D26" i="19" s="1"/>
  <c r="C25" i="19"/>
  <c r="D25" i="19" s="1"/>
  <c r="C24" i="19"/>
  <c r="D24" i="19" s="1"/>
  <c r="C23" i="19"/>
  <c r="D23" i="19" s="1"/>
  <c r="C22" i="19"/>
  <c r="D22" i="19" s="1"/>
  <c r="C21" i="19"/>
  <c r="D21" i="19" s="1"/>
  <c r="C20" i="19"/>
  <c r="D20" i="19" s="1"/>
  <c r="C19" i="19"/>
  <c r="D19" i="19" s="1"/>
  <c r="C42" i="17"/>
  <c r="D42" i="17" s="1"/>
  <c r="C41" i="17"/>
  <c r="D41" i="17" s="1"/>
  <c r="C40" i="17"/>
  <c r="D40" i="17" s="1"/>
  <c r="C39" i="17"/>
  <c r="D39" i="17" s="1"/>
  <c r="C38" i="17"/>
  <c r="D38" i="17" s="1"/>
  <c r="C37" i="17"/>
  <c r="D37" i="17" s="1"/>
  <c r="C36" i="17"/>
  <c r="D36" i="17" s="1"/>
  <c r="C35" i="17"/>
  <c r="D35" i="17" s="1"/>
  <c r="C34" i="17"/>
  <c r="D34" i="17" s="1"/>
  <c r="C33" i="17"/>
  <c r="D33" i="17" s="1"/>
  <c r="C32" i="17"/>
  <c r="D32" i="17" s="1"/>
  <c r="C31" i="17"/>
  <c r="D31" i="17" s="1"/>
  <c r="C30" i="17"/>
  <c r="D30" i="17" s="1"/>
  <c r="C29" i="17"/>
  <c r="D29" i="17" s="1"/>
  <c r="C28" i="17"/>
  <c r="D28" i="17" s="1"/>
  <c r="C27" i="17"/>
  <c r="D27" i="17" s="1"/>
  <c r="C26" i="17"/>
  <c r="D26" i="17" s="1"/>
  <c r="C25" i="17"/>
  <c r="D25" i="17" s="1"/>
  <c r="C24" i="17"/>
  <c r="D24" i="17" s="1"/>
  <c r="C23" i="17"/>
  <c r="D23" i="17" s="1"/>
  <c r="C22" i="17"/>
  <c r="D22" i="17" s="1"/>
  <c r="C21" i="17"/>
  <c r="D21" i="17" s="1"/>
  <c r="C20" i="17"/>
  <c r="D20" i="17" s="1"/>
  <c r="C19" i="17"/>
  <c r="D19" i="17" s="1"/>
  <c r="C42" i="16" l="1"/>
  <c r="D42" i="16" s="1"/>
  <c r="C41" i="16"/>
  <c r="D41" i="16" s="1"/>
  <c r="C40" i="16"/>
  <c r="D40" i="16" s="1"/>
  <c r="C39" i="16"/>
  <c r="D39" i="16" s="1"/>
  <c r="C38" i="16"/>
  <c r="D38" i="16" s="1"/>
  <c r="C37" i="16"/>
  <c r="D37" i="16" s="1"/>
  <c r="C36" i="16"/>
  <c r="D36" i="16" s="1"/>
  <c r="C35" i="16"/>
  <c r="D35" i="16" s="1"/>
  <c r="C34" i="16"/>
  <c r="D34" i="16" s="1"/>
  <c r="C33" i="16"/>
  <c r="D33" i="16" s="1"/>
  <c r="C32" i="16"/>
  <c r="D32" i="16" s="1"/>
  <c r="C31" i="16"/>
  <c r="D31" i="16" s="1"/>
  <c r="C30" i="16"/>
  <c r="D30" i="16" s="1"/>
  <c r="C29" i="16"/>
  <c r="D29" i="16" s="1"/>
  <c r="C28" i="16"/>
  <c r="D28" i="16" s="1"/>
  <c r="C27" i="16"/>
  <c r="D27" i="16" s="1"/>
  <c r="C26" i="16"/>
  <c r="D26" i="16" s="1"/>
  <c r="C25" i="16"/>
  <c r="D25" i="16" s="1"/>
  <c r="C24" i="16"/>
  <c r="D24" i="16" s="1"/>
  <c r="C23" i="16"/>
  <c r="D23" i="16" s="1"/>
  <c r="C22" i="16"/>
  <c r="D22" i="16" s="1"/>
  <c r="C21" i="16"/>
  <c r="D21" i="16" s="1"/>
  <c r="C20" i="16"/>
  <c r="D20" i="16" s="1"/>
  <c r="C19" i="16"/>
  <c r="D19" i="16" s="1"/>
  <c r="C42" i="15"/>
  <c r="D42" i="15" s="1"/>
  <c r="C41" i="15"/>
  <c r="D41" i="15" s="1"/>
  <c r="C40" i="15"/>
  <c r="D40" i="15" s="1"/>
  <c r="C39" i="15"/>
  <c r="D39" i="15" s="1"/>
  <c r="C38" i="15"/>
  <c r="D38" i="15" s="1"/>
  <c r="C37" i="15"/>
  <c r="D37" i="15" s="1"/>
  <c r="C36" i="15"/>
  <c r="D36" i="15" s="1"/>
  <c r="C35" i="15"/>
  <c r="D35" i="15" s="1"/>
  <c r="C34" i="15"/>
  <c r="D34" i="15" s="1"/>
  <c r="C33" i="15"/>
  <c r="D33" i="15" s="1"/>
  <c r="C32" i="15"/>
  <c r="D32" i="15" s="1"/>
  <c r="C31" i="15"/>
  <c r="D31" i="15" s="1"/>
  <c r="C30" i="15"/>
  <c r="D30" i="15" s="1"/>
  <c r="C29" i="15"/>
  <c r="D29" i="15" s="1"/>
  <c r="C28" i="15"/>
  <c r="D28" i="15" s="1"/>
  <c r="C27" i="15"/>
  <c r="D27" i="15" s="1"/>
  <c r="C26" i="15"/>
  <c r="D26" i="15" s="1"/>
  <c r="C25" i="15"/>
  <c r="D25" i="15" s="1"/>
  <c r="C24" i="15"/>
  <c r="D24" i="15" s="1"/>
  <c r="C23" i="15"/>
  <c r="D23" i="15" s="1"/>
  <c r="C22" i="15"/>
  <c r="D22" i="15" s="1"/>
  <c r="C21" i="15"/>
  <c r="D21" i="15" s="1"/>
  <c r="C20" i="15"/>
  <c r="D20" i="15" s="1"/>
  <c r="C19" i="15"/>
  <c r="D19" i="15" s="1"/>
  <c r="C42" i="14"/>
  <c r="D42" i="14" s="1"/>
  <c r="C41" i="14"/>
  <c r="D41" i="14" s="1"/>
  <c r="C40" i="14"/>
  <c r="D40" i="14" s="1"/>
  <c r="C39" i="14"/>
  <c r="D39" i="14" s="1"/>
  <c r="C38" i="14"/>
  <c r="D38" i="14" s="1"/>
  <c r="C37" i="14"/>
  <c r="D37" i="14" s="1"/>
  <c r="C36" i="14"/>
  <c r="D36" i="14" s="1"/>
  <c r="C35" i="14"/>
  <c r="D35" i="14" s="1"/>
  <c r="C34" i="14"/>
  <c r="D34" i="14" s="1"/>
  <c r="C33" i="14"/>
  <c r="D33" i="14" s="1"/>
  <c r="C32" i="14"/>
  <c r="D32" i="14" s="1"/>
  <c r="C31" i="14"/>
  <c r="D31" i="14" s="1"/>
  <c r="C30" i="14"/>
  <c r="D30" i="14" s="1"/>
  <c r="C29" i="14"/>
  <c r="D29" i="14" s="1"/>
  <c r="C28" i="14"/>
  <c r="D28" i="14" s="1"/>
  <c r="C27" i="14"/>
  <c r="D27" i="14" s="1"/>
  <c r="C26" i="14"/>
  <c r="D26" i="14" s="1"/>
  <c r="C25" i="14"/>
  <c r="D25" i="14" s="1"/>
  <c r="C24" i="14"/>
  <c r="D24" i="14" s="1"/>
  <c r="C23" i="14"/>
  <c r="D23" i="14" s="1"/>
  <c r="C22" i="14"/>
  <c r="D22" i="14" s="1"/>
  <c r="C21" i="14"/>
  <c r="D21" i="14" s="1"/>
  <c r="C20" i="14"/>
  <c r="D20" i="14" s="1"/>
  <c r="C19" i="14"/>
  <c r="D19" i="14" s="1"/>
  <c r="C42" i="37"/>
  <c r="D42" i="37" s="1"/>
  <c r="C41" i="37"/>
  <c r="D41" i="37" s="1"/>
  <c r="C40" i="37"/>
  <c r="D40" i="37" s="1"/>
  <c r="C39" i="37"/>
  <c r="D39" i="37" s="1"/>
  <c r="C38" i="37"/>
  <c r="D38" i="37" s="1"/>
  <c r="C37" i="37"/>
  <c r="D37" i="37" s="1"/>
  <c r="C36" i="37"/>
  <c r="D36" i="37" s="1"/>
  <c r="C35" i="37"/>
  <c r="D35" i="37" s="1"/>
  <c r="C34" i="37"/>
  <c r="D34" i="37" s="1"/>
  <c r="C33" i="37"/>
  <c r="D33" i="37" s="1"/>
  <c r="C32" i="37"/>
  <c r="D32" i="37" s="1"/>
  <c r="C31" i="37"/>
  <c r="D31" i="37" s="1"/>
  <c r="C30" i="37"/>
  <c r="D30" i="37" s="1"/>
  <c r="C29" i="37"/>
  <c r="D29" i="37" s="1"/>
  <c r="C28" i="37"/>
  <c r="D28" i="37" s="1"/>
  <c r="C27" i="37"/>
  <c r="D27" i="37" s="1"/>
  <c r="C26" i="37"/>
  <c r="D26" i="37" s="1"/>
  <c r="C25" i="37"/>
  <c r="D25" i="37" s="1"/>
  <c r="C24" i="37"/>
  <c r="D24" i="37" s="1"/>
  <c r="C23" i="37"/>
  <c r="D23" i="37" s="1"/>
  <c r="C22" i="37"/>
  <c r="D22" i="37" s="1"/>
  <c r="C21" i="37"/>
  <c r="D21" i="37" s="1"/>
  <c r="C20" i="37"/>
  <c r="D20" i="37" s="1"/>
  <c r="C19" i="37"/>
  <c r="D19" i="37" s="1"/>
  <c r="C42" i="36"/>
  <c r="D42" i="36" s="1"/>
  <c r="C41" i="36"/>
  <c r="D41" i="36" s="1"/>
  <c r="C40" i="36"/>
  <c r="D40" i="36" s="1"/>
  <c r="C39" i="36"/>
  <c r="D39" i="36" s="1"/>
  <c r="C38" i="36"/>
  <c r="D38" i="36" s="1"/>
  <c r="C37" i="36"/>
  <c r="D37" i="36" s="1"/>
  <c r="C36" i="36"/>
  <c r="D36" i="36" s="1"/>
  <c r="C35" i="36"/>
  <c r="D35" i="36" s="1"/>
  <c r="C34" i="36"/>
  <c r="D34" i="36" s="1"/>
  <c r="C33" i="36"/>
  <c r="D33" i="36" s="1"/>
  <c r="C32" i="36"/>
  <c r="D32" i="36" s="1"/>
  <c r="C31" i="36"/>
  <c r="D31" i="36" s="1"/>
  <c r="C30" i="36"/>
  <c r="D30" i="36" s="1"/>
  <c r="C29" i="36"/>
  <c r="D29" i="36" s="1"/>
  <c r="C28" i="36"/>
  <c r="D28" i="36" s="1"/>
  <c r="C27" i="36"/>
  <c r="D27" i="36" s="1"/>
  <c r="C26" i="36"/>
  <c r="D26" i="36" s="1"/>
  <c r="C25" i="36"/>
  <c r="D25" i="36" s="1"/>
  <c r="C24" i="36"/>
  <c r="D24" i="36" s="1"/>
  <c r="C23" i="36"/>
  <c r="D23" i="36" s="1"/>
  <c r="C22" i="36"/>
  <c r="D22" i="36" s="1"/>
  <c r="C21" i="36"/>
  <c r="D21" i="36" s="1"/>
  <c r="C20" i="36"/>
  <c r="D20" i="36" s="1"/>
  <c r="C19" i="36"/>
  <c r="D19" i="36" s="1"/>
  <c r="C42" i="22"/>
  <c r="D42" i="22" s="1"/>
  <c r="C41" i="22"/>
  <c r="D41" i="22" s="1"/>
  <c r="C40" i="22"/>
  <c r="D40" i="22" s="1"/>
  <c r="C39" i="22"/>
  <c r="D39" i="22" s="1"/>
  <c r="C38" i="22"/>
  <c r="D38" i="22" s="1"/>
  <c r="C37" i="22"/>
  <c r="D37" i="22" s="1"/>
  <c r="C36" i="22"/>
  <c r="D36" i="22" s="1"/>
  <c r="C35" i="22"/>
  <c r="D35" i="22" s="1"/>
  <c r="C34" i="22"/>
  <c r="D34" i="22" s="1"/>
  <c r="C33" i="22"/>
  <c r="D33" i="22" s="1"/>
  <c r="C32" i="22"/>
  <c r="D32" i="22" s="1"/>
  <c r="C31" i="22"/>
  <c r="D31" i="22" s="1"/>
  <c r="C30" i="22"/>
  <c r="D30" i="22" s="1"/>
  <c r="C29" i="22"/>
  <c r="D29" i="22" s="1"/>
  <c r="C28" i="22"/>
  <c r="D28" i="22" s="1"/>
  <c r="C27" i="22"/>
  <c r="D27" i="22" s="1"/>
  <c r="C26" i="22"/>
  <c r="D26" i="22" s="1"/>
  <c r="C25" i="22"/>
  <c r="D25" i="22" s="1"/>
  <c r="C24" i="22"/>
  <c r="D24" i="22" s="1"/>
  <c r="C23" i="22"/>
  <c r="D23" i="22" s="1"/>
  <c r="C22" i="22"/>
  <c r="D22" i="22" s="1"/>
  <c r="C21" i="22"/>
  <c r="D21" i="22" s="1"/>
  <c r="C20" i="22"/>
  <c r="D20" i="22" s="1"/>
  <c r="C19" i="22"/>
  <c r="D19" i="22" s="1"/>
  <c r="C42" i="18"/>
  <c r="D42" i="18" s="1"/>
  <c r="C41" i="18"/>
  <c r="D41" i="18" s="1"/>
  <c r="C40" i="18"/>
  <c r="D40" i="18" s="1"/>
  <c r="C39" i="18"/>
  <c r="D39" i="18" s="1"/>
  <c r="C38" i="18"/>
  <c r="D38" i="18" s="1"/>
  <c r="C37" i="18"/>
  <c r="D37" i="18" s="1"/>
  <c r="C36" i="18"/>
  <c r="D36" i="18" s="1"/>
  <c r="C35" i="18"/>
  <c r="D35" i="18" s="1"/>
  <c r="C34" i="18"/>
  <c r="D34" i="18" s="1"/>
  <c r="C33" i="18"/>
  <c r="D33" i="18" s="1"/>
  <c r="C32" i="18"/>
  <c r="D32" i="18" s="1"/>
  <c r="C31" i="18"/>
  <c r="D31" i="18" s="1"/>
  <c r="C30" i="18"/>
  <c r="D30" i="18" s="1"/>
  <c r="C29" i="18"/>
  <c r="D29" i="18" s="1"/>
  <c r="C28" i="18"/>
  <c r="D28" i="18" s="1"/>
  <c r="C27" i="18"/>
  <c r="D27" i="18" s="1"/>
  <c r="C26" i="18"/>
  <c r="D26" i="18" s="1"/>
  <c r="C25" i="18"/>
  <c r="D25" i="18" s="1"/>
  <c r="C24" i="18"/>
  <c r="D24" i="18" s="1"/>
  <c r="C23" i="18"/>
  <c r="D23" i="18" s="1"/>
  <c r="C22" i="18"/>
  <c r="D22" i="18" s="1"/>
  <c r="C21" i="18"/>
  <c r="D21" i="18" s="1"/>
  <c r="C20" i="18"/>
  <c r="D20" i="18" s="1"/>
  <c r="C19" i="18"/>
  <c r="D19" i="18" s="1"/>
  <c r="G42" i="13"/>
  <c r="H42" i="13" s="1"/>
  <c r="C42" i="13"/>
  <c r="D42" i="13" s="1"/>
  <c r="H41" i="13"/>
  <c r="I41" i="13" s="1"/>
  <c r="G41" i="13"/>
  <c r="D41" i="13"/>
  <c r="C41" i="13"/>
  <c r="G40" i="13"/>
  <c r="H40" i="13" s="1"/>
  <c r="I40" i="13" s="1"/>
  <c r="C40" i="13"/>
  <c r="D40" i="13" s="1"/>
  <c r="H39" i="13"/>
  <c r="I39" i="13" s="1"/>
  <c r="G39" i="13"/>
  <c r="D39" i="13"/>
  <c r="C39" i="13"/>
  <c r="G38" i="13"/>
  <c r="H38" i="13" s="1"/>
  <c r="I38" i="13" s="1"/>
  <c r="C38" i="13"/>
  <c r="D38" i="13" s="1"/>
  <c r="H37" i="13"/>
  <c r="I37" i="13" s="1"/>
  <c r="G37" i="13"/>
  <c r="D37" i="13"/>
  <c r="C37" i="13"/>
  <c r="G36" i="13"/>
  <c r="H36" i="13" s="1"/>
  <c r="I36" i="13" s="1"/>
  <c r="C36" i="13"/>
  <c r="D36" i="13" s="1"/>
  <c r="H35" i="13"/>
  <c r="I35" i="13" s="1"/>
  <c r="G35" i="13"/>
  <c r="D35" i="13"/>
  <c r="C35" i="13"/>
  <c r="G34" i="13"/>
  <c r="H34" i="13" s="1"/>
  <c r="I34" i="13" s="1"/>
  <c r="C34" i="13"/>
  <c r="D34" i="13" s="1"/>
  <c r="H33" i="13"/>
  <c r="I33" i="13" s="1"/>
  <c r="G33" i="13"/>
  <c r="D33" i="13"/>
  <c r="C33" i="13"/>
  <c r="G32" i="13"/>
  <c r="H32" i="13" s="1"/>
  <c r="I32" i="13" s="1"/>
  <c r="C32" i="13"/>
  <c r="D32" i="13" s="1"/>
  <c r="H31" i="13"/>
  <c r="I31" i="13" s="1"/>
  <c r="G31" i="13"/>
  <c r="D31" i="13"/>
  <c r="C31" i="13"/>
  <c r="G30" i="13"/>
  <c r="H30" i="13" s="1"/>
  <c r="I30" i="13" s="1"/>
  <c r="C30" i="13"/>
  <c r="D30" i="13" s="1"/>
  <c r="H29" i="13"/>
  <c r="I29" i="13" s="1"/>
  <c r="G29" i="13"/>
  <c r="D29" i="13"/>
  <c r="C29" i="13"/>
  <c r="G28" i="13"/>
  <c r="H28" i="13" s="1"/>
  <c r="I28" i="13" s="1"/>
  <c r="C28" i="13"/>
  <c r="D28" i="13" s="1"/>
  <c r="H27" i="13"/>
  <c r="I27" i="13" s="1"/>
  <c r="G27" i="13"/>
  <c r="D27" i="13"/>
  <c r="C27" i="13"/>
  <c r="G26" i="13"/>
  <c r="H26" i="13" s="1"/>
  <c r="I26" i="13" s="1"/>
  <c r="C26" i="13"/>
  <c r="D26" i="13" s="1"/>
  <c r="H25" i="13"/>
  <c r="I25" i="13" s="1"/>
  <c r="G25" i="13"/>
  <c r="D25" i="13"/>
  <c r="C25" i="13"/>
  <c r="G24" i="13"/>
  <c r="H24" i="13" s="1"/>
  <c r="I24" i="13" s="1"/>
  <c r="C24" i="13"/>
  <c r="D24" i="13" s="1"/>
  <c r="H23" i="13"/>
  <c r="I23" i="13" s="1"/>
  <c r="G23" i="13"/>
  <c r="D23" i="13"/>
  <c r="C23" i="13"/>
  <c r="G22" i="13"/>
  <c r="H22" i="13" s="1"/>
  <c r="I22" i="13" s="1"/>
  <c r="C22" i="13"/>
  <c r="D22" i="13" s="1"/>
  <c r="H21" i="13"/>
  <c r="I21" i="13" s="1"/>
  <c r="G21" i="13"/>
  <c r="D21" i="13"/>
  <c r="C21" i="13"/>
  <c r="G20" i="13"/>
  <c r="H20" i="13" s="1"/>
  <c r="I20" i="13" s="1"/>
  <c r="C20" i="13"/>
  <c r="D20" i="13" s="1"/>
  <c r="H19" i="13"/>
  <c r="I19" i="13" s="1"/>
  <c r="G19" i="13"/>
  <c r="D19" i="13"/>
  <c r="C19" i="13"/>
  <c r="G42" i="5"/>
  <c r="H42" i="5" s="1"/>
  <c r="I42" i="5" s="1"/>
  <c r="C42" i="5"/>
  <c r="D42" i="5" s="1"/>
  <c r="G41" i="5"/>
  <c r="H41" i="5" s="1"/>
  <c r="I41" i="5" s="1"/>
  <c r="C41" i="5"/>
  <c r="D41" i="5" s="1"/>
  <c r="H40" i="5"/>
  <c r="G40" i="5"/>
  <c r="C40" i="5"/>
  <c r="D40" i="5" s="1"/>
  <c r="G39" i="5"/>
  <c r="H39" i="5" s="1"/>
  <c r="C39" i="5"/>
  <c r="D39" i="5" s="1"/>
  <c r="G38" i="5"/>
  <c r="H38" i="5" s="1"/>
  <c r="C38" i="5"/>
  <c r="D38" i="5" s="1"/>
  <c r="G37" i="5"/>
  <c r="H37" i="5" s="1"/>
  <c r="C37" i="5"/>
  <c r="D37" i="5" s="1"/>
  <c r="G36" i="5"/>
  <c r="H36" i="5" s="1"/>
  <c r="C36" i="5"/>
  <c r="D36" i="5" s="1"/>
  <c r="G35" i="5"/>
  <c r="H35" i="5" s="1"/>
  <c r="C35" i="5"/>
  <c r="D35" i="5" s="1"/>
  <c r="G34" i="5"/>
  <c r="H34" i="5" s="1"/>
  <c r="C34" i="5"/>
  <c r="D34" i="5" s="1"/>
  <c r="G33" i="5"/>
  <c r="H33" i="5" s="1"/>
  <c r="C33" i="5"/>
  <c r="D33" i="5" s="1"/>
  <c r="G32" i="5"/>
  <c r="H32" i="5" s="1"/>
  <c r="C32" i="5"/>
  <c r="D32" i="5" s="1"/>
  <c r="G31" i="5"/>
  <c r="H31" i="5" s="1"/>
  <c r="C31" i="5"/>
  <c r="D31" i="5" s="1"/>
  <c r="G30" i="5"/>
  <c r="H30" i="5" s="1"/>
  <c r="C30" i="5"/>
  <c r="D30" i="5" s="1"/>
  <c r="G29" i="5"/>
  <c r="H29" i="5" s="1"/>
  <c r="C29" i="5"/>
  <c r="D29" i="5" s="1"/>
  <c r="G28" i="5"/>
  <c r="H28" i="5" s="1"/>
  <c r="C28" i="5"/>
  <c r="D28" i="5" s="1"/>
  <c r="G27" i="5"/>
  <c r="H27" i="5" s="1"/>
  <c r="C27" i="5"/>
  <c r="D27" i="5" s="1"/>
  <c r="G26" i="5"/>
  <c r="H26" i="5" s="1"/>
  <c r="I26" i="5" s="1"/>
  <c r="C26" i="5"/>
  <c r="D26" i="5" s="1"/>
  <c r="G25" i="5"/>
  <c r="H25" i="5" s="1"/>
  <c r="C25" i="5"/>
  <c r="D25" i="5" s="1"/>
  <c r="G24" i="5"/>
  <c r="H24" i="5" s="1"/>
  <c r="I24" i="5" s="1"/>
  <c r="C24" i="5"/>
  <c r="D24" i="5" s="1"/>
  <c r="G23" i="5"/>
  <c r="H23" i="5" s="1"/>
  <c r="C23" i="5"/>
  <c r="D23" i="5" s="1"/>
  <c r="G22" i="5"/>
  <c r="H22" i="5" s="1"/>
  <c r="I22" i="5" s="1"/>
  <c r="C22" i="5"/>
  <c r="D22" i="5" s="1"/>
  <c r="G21" i="5"/>
  <c r="H21" i="5" s="1"/>
  <c r="C21" i="5"/>
  <c r="D21" i="5" s="1"/>
  <c r="G20" i="5"/>
  <c r="H20" i="5" s="1"/>
  <c r="I20" i="5" s="1"/>
  <c r="C20" i="5"/>
  <c r="D20" i="5" s="1"/>
  <c r="G19" i="5"/>
  <c r="H19" i="5" s="1"/>
  <c r="C19" i="5"/>
  <c r="D19" i="5" s="1"/>
  <c r="I33" i="5" l="1"/>
  <c r="I35" i="5"/>
  <c r="I37" i="5"/>
  <c r="I28" i="5"/>
  <c r="I30" i="5"/>
  <c r="I19" i="5"/>
  <c r="I21" i="5"/>
  <c r="I23" i="5"/>
  <c r="I25" i="5"/>
  <c r="I27" i="5"/>
  <c r="I29" i="5"/>
  <c r="I31" i="5"/>
  <c r="I32" i="5"/>
  <c r="I34" i="5"/>
  <c r="I36" i="5"/>
  <c r="I42" i="13"/>
  <c r="I40" i="5"/>
  <c r="I38" i="5"/>
  <c r="I39" i="5"/>
  <c r="G21" i="31" l="1"/>
  <c r="G22" i="31"/>
  <c r="G23" i="31"/>
  <c r="G24" i="31"/>
  <c r="G25" i="31"/>
  <c r="G26" i="31"/>
  <c r="G27" i="31"/>
  <c r="G28" i="31"/>
  <c r="G29" i="31"/>
  <c r="G30" i="31"/>
  <c r="G31" i="31"/>
  <c r="G32" i="31"/>
  <c r="G33" i="31"/>
  <c r="G34" i="31"/>
  <c r="G35" i="31"/>
  <c r="G36" i="31"/>
  <c r="G37" i="31"/>
  <c r="G38" i="31"/>
  <c r="G39" i="31"/>
  <c r="G40" i="31"/>
  <c r="G41" i="31"/>
  <c r="G42" i="31"/>
  <c r="G20" i="31"/>
  <c r="G19" i="31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20" i="23"/>
  <c r="G19" i="23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20" i="29"/>
  <c r="G19" i="29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G37" i="30"/>
  <c r="G38" i="30"/>
  <c r="G39" i="30"/>
  <c r="G40" i="30"/>
  <c r="G41" i="30"/>
  <c r="G42" i="30"/>
  <c r="G20" i="30"/>
  <c r="G19" i="30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20" i="21"/>
  <c r="G19" i="21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20" i="19"/>
  <c r="G19" i="19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20" i="17"/>
  <c r="G19" i="17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20" i="16"/>
  <c r="G19" i="16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20" i="15"/>
  <c r="G19" i="15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20" i="14"/>
  <c r="G19" i="14"/>
  <c r="G21" i="37"/>
  <c r="G22" i="37"/>
  <c r="G23" i="37"/>
  <c r="G24" i="37"/>
  <c r="G25" i="37"/>
  <c r="G26" i="37"/>
  <c r="G27" i="37"/>
  <c r="G28" i="37"/>
  <c r="G29" i="37"/>
  <c r="G30" i="37"/>
  <c r="G31" i="37"/>
  <c r="G32" i="37"/>
  <c r="G33" i="37"/>
  <c r="G34" i="37"/>
  <c r="G35" i="37"/>
  <c r="G36" i="37"/>
  <c r="G37" i="37"/>
  <c r="G38" i="37"/>
  <c r="G39" i="37"/>
  <c r="G40" i="37"/>
  <c r="G41" i="37"/>
  <c r="G42" i="37"/>
  <c r="G20" i="37"/>
  <c r="G19" i="37"/>
  <c r="G21" i="36"/>
  <c r="G22" i="36"/>
  <c r="G23" i="36"/>
  <c r="G24" i="36"/>
  <c r="G25" i="36"/>
  <c r="G26" i="36"/>
  <c r="G27" i="36"/>
  <c r="G28" i="36"/>
  <c r="G29" i="36"/>
  <c r="G30" i="36"/>
  <c r="G31" i="36"/>
  <c r="G32" i="36"/>
  <c r="G33" i="36"/>
  <c r="G34" i="36"/>
  <c r="G35" i="36"/>
  <c r="G36" i="36"/>
  <c r="G37" i="36"/>
  <c r="G38" i="36"/>
  <c r="G39" i="36"/>
  <c r="G40" i="36"/>
  <c r="G41" i="36"/>
  <c r="G42" i="36"/>
  <c r="G20" i="36"/>
  <c r="G19" i="36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20" i="22"/>
  <c r="G19" i="22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20" i="18"/>
  <c r="G19" i="18"/>
  <c r="H41" i="36" l="1"/>
  <c r="H37" i="36"/>
  <c r="H33" i="36"/>
  <c r="H29" i="36"/>
  <c r="H25" i="36"/>
  <c r="H21" i="36"/>
  <c r="H42" i="36"/>
  <c r="H38" i="36"/>
  <c r="H34" i="36"/>
  <c r="H30" i="36"/>
  <c r="H26" i="36"/>
  <c r="H22" i="36"/>
  <c r="H20" i="36"/>
  <c r="H20" i="18"/>
  <c r="H20" i="22"/>
  <c r="H20" i="37"/>
  <c r="H21" i="18"/>
  <c r="H21" i="22"/>
  <c r="H21" i="37"/>
  <c r="H22" i="18"/>
  <c r="H22" i="22"/>
  <c r="H22" i="37"/>
  <c r="H23" i="18"/>
  <c r="H23" i="22"/>
  <c r="H23" i="36"/>
  <c r="H23" i="37"/>
  <c r="H24" i="18"/>
  <c r="H24" i="22"/>
  <c r="H24" i="36"/>
  <c r="H24" i="37"/>
  <c r="H25" i="18"/>
  <c r="H25" i="22"/>
  <c r="H25" i="37"/>
  <c r="H26" i="18"/>
  <c r="H26" i="22"/>
  <c r="H26" i="37"/>
  <c r="H27" i="18"/>
  <c r="H27" i="22"/>
  <c r="H27" i="36"/>
  <c r="H27" i="37"/>
  <c r="H28" i="18"/>
  <c r="H28" i="22"/>
  <c r="H28" i="36"/>
  <c r="H28" i="37"/>
  <c r="H29" i="18"/>
  <c r="H29" i="22"/>
  <c r="H29" i="37"/>
  <c r="H30" i="18"/>
  <c r="H30" i="22"/>
  <c r="H30" i="37"/>
  <c r="H31" i="18"/>
  <c r="H31" i="22"/>
  <c r="H31" i="36"/>
  <c r="H31" i="37"/>
  <c r="H32" i="18"/>
  <c r="H32" i="22"/>
  <c r="H32" i="36"/>
  <c r="H32" i="37"/>
  <c r="H33" i="18"/>
  <c r="H33" i="22"/>
  <c r="H33" i="37"/>
  <c r="H34" i="18"/>
  <c r="H34" i="22"/>
  <c r="H34" i="37"/>
  <c r="H35" i="18"/>
  <c r="H35" i="22"/>
  <c r="H35" i="36"/>
  <c r="H35" i="37"/>
  <c r="H36" i="18"/>
  <c r="H36" i="22"/>
  <c r="H36" i="36"/>
  <c r="H36" i="37"/>
  <c r="H37" i="18"/>
  <c r="H37" i="22"/>
  <c r="H37" i="37"/>
  <c r="H38" i="18"/>
  <c r="H38" i="22"/>
  <c r="H38" i="37"/>
  <c r="H39" i="18"/>
  <c r="H39" i="22"/>
  <c r="H39" i="36"/>
  <c r="H39" i="37"/>
  <c r="H40" i="18"/>
  <c r="H40" i="22"/>
  <c r="H40" i="36"/>
  <c r="H40" i="37"/>
  <c r="H41" i="18"/>
  <c r="H41" i="22"/>
  <c r="H41" i="37"/>
  <c r="H42" i="18"/>
  <c r="H42" i="22"/>
  <c r="H42" i="37"/>
  <c r="H19" i="18"/>
  <c r="H19" i="22"/>
  <c r="H19" i="36"/>
  <c r="H19" i="37"/>
  <c r="F14" i="40"/>
  <c r="F15" i="40"/>
  <c r="H20" i="29"/>
  <c r="H20" i="23"/>
  <c r="H20" i="31"/>
  <c r="H21" i="29"/>
  <c r="H21" i="23"/>
  <c r="H21" i="31"/>
  <c r="H22" i="29"/>
  <c r="H22" i="23"/>
  <c r="H22" i="31"/>
  <c r="H23" i="29"/>
  <c r="H23" i="23"/>
  <c r="H23" i="31"/>
  <c r="H24" i="29"/>
  <c r="H24" i="23"/>
  <c r="H24" i="31"/>
  <c r="H25" i="29"/>
  <c r="H25" i="23"/>
  <c r="H25" i="31"/>
  <c r="H26" i="29"/>
  <c r="H26" i="23"/>
  <c r="H26" i="31"/>
  <c r="H27" i="29"/>
  <c r="H27" i="23"/>
  <c r="H27" i="31"/>
  <c r="H28" i="29"/>
  <c r="H28" i="23"/>
  <c r="H28" i="31"/>
  <c r="H29" i="29"/>
  <c r="H29" i="23"/>
  <c r="H29" i="31"/>
  <c r="H30" i="29"/>
  <c r="H30" i="23"/>
  <c r="H30" i="31"/>
  <c r="H31" i="29"/>
  <c r="H31" i="23"/>
  <c r="H31" i="31"/>
  <c r="H32" i="29"/>
  <c r="H32" i="23"/>
  <c r="H32" i="31"/>
  <c r="H33" i="29"/>
  <c r="H33" i="23"/>
  <c r="H33" i="31"/>
  <c r="H34" i="29"/>
  <c r="H34" i="23"/>
  <c r="H34" i="31"/>
  <c r="H35" i="29"/>
  <c r="H35" i="23"/>
  <c r="H35" i="31"/>
  <c r="H36" i="29"/>
  <c r="H36" i="23"/>
  <c r="H36" i="31"/>
  <c r="H37" i="29"/>
  <c r="H37" i="23"/>
  <c r="H37" i="31"/>
  <c r="H38" i="29"/>
  <c r="H38" i="23"/>
  <c r="H38" i="31"/>
  <c r="H39" i="29"/>
  <c r="H39" i="23"/>
  <c r="H39" i="31"/>
  <c r="H40" i="29"/>
  <c r="H40" i="23"/>
  <c r="H40" i="31"/>
  <c r="H41" i="29"/>
  <c r="H41" i="23"/>
  <c r="H41" i="31"/>
  <c r="H42" i="29"/>
  <c r="H42" i="23"/>
  <c r="H42" i="31"/>
  <c r="H19" i="29"/>
  <c r="H19" i="23"/>
  <c r="H19" i="31"/>
  <c r="F14" i="35"/>
  <c r="F15" i="35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19" i="21"/>
  <c r="F14" i="34"/>
  <c r="F15" i="34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19" i="19"/>
  <c r="F14" i="33"/>
  <c r="F15" i="33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39" i="30"/>
  <c r="H40" i="30"/>
  <c r="H41" i="30"/>
  <c r="H42" i="30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F15" i="27"/>
  <c r="F14" i="27"/>
  <c r="H35" i="15"/>
  <c r="I35" i="15" s="1"/>
  <c r="H35" i="16"/>
  <c r="H36" i="15"/>
  <c r="H36" i="16"/>
  <c r="H37" i="15"/>
  <c r="I37" i="15" s="1"/>
  <c r="H37" i="16"/>
  <c r="H38" i="15"/>
  <c r="I38" i="15" s="1"/>
  <c r="H38" i="16"/>
  <c r="H32" i="15"/>
  <c r="I32" i="15" s="1"/>
  <c r="H32" i="16"/>
  <c r="H31" i="15"/>
  <c r="I31" i="15" s="1"/>
  <c r="H31" i="16"/>
  <c r="H29" i="15"/>
  <c r="I29" i="15" s="1"/>
  <c r="H29" i="16"/>
  <c r="H30" i="15"/>
  <c r="I30" i="15" s="1"/>
  <c r="H30" i="16"/>
  <c r="H28" i="15"/>
  <c r="H28" i="16"/>
  <c r="H22" i="15"/>
  <c r="I22" i="15" s="1"/>
  <c r="H22" i="16"/>
  <c r="H21" i="15"/>
  <c r="H21" i="16"/>
  <c r="H20" i="15"/>
  <c r="I20" i="15" s="1"/>
  <c r="H20" i="16"/>
  <c r="H27" i="15"/>
  <c r="H27" i="16"/>
  <c r="H26" i="15"/>
  <c r="I26" i="15" s="1"/>
  <c r="H26" i="16"/>
  <c r="H25" i="15"/>
  <c r="I25" i="15" s="1"/>
  <c r="H25" i="16"/>
  <c r="H19" i="15"/>
  <c r="I19" i="15" s="1"/>
  <c r="H19" i="16"/>
  <c r="I19" i="16" s="1"/>
  <c r="H24" i="15"/>
  <c r="H24" i="16"/>
  <c r="H23" i="15"/>
  <c r="H23" i="16"/>
  <c r="H34" i="15"/>
  <c r="H34" i="16"/>
  <c r="H33" i="15"/>
  <c r="I33" i="15" s="1"/>
  <c r="H33" i="16"/>
  <c r="H42" i="15"/>
  <c r="I42" i="15" s="1"/>
  <c r="H42" i="16"/>
  <c r="H40" i="15"/>
  <c r="H40" i="16"/>
  <c r="H39" i="15"/>
  <c r="H39" i="16"/>
  <c r="H41" i="15"/>
  <c r="H41" i="16"/>
  <c r="I41" i="16" s="1"/>
  <c r="F15" i="25"/>
  <c r="F14" i="25"/>
  <c r="F15" i="26"/>
  <c r="F14" i="26"/>
  <c r="F15" i="1"/>
  <c r="F14" i="1"/>
  <c r="F15" i="6"/>
  <c r="F14" i="6"/>
  <c r="F15" i="24"/>
  <c r="F14" i="24"/>
  <c r="F15" i="7"/>
  <c r="F14" i="7"/>
  <c r="D43" i="19" l="1"/>
  <c r="I35" i="18"/>
  <c r="D34" i="40"/>
  <c r="D33" i="40"/>
  <c r="D32" i="40"/>
  <c r="I42" i="30"/>
  <c r="I41" i="30"/>
  <c r="I40" i="30"/>
  <c r="B16" i="40"/>
  <c r="B39" i="40"/>
  <c r="I31" i="29"/>
  <c r="I30" i="30"/>
  <c r="I29" i="30"/>
  <c r="I26" i="30"/>
  <c r="I25" i="30"/>
  <c r="I22" i="30"/>
  <c r="I21" i="30"/>
  <c r="H19" i="17"/>
  <c r="H42" i="17"/>
  <c r="H38" i="17"/>
  <c r="H34" i="17"/>
  <c r="H30" i="17"/>
  <c r="I30" i="17" s="1"/>
  <c r="H26" i="17"/>
  <c r="I26" i="17" s="1"/>
  <c r="H22" i="17"/>
  <c r="I27" i="16"/>
  <c r="I28" i="16"/>
  <c r="I27" i="15"/>
  <c r="I40" i="15"/>
  <c r="I25" i="37"/>
  <c r="D27" i="40"/>
  <c r="B35" i="40"/>
  <c r="B25" i="40"/>
  <c r="I25" i="18"/>
  <c r="B17" i="7"/>
  <c r="I21" i="23"/>
  <c r="B26" i="33"/>
  <c r="I41" i="19"/>
  <c r="I37" i="19"/>
  <c r="I42" i="29"/>
  <c r="I40" i="29"/>
  <c r="I33" i="23"/>
  <c r="I32" i="29"/>
  <c r="I29" i="31"/>
  <c r="I41" i="18"/>
  <c r="I38" i="37"/>
  <c r="I28" i="18"/>
  <c r="I39" i="15"/>
  <c r="I34" i="17"/>
  <c r="I34" i="15"/>
  <c r="I23" i="15"/>
  <c r="I24" i="16"/>
  <c r="I22" i="16"/>
  <c r="I38" i="30"/>
  <c r="I37" i="30"/>
  <c r="I36" i="30"/>
  <c r="I34" i="30"/>
  <c r="I33" i="30"/>
  <c r="I42" i="19"/>
  <c r="I38" i="19"/>
  <c r="I39" i="29"/>
  <c r="I37" i="29"/>
  <c r="I35" i="29"/>
  <c r="I27" i="23"/>
  <c r="I23" i="23"/>
  <c r="B29" i="40"/>
  <c r="I32" i="18"/>
  <c r="B22" i="40"/>
  <c r="I19" i="18"/>
  <c r="D39" i="40"/>
  <c r="D36" i="40"/>
  <c r="I27" i="37"/>
  <c r="I27" i="22"/>
  <c r="I21" i="37"/>
  <c r="D39" i="7"/>
  <c r="I42" i="16"/>
  <c r="I29" i="23"/>
  <c r="I35" i="23"/>
  <c r="I41" i="29"/>
  <c r="I38" i="29"/>
  <c r="I36" i="29"/>
  <c r="D25" i="40"/>
  <c r="D22" i="40"/>
  <c r="D38" i="40"/>
  <c r="D37" i="40"/>
  <c r="D35" i="40"/>
  <c r="D31" i="40"/>
  <c r="D30" i="40"/>
  <c r="D29" i="40"/>
  <c r="D26" i="40"/>
  <c r="D24" i="40"/>
  <c r="D23" i="40"/>
  <c r="D21" i="40"/>
  <c r="D20" i="40"/>
  <c r="D19" i="40"/>
  <c r="D18" i="40"/>
  <c r="D17" i="40"/>
  <c r="B38" i="40"/>
  <c r="B37" i="40"/>
  <c r="B36" i="40"/>
  <c r="B34" i="40"/>
  <c r="B33" i="40"/>
  <c r="B32" i="40"/>
  <c r="B31" i="40"/>
  <c r="B30" i="40"/>
  <c r="B28" i="40"/>
  <c r="B27" i="40"/>
  <c r="B26" i="40"/>
  <c r="B24" i="40"/>
  <c r="B23" i="40"/>
  <c r="B21" i="40"/>
  <c r="B20" i="40"/>
  <c r="B19" i="40"/>
  <c r="B18" i="40"/>
  <c r="B17" i="40"/>
  <c r="D16" i="40"/>
  <c r="I19" i="36"/>
  <c r="D28" i="40"/>
  <c r="I31" i="36"/>
  <c r="D34" i="26"/>
  <c r="D33" i="26"/>
  <c r="D32" i="26"/>
  <c r="D26" i="26"/>
  <c r="D24" i="26"/>
  <c r="D22" i="26"/>
  <c r="D36" i="26"/>
  <c r="B16" i="26"/>
  <c r="B36" i="26"/>
  <c r="B34" i="26"/>
  <c r="B22" i="26"/>
  <c r="B30" i="26"/>
  <c r="D35" i="26"/>
  <c r="D31" i="26"/>
  <c r="D29" i="26"/>
  <c r="D28" i="26"/>
  <c r="D23" i="26"/>
  <c r="D20" i="26"/>
  <c r="D19" i="26"/>
  <c r="D18" i="26"/>
  <c r="D17" i="26"/>
  <c r="D39" i="26"/>
  <c r="D37" i="26"/>
  <c r="B35" i="26"/>
  <c r="B39" i="26"/>
  <c r="B38" i="26"/>
  <c r="B37" i="26"/>
  <c r="B33" i="26"/>
  <c r="B32" i="26"/>
  <c r="B31" i="26"/>
  <c r="B28" i="26"/>
  <c r="B27" i="26"/>
  <c r="B26" i="26"/>
  <c r="B25" i="26"/>
  <c r="B24" i="26"/>
  <c r="B23" i="26"/>
  <c r="B21" i="26"/>
  <c r="B20" i="26"/>
  <c r="B19" i="26"/>
  <c r="B18" i="26"/>
  <c r="B17" i="26"/>
  <c r="D30" i="26"/>
  <c r="I33" i="18"/>
  <c r="I24" i="18"/>
  <c r="D21" i="26"/>
  <c r="F21" i="26" s="1"/>
  <c r="I30" i="18"/>
  <c r="D27" i="26"/>
  <c r="F27" i="26" s="1"/>
  <c r="D25" i="26"/>
  <c r="D16" i="26"/>
  <c r="D38" i="26"/>
  <c r="B29" i="26"/>
  <c r="B38" i="33"/>
  <c r="B24" i="33"/>
  <c r="I41" i="31"/>
  <c r="I33" i="31"/>
  <c r="I25" i="31"/>
  <c r="I34" i="31"/>
  <c r="I21" i="31"/>
  <c r="I30" i="31"/>
  <c r="I28" i="31"/>
  <c r="I26" i="31"/>
  <c r="I23" i="31"/>
  <c r="I22" i="31"/>
  <c r="I20" i="31"/>
  <c r="I42" i="31"/>
  <c r="I40" i="31"/>
  <c r="I39" i="31"/>
  <c r="I38" i="31"/>
  <c r="I37" i="31"/>
  <c r="I36" i="31"/>
  <c r="I27" i="31"/>
  <c r="I24" i="31"/>
  <c r="I31" i="23"/>
  <c r="I25" i="23"/>
  <c r="I34" i="23"/>
  <c r="I32" i="23"/>
  <c r="I26" i="23"/>
  <c r="I24" i="23"/>
  <c r="I30" i="23"/>
  <c r="I28" i="23"/>
  <c r="I22" i="23"/>
  <c r="I20" i="23"/>
  <c r="I32" i="30"/>
  <c r="I28" i="30"/>
  <c r="I24" i="30"/>
  <c r="I20" i="30"/>
  <c r="I39" i="30"/>
  <c r="I35" i="30"/>
  <c r="I31" i="30"/>
  <c r="I27" i="30"/>
  <c r="I23" i="30"/>
  <c r="I31" i="19"/>
  <c r="I29" i="19"/>
  <c r="I27" i="19"/>
  <c r="I25" i="19"/>
  <c r="I23" i="19"/>
  <c r="I21" i="19"/>
  <c r="I19" i="19"/>
  <c r="I40" i="19"/>
  <c r="I39" i="19"/>
  <c r="I36" i="19"/>
  <c r="I35" i="19"/>
  <c r="I34" i="19"/>
  <c r="I33" i="19"/>
  <c r="I32" i="19"/>
  <c r="I28" i="19"/>
  <c r="I26" i="19"/>
  <c r="I24" i="19"/>
  <c r="I22" i="19"/>
  <c r="B30" i="7"/>
  <c r="I42" i="17"/>
  <c r="B22" i="7"/>
  <c r="I33" i="16"/>
  <c r="I38" i="16"/>
  <c r="I23" i="16"/>
  <c r="B33" i="7"/>
  <c r="I36" i="16"/>
  <c r="B20" i="7"/>
  <c r="B21" i="7"/>
  <c r="B19" i="7"/>
  <c r="B35" i="7"/>
  <c r="I24" i="15"/>
  <c r="I36" i="15"/>
  <c r="I41" i="15"/>
  <c r="I28" i="15"/>
  <c r="B36" i="6"/>
  <c r="B37" i="6"/>
  <c r="B33" i="6"/>
  <c r="B33" i="24"/>
  <c r="D43" i="37"/>
  <c r="I42" i="37"/>
  <c r="I37" i="37"/>
  <c r="I33" i="37"/>
  <c r="I32" i="37"/>
  <c r="I30" i="37"/>
  <c r="I26" i="37"/>
  <c r="I24" i="37"/>
  <c r="I22" i="37"/>
  <c r="I40" i="37"/>
  <c r="I39" i="37"/>
  <c r="I36" i="37"/>
  <c r="I34" i="37"/>
  <c r="I31" i="37"/>
  <c r="I29" i="37"/>
  <c r="I28" i="37"/>
  <c r="I23" i="37"/>
  <c r="I20" i="37"/>
  <c r="I41" i="36"/>
  <c r="D43" i="36"/>
  <c r="I21" i="36"/>
  <c r="I39" i="36"/>
  <c r="I36" i="36"/>
  <c r="I35" i="36"/>
  <c r="I33" i="36"/>
  <c r="I32" i="36"/>
  <c r="I28" i="36"/>
  <c r="I27" i="36"/>
  <c r="I23" i="36"/>
  <c r="I42" i="36"/>
  <c r="I38" i="36"/>
  <c r="I37" i="36"/>
  <c r="I34" i="36"/>
  <c r="I29" i="36"/>
  <c r="I26" i="36"/>
  <c r="I25" i="36"/>
  <c r="I24" i="36"/>
  <c r="I22" i="36"/>
  <c r="I23" i="22"/>
  <c r="I21" i="22"/>
  <c r="D37" i="33"/>
  <c r="I41" i="22"/>
  <c r="I34" i="22"/>
  <c r="I30" i="22"/>
  <c r="I20" i="22"/>
  <c r="I42" i="22"/>
  <c r="I40" i="22"/>
  <c r="I39" i="22"/>
  <c r="I38" i="22"/>
  <c r="I37" i="22"/>
  <c r="I36" i="22"/>
  <c r="I35" i="22"/>
  <c r="I31" i="22"/>
  <c r="I29" i="22"/>
  <c r="I26" i="22"/>
  <c r="I22" i="22"/>
  <c r="I40" i="18"/>
  <c r="D38" i="33"/>
  <c r="B34" i="33"/>
  <c r="B35" i="33"/>
  <c r="B29" i="33"/>
  <c r="B23" i="33"/>
  <c r="D28" i="1"/>
  <c r="D26" i="1"/>
  <c r="D28" i="35"/>
  <c r="I31" i="31"/>
  <c r="H43" i="31"/>
  <c r="I19" i="31"/>
  <c r="I35" i="31"/>
  <c r="D32" i="35"/>
  <c r="I32" i="31"/>
  <c r="D29" i="35"/>
  <c r="B34" i="35"/>
  <c r="F32" i="40"/>
  <c r="B32" i="35"/>
  <c r="B33" i="35"/>
  <c r="D43" i="31"/>
  <c r="I43" i="31" s="1"/>
  <c r="I41" i="23"/>
  <c r="D38" i="35"/>
  <c r="D36" i="35"/>
  <c r="I39" i="23"/>
  <c r="D34" i="35"/>
  <c r="I37" i="23"/>
  <c r="F34" i="40"/>
  <c r="H43" i="23"/>
  <c r="I19" i="23"/>
  <c r="I42" i="23"/>
  <c r="D39" i="35"/>
  <c r="D37" i="35"/>
  <c r="I40" i="23"/>
  <c r="I38" i="23"/>
  <c r="D35" i="35"/>
  <c r="I36" i="23"/>
  <c r="D33" i="35"/>
  <c r="B38" i="35"/>
  <c r="F38" i="35" s="1"/>
  <c r="F36" i="40"/>
  <c r="B36" i="35"/>
  <c r="F36" i="35" s="1"/>
  <c r="D43" i="23"/>
  <c r="F37" i="40"/>
  <c r="B37" i="35"/>
  <c r="B35" i="35"/>
  <c r="F35" i="40"/>
  <c r="H43" i="29"/>
  <c r="I19" i="29"/>
  <c r="D16" i="35"/>
  <c r="I33" i="29"/>
  <c r="D30" i="35"/>
  <c r="I29" i="29"/>
  <c r="D26" i="35"/>
  <c r="I27" i="29"/>
  <c r="D24" i="35"/>
  <c r="I25" i="29"/>
  <c r="D22" i="35"/>
  <c r="I23" i="29"/>
  <c r="D20" i="35"/>
  <c r="D18" i="35"/>
  <c r="I21" i="29"/>
  <c r="I34" i="29"/>
  <c r="D31" i="35"/>
  <c r="I30" i="29"/>
  <c r="D27" i="35"/>
  <c r="I28" i="29"/>
  <c r="D25" i="35"/>
  <c r="I26" i="29"/>
  <c r="D23" i="35"/>
  <c r="I24" i="29"/>
  <c r="D21" i="35"/>
  <c r="D19" i="35"/>
  <c r="I22" i="29"/>
  <c r="I20" i="29"/>
  <c r="D17" i="35"/>
  <c r="F38" i="40"/>
  <c r="B39" i="35"/>
  <c r="F39" i="35" s="1"/>
  <c r="F39" i="40"/>
  <c r="F30" i="40"/>
  <c r="B30" i="35"/>
  <c r="B28" i="35"/>
  <c r="F28" i="35" s="1"/>
  <c r="F28" i="40"/>
  <c r="F26" i="40"/>
  <c r="B26" i="35"/>
  <c r="B24" i="35"/>
  <c r="B22" i="35"/>
  <c r="F22" i="40"/>
  <c r="B20" i="35"/>
  <c r="F20" i="40"/>
  <c r="F18" i="40"/>
  <c r="B18" i="35"/>
  <c r="F18" i="35" s="1"/>
  <c r="B16" i="35"/>
  <c r="D43" i="29"/>
  <c r="I43" i="29" s="1"/>
  <c r="B31" i="35"/>
  <c r="F31" i="40"/>
  <c r="B29" i="35"/>
  <c r="F29" i="35" s="1"/>
  <c r="F29" i="40"/>
  <c r="F27" i="40"/>
  <c r="B27" i="35"/>
  <c r="F27" i="35" s="1"/>
  <c r="F25" i="40"/>
  <c r="B25" i="35"/>
  <c r="F25" i="35" s="1"/>
  <c r="B23" i="35"/>
  <c r="F23" i="40"/>
  <c r="F21" i="40"/>
  <c r="B21" i="35"/>
  <c r="F21" i="35" s="1"/>
  <c r="F19" i="40"/>
  <c r="B19" i="35"/>
  <c r="F19" i="35" s="1"/>
  <c r="F17" i="40"/>
  <c r="B17" i="35"/>
  <c r="F17" i="35" s="1"/>
  <c r="I19" i="30"/>
  <c r="H43" i="30"/>
  <c r="D43" i="30"/>
  <c r="B35" i="34"/>
  <c r="B33" i="34"/>
  <c r="B31" i="34"/>
  <c r="B29" i="34"/>
  <c r="B27" i="34"/>
  <c r="B25" i="34"/>
  <c r="B23" i="34"/>
  <c r="B21" i="34"/>
  <c r="B19" i="34"/>
  <c r="B17" i="34"/>
  <c r="B38" i="34"/>
  <c r="B36" i="34"/>
  <c r="B34" i="34"/>
  <c r="B32" i="34"/>
  <c r="B30" i="34"/>
  <c r="B28" i="34"/>
  <c r="B26" i="34"/>
  <c r="B24" i="34"/>
  <c r="B22" i="34"/>
  <c r="B20" i="34"/>
  <c r="B18" i="34"/>
  <c r="B39" i="34"/>
  <c r="B37" i="34"/>
  <c r="D16" i="34"/>
  <c r="H43" i="21"/>
  <c r="I19" i="21"/>
  <c r="I41" i="21"/>
  <c r="D38" i="34"/>
  <c r="D36" i="34"/>
  <c r="I39" i="21"/>
  <c r="D34" i="34"/>
  <c r="I37" i="21"/>
  <c r="I35" i="21"/>
  <c r="D32" i="34"/>
  <c r="D30" i="34"/>
  <c r="I33" i="21"/>
  <c r="D28" i="34"/>
  <c r="I31" i="21"/>
  <c r="D26" i="34"/>
  <c r="I29" i="21"/>
  <c r="I27" i="21"/>
  <c r="D24" i="34"/>
  <c r="D22" i="34"/>
  <c r="I25" i="21"/>
  <c r="D20" i="34"/>
  <c r="I23" i="21"/>
  <c r="D18" i="34"/>
  <c r="I21" i="21"/>
  <c r="I42" i="21"/>
  <c r="D39" i="34"/>
  <c r="D37" i="34"/>
  <c r="I40" i="21"/>
  <c r="D35" i="34"/>
  <c r="I38" i="21"/>
  <c r="D33" i="34"/>
  <c r="D45" i="34" s="1"/>
  <c r="H45" i="34" s="1"/>
  <c r="I36" i="21"/>
  <c r="I34" i="21"/>
  <c r="D31" i="34"/>
  <c r="I32" i="21"/>
  <c r="D29" i="34"/>
  <c r="D27" i="34"/>
  <c r="I30" i="21"/>
  <c r="D25" i="34"/>
  <c r="I28" i="21"/>
  <c r="I26" i="21"/>
  <c r="D23" i="34"/>
  <c r="I24" i="21"/>
  <c r="D21" i="34"/>
  <c r="F21" i="34" s="1"/>
  <c r="D19" i="34"/>
  <c r="I22" i="21"/>
  <c r="D17" i="34"/>
  <c r="F17" i="34" s="1"/>
  <c r="I20" i="21"/>
  <c r="F35" i="34"/>
  <c r="F31" i="34"/>
  <c r="F27" i="34"/>
  <c r="F23" i="34"/>
  <c r="F19" i="34"/>
  <c r="F38" i="34"/>
  <c r="F36" i="34"/>
  <c r="F34" i="34"/>
  <c r="F32" i="34"/>
  <c r="F30" i="34"/>
  <c r="F28" i="34"/>
  <c r="F26" i="34"/>
  <c r="F22" i="34"/>
  <c r="F18" i="34"/>
  <c r="F37" i="34"/>
  <c r="D43" i="21"/>
  <c r="B16" i="34"/>
  <c r="B45" i="34"/>
  <c r="E45" i="34" s="1"/>
  <c r="B44" i="34"/>
  <c r="E44" i="34" s="1"/>
  <c r="D27" i="33"/>
  <c r="I30" i="19"/>
  <c r="I20" i="19"/>
  <c r="H43" i="19"/>
  <c r="I43" i="19" s="1"/>
  <c r="D32" i="33"/>
  <c r="B28" i="33"/>
  <c r="F38" i="33"/>
  <c r="I19" i="17"/>
  <c r="D16" i="7"/>
  <c r="I22" i="17"/>
  <c r="D19" i="7"/>
  <c r="F19" i="7" s="1"/>
  <c r="D35" i="7"/>
  <c r="F35" i="7" s="1"/>
  <c r="I38" i="17"/>
  <c r="B37" i="7"/>
  <c r="B37" i="24"/>
  <c r="B36" i="7"/>
  <c r="B36" i="24"/>
  <c r="D43" i="17"/>
  <c r="B31" i="7"/>
  <c r="B23" i="7"/>
  <c r="B18" i="7"/>
  <c r="B25" i="7"/>
  <c r="B27" i="7"/>
  <c r="B26" i="7"/>
  <c r="B28" i="7"/>
  <c r="B32" i="7"/>
  <c r="B38" i="7"/>
  <c r="B39" i="7"/>
  <c r="B24" i="7"/>
  <c r="B29" i="7"/>
  <c r="B34" i="7"/>
  <c r="I40" i="16"/>
  <c r="I25" i="16"/>
  <c r="I30" i="16"/>
  <c r="D27" i="7"/>
  <c r="F27" i="7" s="1"/>
  <c r="I31" i="16"/>
  <c r="I37" i="16"/>
  <c r="I39" i="16"/>
  <c r="I34" i="16"/>
  <c r="D31" i="7"/>
  <c r="D23" i="7"/>
  <c r="I26" i="16"/>
  <c r="H43" i="16"/>
  <c r="I20" i="16"/>
  <c r="I21" i="16"/>
  <c r="I29" i="16"/>
  <c r="I32" i="16"/>
  <c r="I35" i="16"/>
  <c r="F39" i="7"/>
  <c r="B16" i="7"/>
  <c r="D43" i="16"/>
  <c r="B19" i="24"/>
  <c r="I21" i="15"/>
  <c r="H43" i="15"/>
  <c r="B31" i="24"/>
  <c r="B31" i="6"/>
  <c r="B23" i="24"/>
  <c r="B23" i="6"/>
  <c r="B18" i="24"/>
  <c r="B18" i="6"/>
  <c r="B28" i="6"/>
  <c r="B28" i="24"/>
  <c r="D43" i="15"/>
  <c r="B20" i="6"/>
  <c r="B20" i="24"/>
  <c r="B22" i="24"/>
  <c r="B22" i="6"/>
  <c r="B26" i="24"/>
  <c r="B26" i="6"/>
  <c r="B34" i="6"/>
  <c r="B34" i="24"/>
  <c r="B19" i="6"/>
  <c r="D39" i="24"/>
  <c r="D39" i="6"/>
  <c r="I42" i="14"/>
  <c r="D37" i="6"/>
  <c r="F37" i="6" s="1"/>
  <c r="I40" i="14"/>
  <c r="D35" i="24"/>
  <c r="I38" i="14"/>
  <c r="D35" i="6"/>
  <c r="D33" i="6"/>
  <c r="I36" i="14"/>
  <c r="D31" i="24"/>
  <c r="F31" i="24" s="1"/>
  <c r="D31" i="6"/>
  <c r="F31" i="6" s="1"/>
  <c r="I34" i="14"/>
  <c r="D29" i="6"/>
  <c r="I32" i="14"/>
  <c r="D27" i="6"/>
  <c r="I30" i="14"/>
  <c r="D27" i="24"/>
  <c r="D25" i="6"/>
  <c r="I28" i="14"/>
  <c r="I26" i="14"/>
  <c r="D23" i="6"/>
  <c r="F23" i="6" s="1"/>
  <c r="D23" i="24"/>
  <c r="F23" i="24" s="1"/>
  <c r="I24" i="14"/>
  <c r="D21" i="6"/>
  <c r="D19" i="24"/>
  <c r="F19" i="24" s="1"/>
  <c r="I22" i="14"/>
  <c r="D19" i="6"/>
  <c r="D17" i="6"/>
  <c r="I20" i="14"/>
  <c r="D38" i="6"/>
  <c r="I41" i="14"/>
  <c r="D36" i="6"/>
  <c r="F36" i="6" s="1"/>
  <c r="I39" i="14"/>
  <c r="D34" i="6"/>
  <c r="F34" i="6" s="1"/>
  <c r="I37" i="14"/>
  <c r="I35" i="14"/>
  <c r="D32" i="6"/>
  <c r="D30" i="6"/>
  <c r="I33" i="14"/>
  <c r="D28" i="6"/>
  <c r="F28" i="6" s="1"/>
  <c r="I31" i="14"/>
  <c r="I29" i="14"/>
  <c r="D26" i="6"/>
  <c r="F26" i="6" s="1"/>
  <c r="D24" i="6"/>
  <c r="D44" i="6" s="1"/>
  <c r="H44" i="6" s="1"/>
  <c r="I27" i="14"/>
  <c r="I25" i="14"/>
  <c r="D22" i="6"/>
  <c r="F22" i="6" s="1"/>
  <c r="D20" i="6"/>
  <c r="F20" i="6" s="1"/>
  <c r="I23" i="14"/>
  <c r="D18" i="6"/>
  <c r="F18" i="6" s="1"/>
  <c r="I21" i="14"/>
  <c r="D16" i="24"/>
  <c r="H43" i="14"/>
  <c r="I19" i="14"/>
  <c r="D16" i="6"/>
  <c r="B38" i="24"/>
  <c r="B38" i="6"/>
  <c r="B21" i="24"/>
  <c r="B21" i="6"/>
  <c r="F21" i="6" s="1"/>
  <c r="B24" i="24"/>
  <c r="B24" i="6"/>
  <c r="B25" i="6"/>
  <c r="F25" i="6" s="1"/>
  <c r="B25" i="24"/>
  <c r="B29" i="24"/>
  <c r="B29" i="6"/>
  <c r="F29" i="6" s="1"/>
  <c r="B32" i="6"/>
  <c r="F32" i="6" s="1"/>
  <c r="B32" i="24"/>
  <c r="B30" i="24"/>
  <c r="B30" i="6"/>
  <c r="B16" i="6"/>
  <c r="B16" i="24"/>
  <c r="D43" i="14"/>
  <c r="B17" i="6"/>
  <c r="F17" i="6" s="1"/>
  <c r="B17" i="24"/>
  <c r="B27" i="24"/>
  <c r="B27" i="6"/>
  <c r="F27" i="6" s="1"/>
  <c r="B35" i="24"/>
  <c r="B35" i="6"/>
  <c r="F35" i="6" s="1"/>
  <c r="B39" i="24"/>
  <c r="B39" i="6"/>
  <c r="F39" i="6" s="1"/>
  <c r="H43" i="37"/>
  <c r="I19" i="37"/>
  <c r="I41" i="37"/>
  <c r="I35" i="37"/>
  <c r="I43" i="37"/>
  <c r="I30" i="36"/>
  <c r="I40" i="36"/>
  <c r="H43" i="36"/>
  <c r="I20" i="36"/>
  <c r="I43" i="36"/>
  <c r="H43" i="22"/>
  <c r="I19" i="22"/>
  <c r="D16" i="33"/>
  <c r="D22" i="33"/>
  <c r="I25" i="22"/>
  <c r="D21" i="33"/>
  <c r="I24" i="22"/>
  <c r="D30" i="33"/>
  <c r="I33" i="22"/>
  <c r="D29" i="33"/>
  <c r="F29" i="33" s="1"/>
  <c r="I32" i="22"/>
  <c r="I28" i="22"/>
  <c r="D25" i="33"/>
  <c r="B36" i="33"/>
  <c r="B19" i="33"/>
  <c r="B37" i="33"/>
  <c r="F37" i="33" s="1"/>
  <c r="D43" i="22"/>
  <c r="I43" i="22" s="1"/>
  <c r="I42" i="18"/>
  <c r="D39" i="33"/>
  <c r="I38" i="18"/>
  <c r="F35" i="26"/>
  <c r="D35" i="33"/>
  <c r="F35" i="33" s="1"/>
  <c r="D33" i="33"/>
  <c r="I36" i="18"/>
  <c r="F28" i="26"/>
  <c r="I31" i="18"/>
  <c r="D28" i="33"/>
  <c r="F28" i="33" s="1"/>
  <c r="D24" i="33"/>
  <c r="I27" i="18"/>
  <c r="I23" i="18"/>
  <c r="D20" i="33"/>
  <c r="D18" i="33"/>
  <c r="I21" i="18"/>
  <c r="I39" i="18"/>
  <c r="D36" i="33"/>
  <c r="F36" i="33" s="1"/>
  <c r="I37" i="18"/>
  <c r="D34" i="33"/>
  <c r="F34" i="33" s="1"/>
  <c r="D31" i="33"/>
  <c r="I34" i="18"/>
  <c r="D26" i="33"/>
  <c r="F26" i="33" s="1"/>
  <c r="I29" i="18"/>
  <c r="D23" i="33"/>
  <c r="F23" i="33" s="1"/>
  <c r="I26" i="18"/>
  <c r="F23" i="26"/>
  <c r="D19" i="33"/>
  <c r="F19" i="33" s="1"/>
  <c r="I22" i="18"/>
  <c r="H43" i="18"/>
  <c r="D17" i="33"/>
  <c r="I20" i="18"/>
  <c r="F38" i="26"/>
  <c r="D43" i="18"/>
  <c r="B16" i="33"/>
  <c r="B33" i="33"/>
  <c r="B31" i="33"/>
  <c r="F31" i="26"/>
  <c r="B27" i="33"/>
  <c r="F27" i="33" s="1"/>
  <c r="B22" i="33"/>
  <c r="F22" i="33" s="1"/>
  <c r="F22" i="26"/>
  <c r="B20" i="33"/>
  <c r="F20" i="26"/>
  <c r="B17" i="33"/>
  <c r="F39" i="26"/>
  <c r="B39" i="33"/>
  <c r="F39" i="33" s="1"/>
  <c r="B32" i="33"/>
  <c r="F32" i="33" s="1"/>
  <c r="B30" i="33"/>
  <c r="F30" i="33" s="1"/>
  <c r="F30" i="26"/>
  <c r="B25" i="33"/>
  <c r="F25" i="33" s="1"/>
  <c r="F25" i="26"/>
  <c r="B21" i="33"/>
  <c r="F21" i="33" s="1"/>
  <c r="B18" i="33"/>
  <c r="F18" i="33" s="1"/>
  <c r="F18" i="26"/>
  <c r="D36" i="1"/>
  <c r="D39" i="1"/>
  <c r="D39" i="25"/>
  <c r="D39" i="27" s="1"/>
  <c r="D31" i="25"/>
  <c r="D31" i="1"/>
  <c r="D24" i="1"/>
  <c r="D19" i="1"/>
  <c r="D19" i="25"/>
  <c r="D19" i="27" s="1"/>
  <c r="D27" i="25"/>
  <c r="D27" i="27" s="1"/>
  <c r="D27" i="1"/>
  <c r="D37" i="1"/>
  <c r="D30" i="1"/>
  <c r="H43" i="13"/>
  <c r="D17" i="1"/>
  <c r="D25" i="1"/>
  <c r="D38" i="1"/>
  <c r="D43" i="13"/>
  <c r="D21" i="1"/>
  <c r="D22" i="1"/>
  <c r="D18" i="1"/>
  <c r="D35" i="25"/>
  <c r="D35" i="27" s="1"/>
  <c r="D35" i="1"/>
  <c r="D33" i="1"/>
  <c r="D20" i="1"/>
  <c r="D16" i="1"/>
  <c r="H43" i="5"/>
  <c r="D16" i="25"/>
  <c r="D23" i="1"/>
  <c r="D23" i="25"/>
  <c r="D29" i="1"/>
  <c r="D34" i="1"/>
  <c r="D32" i="1"/>
  <c r="B38" i="25"/>
  <c r="B38" i="1"/>
  <c r="B37" i="1"/>
  <c r="F37" i="1" s="1"/>
  <c r="B37" i="25"/>
  <c r="B30" i="1"/>
  <c r="F30" i="1" s="1"/>
  <c r="B30" i="25"/>
  <c r="B20" i="25"/>
  <c r="B20" i="1"/>
  <c r="B16" i="1"/>
  <c r="B16" i="25"/>
  <c r="D43" i="5"/>
  <c r="B23" i="1"/>
  <c r="B23" i="25"/>
  <c r="B17" i="1"/>
  <c r="F17" i="1" s="1"/>
  <c r="B17" i="25"/>
  <c r="B19" i="1"/>
  <c r="F19" i="1" s="1"/>
  <c r="B19" i="25"/>
  <c r="B27" i="25"/>
  <c r="B27" i="1"/>
  <c r="F27" i="1" s="1"/>
  <c r="B28" i="1"/>
  <c r="F28" i="1" s="1"/>
  <c r="B28" i="25"/>
  <c r="B35" i="25"/>
  <c r="B35" i="1"/>
  <c r="F35" i="1" s="1"/>
  <c r="B33" i="25"/>
  <c r="B33" i="1"/>
  <c r="B36" i="25"/>
  <c r="B36" i="1"/>
  <c r="F36" i="1" s="1"/>
  <c r="B39" i="1"/>
  <c r="F39" i="1" s="1"/>
  <c r="B39" i="25"/>
  <c r="B31" i="1"/>
  <c r="F31" i="1" s="1"/>
  <c r="B31" i="25"/>
  <c r="B21" i="25"/>
  <c r="B21" i="1"/>
  <c r="F21" i="1" s="1"/>
  <c r="B22" i="25"/>
  <c r="B22" i="1"/>
  <c r="F22" i="1" s="1"/>
  <c r="B24" i="25"/>
  <c r="B24" i="1"/>
  <c r="B18" i="1"/>
  <c r="F18" i="1" s="1"/>
  <c r="B18" i="25"/>
  <c r="B25" i="1"/>
  <c r="F25" i="1" s="1"/>
  <c r="B25" i="25"/>
  <c r="B26" i="25"/>
  <c r="B26" i="1"/>
  <c r="F26" i="1" s="1"/>
  <c r="B29" i="1"/>
  <c r="B29" i="25"/>
  <c r="B34" i="1"/>
  <c r="F34" i="1" s="1"/>
  <c r="B34" i="25"/>
  <c r="B32" i="1"/>
  <c r="F32" i="1" s="1"/>
  <c r="B32" i="25"/>
  <c r="F32" i="35" l="1"/>
  <c r="B44" i="7"/>
  <c r="E44" i="7" s="1"/>
  <c r="F23" i="7"/>
  <c r="I43" i="21"/>
  <c r="B40" i="40"/>
  <c r="I43" i="18"/>
  <c r="I43" i="5"/>
  <c r="I43" i="16"/>
  <c r="F29" i="1"/>
  <c r="F37" i="26"/>
  <c r="F17" i="26"/>
  <c r="F29" i="26"/>
  <c r="F32" i="26"/>
  <c r="F34" i="26"/>
  <c r="D23" i="27"/>
  <c r="J45" i="34"/>
  <c r="F20" i="1"/>
  <c r="F31" i="7"/>
  <c r="H20" i="17"/>
  <c r="H21" i="17"/>
  <c r="H24" i="17"/>
  <c r="H25" i="17"/>
  <c r="H28" i="17"/>
  <c r="H29" i="17"/>
  <c r="H32" i="17"/>
  <c r="H33" i="17"/>
  <c r="H36" i="17"/>
  <c r="H37" i="17"/>
  <c r="H40" i="17"/>
  <c r="H41" i="17"/>
  <c r="H27" i="17"/>
  <c r="H35" i="17"/>
  <c r="H23" i="17"/>
  <c r="H31" i="17"/>
  <c r="H39" i="17"/>
  <c r="I43" i="13"/>
  <c r="B45" i="7"/>
  <c r="E45" i="7" s="1"/>
  <c r="I43" i="23"/>
  <c r="F34" i="35"/>
  <c r="F20" i="33"/>
  <c r="F30" i="35"/>
  <c r="F17" i="33"/>
  <c r="F22" i="35"/>
  <c r="F26" i="35"/>
  <c r="F37" i="35"/>
  <c r="F23" i="35"/>
  <c r="F31" i="35"/>
  <c r="F20" i="35"/>
  <c r="F35" i="35"/>
  <c r="F39" i="34"/>
  <c r="F20" i="34"/>
  <c r="F24" i="34"/>
  <c r="F25" i="34"/>
  <c r="F29" i="34"/>
  <c r="F33" i="34"/>
  <c r="I43" i="30"/>
  <c r="D31" i="27"/>
  <c r="F31" i="33"/>
  <c r="I43" i="15"/>
  <c r="I43" i="14"/>
  <c r="F23" i="1"/>
  <c r="F38" i="1"/>
  <c r="D44" i="35"/>
  <c r="H44" i="35" s="1"/>
  <c r="D45" i="26"/>
  <c r="H45" i="26" s="1"/>
  <c r="D44" i="40"/>
  <c r="H44" i="40" s="1"/>
  <c r="B45" i="35"/>
  <c r="E45" i="35" s="1"/>
  <c r="B44" i="26"/>
  <c r="E44" i="26" s="1"/>
  <c r="B45" i="40"/>
  <c r="E45" i="40" s="1"/>
  <c r="D45" i="40"/>
  <c r="H45" i="40" s="1"/>
  <c r="F33" i="40"/>
  <c r="D45" i="35"/>
  <c r="H45" i="35" s="1"/>
  <c r="F33" i="35"/>
  <c r="D46" i="40"/>
  <c r="H46" i="40" s="1"/>
  <c r="D40" i="40"/>
  <c r="F40" i="40" s="1"/>
  <c r="D46" i="35"/>
  <c r="H46" i="35" s="1"/>
  <c r="D40" i="35"/>
  <c r="B46" i="35"/>
  <c r="E46" i="35" s="1"/>
  <c r="J46" i="35" s="1"/>
  <c r="F16" i="35"/>
  <c r="B40" i="35"/>
  <c r="B44" i="35"/>
  <c r="E44" i="35" s="1"/>
  <c r="F24" i="35"/>
  <c r="F16" i="40"/>
  <c r="B46" i="40"/>
  <c r="E46" i="40" s="1"/>
  <c r="F24" i="40"/>
  <c r="B44" i="40"/>
  <c r="E44" i="40" s="1"/>
  <c r="J44" i="40" s="1"/>
  <c r="D44" i="34"/>
  <c r="H44" i="34" s="1"/>
  <c r="J44" i="34" s="1"/>
  <c r="D40" i="34"/>
  <c r="D46" i="34"/>
  <c r="H46" i="34" s="1"/>
  <c r="F16" i="34"/>
  <c r="B46" i="34"/>
  <c r="E46" i="34" s="1"/>
  <c r="J46" i="34" s="1"/>
  <c r="B40" i="34"/>
  <c r="F40" i="34" s="1"/>
  <c r="D45" i="33"/>
  <c r="H45" i="33" s="1"/>
  <c r="B44" i="33"/>
  <c r="E44" i="33" s="1"/>
  <c r="B45" i="24"/>
  <c r="E45" i="24" s="1"/>
  <c r="B40" i="7"/>
  <c r="F16" i="7"/>
  <c r="B46" i="7"/>
  <c r="E46" i="7" s="1"/>
  <c r="F19" i="6"/>
  <c r="B45" i="6"/>
  <c r="E45" i="6" s="1"/>
  <c r="D46" i="6"/>
  <c r="H46" i="6" s="1"/>
  <c r="D40" i="6"/>
  <c r="F33" i="6"/>
  <c r="D45" i="6"/>
  <c r="H45" i="6" s="1"/>
  <c r="J45" i="6" s="1"/>
  <c r="F39" i="24"/>
  <c r="F35" i="24"/>
  <c r="F27" i="24"/>
  <c r="F30" i="6"/>
  <c r="F38" i="6"/>
  <c r="F16" i="6"/>
  <c r="B46" i="6"/>
  <c r="E46" i="6" s="1"/>
  <c r="J46" i="6" s="1"/>
  <c r="B40" i="6"/>
  <c r="F40" i="6" s="1"/>
  <c r="B44" i="24"/>
  <c r="E44" i="24" s="1"/>
  <c r="B46" i="24"/>
  <c r="E46" i="24" s="1"/>
  <c r="B40" i="24"/>
  <c r="F16" i="24"/>
  <c r="B44" i="6"/>
  <c r="E44" i="6" s="1"/>
  <c r="J44" i="6" s="1"/>
  <c r="F24" i="6"/>
  <c r="F19" i="26"/>
  <c r="F36" i="26"/>
  <c r="D46" i="33"/>
  <c r="H46" i="33" s="1"/>
  <c r="D40" i="33"/>
  <c r="D46" i="26"/>
  <c r="H46" i="26" s="1"/>
  <c r="D40" i="26"/>
  <c r="D44" i="26"/>
  <c r="H44" i="26" s="1"/>
  <c r="J44" i="26" s="1"/>
  <c r="F24" i="26"/>
  <c r="D44" i="33"/>
  <c r="H44" i="33" s="1"/>
  <c r="J44" i="33" s="1"/>
  <c r="F24" i="33"/>
  <c r="F26" i="26"/>
  <c r="B45" i="26"/>
  <c r="E45" i="26" s="1"/>
  <c r="F33" i="26"/>
  <c r="B46" i="26"/>
  <c r="E46" i="26" s="1"/>
  <c r="B40" i="26"/>
  <c r="F16" i="26"/>
  <c r="B45" i="33"/>
  <c r="E45" i="33" s="1"/>
  <c r="J45" i="33" s="1"/>
  <c r="F33" i="33"/>
  <c r="F16" i="33"/>
  <c r="B46" i="33"/>
  <c r="E46" i="33" s="1"/>
  <c r="B40" i="33"/>
  <c r="F40" i="33" s="1"/>
  <c r="D45" i="1"/>
  <c r="H45" i="1" s="1"/>
  <c r="D44" i="1"/>
  <c r="H44" i="1" s="1"/>
  <c r="D46" i="1"/>
  <c r="H46" i="1" s="1"/>
  <c r="D40" i="1"/>
  <c r="D16" i="27"/>
  <c r="B32" i="27"/>
  <c r="B34" i="27"/>
  <c r="B29" i="27"/>
  <c r="B25" i="27"/>
  <c r="B18" i="27"/>
  <c r="F24" i="1"/>
  <c r="B44" i="1"/>
  <c r="E44" i="1" s="1"/>
  <c r="J44" i="1" s="1"/>
  <c r="B31" i="27"/>
  <c r="F31" i="27" s="1"/>
  <c r="F31" i="25"/>
  <c r="F39" i="25"/>
  <c r="B39" i="27"/>
  <c r="F39" i="27" s="1"/>
  <c r="F33" i="1"/>
  <c r="B45" i="1"/>
  <c r="E45" i="1" s="1"/>
  <c r="J45" i="1" s="1"/>
  <c r="B28" i="27"/>
  <c r="F19" i="25"/>
  <c r="B19" i="27"/>
  <c r="F19" i="27" s="1"/>
  <c r="B17" i="27"/>
  <c r="B23" i="27"/>
  <c r="F23" i="27" s="1"/>
  <c r="F23" i="25"/>
  <c r="F16" i="1"/>
  <c r="B40" i="1"/>
  <c r="F40" i="1" s="1"/>
  <c r="B46" i="1"/>
  <c r="E46" i="1" s="1"/>
  <c r="B20" i="27"/>
  <c r="B38" i="27"/>
  <c r="B26" i="27"/>
  <c r="B24" i="27"/>
  <c r="B44" i="25"/>
  <c r="E44" i="25" s="1"/>
  <c r="B22" i="27"/>
  <c r="B21" i="27"/>
  <c r="B36" i="27"/>
  <c r="B45" i="25"/>
  <c r="E45" i="25" s="1"/>
  <c r="B33" i="27"/>
  <c r="B35" i="27"/>
  <c r="F35" i="27" s="1"/>
  <c r="F35" i="25"/>
  <c r="F27" i="25"/>
  <c r="B27" i="27"/>
  <c r="F27" i="27" s="1"/>
  <c r="B46" i="25"/>
  <c r="E46" i="25" s="1"/>
  <c r="F16" i="25"/>
  <c r="B40" i="25"/>
  <c r="B16" i="27"/>
  <c r="B30" i="27"/>
  <c r="B37" i="27"/>
  <c r="J45" i="26" l="1"/>
  <c r="J46" i="33"/>
  <c r="J44" i="35"/>
  <c r="J45" i="35"/>
  <c r="F40" i="26"/>
  <c r="J46" i="26"/>
  <c r="D36" i="25"/>
  <c r="I39" i="17"/>
  <c r="D36" i="7"/>
  <c r="F36" i="7" s="1"/>
  <c r="D36" i="24"/>
  <c r="F36" i="24" s="1"/>
  <c r="D20" i="7"/>
  <c r="F20" i="7" s="1"/>
  <c r="I23" i="17"/>
  <c r="D20" i="24"/>
  <c r="F20" i="24" s="1"/>
  <c r="D20" i="25"/>
  <c r="I35" i="17"/>
  <c r="D32" i="7"/>
  <c r="F32" i="7" s="1"/>
  <c r="D32" i="24"/>
  <c r="F32" i="24" s="1"/>
  <c r="D32" i="25"/>
  <c r="D38" i="7"/>
  <c r="F38" i="7" s="1"/>
  <c r="I41" i="17"/>
  <c r="D38" i="24"/>
  <c r="F38" i="24" s="1"/>
  <c r="D38" i="25"/>
  <c r="I37" i="17"/>
  <c r="D34" i="24"/>
  <c r="F34" i="24" s="1"/>
  <c r="D34" i="25"/>
  <c r="D34" i="7"/>
  <c r="F34" i="7" s="1"/>
  <c r="I33" i="17"/>
  <c r="D30" i="24"/>
  <c r="F30" i="24" s="1"/>
  <c r="D30" i="7"/>
  <c r="F30" i="7" s="1"/>
  <c r="D30" i="25"/>
  <c r="I29" i="17"/>
  <c r="D26" i="7"/>
  <c r="F26" i="7" s="1"/>
  <c r="D26" i="25"/>
  <c r="D26" i="24"/>
  <c r="F26" i="24" s="1"/>
  <c r="I25" i="17"/>
  <c r="D22" i="7"/>
  <c r="F22" i="7" s="1"/>
  <c r="D22" i="24"/>
  <c r="F22" i="24" s="1"/>
  <c r="D22" i="25"/>
  <c r="I21" i="17"/>
  <c r="D18" i="7"/>
  <c r="F18" i="7" s="1"/>
  <c r="D18" i="24"/>
  <c r="F18" i="24" s="1"/>
  <c r="D18" i="25"/>
  <c r="I31" i="17"/>
  <c r="D28" i="24"/>
  <c r="F28" i="24" s="1"/>
  <c r="D28" i="25"/>
  <c r="D28" i="7"/>
  <c r="F28" i="7" s="1"/>
  <c r="D24" i="7"/>
  <c r="D24" i="25"/>
  <c r="I27" i="17"/>
  <c r="D24" i="24"/>
  <c r="I40" i="17"/>
  <c r="D37" i="7"/>
  <c r="F37" i="7" s="1"/>
  <c r="D37" i="24"/>
  <c r="F37" i="24" s="1"/>
  <c r="D37" i="25"/>
  <c r="D33" i="7"/>
  <c r="I36" i="17"/>
  <c r="D33" i="24"/>
  <c r="D33" i="25"/>
  <c r="D29" i="24"/>
  <c r="F29" i="24" s="1"/>
  <c r="I32" i="17"/>
  <c r="D29" i="7"/>
  <c r="F29" i="7" s="1"/>
  <c r="D29" i="25"/>
  <c r="D25" i="7"/>
  <c r="F25" i="7" s="1"/>
  <c r="I28" i="17"/>
  <c r="D25" i="24"/>
  <c r="F25" i="24" s="1"/>
  <c r="D25" i="25"/>
  <c r="D21" i="7"/>
  <c r="F21" i="7" s="1"/>
  <c r="I24" i="17"/>
  <c r="D21" i="24"/>
  <c r="F21" i="24" s="1"/>
  <c r="D21" i="25"/>
  <c r="I20" i="17"/>
  <c r="D17" i="25"/>
  <c r="H43" i="17"/>
  <c r="I43" i="17" s="1"/>
  <c r="D17" i="7"/>
  <c r="D17" i="24"/>
  <c r="J46" i="40"/>
  <c r="F40" i="35"/>
  <c r="J45" i="40"/>
  <c r="J46" i="1"/>
  <c r="B40" i="27"/>
  <c r="B46" i="27"/>
  <c r="E46" i="27" s="1"/>
  <c r="F16" i="27"/>
  <c r="B45" i="27"/>
  <c r="E45" i="27" s="1"/>
  <c r="B44" i="27"/>
  <c r="E44" i="27" s="1"/>
  <c r="F17" i="24" l="1"/>
  <c r="D46" i="24"/>
  <c r="H46" i="24" s="1"/>
  <c r="J46" i="24" s="1"/>
  <c r="D40" i="24"/>
  <c r="F40" i="24" s="1"/>
  <c r="D45" i="24"/>
  <c r="H45" i="24" s="1"/>
  <c r="J45" i="24" s="1"/>
  <c r="F33" i="24"/>
  <c r="F33" i="7"/>
  <c r="D45" i="7"/>
  <c r="H45" i="7" s="1"/>
  <c r="J45" i="7" s="1"/>
  <c r="F24" i="7"/>
  <c r="D44" i="7"/>
  <c r="H44" i="7" s="1"/>
  <c r="J44" i="7" s="1"/>
  <c r="D28" i="27"/>
  <c r="F28" i="27" s="1"/>
  <c r="F28" i="25"/>
  <c r="D18" i="27"/>
  <c r="F18" i="27" s="1"/>
  <c r="F18" i="25"/>
  <c r="D22" i="27"/>
  <c r="F22" i="27" s="1"/>
  <c r="F22" i="25"/>
  <c r="D30" i="27"/>
  <c r="F30" i="27" s="1"/>
  <c r="F30" i="25"/>
  <c r="D38" i="27"/>
  <c r="F38" i="27" s="1"/>
  <c r="F38" i="25"/>
  <c r="D32" i="27"/>
  <c r="F32" i="27" s="1"/>
  <c r="F32" i="25"/>
  <c r="D20" i="27"/>
  <c r="F20" i="27" s="1"/>
  <c r="F20" i="25"/>
  <c r="F17" i="7"/>
  <c r="D46" i="7"/>
  <c r="H46" i="7" s="1"/>
  <c r="J46" i="7" s="1"/>
  <c r="D40" i="7"/>
  <c r="F40" i="7" s="1"/>
  <c r="D17" i="27"/>
  <c r="D40" i="25"/>
  <c r="F40" i="25" s="1"/>
  <c r="F17" i="25"/>
  <c r="D46" i="25"/>
  <c r="H46" i="25" s="1"/>
  <c r="J46" i="25" s="1"/>
  <c r="D21" i="27"/>
  <c r="F21" i="27" s="1"/>
  <c r="F21" i="25"/>
  <c r="D25" i="27"/>
  <c r="F25" i="27" s="1"/>
  <c r="F25" i="25"/>
  <c r="D29" i="27"/>
  <c r="F29" i="27" s="1"/>
  <c r="F29" i="25"/>
  <c r="D33" i="27"/>
  <c r="F33" i="25"/>
  <c r="D45" i="25"/>
  <c r="H45" i="25" s="1"/>
  <c r="J45" i="25" s="1"/>
  <c r="D37" i="27"/>
  <c r="F37" i="27" s="1"/>
  <c r="F37" i="25"/>
  <c r="D44" i="24"/>
  <c r="H44" i="24" s="1"/>
  <c r="J44" i="24" s="1"/>
  <c r="F24" i="24"/>
  <c r="D24" i="27"/>
  <c r="D44" i="25"/>
  <c r="H44" i="25" s="1"/>
  <c r="J44" i="25" s="1"/>
  <c r="F24" i="25"/>
  <c r="D26" i="27"/>
  <c r="F26" i="27" s="1"/>
  <c r="F26" i="25"/>
  <c r="D34" i="27"/>
  <c r="F34" i="27" s="1"/>
  <c r="F34" i="25"/>
  <c r="D36" i="27"/>
  <c r="F36" i="27" s="1"/>
  <c r="F36" i="25"/>
  <c r="D45" i="27" l="1"/>
  <c r="H45" i="27" s="1"/>
  <c r="J45" i="27" s="1"/>
  <c r="F33" i="27"/>
  <c r="F17" i="27"/>
  <c r="D46" i="27"/>
  <c r="H46" i="27" s="1"/>
  <c r="J46" i="27" s="1"/>
  <c r="D40" i="27"/>
  <c r="F40" i="27" s="1"/>
  <c r="D44" i="27"/>
  <c r="H44" i="27" s="1"/>
  <c r="J44" i="27" s="1"/>
  <c r="F24" i="27"/>
</calcChain>
</file>

<file path=xl/sharedStrings.xml><?xml version="1.0" encoding="utf-8"?>
<sst xmlns="http://schemas.openxmlformats.org/spreadsheetml/2006/main" count="5029" uniqueCount="379">
  <si>
    <t>ПРОТОКОЛ (суммарный)</t>
  </si>
  <si>
    <t>(предприятию или отдельно питающему центру)</t>
  </si>
  <si>
    <t>Часы</t>
  </si>
  <si>
    <t>активной кВт</t>
  </si>
  <si>
    <t>реактивной кВар</t>
  </si>
  <si>
    <t>Тангенс "фи"</t>
  </si>
  <si>
    <t>Кол. пр.</t>
  </si>
  <si>
    <t>0-00</t>
  </si>
  <si>
    <t>1-00</t>
  </si>
  <si>
    <t>2-00</t>
  </si>
  <si>
    <t>3-00</t>
  </si>
  <si>
    <t>4-00</t>
  </si>
  <si>
    <t>5-00</t>
  </si>
  <si>
    <t>6-00</t>
  </si>
  <si>
    <t>7-00</t>
  </si>
  <si>
    <t>8-00</t>
  </si>
  <si>
    <t>9-00</t>
  </si>
  <si>
    <t>10-00</t>
  </si>
  <si>
    <t>11-00</t>
  </si>
  <si>
    <t>12-00</t>
  </si>
  <si>
    <t>13-00</t>
  </si>
  <si>
    <t>14-00</t>
  </si>
  <si>
    <t>15-00</t>
  </si>
  <si>
    <t>16-00</t>
  </si>
  <si>
    <t>17-00</t>
  </si>
  <si>
    <t>18-00</t>
  </si>
  <si>
    <t>19-00</t>
  </si>
  <si>
    <t>20-00</t>
  </si>
  <si>
    <t>21-00</t>
  </si>
  <si>
    <t>22-00</t>
  </si>
  <si>
    <t>23-00</t>
  </si>
  <si>
    <t>24-00</t>
  </si>
  <si>
    <t>А сутки</t>
  </si>
  <si>
    <t>КС</t>
  </si>
  <si>
    <t>Включенные компенсирующие</t>
  </si>
  <si>
    <t>устройства кВар</t>
  </si>
  <si>
    <t>Суммарный расход эл. энергии</t>
  </si>
  <si>
    <t>Потребление эл. энергии</t>
  </si>
  <si>
    <t>активной кВт ч</t>
  </si>
  <si>
    <t>реактивной кВар ч</t>
  </si>
  <si>
    <t>Средняя нагрузка</t>
  </si>
  <si>
    <t>активная кВт</t>
  </si>
  <si>
    <t>реактивная кВар</t>
  </si>
  <si>
    <t>с 17 до 21</t>
  </si>
  <si>
    <t>с 0 до 24</t>
  </si>
  <si>
    <t xml:space="preserve">                     (наименование предприятия)</t>
  </si>
  <si>
    <t xml:space="preserve">                                   (адрес)</t>
  </si>
  <si>
    <t xml:space="preserve">                     (министерство, ведомство)</t>
  </si>
  <si>
    <t>ПРОТОКОЛ (первичный)</t>
  </si>
  <si>
    <t>записей показания электросчетчиков и вольтметров, а также определение</t>
  </si>
  <si>
    <t>Время записи часы</t>
  </si>
  <si>
    <t>показ.</t>
  </si>
  <si>
    <t>сч-ка</t>
  </si>
  <si>
    <t>разность</t>
  </si>
  <si>
    <t>расход за</t>
  </si>
  <si>
    <t>час (кВт)</t>
  </si>
  <si>
    <t>Активн. сч-к тип</t>
  </si>
  <si>
    <t>____________л__</t>
  </si>
  <si>
    <t>Расчетн. коэф</t>
  </si>
  <si>
    <t>Реактивн. сч-к тип</t>
  </si>
  <si>
    <t>Показание</t>
  </si>
  <si>
    <t>вольтметр.</t>
  </si>
  <si>
    <t>на стороне</t>
  </si>
  <si>
    <t>в\н</t>
  </si>
  <si>
    <t>н\н</t>
  </si>
  <si>
    <t>Мощность</t>
  </si>
  <si>
    <t>включен.</t>
  </si>
  <si>
    <t>компенсир.</t>
  </si>
  <si>
    <t>устройств</t>
  </si>
  <si>
    <t>кВар</t>
  </si>
  <si>
    <t>Суточн. расход эл. энергии</t>
  </si>
  <si>
    <t>Контрольная сумма</t>
  </si>
  <si>
    <t>Запись показаний счетчиков производили:</t>
  </si>
  <si>
    <t>Расчеты произвел:</t>
  </si>
  <si>
    <t>___________________</t>
  </si>
  <si>
    <t>фамилия</t>
  </si>
  <si>
    <t>(подпись)</t>
  </si>
  <si>
    <t>_______________</t>
  </si>
  <si>
    <t>1. Трансформаторы</t>
  </si>
  <si>
    <t>№№</t>
  </si>
  <si>
    <t>п/п</t>
  </si>
  <si>
    <t>Место установки</t>
  </si>
  <si>
    <t>Номинальн.</t>
  </si>
  <si>
    <t>напряжение</t>
  </si>
  <si>
    <t>________ кВ</t>
  </si>
  <si>
    <t>Включен.</t>
  </si>
  <si>
    <t>на ответвление</t>
  </si>
  <si>
    <t>Назначение</t>
  </si>
  <si>
    <t>тр-ра</t>
  </si>
  <si>
    <t>силов. освет.</t>
  </si>
  <si>
    <t>печной</t>
  </si>
  <si>
    <t>Примечание</t>
  </si>
  <si>
    <t>2. Высоковольтные электродвигатели</t>
  </si>
  <si>
    <t>Номинальная</t>
  </si>
  <si>
    <t xml:space="preserve"> мощность кВт</t>
  </si>
  <si>
    <t>Указать отдельно рабочие и запломбированные трансформаторы и высоковольтные электродвигатели</t>
  </si>
  <si>
    <t>I.  Сведения о присоединенных трансформаторах и высоковольтных электродвигателях</t>
  </si>
  <si>
    <t>II. Статконденсаторы всех напряжений</t>
  </si>
  <si>
    <t>Место</t>
  </si>
  <si>
    <t>установки</t>
  </si>
  <si>
    <t>Номинальное</t>
  </si>
  <si>
    <t>кВ</t>
  </si>
  <si>
    <t>мощность</t>
  </si>
  <si>
    <t>В т.ч. с</t>
  </si>
  <si>
    <t>авторегулир.</t>
  </si>
  <si>
    <t>и отключения</t>
  </si>
  <si>
    <t>установки за сутки</t>
  </si>
  <si>
    <t>Тип</t>
  </si>
  <si>
    <t>(синхронный,</t>
  </si>
  <si>
    <t>III. Синхронные электродвигатели напряжением до 1000 В</t>
  </si>
  <si>
    <t>мощность кВт</t>
  </si>
  <si>
    <t>№ п-п</t>
  </si>
  <si>
    <t>нагрузок и тангенса "фи" за</t>
  </si>
  <si>
    <t>напряжения</t>
  </si>
  <si>
    <t>вольт</t>
  </si>
  <si>
    <t>№№ п/п</t>
  </si>
  <si>
    <t>Наименование</t>
  </si>
  <si>
    <t>Работающие</t>
  </si>
  <si>
    <t>Резервные</t>
  </si>
  <si>
    <t>шт.</t>
  </si>
  <si>
    <t>суммарная</t>
  </si>
  <si>
    <t>мощность кВа, кВт</t>
  </si>
  <si>
    <t>Трансформаторы</t>
  </si>
  <si>
    <t>а) головные 110-3510-6 кВ</t>
  </si>
  <si>
    <t>б) рабочие 10-610, 4-23 кВ</t>
  </si>
  <si>
    <t>Высоковольтные эл. двигатели</t>
  </si>
  <si>
    <t>а) асинхронные</t>
  </si>
  <si>
    <t>б) синхронные</t>
  </si>
  <si>
    <t>Синхронные эл. двигатели</t>
  </si>
  <si>
    <t>напряжением до 1000 В</t>
  </si>
  <si>
    <t>кол-во батарей</t>
  </si>
  <si>
    <t>в т.ч. с автом. регулир. кВар</t>
  </si>
  <si>
    <t>Статистические конденсаторы</t>
  </si>
  <si>
    <t>а) высоковольтные</t>
  </si>
  <si>
    <t>б) низковольтные</t>
  </si>
  <si>
    <t>ПРИМЕЧАНИЕ: Суммарный протокол составляется:</t>
  </si>
  <si>
    <t>а)</t>
  </si>
  <si>
    <t>по предприятию в целом с субабонентами;</t>
  </si>
  <si>
    <t>б)</t>
  </si>
  <si>
    <t>в)</t>
  </si>
  <si>
    <t>по каждому центру энергосистемы (эл. станция: районной подстанции;</t>
  </si>
  <si>
    <t>перепродавцу, от подстанции промышленного предприятия, если</t>
  </si>
  <si>
    <t xml:space="preserve"> предприятие питается от этого центра по 2-м и более фидерам;</t>
  </si>
  <si>
    <t>г)</t>
  </si>
  <si>
    <t>по каждой абонентской подстанции 110-35 кВ при наличии 2-х и более</t>
  </si>
  <si>
    <t>расчетных фидеров;</t>
  </si>
  <si>
    <t>д)</t>
  </si>
  <si>
    <t>по каждому субабоненту, если он питается по 2-м и более фидерам;</t>
  </si>
  <si>
    <t>е)</t>
  </si>
  <si>
    <t>по всем субабонентам, если их 2 и более.</t>
  </si>
  <si>
    <t>Главный энергетик</t>
  </si>
  <si>
    <t>по</t>
  </si>
  <si>
    <t xml:space="preserve">вычисления нагрузок и тангенса "фи" за </t>
  </si>
  <si>
    <t>с 8 до 11</t>
  </si>
  <si>
    <t>Шифр</t>
  </si>
  <si>
    <t>Питающий центр</t>
  </si>
  <si>
    <t>№ фидера</t>
  </si>
  <si>
    <t xml:space="preserve">                 ОАО "Пластик"                         </t>
  </si>
  <si>
    <t xml:space="preserve">        г. Узловая, Тульская, 1                      </t>
  </si>
  <si>
    <t xml:space="preserve">                                                                    </t>
  </si>
  <si>
    <t xml:space="preserve">                                                    </t>
  </si>
  <si>
    <t xml:space="preserve">                ОАО "Пластик"                        </t>
  </si>
  <si>
    <t xml:space="preserve">        г. Узловая, Тульская, 1                    </t>
  </si>
  <si>
    <t xml:space="preserve">                                  </t>
  </si>
  <si>
    <t>предприятию без субабонентов</t>
  </si>
  <si>
    <t>КТП-22,23,24,25</t>
  </si>
  <si>
    <t>РП-1</t>
  </si>
  <si>
    <t>РП-воздуход</t>
  </si>
  <si>
    <t>РП-воздуход.</t>
  </si>
  <si>
    <t>КТП-27,28,</t>
  </si>
  <si>
    <t>РП-5</t>
  </si>
  <si>
    <t>СДКН</t>
  </si>
  <si>
    <t>3х630</t>
  </si>
  <si>
    <t xml:space="preserve">        г. Узловая, Тульская, 1                  </t>
  </si>
  <si>
    <t xml:space="preserve">                                                                                                       </t>
  </si>
  <si>
    <t xml:space="preserve">                                                                                                        </t>
  </si>
  <si>
    <t xml:space="preserve">                                                                                                         </t>
  </si>
  <si>
    <t xml:space="preserve">                                                                        </t>
  </si>
  <si>
    <t xml:space="preserve">                                                                       </t>
  </si>
  <si>
    <t>Время включения</t>
  </si>
  <si>
    <t>по предприятию в целом без субабонентов;</t>
  </si>
  <si>
    <t>асинхронный)</t>
  </si>
  <si>
    <t>ква</t>
  </si>
  <si>
    <t>Каргина Т.В.</t>
  </si>
  <si>
    <t>предприятию с субабонентами</t>
  </si>
  <si>
    <t>субабонентам</t>
  </si>
  <si>
    <t>Расчеты производил ___________________ Т.В. Каргина</t>
  </si>
  <si>
    <t xml:space="preserve"> </t>
  </si>
  <si>
    <t xml:space="preserve">  </t>
  </si>
  <si>
    <t xml:space="preserve">    </t>
  </si>
  <si>
    <t>СЭТ-4ТМ.03</t>
  </si>
  <si>
    <t>СЭТ-4ТМ.3</t>
  </si>
  <si>
    <t>№0103062007</t>
  </si>
  <si>
    <t>№0103062039</t>
  </si>
  <si>
    <t>№0102061040</t>
  </si>
  <si>
    <t>№0103061231</t>
  </si>
  <si>
    <t xml:space="preserve">П/ст №167  (ГПП-1)                                </t>
  </si>
  <si>
    <t xml:space="preserve">яч 24 тр-р №1                    </t>
  </si>
  <si>
    <t xml:space="preserve">П/ст №167 (ГПП-1)                                   </t>
  </si>
  <si>
    <t xml:space="preserve">яч 2 тр-р №2                      </t>
  </si>
  <si>
    <t xml:space="preserve">П/ст №214  (ГПП-2)                                  </t>
  </si>
  <si>
    <t xml:space="preserve">яч 3 тр-р №1                      </t>
  </si>
  <si>
    <t xml:space="preserve">яч 30  Воейково-2               </t>
  </si>
  <si>
    <t xml:space="preserve">П/ст №167  (ГПП-1)                                  </t>
  </si>
  <si>
    <t xml:space="preserve">яч 27  Воейково-1               </t>
  </si>
  <si>
    <t xml:space="preserve">П/ст №214 (ГПП-2)                                   </t>
  </si>
  <si>
    <t xml:space="preserve">яч 4  тр-р №1                      </t>
  </si>
  <si>
    <t xml:space="preserve">яч 36  тр-р №2                    </t>
  </si>
  <si>
    <t xml:space="preserve">П/ст №214   (ГПП-2)                                 </t>
  </si>
  <si>
    <t xml:space="preserve">яч 37  тр-р №2                    </t>
  </si>
  <si>
    <t xml:space="preserve">яч 10  Воейково-3               </t>
  </si>
  <si>
    <t>№ 0103061226</t>
  </si>
  <si>
    <t xml:space="preserve">П/ст №214   (ГПП-2)                                </t>
  </si>
  <si>
    <t xml:space="preserve">яч 16  Узловая-2                    </t>
  </si>
  <si>
    <t xml:space="preserve">яч 14 Дедилово                   </t>
  </si>
  <si>
    <t>№0103061217</t>
  </si>
  <si>
    <t>№0103061203</t>
  </si>
  <si>
    <t>№0808090590</t>
  </si>
  <si>
    <t>№ 0808090624</t>
  </si>
  <si>
    <t xml:space="preserve">_____6000______________ </t>
  </si>
  <si>
    <t xml:space="preserve">_________6000__________ </t>
  </si>
  <si>
    <t xml:space="preserve">__________6000__________ </t>
  </si>
  <si>
    <t xml:space="preserve">______6000______________ </t>
  </si>
  <si>
    <t xml:space="preserve">________6000_____________ </t>
  </si>
  <si>
    <t xml:space="preserve">________6000___________ </t>
  </si>
  <si>
    <t xml:space="preserve">п/ст 167 (ГПП-1)                              </t>
  </si>
  <si>
    <t xml:space="preserve">п/ст 214(ГПП-2)                                  </t>
  </si>
  <si>
    <t>п/ст 214(ГПП-2)</t>
  </si>
  <si>
    <t>п/ст 167, 214 (ГПП-1,ГПП-2)</t>
  </si>
  <si>
    <t>п/ст 167,214 (ГПП-1,ГПП-2)</t>
  </si>
  <si>
    <t xml:space="preserve">______6000_____________ </t>
  </si>
  <si>
    <t xml:space="preserve">_______6000_____________ </t>
  </si>
  <si>
    <t xml:space="preserve">_________6000___________ </t>
  </si>
  <si>
    <t xml:space="preserve">_________6000____________ </t>
  </si>
  <si>
    <t>№ 812091210</t>
  </si>
  <si>
    <t>№812091210</t>
  </si>
  <si>
    <t>№812091240</t>
  </si>
  <si>
    <t>№ 812091240</t>
  </si>
  <si>
    <t xml:space="preserve">яч 25 вв.1 РП-Хитрово            </t>
  </si>
  <si>
    <t xml:space="preserve">яч 13 вв.1 РП-Воздуходувная      </t>
  </si>
  <si>
    <t>яч 32 вв.2 РП-Воздуходувная</t>
  </si>
  <si>
    <t>№110080732</t>
  </si>
  <si>
    <t>яч. 27+30+10</t>
  </si>
  <si>
    <t>яч. 16+14</t>
  </si>
  <si>
    <t>п/ст 214 (ГПП-2)</t>
  </si>
  <si>
    <t>яч.13+32+25</t>
  </si>
  <si>
    <t>ПС 214</t>
  </si>
  <si>
    <t>яч.3+4+36+37</t>
  </si>
  <si>
    <t>ПС 214 тр-№2</t>
  </si>
  <si>
    <t>яч.36+37</t>
  </si>
  <si>
    <t>ПС 214 тр-р№1</t>
  </si>
  <si>
    <t>яч.3+4</t>
  </si>
  <si>
    <t>ПС 167</t>
  </si>
  <si>
    <t>яч.24+2</t>
  </si>
  <si>
    <t>п/ст167+п/ст214</t>
  </si>
  <si>
    <t>СЭТ-4ТМ А-0,5</t>
  </si>
  <si>
    <t xml:space="preserve">яч 26 вв.2  Геосинтетика               </t>
  </si>
  <si>
    <t>п/ст 167 (ГПП-1)</t>
  </si>
  <si>
    <t>субабонентам - ООО "Пластик-Геосинтетика"</t>
  </si>
  <si>
    <t xml:space="preserve">яч 3Г вв.1  Геосинтетика               </t>
  </si>
  <si>
    <t>№0806100082</t>
  </si>
  <si>
    <t>№ 0806100082</t>
  </si>
  <si>
    <t>№087090870</t>
  </si>
  <si>
    <t>№ 087090870</t>
  </si>
  <si>
    <t>№0110080758</t>
  </si>
  <si>
    <t>№0110080904</t>
  </si>
  <si>
    <t>Режимный день</t>
  </si>
  <si>
    <t>TYPE2</t>
  </si>
  <si>
    <t>1</t>
  </si>
  <si>
    <t>H</t>
  </si>
  <si>
    <t>MAIN</t>
  </si>
  <si>
    <t>EXCEL</t>
  </si>
  <si>
    <t>-1</t>
  </si>
  <si>
    <t>MAINSHEET</t>
  </si>
  <si>
    <t>2</t>
  </si>
  <si>
    <t>DATE</t>
  </si>
  <si>
    <t>10</t>
  </si>
  <si>
    <t>5</t>
  </si>
  <si>
    <t>BEGIN</t>
  </si>
  <si>
    <t>NOSHIFT</t>
  </si>
  <si>
    <t>8</t>
  </si>
  <si>
    <t>yyyy года</t>
  </si>
  <si>
    <t>dd mmmm</t>
  </si>
  <si>
    <t>18</t>
  </si>
  <si>
    <t>COLUMN</t>
  </si>
  <si>
    <t>RESNONE</t>
  </si>
  <si>
    <t>NONE</t>
  </si>
  <si>
    <t>CHN</t>
  </si>
  <si>
    <t>0</t>
  </si>
  <si>
    <t>4</t>
  </si>
  <si>
    <t>ZONENAMES</t>
  </si>
  <si>
    <t>RESULT_CAPTIONS</t>
  </si>
  <si>
    <t>61</t>
  </si>
  <si>
    <t>NOCHANGE</t>
  </si>
  <si>
    <t>CUTDATEBEGIN</t>
  </si>
  <si>
    <t>6</t>
  </si>
  <si>
    <t>ENLIKEPOW</t>
  </si>
  <si>
    <t>692</t>
  </si>
  <si>
    <t>480</t>
  </si>
  <si>
    <t>BEGINVALUE</t>
  </si>
  <si>
    <t>694</t>
  </si>
  <si>
    <t>95</t>
  </si>
  <si>
    <t>3</t>
  </si>
  <si>
    <t>687</t>
  </si>
  <si>
    <t>483</t>
  </si>
  <si>
    <t>689</t>
  </si>
  <si>
    <t>702</t>
  </si>
  <si>
    <t>484</t>
  </si>
  <si>
    <t>704</t>
  </si>
  <si>
    <t>697</t>
  </si>
  <si>
    <t>481</t>
  </si>
  <si>
    <t>699</t>
  </si>
  <si>
    <t>7</t>
  </si>
  <si>
    <t>9</t>
  </si>
  <si>
    <t>11</t>
  </si>
  <si>
    <t>12</t>
  </si>
  <si>
    <t>13</t>
  </si>
  <si>
    <t>14</t>
  </si>
  <si>
    <t>15</t>
  </si>
  <si>
    <t>16</t>
  </si>
  <si>
    <t>17</t>
  </si>
  <si>
    <t>19</t>
  </si>
  <si>
    <t>1786</t>
  </si>
  <si>
    <t>790</t>
  </si>
  <si>
    <t>1788</t>
  </si>
  <si>
    <t>1769</t>
  </si>
  <si>
    <t>784</t>
  </si>
  <si>
    <t>1771</t>
  </si>
  <si>
    <t>122</t>
  </si>
  <si>
    <t>198</t>
  </si>
  <si>
    <t>117</t>
  </si>
  <si>
    <t>201</t>
  </si>
  <si>
    <t>119</t>
  </si>
  <si>
    <t>732</t>
  </si>
  <si>
    <t>486</t>
  </si>
  <si>
    <t>734</t>
  </si>
  <si>
    <t>747</t>
  </si>
  <si>
    <t>489</t>
  </si>
  <si>
    <t>749</t>
  </si>
  <si>
    <t>737</t>
  </si>
  <si>
    <t>493</t>
  </si>
  <si>
    <t>739</t>
  </si>
  <si>
    <t>742</t>
  </si>
  <si>
    <t>488</t>
  </si>
  <si>
    <t>744</t>
  </si>
  <si>
    <t>717</t>
  </si>
  <si>
    <t>490</t>
  </si>
  <si>
    <t>719</t>
  </si>
  <si>
    <t>727</t>
  </si>
  <si>
    <t>492</t>
  </si>
  <si>
    <t>729</t>
  </si>
  <si>
    <t>722</t>
  </si>
  <si>
    <t>491</t>
  </si>
  <si>
    <t>724</t>
  </si>
  <si>
    <t>347</t>
  </si>
  <si>
    <t>138</t>
  </si>
  <si>
    <t>349</t>
  </si>
  <si>
    <t>352</t>
  </si>
  <si>
    <t>140</t>
  </si>
  <si>
    <t>354</t>
  </si>
  <si>
    <t>332</t>
  </si>
  <si>
    <t>132</t>
  </si>
  <si>
    <t>334</t>
  </si>
  <si>
    <t>HOUR</t>
  </si>
  <si>
    <t>25</t>
  </si>
  <si>
    <t>124</t>
  </si>
  <si>
    <t>субабонентам - ОАО "РЖД"</t>
  </si>
  <si>
    <t xml:space="preserve">яч.27+30+10+16+14+13+32+25+3Г+26  </t>
  </si>
  <si>
    <t>яч.3Г+26</t>
  </si>
  <si>
    <t>субабонентам - ООО "БОС-Эксплуатация"</t>
  </si>
  <si>
    <t xml:space="preserve"> _________________________ И.Н. Чернышов</t>
  </si>
  <si>
    <t xml:space="preserve">1. </t>
  </si>
  <si>
    <t>2.</t>
  </si>
  <si>
    <t xml:space="preserve">3. </t>
  </si>
  <si>
    <t>субабонентам - ООО"Энергосеть"</t>
  </si>
  <si>
    <t>21 июня</t>
  </si>
  <si>
    <t>2017года</t>
  </si>
  <si>
    <t>КТП-4</t>
  </si>
  <si>
    <t>7,8,9,10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</si>
</sst>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20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sz val="11"/>
      <name val="Times New Roman"/>
      <family val="1"/>
    </font>
    <font>
      <u/>
      <sz val="14"/>
      <name val="Times New Roman"/>
      <family val="1"/>
    </font>
    <font>
      <u/>
      <sz val="16"/>
      <name val="Times New Roman"/>
      <family val="1"/>
    </font>
    <font>
      <u/>
      <sz val="18"/>
      <name val="Times New Roman"/>
      <family val="1"/>
    </font>
    <font>
      <u/>
      <sz val="20"/>
      <name val="Times New Roman"/>
      <family val="1"/>
    </font>
    <font>
      <sz val="20"/>
      <name val="Times New Roman"/>
      <family val="1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19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10">
    <xf numFmtId="0" fontId="0" fillId="0" borderId="0" xfId="0"/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center" vertical="center" wrapText="1"/>
      <protection hidden="1"/>
    </xf>
    <xf numFmtId="0" fontId="8" fillId="0" borderId="0" xfId="0" applyFont="1" applyBorder="1" applyAlignment="1" applyProtection="1">
      <alignment horizontal="center" vertical="center" wrapText="1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10" fillId="0" borderId="3" xfId="0" applyFont="1" applyBorder="1" applyAlignment="1" applyProtection="1">
      <alignment horizontal="center" vertical="center" wrapText="1"/>
      <protection hidden="1"/>
    </xf>
    <xf numFmtId="0" fontId="10" fillId="0" borderId="9" xfId="0" applyFont="1" applyBorder="1" applyAlignment="1" applyProtection="1">
      <alignment horizontal="center" vertical="center" wrapText="1"/>
      <protection locked="0"/>
    </xf>
    <xf numFmtId="0" fontId="10" fillId="0" borderId="0" xfId="0" applyFont="1" applyBorder="1" applyAlignment="1" applyProtection="1">
      <alignment horizontal="center" vertical="center" wrapText="1"/>
      <protection locked="0"/>
    </xf>
    <xf numFmtId="0" fontId="10" fillId="0" borderId="10" xfId="0" applyFont="1" applyBorder="1" applyAlignment="1" applyProtection="1">
      <alignment horizontal="center" vertical="center" wrapText="1"/>
      <protection locked="0"/>
    </xf>
    <xf numFmtId="0" fontId="7" fillId="0" borderId="0" xfId="0" applyFont="1" applyBorder="1" applyAlignment="1" applyProtection="1">
      <alignment horizontal="left" vertical="center" wrapText="1" indent="4"/>
      <protection hidden="1"/>
    </xf>
    <xf numFmtId="0" fontId="7" fillId="0" borderId="11" xfId="0" applyFont="1" applyBorder="1" applyAlignment="1" applyProtection="1">
      <alignment horizontal="center" vertical="center" wrapText="1"/>
      <protection locked="0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4" xfId="0" applyFont="1" applyBorder="1" applyAlignment="1" applyProtection="1">
      <alignment horizontal="center" vertical="center" wrapText="1"/>
      <protection hidden="1"/>
    </xf>
    <xf numFmtId="1" fontId="7" fillId="0" borderId="2" xfId="0" applyNumberFormat="1" applyFont="1" applyBorder="1" applyAlignment="1" applyProtection="1">
      <alignment horizontal="center" vertical="center" wrapText="1"/>
      <protection hidden="1"/>
    </xf>
    <xf numFmtId="165" fontId="17" fillId="0" borderId="1" xfId="0" applyNumberFormat="1" applyFont="1" applyBorder="1" applyAlignment="1" applyProtection="1">
      <alignment horizontal="center" vertical="center" wrapText="1"/>
      <protection hidden="1"/>
    </xf>
    <xf numFmtId="0" fontId="17" fillId="0" borderId="2" xfId="0" applyFont="1" applyBorder="1" applyAlignment="1" applyProtection="1">
      <alignment horizontal="center" vertical="center" wrapText="1"/>
      <protection hidden="1"/>
    </xf>
    <xf numFmtId="1" fontId="17" fillId="0" borderId="2" xfId="0" applyNumberFormat="1" applyFont="1" applyBorder="1" applyAlignment="1" applyProtection="1">
      <alignment horizontal="center" vertical="center" wrapText="1"/>
      <protection hidden="1"/>
    </xf>
    <xf numFmtId="165" fontId="17" fillId="0" borderId="2" xfId="0" applyNumberFormat="1" applyFont="1" applyBorder="1" applyAlignment="1" applyProtection="1">
      <alignment horizontal="center" vertical="center" wrapText="1"/>
      <protection hidden="1"/>
    </xf>
    <xf numFmtId="2" fontId="17" fillId="0" borderId="2" xfId="0" applyNumberFormat="1" applyFont="1" applyBorder="1" applyAlignment="1" applyProtection="1">
      <alignment horizontal="center" vertical="center" wrapText="1"/>
      <protection hidden="1"/>
    </xf>
    <xf numFmtId="0" fontId="7" fillId="0" borderId="8" xfId="0" applyFont="1" applyBorder="1" applyAlignment="1" applyProtection="1">
      <alignment horizontal="center" vertical="center" wrapText="1"/>
      <protection hidden="1"/>
    </xf>
    <xf numFmtId="0" fontId="17" fillId="0" borderId="3" xfId="0" applyFont="1" applyBorder="1" applyAlignment="1" applyProtection="1">
      <alignment horizontal="center" vertical="center" wrapText="1"/>
      <protection hidden="1"/>
    </xf>
    <xf numFmtId="0" fontId="17" fillId="0" borderId="2" xfId="0" applyNumberFormat="1" applyFont="1" applyBorder="1" applyAlignment="1" applyProtection="1">
      <alignment horizontal="center" vertical="center" wrapText="1"/>
      <protection hidden="1"/>
    </xf>
    <xf numFmtId="0" fontId="17" fillId="0" borderId="8" xfId="0" applyFont="1" applyBorder="1" applyAlignment="1" applyProtection="1">
      <alignment horizontal="center" vertical="center" wrapText="1"/>
      <protection hidden="1"/>
    </xf>
    <xf numFmtId="0" fontId="17" fillId="0" borderId="8" xfId="0" applyNumberFormat="1" applyFont="1" applyBorder="1" applyAlignment="1" applyProtection="1">
      <alignment horizontal="center" vertical="center" wrapText="1"/>
      <protection hidden="1"/>
    </xf>
    <xf numFmtId="0" fontId="17" fillId="0" borderId="0" xfId="0" applyFont="1" applyBorder="1" applyAlignment="1" applyProtection="1">
      <alignment horizontal="center" vertical="center" wrapText="1"/>
      <protection hidden="1"/>
    </xf>
    <xf numFmtId="0" fontId="17" fillId="0" borderId="0" xfId="0" applyNumberFormat="1" applyFont="1" applyBorder="1" applyAlignment="1" applyProtection="1">
      <alignment horizontal="center" vertical="center" wrapText="1"/>
      <protection hidden="1"/>
    </xf>
    <xf numFmtId="4" fontId="17" fillId="0" borderId="0" xfId="0" applyNumberFormat="1" applyFont="1" applyBorder="1" applyAlignment="1" applyProtection="1">
      <alignment horizontal="center" vertical="center" wrapText="1"/>
      <protection hidden="1"/>
    </xf>
    <xf numFmtId="0" fontId="17" fillId="0" borderId="0" xfId="0" applyFont="1" applyBorder="1" applyAlignment="1" applyProtection="1">
      <alignment horizontal="left" vertical="center" wrapText="1"/>
      <protection hidden="1"/>
    </xf>
    <xf numFmtId="0" fontId="17" fillId="0" borderId="1" xfId="0" applyFont="1" applyBorder="1" applyAlignment="1" applyProtection="1">
      <alignment horizontal="center" vertical="center" wrapText="1"/>
      <protection hidden="1"/>
    </xf>
    <xf numFmtId="0" fontId="18" fillId="0" borderId="0" xfId="0" applyFont="1" applyBorder="1" applyAlignment="1" applyProtection="1">
      <alignment horizontal="center" vertical="center" wrapText="1"/>
      <protection hidden="1"/>
    </xf>
    <xf numFmtId="1" fontId="7" fillId="0" borderId="2" xfId="0" applyNumberFormat="1" applyFont="1" applyBorder="1" applyAlignment="1" applyProtection="1">
      <alignment horizontal="center" vertical="center" wrapText="1"/>
      <protection hidden="1"/>
    </xf>
    <xf numFmtId="0" fontId="17" fillId="0" borderId="2" xfId="0" applyFont="1" applyFill="1" applyBorder="1" applyAlignment="1" applyProtection="1">
      <alignment horizontal="center" vertical="center" wrapText="1"/>
      <protection hidden="1"/>
    </xf>
    <xf numFmtId="0" fontId="10" fillId="0" borderId="9" xfId="0" applyFont="1" applyFill="1" applyBorder="1" applyAlignment="1" applyProtection="1">
      <alignment horizontal="center" vertical="center" wrapText="1"/>
      <protection locked="0"/>
    </xf>
    <xf numFmtId="0" fontId="10" fillId="0" borderId="3" xfId="0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Fill="1" applyBorder="1" applyAlignment="1" applyProtection="1">
      <alignment horizontal="center" vertical="center" wrapText="1"/>
      <protection locked="0"/>
    </xf>
    <xf numFmtId="0" fontId="10" fillId="0" borderId="10" xfId="0" applyFont="1" applyFill="1" applyBorder="1" applyAlignment="1" applyProtection="1">
      <alignment horizontal="center" vertical="center" wrapText="1"/>
      <protection locked="0"/>
    </xf>
    <xf numFmtId="0" fontId="10" fillId="0" borderId="7" xfId="0" applyFont="1" applyFill="1" applyBorder="1" applyAlignment="1" applyProtection="1">
      <alignment horizontal="center" vertical="center" wrapText="1"/>
      <protection hidden="1"/>
    </xf>
    <xf numFmtId="0" fontId="10" fillId="0" borderId="5" xfId="0" applyFont="1" applyFill="1" applyBorder="1" applyAlignment="1" applyProtection="1">
      <alignment horizontal="center" vertical="center" wrapText="1"/>
      <protection hidden="1"/>
    </xf>
    <xf numFmtId="0" fontId="10" fillId="0" borderId="14" xfId="0" applyFont="1" applyFill="1" applyBorder="1" applyAlignment="1" applyProtection="1">
      <alignment horizontal="center" vertical="center" wrapText="1"/>
      <protection hidden="1"/>
    </xf>
    <xf numFmtId="0" fontId="10" fillId="0" borderId="8" xfId="0" applyFont="1" applyFill="1" applyBorder="1" applyAlignment="1" applyProtection="1">
      <alignment horizontal="center" vertical="center" wrapText="1"/>
      <protection hidden="1"/>
    </xf>
    <xf numFmtId="0" fontId="10" fillId="0" borderId="6" xfId="0" applyFont="1" applyFill="1" applyBorder="1" applyAlignment="1" applyProtection="1">
      <alignment horizontal="center" vertical="center" wrapText="1"/>
      <protection hidden="1"/>
    </xf>
    <xf numFmtId="0" fontId="17" fillId="0" borderId="15" xfId="0" applyFont="1" applyFill="1" applyBorder="1" applyAlignment="1" applyProtection="1">
      <alignment horizontal="center" vertical="center" wrapText="1"/>
      <protection hidden="1"/>
    </xf>
    <xf numFmtId="1" fontId="17" fillId="0" borderId="2" xfId="0" applyNumberFormat="1" applyFont="1" applyFill="1" applyBorder="1" applyAlignment="1" applyProtection="1">
      <alignment horizontal="center" vertical="center" wrapText="1"/>
      <protection hidden="1"/>
    </xf>
    <xf numFmtId="165" fontId="17" fillId="0" borderId="1" xfId="0" applyNumberFormat="1" applyFont="1" applyFill="1" applyBorder="1" applyAlignment="1" applyProtection="1">
      <alignment horizontal="center" vertical="center" wrapText="1"/>
      <protection hidden="1"/>
    </xf>
    <xf numFmtId="2" fontId="17" fillId="0" borderId="2" xfId="0" applyNumberFormat="1" applyFont="1" applyFill="1" applyBorder="1" applyAlignment="1" applyProtection="1">
      <alignment horizontal="center" vertical="center" wrapText="1"/>
      <protection hidden="1"/>
    </xf>
    <xf numFmtId="0" fontId="17" fillId="0" borderId="3" xfId="0" applyFont="1" applyFill="1" applyBorder="1" applyAlignment="1" applyProtection="1">
      <alignment horizontal="center" vertical="center" wrapText="1"/>
      <protection hidden="1"/>
    </xf>
    <xf numFmtId="0" fontId="17" fillId="0" borderId="2" xfId="0" applyNumberFormat="1" applyFont="1" applyFill="1" applyBorder="1" applyAlignment="1" applyProtection="1">
      <alignment horizontal="center" vertical="center" wrapText="1"/>
      <protection hidden="1"/>
    </xf>
    <xf numFmtId="0" fontId="17" fillId="0" borderId="0" xfId="0" applyFont="1" applyFill="1" applyBorder="1" applyAlignment="1" applyProtection="1">
      <alignment horizontal="center" vertical="center" wrapText="1"/>
      <protection hidden="1"/>
    </xf>
    <xf numFmtId="0" fontId="17" fillId="0" borderId="0" xfId="0" applyNumberFormat="1" applyFont="1" applyFill="1" applyBorder="1" applyAlignment="1" applyProtection="1">
      <alignment horizontal="center" vertical="center" wrapText="1"/>
      <protection hidden="1"/>
    </xf>
    <xf numFmtId="4" fontId="17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8" fillId="0" borderId="0" xfId="0" applyFont="1" applyFill="1" applyBorder="1" applyAlignment="1" applyProtection="1">
      <alignment horizontal="center" vertical="center" wrapText="1"/>
      <protection hidden="1"/>
    </xf>
    <xf numFmtId="0" fontId="17" fillId="0" borderId="0" xfId="0" applyFont="1" applyFill="1" applyBorder="1" applyAlignment="1" applyProtection="1">
      <alignment horizontal="left" vertical="center" wrapText="1"/>
      <protection hidden="1"/>
    </xf>
    <xf numFmtId="0" fontId="17" fillId="0" borderId="1" xfId="0" applyFont="1" applyFill="1" applyBorder="1" applyAlignment="1" applyProtection="1">
      <alignment horizontal="center" vertical="center" wrapText="1"/>
      <protection hidden="1"/>
    </xf>
    <xf numFmtId="0" fontId="17" fillId="0" borderId="8" xfId="0" applyFont="1" applyFill="1" applyBorder="1" applyAlignment="1" applyProtection="1">
      <alignment horizontal="center" vertical="center" wrapText="1"/>
      <protection hidden="1"/>
    </xf>
    <xf numFmtId="0" fontId="17" fillId="0" borderId="8" xfId="0" applyNumberFormat="1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Fill="1" applyBorder="1" applyAlignment="1" applyProtection="1">
      <alignment horizontal="left" vertical="center" wrapText="1"/>
      <protection hidden="1"/>
    </xf>
    <xf numFmtId="0" fontId="7" fillId="0" borderId="0" xfId="0" applyFont="1" applyFill="1" applyBorder="1" applyAlignment="1" applyProtection="1">
      <alignment horizontal="center" vertical="center" wrapText="1"/>
      <protection hidden="1"/>
    </xf>
    <xf numFmtId="49" fontId="17" fillId="0" borderId="2" xfId="0" applyNumberFormat="1" applyFont="1" applyFill="1" applyBorder="1" applyAlignment="1" applyProtection="1">
      <alignment horizontal="center" vertical="center" wrapText="1"/>
      <protection hidden="1"/>
    </xf>
    <xf numFmtId="0" fontId="7" fillId="0" borderId="3" xfId="0" applyFont="1" applyFill="1" applyBorder="1" applyAlignment="1" applyProtection="1">
      <alignment horizontal="center" vertical="center" wrapText="1"/>
      <protection hidden="1"/>
    </xf>
    <xf numFmtId="0" fontId="7" fillId="0" borderId="0" xfId="0" applyNumberFormat="1" applyFont="1" applyFill="1" applyBorder="1" applyAlignment="1" applyProtection="1">
      <alignment horizontal="center" vertical="center" wrapText="1"/>
      <protection hidden="1"/>
    </xf>
    <xf numFmtId="4" fontId="7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7" xfId="0" applyFont="1" applyFill="1" applyBorder="1" applyAlignment="1" applyProtection="1">
      <alignment horizontal="center" vertical="center" wrapText="1"/>
      <protection hidden="1"/>
    </xf>
    <xf numFmtId="0" fontId="10" fillId="0" borderId="12" xfId="0" applyFont="1" applyFill="1" applyBorder="1" applyAlignment="1" applyProtection="1">
      <alignment horizontal="center" vertical="center" wrapText="1"/>
      <protection hidden="1"/>
    </xf>
    <xf numFmtId="0" fontId="10" fillId="0" borderId="13" xfId="0" applyFont="1" applyFill="1" applyBorder="1" applyAlignment="1" applyProtection="1">
      <alignment horizontal="center" vertical="center" wrapText="1"/>
      <protection hidden="1"/>
    </xf>
    <xf numFmtId="0" fontId="17" fillId="0" borderId="6" xfId="0" applyFont="1" applyFill="1" applyBorder="1" applyAlignment="1" applyProtection="1">
      <alignment horizontal="center" vertical="center" wrapText="1"/>
      <protection hidden="1"/>
    </xf>
    <xf numFmtId="0" fontId="7" fillId="0" borderId="6" xfId="0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0" fontId="10" fillId="0" borderId="14" xfId="0" applyFont="1" applyBorder="1" applyAlignment="1" applyProtection="1">
      <alignment horizontal="center" vertical="center" wrapText="1"/>
      <protection hidden="1"/>
    </xf>
    <xf numFmtId="0" fontId="10" fillId="0" borderId="8" xfId="0" applyFont="1" applyBorder="1" applyAlignment="1" applyProtection="1">
      <alignment horizontal="center" vertical="center" wrapText="1"/>
      <protection hidden="1"/>
    </xf>
    <xf numFmtId="0" fontId="17" fillId="0" borderId="2" xfId="0" applyFont="1" applyFill="1" applyBorder="1" applyAlignment="1" applyProtection="1">
      <alignment horizontal="center" vertical="center" wrapText="1"/>
      <protection hidden="1"/>
    </xf>
    <xf numFmtId="0" fontId="17" fillId="0" borderId="2" xfId="0" applyFont="1" applyFill="1" applyBorder="1" applyAlignment="1" applyProtection="1">
      <alignment horizontal="center" vertical="center" wrapText="1"/>
      <protection hidden="1"/>
    </xf>
    <xf numFmtId="0" fontId="17" fillId="0" borderId="2" xfId="0" applyFont="1" applyFill="1" applyBorder="1" applyAlignment="1" applyProtection="1">
      <alignment horizontal="center" vertical="center" wrapText="1"/>
      <protection hidden="1"/>
    </xf>
    <xf numFmtId="0" fontId="17" fillId="0" borderId="2" xfId="0" applyFont="1" applyBorder="1" applyAlignment="1" applyProtection="1">
      <alignment horizontal="center" vertical="center" wrapText="1"/>
      <protection hidden="1"/>
    </xf>
    <xf numFmtId="165" fontId="17" fillId="0" borderId="2" xfId="1" applyNumberFormat="1" applyFont="1" applyBorder="1" applyAlignment="1">
      <alignment horizontal="center" vertical="center"/>
    </xf>
    <xf numFmtId="2" fontId="17" fillId="0" borderId="8" xfId="0" applyNumberFormat="1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0" fontId="7" fillId="0" borderId="11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 vertical="center" wrapText="1"/>
      <protection hidden="1"/>
    </xf>
    <xf numFmtId="0" fontId="7" fillId="0" borderId="12" xfId="0" applyFont="1" applyBorder="1" applyAlignment="1" applyProtection="1">
      <alignment horizontal="center" vertical="center" wrapText="1"/>
      <protection hidden="1"/>
    </xf>
    <xf numFmtId="0" fontId="7" fillId="0" borderId="8" xfId="0" applyFont="1" applyBorder="1" applyAlignment="1" applyProtection="1">
      <alignment horizontal="center" vertical="center" wrapText="1"/>
      <protection hidden="1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13" fillId="0" borderId="0" xfId="0" applyFont="1" applyBorder="1" applyAlignment="1" applyProtection="1">
      <alignment horizontal="left" vertical="center" wrapText="1"/>
      <protection locked="0"/>
    </xf>
    <xf numFmtId="0" fontId="15" fillId="0" borderId="0" xfId="0" applyFont="1" applyBorder="1" applyAlignment="1" applyProtection="1">
      <alignment horizontal="left" vertical="center" wrapText="1"/>
      <protection locked="0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hidden="1"/>
    </xf>
    <xf numFmtId="0" fontId="7" fillId="0" borderId="0" xfId="0" applyFont="1" applyBorder="1" applyAlignment="1" applyProtection="1">
      <alignment horizontal="center" vertical="center" wrapText="1"/>
      <protection hidden="1"/>
    </xf>
    <xf numFmtId="0" fontId="7" fillId="0" borderId="13" xfId="0" applyFont="1" applyBorder="1" applyAlignment="1" applyProtection="1">
      <alignment horizontal="center" vertical="center" wrapText="1"/>
      <protection hidden="1"/>
    </xf>
    <xf numFmtId="0" fontId="7" fillId="0" borderId="5" xfId="0" applyFont="1" applyBorder="1" applyAlignment="1" applyProtection="1">
      <alignment horizontal="center" vertical="center" wrapText="1"/>
      <protection hidden="1"/>
    </xf>
    <xf numFmtId="164" fontId="7" fillId="0" borderId="2" xfId="0" applyNumberFormat="1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hidden="1"/>
    </xf>
    <xf numFmtId="0" fontId="7" fillId="0" borderId="9" xfId="0" applyFont="1" applyBorder="1" applyAlignment="1" applyProtection="1">
      <alignment horizontal="center" vertical="center" wrapText="1"/>
      <protection hidden="1"/>
    </xf>
    <xf numFmtId="0" fontId="7" fillId="0" borderId="11" xfId="0" applyFont="1" applyBorder="1" applyAlignment="1" applyProtection="1">
      <alignment horizontal="center" vertical="center" wrapText="1"/>
      <protection hidden="1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7" fillId="0" borderId="15" xfId="0" applyFont="1" applyBorder="1" applyAlignment="1" applyProtection="1">
      <alignment horizontal="center" vertical="center" wrapText="1"/>
      <protection locked="0"/>
    </xf>
    <xf numFmtId="0" fontId="17" fillId="0" borderId="0" xfId="0" applyFont="1" applyBorder="1" applyAlignment="1" applyProtection="1">
      <alignment horizontal="center" vertical="center" wrapText="1"/>
      <protection hidden="1"/>
    </xf>
    <xf numFmtId="0" fontId="10" fillId="0" borderId="5" xfId="0" applyFont="1" applyBorder="1" applyAlignment="1" applyProtection="1">
      <alignment horizontal="center" vertical="center" wrapText="1"/>
      <protection hidden="1"/>
    </xf>
    <xf numFmtId="0" fontId="10" fillId="0" borderId="9" xfId="0" applyFont="1" applyBorder="1" applyAlignment="1" applyProtection="1">
      <alignment horizontal="center" vertical="center" wrapText="1"/>
      <protection hidden="1"/>
    </xf>
    <xf numFmtId="0" fontId="8" fillId="0" borderId="0" xfId="0" applyFont="1" applyBorder="1" applyAlignment="1" applyProtection="1">
      <alignment horizontal="left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0" xfId="0" applyFont="1" applyBorder="1" applyAlignment="1" applyProtection="1">
      <alignment horizontal="center" vertical="center" wrapText="1"/>
      <protection hidden="1"/>
    </xf>
    <xf numFmtId="0" fontId="10" fillId="0" borderId="0" xfId="0" applyFont="1" applyBorder="1" applyAlignment="1" applyProtection="1">
      <alignment horizontal="center" vertical="center" wrapText="1"/>
      <protection locked="0"/>
    </xf>
    <xf numFmtId="0" fontId="10" fillId="0" borderId="15" xfId="0" applyFont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center" vertical="center" wrapText="1"/>
      <protection hidden="1"/>
    </xf>
    <xf numFmtId="0" fontId="17" fillId="0" borderId="0" xfId="0" applyFont="1" applyFill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6" fillId="0" borderId="0" xfId="0" applyFont="1" applyBorder="1" applyAlignment="1" applyProtection="1">
      <alignment horizontal="left" vertical="top" wrapText="1"/>
      <protection hidden="1"/>
    </xf>
    <xf numFmtId="0" fontId="16" fillId="0" borderId="0" xfId="0" applyFont="1" applyBorder="1" applyAlignment="1" applyProtection="1">
      <alignment horizontal="left" vertical="center" wrapText="1"/>
      <protection locked="0"/>
    </xf>
    <xf numFmtId="0" fontId="17" fillId="0" borderId="2" xfId="0" applyFont="1" applyBorder="1" applyAlignment="1" applyProtection="1">
      <alignment horizontal="center" vertical="center" wrapText="1"/>
      <protection hidden="1"/>
    </xf>
    <xf numFmtId="0" fontId="6" fillId="0" borderId="10" xfId="0" applyFont="1" applyBorder="1" applyAlignment="1" applyProtection="1">
      <alignment horizontal="center" vertical="top" wrapText="1"/>
      <protection hidden="1"/>
    </xf>
    <xf numFmtId="0" fontId="16" fillId="0" borderId="0" xfId="0" applyFont="1" applyBorder="1" applyAlignment="1" applyProtection="1">
      <alignment horizontal="center" vertical="center" wrapText="1"/>
      <protection hidden="1"/>
    </xf>
    <xf numFmtId="0" fontId="8" fillId="0" borderId="0" xfId="0" applyFont="1" applyBorder="1" applyAlignment="1" applyProtection="1">
      <alignment horizontal="right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10" fillId="0" borderId="14" xfId="0" applyFont="1" applyBorder="1" applyAlignment="1" applyProtection="1">
      <alignment horizontal="center" vertical="center" wrapText="1"/>
      <protection hidden="1"/>
    </xf>
    <xf numFmtId="0" fontId="10" fillId="0" borderId="7" xfId="0" applyFont="1" applyFill="1" applyBorder="1" applyAlignment="1" applyProtection="1">
      <alignment horizontal="center" vertical="center" wrapText="1"/>
      <protection hidden="1"/>
    </xf>
    <xf numFmtId="0" fontId="10" fillId="0" borderId="8" xfId="0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Border="1" applyAlignment="1" applyProtection="1">
      <alignment horizontal="center" vertical="center" wrapText="1"/>
      <protection hidden="1"/>
    </xf>
    <xf numFmtId="0" fontId="17" fillId="0" borderId="10" xfId="0" applyFont="1" applyBorder="1" applyAlignment="1" applyProtection="1">
      <alignment horizontal="center" vertical="center" wrapText="1"/>
      <protection hidden="1"/>
    </xf>
    <xf numFmtId="0" fontId="17" fillId="0" borderId="0" xfId="0" applyNumberFormat="1" applyFont="1" applyBorder="1" applyAlignment="1" applyProtection="1">
      <alignment horizontal="center" vertical="center" wrapText="1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4" xfId="0" applyFont="1" applyBorder="1" applyAlignment="1" applyProtection="1">
      <alignment horizontal="center" vertical="center" wrapText="1"/>
      <protection hidden="1"/>
    </xf>
    <xf numFmtId="0" fontId="8" fillId="0" borderId="0" xfId="0" applyFont="1" applyBorder="1" applyAlignment="1" applyProtection="1">
      <alignment horizontal="center" vertical="center" wrapText="1"/>
      <protection locked="0"/>
    </xf>
    <xf numFmtId="16" fontId="8" fillId="0" borderId="0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textRotation="90" wrapText="1"/>
      <protection hidden="1"/>
    </xf>
    <xf numFmtId="0" fontId="10" fillId="0" borderId="14" xfId="0" applyFont="1" applyBorder="1" applyAlignment="1" applyProtection="1">
      <alignment horizontal="center" vertical="center" textRotation="90" wrapText="1"/>
      <protection hidden="1"/>
    </xf>
    <xf numFmtId="0" fontId="10" fillId="0" borderId="13" xfId="0" applyFont="1" applyBorder="1" applyAlignment="1" applyProtection="1">
      <alignment horizontal="center" vertical="center" wrapText="1"/>
      <protection hidden="1"/>
    </xf>
    <xf numFmtId="0" fontId="10" fillId="0" borderId="15" xfId="0" applyFont="1" applyBorder="1" applyAlignment="1" applyProtection="1">
      <alignment horizontal="center" vertical="center" wrapText="1"/>
      <protection hidden="1"/>
    </xf>
    <xf numFmtId="0" fontId="10" fillId="0" borderId="10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9" xfId="0" applyFont="1" applyBorder="1" applyAlignment="1" applyProtection="1">
      <alignment horizontal="center" vertical="center" wrapText="1"/>
      <protection locked="0"/>
    </xf>
    <xf numFmtId="0" fontId="10" fillId="0" borderId="13" xfId="0" applyFont="1" applyBorder="1" applyAlignment="1" applyProtection="1">
      <alignment horizontal="center" vertical="center" wrapText="1"/>
      <protection locked="0"/>
    </xf>
    <xf numFmtId="0" fontId="11" fillId="0" borderId="0" xfId="0" applyFont="1" applyBorder="1" applyAlignment="1" applyProtection="1">
      <alignment horizontal="center" vertical="top" wrapText="1"/>
      <protection hidden="1"/>
    </xf>
    <xf numFmtId="0" fontId="18" fillId="0" borderId="0" xfId="0" applyFont="1" applyBorder="1" applyAlignment="1" applyProtection="1">
      <alignment horizontal="center" vertical="top" wrapText="1"/>
      <protection hidden="1"/>
    </xf>
    <xf numFmtId="0" fontId="18" fillId="0" borderId="0" xfId="0" applyFont="1" applyFill="1" applyBorder="1" applyAlignment="1" applyProtection="1">
      <alignment horizontal="center" vertical="top" wrapText="1"/>
      <protection hidden="1"/>
    </xf>
    <xf numFmtId="0" fontId="7" fillId="0" borderId="0" xfId="0" applyFont="1" applyBorder="1" applyAlignment="1" applyProtection="1">
      <alignment horizontal="center" vertical="center" wrapText="1"/>
      <protection locked="0"/>
    </xf>
    <xf numFmtId="0" fontId="7" fillId="0" borderId="0" xfId="0" applyFont="1" applyBorder="1" applyAlignment="1" applyProtection="1">
      <alignment horizontal="right" vertical="center" wrapText="1"/>
      <protection hidden="1"/>
    </xf>
    <xf numFmtId="0" fontId="17" fillId="0" borderId="0" xfId="0" applyFont="1" applyBorder="1" applyAlignment="1" applyProtection="1">
      <alignment horizontal="left" vertical="center" wrapText="1"/>
      <protection hidden="1"/>
    </xf>
    <xf numFmtId="0" fontId="17" fillId="0" borderId="0" xfId="0" applyFont="1" applyBorder="1" applyAlignment="1" applyProtection="1">
      <alignment horizontal="center" vertical="top" wrapText="1"/>
      <protection hidden="1"/>
    </xf>
    <xf numFmtId="0" fontId="10" fillId="0" borderId="8" xfId="0" applyFont="1" applyBorder="1" applyAlignment="1" applyProtection="1">
      <alignment horizontal="center" vertical="center" wrapText="1"/>
      <protection hidden="1"/>
    </xf>
    <xf numFmtId="0" fontId="10" fillId="0" borderId="8" xfId="0" applyFont="1" applyBorder="1" applyAlignment="1" applyProtection="1">
      <alignment horizontal="center" vertical="center" textRotation="90" wrapText="1"/>
      <protection hidden="1"/>
    </xf>
    <xf numFmtId="0" fontId="17" fillId="0" borderId="0" xfId="0" applyFont="1" applyFill="1" applyBorder="1" applyAlignment="1" applyProtection="1">
      <alignment horizontal="center" vertical="center" wrapText="1"/>
      <protection hidden="1"/>
    </xf>
    <xf numFmtId="0" fontId="10" fillId="0" borderId="5" xfId="0" applyFont="1" applyFill="1" applyBorder="1" applyAlignment="1" applyProtection="1">
      <alignment horizontal="center" vertical="center" wrapText="1"/>
      <protection hidden="1"/>
    </xf>
    <xf numFmtId="0" fontId="10" fillId="0" borderId="9" xfId="0" applyFont="1" applyFill="1" applyBorder="1" applyAlignment="1" applyProtection="1">
      <alignment horizontal="center" vertical="center" wrapText="1"/>
      <protection hidden="1"/>
    </xf>
    <xf numFmtId="0" fontId="10" fillId="0" borderId="12" xfId="0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Fill="1" applyBorder="1" applyAlignment="1" applyProtection="1">
      <alignment horizontal="center" vertical="center" wrapText="1"/>
      <protection locked="0"/>
    </xf>
    <xf numFmtId="0" fontId="10" fillId="0" borderId="15" xfId="0" applyFont="1" applyFill="1" applyBorder="1" applyAlignment="1" applyProtection="1">
      <alignment horizontal="center" vertical="center" wrapText="1"/>
      <protection locked="0"/>
    </xf>
    <xf numFmtId="0" fontId="10" fillId="0" borderId="6" xfId="0" applyFont="1" applyFill="1" applyBorder="1" applyAlignment="1" applyProtection="1">
      <alignment horizontal="center" vertical="center" wrapText="1"/>
      <protection hidden="1"/>
    </xf>
    <xf numFmtId="0" fontId="10" fillId="0" borderId="10" xfId="0" applyFont="1" applyFill="1" applyBorder="1" applyAlignment="1" applyProtection="1">
      <alignment horizontal="center" vertical="center" wrapText="1"/>
      <protection hidden="1"/>
    </xf>
    <xf numFmtId="0" fontId="17" fillId="0" borderId="10" xfId="0" applyFont="1" applyFill="1" applyBorder="1" applyAlignment="1" applyProtection="1">
      <alignment horizontal="center" vertical="center" wrapText="1"/>
      <protection hidden="1"/>
    </xf>
    <xf numFmtId="0" fontId="10" fillId="0" borderId="9" xfId="0" applyFont="1" applyFill="1" applyBorder="1" applyAlignment="1" applyProtection="1">
      <alignment horizontal="center" vertical="center" wrapText="1"/>
      <protection locked="0"/>
    </xf>
    <xf numFmtId="0" fontId="10" fillId="0" borderId="13" xfId="0" applyFont="1" applyFill="1" applyBorder="1" applyAlignment="1" applyProtection="1">
      <alignment horizontal="center" vertical="center" wrapText="1"/>
      <protection locked="0"/>
    </xf>
    <xf numFmtId="0" fontId="17" fillId="0" borderId="9" xfId="0" applyFont="1" applyFill="1" applyBorder="1" applyAlignment="1" applyProtection="1">
      <alignment horizontal="center" vertical="center" wrapText="1"/>
      <protection hidden="1"/>
    </xf>
    <xf numFmtId="0" fontId="10" fillId="0" borderId="7" xfId="0" applyFont="1" applyFill="1" applyBorder="1" applyAlignment="1" applyProtection="1">
      <alignment horizontal="center" vertical="center" textRotation="90" wrapText="1"/>
      <protection hidden="1"/>
    </xf>
    <xf numFmtId="0" fontId="10" fillId="0" borderId="14" xfId="0" applyFont="1" applyFill="1" applyBorder="1" applyAlignment="1" applyProtection="1">
      <alignment horizontal="center" vertical="center" textRotation="90" wrapText="1"/>
      <protection hidden="1"/>
    </xf>
    <xf numFmtId="0" fontId="10" fillId="0" borderId="8" xfId="0" applyFont="1" applyFill="1" applyBorder="1" applyAlignment="1" applyProtection="1">
      <alignment horizontal="center" vertical="center" textRotation="90" wrapText="1"/>
      <protection hidden="1"/>
    </xf>
    <xf numFmtId="0" fontId="10" fillId="0" borderId="13" xfId="0" applyFont="1" applyFill="1" applyBorder="1" applyAlignment="1" applyProtection="1">
      <alignment horizontal="center" vertical="center" wrapText="1"/>
      <protection hidden="1"/>
    </xf>
    <xf numFmtId="0" fontId="10" fillId="0" borderId="15" xfId="0" applyFont="1" applyFill="1" applyBorder="1" applyAlignment="1" applyProtection="1">
      <alignment horizontal="center" vertical="center" wrapText="1"/>
      <protection hidden="1"/>
    </xf>
    <xf numFmtId="0" fontId="10" fillId="0" borderId="4" xfId="0" applyFont="1" applyFill="1" applyBorder="1" applyAlignment="1" applyProtection="1">
      <alignment horizontal="center" vertical="center" wrapText="1"/>
      <protection hidden="1"/>
    </xf>
    <xf numFmtId="0" fontId="10" fillId="0" borderId="14" xfId="0" applyFont="1" applyFill="1" applyBorder="1" applyAlignment="1" applyProtection="1">
      <alignment horizontal="center" vertical="center" wrapText="1"/>
      <protection hidden="1"/>
    </xf>
    <xf numFmtId="0" fontId="10" fillId="0" borderId="10" xfId="0" applyFont="1" applyFill="1" applyBorder="1" applyAlignment="1" applyProtection="1">
      <alignment horizontal="center" vertical="center" wrapText="1"/>
      <protection locked="0"/>
    </xf>
    <xf numFmtId="0" fontId="10" fillId="0" borderId="4" xfId="0" applyFont="1" applyFill="1" applyBorder="1" applyAlignment="1" applyProtection="1">
      <alignment horizontal="center" vertical="center" wrapText="1"/>
      <protection locked="0"/>
    </xf>
    <xf numFmtId="0" fontId="17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7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 wrapText="1"/>
      <protection hidden="1"/>
    </xf>
    <xf numFmtId="0" fontId="7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top" wrapText="1"/>
      <protection hidden="1"/>
    </xf>
    <xf numFmtId="0" fontId="7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7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Border="1" applyAlignment="1" applyProtection="1">
      <alignment horizontal="center" vertical="top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 indent="2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8" fillId="0" borderId="0" xfId="0" applyFont="1" applyBorder="1" applyAlignment="1" applyProtection="1">
      <alignment horizontal="right" vertical="center"/>
      <protection hidden="1"/>
    </xf>
    <xf numFmtId="4" fontId="7" fillId="0" borderId="2" xfId="0" applyNumberFormat="1" applyFont="1" applyBorder="1" applyAlignment="1" applyProtection="1">
      <alignment horizontal="center" vertical="center" wrapText="1"/>
      <protection hidden="1"/>
    </xf>
    <xf numFmtId="0" fontId="7" fillId="0" borderId="8" xfId="0" applyFont="1" applyBorder="1" applyAlignment="1" applyProtection="1">
      <alignment horizontal="left" vertical="center" wrapText="1" indent="2"/>
      <protection hidden="1"/>
    </xf>
    <xf numFmtId="0" fontId="7" fillId="0" borderId="8" xfId="0" applyFont="1" applyBorder="1" applyAlignment="1" applyProtection="1">
      <alignment horizontal="left" vertical="center" wrapText="1"/>
      <protection hidden="1"/>
    </xf>
    <xf numFmtId="0" fontId="7" fillId="0" borderId="2" xfId="0" applyFont="1" applyBorder="1" applyAlignment="1" applyProtection="1">
      <alignment horizontal="center" vertical="center" textRotation="90" wrapText="1"/>
      <protection hidden="1"/>
    </xf>
    <xf numFmtId="1" fontId="7" fillId="0" borderId="2" xfId="0" applyNumberFormat="1" applyFont="1" applyBorder="1" applyAlignment="1" applyProtection="1">
      <alignment horizontal="center" vertical="center" wrapText="1"/>
      <protection hidden="1"/>
    </xf>
    <xf numFmtId="1" fontId="7" fillId="0" borderId="3" xfId="0" applyNumberFormat="1" applyFont="1" applyBorder="1" applyAlignment="1" applyProtection="1">
      <alignment horizontal="center" vertical="center" wrapText="1"/>
      <protection hidden="1"/>
    </xf>
    <xf numFmtId="1" fontId="7" fillId="0" borderId="1" xfId="0" applyNumberFormat="1" applyFont="1" applyBorder="1" applyAlignment="1" applyProtection="1">
      <alignment horizontal="center" vertical="center" wrapText="1"/>
      <protection hidden="1"/>
    </xf>
    <xf numFmtId="4" fontId="7" fillId="0" borderId="3" xfId="0" applyNumberFormat="1" applyFont="1" applyBorder="1" applyAlignment="1" applyProtection="1">
      <alignment horizontal="center" vertical="center" wrapText="1"/>
      <protection hidden="1"/>
    </xf>
    <xf numFmtId="4" fontId="7" fillId="0" borderId="11" xfId="0" applyNumberFormat="1" applyFont="1" applyBorder="1" applyAlignment="1" applyProtection="1">
      <alignment horizontal="center" vertical="center" wrapText="1"/>
      <protection hidden="1"/>
    </xf>
    <xf numFmtId="0" fontId="12" fillId="0" borderId="0" xfId="0" applyFont="1" applyBorder="1" applyAlignment="1" applyProtection="1">
      <alignment horizontal="left" vertical="center" wrapText="1"/>
      <protection locked="0"/>
    </xf>
    <xf numFmtId="1" fontId="7" fillId="0" borderId="11" xfId="0" applyNumberFormat="1" applyFont="1" applyBorder="1" applyAlignment="1" applyProtection="1">
      <alignment horizontal="center" vertical="center" wrapText="1"/>
      <protection hidden="1"/>
    </xf>
    <xf numFmtId="4" fontId="7" fillId="0" borderId="1" xfId="0" applyNumberFormat="1" applyFont="1" applyBorder="1" applyAlignment="1" applyProtection="1">
      <alignment horizontal="center" vertical="center" wrapText="1"/>
      <protection hidden="1"/>
    </xf>
    <xf numFmtId="0" fontId="14" fillId="0" borderId="0" xfId="0" applyFont="1" applyBorder="1" applyAlignment="1" applyProtection="1">
      <alignment horizontal="left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4" fontId="7" fillId="0" borderId="6" xfId="0" applyNumberFormat="1" applyFont="1" applyBorder="1" applyAlignment="1" applyProtection="1">
      <alignment horizontal="center" vertical="center" wrapText="1"/>
      <protection hidden="1"/>
    </xf>
    <xf numFmtId="4" fontId="7" fillId="0" borderId="4" xfId="0" applyNumberFormat="1" applyFont="1" applyBorder="1" applyAlignment="1" applyProtection="1">
      <alignment horizontal="center" vertical="center" wrapText="1"/>
      <protection hidden="1"/>
    </xf>
  </cellXfs>
  <cellStyles count="7">
    <cellStyle name="Обычный" xfId="0" builtinId="0"/>
    <cellStyle name="Обычный 2" xfId="1"/>
    <cellStyle name="Обычный 3" xfId="2"/>
    <cellStyle name="Обычный 4" xfId="3"/>
    <cellStyle name="Обычный 5" xfId="4"/>
    <cellStyle name="Обычный 6" xfId="5"/>
    <cellStyle name="Обычный 7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'Всего без субабонентов'!$B$16:$B$39</c:f>
              <c:numCache>
                <c:formatCode>0</c:formatCode>
                <c:ptCount val="24"/>
                <c:pt idx="0">
                  <c:v>5889.8400000009133</c:v>
                </c:pt>
                <c:pt idx="1">
                  <c:v>5906.8799999906332</c:v>
                </c:pt>
                <c:pt idx="2">
                  <c:v>5890.4400000010355</c:v>
                </c:pt>
                <c:pt idx="3">
                  <c:v>5822.6399999937712</c:v>
                </c:pt>
                <c:pt idx="4">
                  <c:v>5817.8400000060947</c:v>
                </c:pt>
                <c:pt idx="5">
                  <c:v>5727.3599999822181</c:v>
                </c:pt>
                <c:pt idx="6">
                  <c:v>5829.0000000306463</c:v>
                </c:pt>
                <c:pt idx="7">
                  <c:v>5942.0399999962683</c:v>
                </c:pt>
                <c:pt idx="8">
                  <c:v>5813.5199999971519</c:v>
                </c:pt>
                <c:pt idx="9">
                  <c:v>6093.599999997241</c:v>
                </c:pt>
                <c:pt idx="10">
                  <c:v>6130.8000000168249</c:v>
                </c:pt>
                <c:pt idx="11">
                  <c:v>6021.479999996518</c:v>
                </c:pt>
                <c:pt idx="12">
                  <c:v>5910.4799999891839</c:v>
                </c:pt>
                <c:pt idx="13">
                  <c:v>6079.3200000010984</c:v>
                </c:pt>
                <c:pt idx="14">
                  <c:v>6065.3999999936786</c:v>
                </c:pt>
                <c:pt idx="15">
                  <c:v>6120.5999999972846</c:v>
                </c:pt>
                <c:pt idx="16">
                  <c:v>6389.400000020396</c:v>
                </c:pt>
                <c:pt idx="17">
                  <c:v>6113.7600000249222</c:v>
                </c:pt>
                <c:pt idx="18">
                  <c:v>6103.3199999219505</c:v>
                </c:pt>
                <c:pt idx="19">
                  <c:v>6096.8400000572728</c:v>
                </c:pt>
                <c:pt idx="20">
                  <c:v>5937.4800000001414</c:v>
                </c:pt>
                <c:pt idx="21">
                  <c:v>5961.9599999910124</c:v>
                </c:pt>
                <c:pt idx="22">
                  <c:v>5897.0399999892834</c:v>
                </c:pt>
                <c:pt idx="23">
                  <c:v>5912.0399999759684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00064"/>
        <c:axId val="148205952"/>
      </c:lineChart>
      <c:catAx>
        <c:axId val="148200064"/>
        <c:scaling>
          <c:orientation val="minMax"/>
        </c:scaling>
        <c:delete val="0"/>
        <c:axPos val="b"/>
        <c:majorTickMark val="out"/>
        <c:minorTickMark val="none"/>
        <c:tickLblPos val="nextTo"/>
        <c:crossAx val="148205952"/>
        <c:crosses val="autoZero"/>
        <c:auto val="1"/>
        <c:lblAlgn val="ctr"/>
        <c:lblOffset val="100"/>
        <c:noMultiLvlLbl val="0"/>
      </c:catAx>
      <c:valAx>
        <c:axId val="148205952"/>
        <c:scaling>
          <c:orientation val="minMax"/>
          <c:max val="8000"/>
          <c:min val="6000"/>
        </c:scaling>
        <c:delete val="0"/>
        <c:axPos val="l"/>
        <c:majorGridlines/>
        <c:minorGridlines/>
        <c:numFmt formatCode="0" sourceLinked="1"/>
        <c:majorTickMark val="out"/>
        <c:minorTickMark val="none"/>
        <c:tickLblPos val="nextTo"/>
        <c:crossAx val="148200064"/>
        <c:crosses val="autoZero"/>
        <c:crossBetween val="between"/>
        <c:majorUnit val="10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342899</xdr:colOff>
      <xdr:row>3</xdr:row>
      <xdr:rowOff>85724</xdr:rowOff>
    </xdr:from>
    <xdr:to>
      <xdr:col>13</xdr:col>
      <xdr:colOff>352425</xdr:colOff>
      <xdr:row>35</xdr:row>
      <xdr:rowOff>38099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BM92"/>
  <sheetViews>
    <sheetView workbookViewId="0"/>
  </sheetViews>
  <sheetFormatPr defaultRowHeight="12.75" x14ac:dyDescent="0.2"/>
  <sheetData>
    <row r="1" spans="1:65" x14ac:dyDescent="0.2">
      <c r="A1" t="s">
        <v>266</v>
      </c>
    </row>
    <row r="2" spans="1:65" x14ac:dyDescent="0.2">
      <c r="A2" t="s">
        <v>267</v>
      </c>
      <c r="B2" t="s">
        <v>363</v>
      </c>
      <c r="C2" t="s">
        <v>364</v>
      </c>
      <c r="D2" t="s">
        <v>268</v>
      </c>
      <c r="E2" t="s">
        <v>269</v>
      </c>
      <c r="F2" t="s">
        <v>268</v>
      </c>
      <c r="G2" t="s">
        <v>270</v>
      </c>
      <c r="K2" t="s">
        <v>271</v>
      </c>
      <c r="M2" t="s">
        <v>289</v>
      </c>
      <c r="W2" t="s">
        <v>268</v>
      </c>
    </row>
    <row r="3" spans="1:65" x14ac:dyDescent="0.2">
      <c r="A3" t="s">
        <v>273</v>
      </c>
      <c r="B3" t="s">
        <v>274</v>
      </c>
    </row>
    <row r="4" spans="1:65" x14ac:dyDescent="0.2">
      <c r="A4" t="s">
        <v>275</v>
      </c>
      <c r="B4" t="s">
        <v>276</v>
      </c>
      <c r="C4" t="s">
        <v>277</v>
      </c>
      <c r="D4" t="s">
        <v>282</v>
      </c>
      <c r="F4" t="s">
        <v>278</v>
      </c>
      <c r="O4" t="s">
        <v>279</v>
      </c>
    </row>
    <row r="5" spans="1:65" x14ac:dyDescent="0.2">
      <c r="A5" t="s">
        <v>275</v>
      </c>
      <c r="B5" t="s">
        <v>276</v>
      </c>
      <c r="C5" t="s">
        <v>280</v>
      </c>
      <c r="D5" t="s">
        <v>281</v>
      </c>
      <c r="F5" t="s">
        <v>278</v>
      </c>
      <c r="O5" t="s">
        <v>279</v>
      </c>
    </row>
    <row r="6" spans="1:65" x14ac:dyDescent="0.2">
      <c r="A6" t="s">
        <v>284</v>
      </c>
      <c r="B6" t="s">
        <v>283</v>
      </c>
      <c r="C6" t="s">
        <v>274</v>
      </c>
      <c r="E6" t="s">
        <v>297</v>
      </c>
      <c r="G6" t="s">
        <v>285</v>
      </c>
      <c r="J6" t="s">
        <v>286</v>
      </c>
      <c r="K6" t="s">
        <v>287</v>
      </c>
      <c r="M6" t="s">
        <v>299</v>
      </c>
      <c r="N6" t="s">
        <v>288</v>
      </c>
      <c r="O6" t="s">
        <v>298</v>
      </c>
      <c r="P6" t="s">
        <v>289</v>
      </c>
      <c r="T6" t="s">
        <v>290</v>
      </c>
      <c r="Z6" t="s">
        <v>291</v>
      </c>
      <c r="AF6" t="s">
        <v>272</v>
      </c>
      <c r="AG6" t="s">
        <v>288</v>
      </c>
      <c r="AO6" t="s">
        <v>279</v>
      </c>
      <c r="AT6" t="s">
        <v>288</v>
      </c>
      <c r="AV6" t="s">
        <v>292</v>
      </c>
      <c r="AW6" t="s">
        <v>293</v>
      </c>
      <c r="BC6" t="s">
        <v>294</v>
      </c>
      <c r="BI6" t="s">
        <v>289</v>
      </c>
      <c r="BJ6" t="s">
        <v>288</v>
      </c>
      <c r="BK6" t="s">
        <v>288</v>
      </c>
      <c r="BL6" t="s">
        <v>268</v>
      </c>
      <c r="BM6" t="s">
        <v>288</v>
      </c>
    </row>
    <row r="7" spans="1:65" x14ac:dyDescent="0.2">
      <c r="A7" t="s">
        <v>284</v>
      </c>
      <c r="B7" t="s">
        <v>283</v>
      </c>
      <c r="C7" t="s">
        <v>295</v>
      </c>
      <c r="E7" t="s">
        <v>300</v>
      </c>
      <c r="G7" t="s">
        <v>285</v>
      </c>
      <c r="J7" t="s">
        <v>286</v>
      </c>
      <c r="K7" t="s">
        <v>287</v>
      </c>
      <c r="M7" t="s">
        <v>299</v>
      </c>
      <c r="N7" t="s">
        <v>288</v>
      </c>
      <c r="O7" t="s">
        <v>298</v>
      </c>
      <c r="P7" t="s">
        <v>289</v>
      </c>
      <c r="T7" t="s">
        <v>290</v>
      </c>
      <c r="Z7" t="s">
        <v>291</v>
      </c>
      <c r="AF7" t="s">
        <v>272</v>
      </c>
      <c r="AG7" t="s">
        <v>288</v>
      </c>
      <c r="AO7" t="s">
        <v>279</v>
      </c>
      <c r="AT7" t="s">
        <v>288</v>
      </c>
      <c r="AV7" t="s">
        <v>301</v>
      </c>
      <c r="AW7" t="s">
        <v>293</v>
      </c>
      <c r="BC7" t="s">
        <v>294</v>
      </c>
      <c r="BE7" t="s">
        <v>296</v>
      </c>
      <c r="BI7" t="s">
        <v>280</v>
      </c>
      <c r="BJ7" t="s">
        <v>288</v>
      </c>
      <c r="BK7" t="s">
        <v>288</v>
      </c>
      <c r="BL7" t="s">
        <v>268</v>
      </c>
      <c r="BM7" t="s">
        <v>288</v>
      </c>
    </row>
    <row r="8" spans="1:65" x14ac:dyDescent="0.2">
      <c r="A8" t="s">
        <v>273</v>
      </c>
      <c r="B8" t="s">
        <v>302</v>
      </c>
    </row>
    <row r="9" spans="1:65" x14ac:dyDescent="0.2">
      <c r="A9" t="s">
        <v>275</v>
      </c>
      <c r="B9" t="s">
        <v>276</v>
      </c>
      <c r="C9" t="s">
        <v>277</v>
      </c>
      <c r="D9" t="s">
        <v>282</v>
      </c>
      <c r="F9" t="s">
        <v>278</v>
      </c>
      <c r="O9" t="s">
        <v>279</v>
      </c>
    </row>
    <row r="10" spans="1:65" x14ac:dyDescent="0.2">
      <c r="A10" t="s">
        <v>275</v>
      </c>
      <c r="B10" t="s">
        <v>276</v>
      </c>
      <c r="C10" t="s">
        <v>280</v>
      </c>
      <c r="D10" t="s">
        <v>281</v>
      </c>
      <c r="F10" t="s">
        <v>278</v>
      </c>
      <c r="O10" t="s">
        <v>279</v>
      </c>
    </row>
    <row r="11" spans="1:65" x14ac:dyDescent="0.2">
      <c r="A11" t="s">
        <v>284</v>
      </c>
      <c r="B11" t="s">
        <v>283</v>
      </c>
      <c r="C11" t="s">
        <v>274</v>
      </c>
      <c r="E11" t="s">
        <v>303</v>
      </c>
      <c r="G11" t="s">
        <v>285</v>
      </c>
      <c r="J11" t="s">
        <v>286</v>
      </c>
      <c r="K11" t="s">
        <v>287</v>
      </c>
      <c r="M11" t="s">
        <v>299</v>
      </c>
      <c r="N11" t="s">
        <v>288</v>
      </c>
      <c r="O11" t="s">
        <v>304</v>
      </c>
      <c r="P11" t="s">
        <v>289</v>
      </c>
      <c r="T11" t="s">
        <v>290</v>
      </c>
      <c r="Z11" t="s">
        <v>291</v>
      </c>
      <c r="AF11" t="s">
        <v>272</v>
      </c>
      <c r="AG11" t="s">
        <v>288</v>
      </c>
      <c r="AO11" t="s">
        <v>279</v>
      </c>
      <c r="AT11" t="s">
        <v>288</v>
      </c>
      <c r="AV11" t="s">
        <v>292</v>
      </c>
      <c r="AW11" t="s">
        <v>293</v>
      </c>
      <c r="BC11" t="s">
        <v>294</v>
      </c>
      <c r="BI11" t="s">
        <v>289</v>
      </c>
      <c r="BJ11" t="s">
        <v>288</v>
      </c>
      <c r="BK11" t="s">
        <v>288</v>
      </c>
      <c r="BL11" t="s">
        <v>268</v>
      </c>
      <c r="BM11" t="s">
        <v>288</v>
      </c>
    </row>
    <row r="12" spans="1:65" x14ac:dyDescent="0.2">
      <c r="A12" t="s">
        <v>284</v>
      </c>
      <c r="B12" t="s">
        <v>283</v>
      </c>
      <c r="C12" t="s">
        <v>295</v>
      </c>
      <c r="E12" t="s">
        <v>305</v>
      </c>
      <c r="G12" t="s">
        <v>285</v>
      </c>
      <c r="J12" t="s">
        <v>286</v>
      </c>
      <c r="K12" t="s">
        <v>287</v>
      </c>
      <c r="M12" t="s">
        <v>299</v>
      </c>
      <c r="N12" t="s">
        <v>288</v>
      </c>
      <c r="O12" t="s">
        <v>304</v>
      </c>
      <c r="P12" t="s">
        <v>289</v>
      </c>
      <c r="T12" t="s">
        <v>290</v>
      </c>
      <c r="Z12" t="s">
        <v>291</v>
      </c>
      <c r="AF12" t="s">
        <v>272</v>
      </c>
      <c r="AG12" t="s">
        <v>288</v>
      </c>
      <c r="AO12" t="s">
        <v>279</v>
      </c>
      <c r="AT12" t="s">
        <v>288</v>
      </c>
      <c r="AV12" t="s">
        <v>301</v>
      </c>
      <c r="AW12" t="s">
        <v>293</v>
      </c>
      <c r="BC12" t="s">
        <v>294</v>
      </c>
      <c r="BE12" t="s">
        <v>296</v>
      </c>
      <c r="BI12" t="s">
        <v>280</v>
      </c>
      <c r="BJ12" t="s">
        <v>288</v>
      </c>
      <c r="BK12" t="s">
        <v>288</v>
      </c>
      <c r="BL12" t="s">
        <v>268</v>
      </c>
      <c r="BM12" t="s">
        <v>288</v>
      </c>
    </row>
    <row r="13" spans="1:65" x14ac:dyDescent="0.2">
      <c r="A13" t="s">
        <v>273</v>
      </c>
      <c r="B13" t="s">
        <v>289</v>
      </c>
    </row>
    <row r="14" spans="1:65" x14ac:dyDescent="0.2">
      <c r="A14" t="s">
        <v>275</v>
      </c>
      <c r="B14" t="s">
        <v>276</v>
      </c>
      <c r="C14" t="s">
        <v>277</v>
      </c>
      <c r="D14" t="s">
        <v>282</v>
      </c>
      <c r="F14" t="s">
        <v>278</v>
      </c>
      <c r="O14" t="s">
        <v>279</v>
      </c>
    </row>
    <row r="15" spans="1:65" x14ac:dyDescent="0.2">
      <c r="A15" t="s">
        <v>275</v>
      </c>
      <c r="B15" t="s">
        <v>276</v>
      </c>
      <c r="C15" t="s">
        <v>280</v>
      </c>
      <c r="D15" t="s">
        <v>281</v>
      </c>
      <c r="F15" t="s">
        <v>278</v>
      </c>
      <c r="O15" t="s">
        <v>279</v>
      </c>
    </row>
    <row r="16" spans="1:65" x14ac:dyDescent="0.2">
      <c r="A16" t="s">
        <v>284</v>
      </c>
      <c r="B16" t="s">
        <v>283</v>
      </c>
      <c r="C16" t="s">
        <v>274</v>
      </c>
      <c r="E16" t="s">
        <v>306</v>
      </c>
      <c r="G16" t="s">
        <v>285</v>
      </c>
      <c r="J16" t="s">
        <v>286</v>
      </c>
      <c r="K16" t="s">
        <v>287</v>
      </c>
      <c r="M16" t="s">
        <v>299</v>
      </c>
      <c r="N16" t="s">
        <v>288</v>
      </c>
      <c r="O16" t="s">
        <v>307</v>
      </c>
      <c r="P16" t="s">
        <v>289</v>
      </c>
      <c r="T16" t="s">
        <v>290</v>
      </c>
      <c r="Z16" t="s">
        <v>291</v>
      </c>
      <c r="AF16" t="s">
        <v>272</v>
      </c>
      <c r="AG16" t="s">
        <v>288</v>
      </c>
      <c r="AO16" t="s">
        <v>279</v>
      </c>
      <c r="AT16" t="s">
        <v>288</v>
      </c>
      <c r="AV16" t="s">
        <v>292</v>
      </c>
      <c r="AW16" t="s">
        <v>293</v>
      </c>
      <c r="BC16" t="s">
        <v>294</v>
      </c>
      <c r="BI16" t="s">
        <v>289</v>
      </c>
      <c r="BJ16" t="s">
        <v>288</v>
      </c>
      <c r="BK16" t="s">
        <v>288</v>
      </c>
      <c r="BL16" t="s">
        <v>268</v>
      </c>
      <c r="BM16" t="s">
        <v>288</v>
      </c>
    </row>
    <row r="17" spans="1:65" x14ac:dyDescent="0.2">
      <c r="A17" t="s">
        <v>284</v>
      </c>
      <c r="B17" t="s">
        <v>283</v>
      </c>
      <c r="C17" t="s">
        <v>295</v>
      </c>
      <c r="E17" t="s">
        <v>308</v>
      </c>
      <c r="G17" t="s">
        <v>285</v>
      </c>
      <c r="J17" t="s">
        <v>286</v>
      </c>
      <c r="K17" t="s">
        <v>287</v>
      </c>
      <c r="M17" t="s">
        <v>299</v>
      </c>
      <c r="N17" t="s">
        <v>288</v>
      </c>
      <c r="O17" t="s">
        <v>307</v>
      </c>
      <c r="P17" t="s">
        <v>289</v>
      </c>
      <c r="T17" t="s">
        <v>290</v>
      </c>
      <c r="Z17" t="s">
        <v>291</v>
      </c>
      <c r="AF17" t="s">
        <v>272</v>
      </c>
      <c r="AG17" t="s">
        <v>288</v>
      </c>
      <c r="AO17" t="s">
        <v>279</v>
      </c>
      <c r="AT17" t="s">
        <v>288</v>
      </c>
      <c r="AV17" t="s">
        <v>301</v>
      </c>
      <c r="AW17" t="s">
        <v>293</v>
      </c>
      <c r="BC17" t="s">
        <v>294</v>
      </c>
      <c r="BE17" t="s">
        <v>296</v>
      </c>
      <c r="BI17" t="s">
        <v>280</v>
      </c>
      <c r="BJ17" t="s">
        <v>288</v>
      </c>
      <c r="BK17" t="s">
        <v>288</v>
      </c>
      <c r="BL17" t="s">
        <v>268</v>
      </c>
      <c r="BM17" t="s">
        <v>288</v>
      </c>
    </row>
    <row r="18" spans="1:65" x14ac:dyDescent="0.2">
      <c r="A18" t="s">
        <v>273</v>
      </c>
      <c r="B18" t="s">
        <v>277</v>
      </c>
    </row>
    <row r="19" spans="1:65" x14ac:dyDescent="0.2">
      <c r="A19" t="s">
        <v>275</v>
      </c>
      <c r="B19" t="s">
        <v>276</v>
      </c>
      <c r="C19" t="s">
        <v>277</v>
      </c>
      <c r="D19" t="s">
        <v>282</v>
      </c>
      <c r="F19" t="s">
        <v>278</v>
      </c>
      <c r="O19" t="s">
        <v>279</v>
      </c>
    </row>
    <row r="20" spans="1:65" x14ac:dyDescent="0.2">
      <c r="A20" t="s">
        <v>275</v>
      </c>
      <c r="B20" t="s">
        <v>276</v>
      </c>
      <c r="C20" t="s">
        <v>280</v>
      </c>
      <c r="D20" t="s">
        <v>281</v>
      </c>
      <c r="F20" t="s">
        <v>278</v>
      </c>
      <c r="O20" t="s">
        <v>279</v>
      </c>
    </row>
    <row r="21" spans="1:65" x14ac:dyDescent="0.2">
      <c r="A21" t="s">
        <v>284</v>
      </c>
      <c r="B21" t="s">
        <v>283</v>
      </c>
      <c r="C21" t="s">
        <v>274</v>
      </c>
      <c r="E21" t="s">
        <v>309</v>
      </c>
      <c r="G21" t="s">
        <v>285</v>
      </c>
      <c r="J21" t="s">
        <v>286</v>
      </c>
      <c r="K21" t="s">
        <v>287</v>
      </c>
      <c r="M21" t="s">
        <v>299</v>
      </c>
      <c r="N21" t="s">
        <v>288</v>
      </c>
      <c r="O21" t="s">
        <v>310</v>
      </c>
      <c r="P21" t="s">
        <v>289</v>
      </c>
      <c r="T21" t="s">
        <v>290</v>
      </c>
      <c r="Z21" t="s">
        <v>291</v>
      </c>
      <c r="AF21" t="s">
        <v>272</v>
      </c>
      <c r="AG21" t="s">
        <v>288</v>
      </c>
      <c r="AO21" t="s">
        <v>279</v>
      </c>
      <c r="AT21" t="s">
        <v>288</v>
      </c>
      <c r="AV21" t="s">
        <v>292</v>
      </c>
      <c r="AW21" t="s">
        <v>293</v>
      </c>
      <c r="BC21" t="s">
        <v>294</v>
      </c>
      <c r="BI21" t="s">
        <v>289</v>
      </c>
      <c r="BJ21" t="s">
        <v>288</v>
      </c>
      <c r="BK21" t="s">
        <v>288</v>
      </c>
      <c r="BL21" t="s">
        <v>268</v>
      </c>
      <c r="BM21" t="s">
        <v>288</v>
      </c>
    </row>
    <row r="22" spans="1:65" x14ac:dyDescent="0.2">
      <c r="A22" t="s">
        <v>284</v>
      </c>
      <c r="B22" t="s">
        <v>283</v>
      </c>
      <c r="C22" t="s">
        <v>295</v>
      </c>
      <c r="E22" t="s">
        <v>311</v>
      </c>
      <c r="G22" t="s">
        <v>285</v>
      </c>
      <c r="J22" t="s">
        <v>286</v>
      </c>
      <c r="K22" t="s">
        <v>287</v>
      </c>
      <c r="M22" t="s">
        <v>299</v>
      </c>
      <c r="N22" t="s">
        <v>288</v>
      </c>
      <c r="O22" t="s">
        <v>310</v>
      </c>
      <c r="P22" t="s">
        <v>289</v>
      </c>
      <c r="T22" t="s">
        <v>290</v>
      </c>
      <c r="Z22" t="s">
        <v>291</v>
      </c>
      <c r="AF22" t="s">
        <v>272</v>
      </c>
      <c r="AG22" t="s">
        <v>288</v>
      </c>
      <c r="AO22" t="s">
        <v>279</v>
      </c>
      <c r="AT22" t="s">
        <v>288</v>
      </c>
      <c r="AV22" t="s">
        <v>301</v>
      </c>
      <c r="AW22" t="s">
        <v>293</v>
      </c>
      <c r="BC22" t="s">
        <v>294</v>
      </c>
      <c r="BE22" t="s">
        <v>296</v>
      </c>
      <c r="BI22" t="s">
        <v>280</v>
      </c>
      <c r="BJ22" t="s">
        <v>288</v>
      </c>
      <c r="BK22" t="s">
        <v>288</v>
      </c>
      <c r="BL22" t="s">
        <v>268</v>
      </c>
      <c r="BM22" t="s">
        <v>288</v>
      </c>
    </row>
    <row r="23" spans="1:65" x14ac:dyDescent="0.2">
      <c r="A23" t="s">
        <v>273</v>
      </c>
      <c r="B23" t="s">
        <v>295</v>
      </c>
    </row>
    <row r="24" spans="1:65" x14ac:dyDescent="0.2">
      <c r="A24" t="s">
        <v>275</v>
      </c>
      <c r="B24" t="s">
        <v>276</v>
      </c>
      <c r="C24" t="s">
        <v>277</v>
      </c>
      <c r="D24" t="s">
        <v>282</v>
      </c>
      <c r="F24" t="s">
        <v>278</v>
      </c>
      <c r="O24" t="s">
        <v>279</v>
      </c>
    </row>
    <row r="25" spans="1:65" x14ac:dyDescent="0.2">
      <c r="A25" t="s">
        <v>275</v>
      </c>
      <c r="B25" t="s">
        <v>276</v>
      </c>
      <c r="C25" t="s">
        <v>280</v>
      </c>
      <c r="D25" t="s">
        <v>281</v>
      </c>
      <c r="F25" t="s">
        <v>278</v>
      </c>
      <c r="O25" t="s">
        <v>279</v>
      </c>
    </row>
    <row r="26" spans="1:65" x14ac:dyDescent="0.2">
      <c r="A26" t="s">
        <v>284</v>
      </c>
      <c r="B26" t="s">
        <v>283</v>
      </c>
      <c r="C26" t="s">
        <v>274</v>
      </c>
      <c r="E26" t="s">
        <v>322</v>
      </c>
      <c r="G26" t="s">
        <v>285</v>
      </c>
      <c r="J26" t="s">
        <v>286</v>
      </c>
      <c r="K26" t="s">
        <v>287</v>
      </c>
      <c r="M26" t="s">
        <v>299</v>
      </c>
      <c r="N26" t="s">
        <v>288</v>
      </c>
      <c r="O26" t="s">
        <v>323</v>
      </c>
      <c r="P26" t="s">
        <v>289</v>
      </c>
      <c r="T26" t="s">
        <v>290</v>
      </c>
      <c r="Z26" t="s">
        <v>291</v>
      </c>
      <c r="AF26" t="s">
        <v>272</v>
      </c>
      <c r="AG26" t="s">
        <v>288</v>
      </c>
      <c r="AO26" t="s">
        <v>279</v>
      </c>
      <c r="AT26" t="s">
        <v>288</v>
      </c>
      <c r="AV26" t="s">
        <v>292</v>
      </c>
      <c r="AW26" t="s">
        <v>293</v>
      </c>
      <c r="BC26" t="s">
        <v>294</v>
      </c>
      <c r="BI26" t="s">
        <v>289</v>
      </c>
      <c r="BJ26" t="s">
        <v>288</v>
      </c>
      <c r="BK26" t="s">
        <v>288</v>
      </c>
      <c r="BL26" t="s">
        <v>268</v>
      </c>
      <c r="BM26" t="s">
        <v>288</v>
      </c>
    </row>
    <row r="27" spans="1:65" x14ac:dyDescent="0.2">
      <c r="A27" t="s">
        <v>284</v>
      </c>
      <c r="B27" t="s">
        <v>283</v>
      </c>
      <c r="C27" t="s">
        <v>295</v>
      </c>
      <c r="E27" t="s">
        <v>324</v>
      </c>
      <c r="G27" t="s">
        <v>285</v>
      </c>
      <c r="J27" t="s">
        <v>286</v>
      </c>
      <c r="K27" t="s">
        <v>287</v>
      </c>
      <c r="M27" t="s">
        <v>299</v>
      </c>
      <c r="N27" t="s">
        <v>288</v>
      </c>
      <c r="O27" t="s">
        <v>323</v>
      </c>
      <c r="P27" t="s">
        <v>289</v>
      </c>
      <c r="T27" t="s">
        <v>290</v>
      </c>
      <c r="Z27" t="s">
        <v>291</v>
      </c>
      <c r="AF27" t="s">
        <v>272</v>
      </c>
      <c r="AG27" t="s">
        <v>288</v>
      </c>
      <c r="AO27" t="s">
        <v>279</v>
      </c>
      <c r="AT27" t="s">
        <v>288</v>
      </c>
      <c r="AV27" t="s">
        <v>301</v>
      </c>
      <c r="AW27" t="s">
        <v>293</v>
      </c>
      <c r="BC27" t="s">
        <v>294</v>
      </c>
      <c r="BE27" t="s">
        <v>296</v>
      </c>
      <c r="BI27" t="s">
        <v>280</v>
      </c>
      <c r="BJ27" t="s">
        <v>288</v>
      </c>
      <c r="BK27" t="s">
        <v>288</v>
      </c>
      <c r="BL27" t="s">
        <v>268</v>
      </c>
      <c r="BM27" t="s">
        <v>288</v>
      </c>
    </row>
    <row r="28" spans="1:65" x14ac:dyDescent="0.2">
      <c r="A28" t="s">
        <v>273</v>
      </c>
      <c r="B28" t="s">
        <v>312</v>
      </c>
    </row>
    <row r="29" spans="1:65" x14ac:dyDescent="0.2">
      <c r="A29" t="s">
        <v>275</v>
      </c>
      <c r="B29" t="s">
        <v>276</v>
      </c>
      <c r="C29" t="s">
        <v>277</v>
      </c>
      <c r="D29" t="s">
        <v>282</v>
      </c>
      <c r="F29" t="s">
        <v>278</v>
      </c>
      <c r="O29" t="s">
        <v>279</v>
      </c>
    </row>
    <row r="30" spans="1:65" x14ac:dyDescent="0.2">
      <c r="A30" t="s">
        <v>275</v>
      </c>
      <c r="B30" t="s">
        <v>276</v>
      </c>
      <c r="C30" t="s">
        <v>280</v>
      </c>
      <c r="D30" t="s">
        <v>281</v>
      </c>
      <c r="F30" t="s">
        <v>278</v>
      </c>
      <c r="O30" t="s">
        <v>279</v>
      </c>
    </row>
    <row r="31" spans="1:65" x14ac:dyDescent="0.2">
      <c r="A31" t="s">
        <v>284</v>
      </c>
      <c r="B31" t="s">
        <v>283</v>
      </c>
      <c r="C31" t="s">
        <v>274</v>
      </c>
      <c r="E31" t="s">
        <v>325</v>
      </c>
      <c r="G31" t="s">
        <v>285</v>
      </c>
      <c r="J31" t="s">
        <v>286</v>
      </c>
      <c r="K31" t="s">
        <v>287</v>
      </c>
      <c r="M31" t="s">
        <v>299</v>
      </c>
      <c r="N31" t="s">
        <v>288</v>
      </c>
      <c r="O31" t="s">
        <v>326</v>
      </c>
      <c r="P31" t="s">
        <v>289</v>
      </c>
      <c r="T31" t="s">
        <v>290</v>
      </c>
      <c r="Z31" t="s">
        <v>291</v>
      </c>
      <c r="AF31" t="s">
        <v>272</v>
      </c>
      <c r="AG31" t="s">
        <v>288</v>
      </c>
      <c r="AO31" t="s">
        <v>279</v>
      </c>
      <c r="AT31" t="s">
        <v>288</v>
      </c>
      <c r="AV31" t="s">
        <v>292</v>
      </c>
      <c r="AW31" t="s">
        <v>293</v>
      </c>
      <c r="BC31" t="s">
        <v>294</v>
      </c>
      <c r="BI31" t="s">
        <v>289</v>
      </c>
      <c r="BJ31" t="s">
        <v>288</v>
      </c>
      <c r="BK31" t="s">
        <v>288</v>
      </c>
      <c r="BL31" t="s">
        <v>268</v>
      </c>
      <c r="BM31" t="s">
        <v>288</v>
      </c>
    </row>
    <row r="32" spans="1:65" x14ac:dyDescent="0.2">
      <c r="A32" t="s">
        <v>284</v>
      </c>
      <c r="B32" t="s">
        <v>283</v>
      </c>
      <c r="C32" t="s">
        <v>295</v>
      </c>
      <c r="E32" t="s">
        <v>327</v>
      </c>
      <c r="G32" t="s">
        <v>285</v>
      </c>
      <c r="J32" t="s">
        <v>286</v>
      </c>
      <c r="K32" t="s">
        <v>287</v>
      </c>
      <c r="M32" t="s">
        <v>299</v>
      </c>
      <c r="N32" t="s">
        <v>288</v>
      </c>
      <c r="O32" t="s">
        <v>326</v>
      </c>
      <c r="P32" t="s">
        <v>289</v>
      </c>
      <c r="T32" t="s">
        <v>290</v>
      </c>
      <c r="Z32" t="s">
        <v>291</v>
      </c>
      <c r="AF32" t="s">
        <v>272</v>
      </c>
      <c r="AG32" t="s">
        <v>288</v>
      </c>
      <c r="AO32" t="s">
        <v>279</v>
      </c>
      <c r="AT32" t="s">
        <v>288</v>
      </c>
      <c r="AV32" t="s">
        <v>301</v>
      </c>
      <c r="AW32" t="s">
        <v>293</v>
      </c>
      <c r="BC32" t="s">
        <v>294</v>
      </c>
      <c r="BE32" t="s">
        <v>296</v>
      </c>
      <c r="BI32" t="s">
        <v>280</v>
      </c>
      <c r="BJ32" t="s">
        <v>288</v>
      </c>
      <c r="BK32" t="s">
        <v>288</v>
      </c>
      <c r="BL32" t="s">
        <v>268</v>
      </c>
      <c r="BM32" t="s">
        <v>288</v>
      </c>
    </row>
    <row r="33" spans="1:65" x14ac:dyDescent="0.2">
      <c r="A33" t="s">
        <v>273</v>
      </c>
      <c r="B33" t="s">
        <v>280</v>
      </c>
    </row>
    <row r="34" spans="1:65" x14ac:dyDescent="0.2">
      <c r="A34" t="s">
        <v>275</v>
      </c>
      <c r="B34" t="s">
        <v>276</v>
      </c>
      <c r="C34" t="s">
        <v>277</v>
      </c>
      <c r="D34" t="s">
        <v>282</v>
      </c>
      <c r="F34" t="s">
        <v>278</v>
      </c>
      <c r="O34" t="s">
        <v>279</v>
      </c>
    </row>
    <row r="35" spans="1:65" x14ac:dyDescent="0.2">
      <c r="A35" t="s">
        <v>275</v>
      </c>
      <c r="B35" t="s">
        <v>276</v>
      </c>
      <c r="C35" t="s">
        <v>280</v>
      </c>
      <c r="D35" t="s">
        <v>281</v>
      </c>
      <c r="F35" t="s">
        <v>278</v>
      </c>
      <c r="O35" t="s">
        <v>279</v>
      </c>
    </row>
    <row r="36" spans="1:65" x14ac:dyDescent="0.2">
      <c r="A36" t="s">
        <v>284</v>
      </c>
      <c r="B36" t="s">
        <v>283</v>
      </c>
      <c r="C36" t="s">
        <v>274</v>
      </c>
      <c r="E36" t="s">
        <v>330</v>
      </c>
      <c r="G36" t="s">
        <v>285</v>
      </c>
      <c r="J36" t="s">
        <v>286</v>
      </c>
      <c r="K36" t="s">
        <v>287</v>
      </c>
      <c r="M36" t="s">
        <v>299</v>
      </c>
      <c r="N36" t="s">
        <v>288</v>
      </c>
      <c r="O36" t="s">
        <v>331</v>
      </c>
      <c r="P36" t="s">
        <v>289</v>
      </c>
      <c r="T36" t="s">
        <v>290</v>
      </c>
      <c r="Z36" t="s">
        <v>291</v>
      </c>
      <c r="AF36" t="s">
        <v>272</v>
      </c>
      <c r="AG36" t="s">
        <v>288</v>
      </c>
      <c r="AO36" t="s">
        <v>279</v>
      </c>
      <c r="AT36" t="s">
        <v>288</v>
      </c>
      <c r="AV36" t="s">
        <v>292</v>
      </c>
      <c r="AW36" t="s">
        <v>293</v>
      </c>
      <c r="BC36" t="s">
        <v>294</v>
      </c>
      <c r="BI36" t="s">
        <v>289</v>
      </c>
      <c r="BJ36" t="s">
        <v>288</v>
      </c>
      <c r="BK36" t="s">
        <v>288</v>
      </c>
      <c r="BL36" t="s">
        <v>268</v>
      </c>
      <c r="BM36" t="s">
        <v>288</v>
      </c>
    </row>
    <row r="37" spans="1:65" x14ac:dyDescent="0.2">
      <c r="A37" t="s">
        <v>284</v>
      </c>
      <c r="B37" t="s">
        <v>283</v>
      </c>
      <c r="C37" t="s">
        <v>295</v>
      </c>
      <c r="E37" t="s">
        <v>332</v>
      </c>
      <c r="G37" t="s">
        <v>285</v>
      </c>
      <c r="J37" t="s">
        <v>286</v>
      </c>
      <c r="K37" t="s">
        <v>287</v>
      </c>
      <c r="M37" t="s">
        <v>299</v>
      </c>
      <c r="N37" t="s">
        <v>288</v>
      </c>
      <c r="O37" t="s">
        <v>331</v>
      </c>
      <c r="P37" t="s">
        <v>289</v>
      </c>
      <c r="T37" t="s">
        <v>290</v>
      </c>
      <c r="Z37" t="s">
        <v>291</v>
      </c>
      <c r="AF37" t="s">
        <v>272</v>
      </c>
      <c r="AG37" t="s">
        <v>288</v>
      </c>
      <c r="AO37" t="s">
        <v>279</v>
      </c>
      <c r="AT37" t="s">
        <v>288</v>
      </c>
      <c r="AV37" t="s">
        <v>301</v>
      </c>
      <c r="AW37" t="s">
        <v>293</v>
      </c>
      <c r="BC37" t="s">
        <v>294</v>
      </c>
      <c r="BE37" t="s">
        <v>296</v>
      </c>
      <c r="BI37" t="s">
        <v>280</v>
      </c>
      <c r="BJ37" t="s">
        <v>288</v>
      </c>
      <c r="BK37" t="s">
        <v>288</v>
      </c>
      <c r="BL37" t="s">
        <v>268</v>
      </c>
      <c r="BM37" t="s">
        <v>288</v>
      </c>
    </row>
    <row r="38" spans="1:65" x14ac:dyDescent="0.2">
      <c r="A38" t="s">
        <v>273</v>
      </c>
      <c r="B38" t="s">
        <v>313</v>
      </c>
    </row>
    <row r="39" spans="1:65" x14ac:dyDescent="0.2">
      <c r="A39" t="s">
        <v>275</v>
      </c>
      <c r="B39" t="s">
        <v>276</v>
      </c>
      <c r="C39" t="s">
        <v>277</v>
      </c>
      <c r="D39" t="s">
        <v>282</v>
      </c>
      <c r="F39" t="s">
        <v>278</v>
      </c>
      <c r="O39" t="s">
        <v>279</v>
      </c>
    </row>
    <row r="40" spans="1:65" x14ac:dyDescent="0.2">
      <c r="A40" t="s">
        <v>275</v>
      </c>
      <c r="B40" t="s">
        <v>276</v>
      </c>
      <c r="C40" t="s">
        <v>280</v>
      </c>
      <c r="D40" t="s">
        <v>281</v>
      </c>
      <c r="F40" t="s">
        <v>278</v>
      </c>
      <c r="O40" t="s">
        <v>279</v>
      </c>
    </row>
    <row r="41" spans="1:65" x14ac:dyDescent="0.2">
      <c r="A41" t="s">
        <v>284</v>
      </c>
      <c r="B41" t="s">
        <v>283</v>
      </c>
      <c r="C41" t="s">
        <v>274</v>
      </c>
      <c r="E41" t="s">
        <v>328</v>
      </c>
      <c r="G41" t="s">
        <v>285</v>
      </c>
      <c r="J41" t="s">
        <v>286</v>
      </c>
      <c r="K41" t="s">
        <v>287</v>
      </c>
      <c r="M41" t="s">
        <v>299</v>
      </c>
      <c r="N41" t="s">
        <v>288</v>
      </c>
      <c r="O41" t="s">
        <v>329</v>
      </c>
      <c r="P41" t="s">
        <v>289</v>
      </c>
      <c r="T41" t="s">
        <v>290</v>
      </c>
      <c r="Z41" t="s">
        <v>291</v>
      </c>
      <c r="AF41" t="s">
        <v>272</v>
      </c>
      <c r="AG41" t="s">
        <v>288</v>
      </c>
      <c r="AO41" t="s">
        <v>279</v>
      </c>
      <c r="AT41" t="s">
        <v>288</v>
      </c>
      <c r="AV41" t="s">
        <v>292</v>
      </c>
      <c r="AW41" t="s">
        <v>293</v>
      </c>
      <c r="BC41" t="s">
        <v>294</v>
      </c>
      <c r="BI41" t="s">
        <v>289</v>
      </c>
      <c r="BJ41" t="s">
        <v>288</v>
      </c>
      <c r="BK41" t="s">
        <v>288</v>
      </c>
      <c r="BL41" t="s">
        <v>268</v>
      </c>
      <c r="BM41" t="s">
        <v>288</v>
      </c>
    </row>
    <row r="42" spans="1:65" x14ac:dyDescent="0.2">
      <c r="A42" t="s">
        <v>284</v>
      </c>
      <c r="B42" t="s">
        <v>283</v>
      </c>
      <c r="C42" t="s">
        <v>295</v>
      </c>
      <c r="E42" t="s">
        <v>365</v>
      </c>
      <c r="G42" t="s">
        <v>285</v>
      </c>
      <c r="J42" t="s">
        <v>286</v>
      </c>
      <c r="K42" t="s">
        <v>287</v>
      </c>
      <c r="M42" t="s">
        <v>299</v>
      </c>
      <c r="N42" t="s">
        <v>288</v>
      </c>
      <c r="O42" t="s">
        <v>329</v>
      </c>
      <c r="P42" t="s">
        <v>289</v>
      </c>
      <c r="T42" t="s">
        <v>290</v>
      </c>
      <c r="Z42" t="s">
        <v>291</v>
      </c>
      <c r="AF42" t="s">
        <v>272</v>
      </c>
      <c r="AG42" t="s">
        <v>288</v>
      </c>
      <c r="AO42" t="s">
        <v>279</v>
      </c>
      <c r="AT42" t="s">
        <v>288</v>
      </c>
      <c r="AV42" t="s">
        <v>301</v>
      </c>
      <c r="AW42" t="s">
        <v>293</v>
      </c>
      <c r="BC42" t="s">
        <v>294</v>
      </c>
      <c r="BE42" t="s">
        <v>296</v>
      </c>
      <c r="BI42" t="s">
        <v>280</v>
      </c>
      <c r="BJ42" t="s">
        <v>288</v>
      </c>
      <c r="BK42" t="s">
        <v>288</v>
      </c>
      <c r="BL42" t="s">
        <v>268</v>
      </c>
      <c r="BM42" t="s">
        <v>288</v>
      </c>
    </row>
    <row r="43" spans="1:65" x14ac:dyDescent="0.2">
      <c r="A43" t="s">
        <v>273</v>
      </c>
      <c r="B43" t="s">
        <v>276</v>
      </c>
    </row>
    <row r="44" spans="1:65" x14ac:dyDescent="0.2">
      <c r="A44" t="s">
        <v>275</v>
      </c>
      <c r="B44" t="s">
        <v>276</v>
      </c>
      <c r="C44" t="s">
        <v>277</v>
      </c>
      <c r="D44" t="s">
        <v>282</v>
      </c>
      <c r="F44" t="s">
        <v>278</v>
      </c>
      <c r="O44" t="s">
        <v>279</v>
      </c>
    </row>
    <row r="45" spans="1:65" x14ac:dyDescent="0.2">
      <c r="A45" t="s">
        <v>275</v>
      </c>
      <c r="B45" t="s">
        <v>276</v>
      </c>
      <c r="C45" t="s">
        <v>280</v>
      </c>
      <c r="D45" t="s">
        <v>281</v>
      </c>
      <c r="F45" t="s">
        <v>278</v>
      </c>
      <c r="O45" t="s">
        <v>279</v>
      </c>
    </row>
    <row r="46" spans="1:65" x14ac:dyDescent="0.2">
      <c r="A46" t="s">
        <v>284</v>
      </c>
      <c r="B46" t="s">
        <v>283</v>
      </c>
      <c r="C46" t="s">
        <v>274</v>
      </c>
      <c r="E46" t="s">
        <v>333</v>
      </c>
      <c r="G46" t="s">
        <v>285</v>
      </c>
      <c r="J46" t="s">
        <v>286</v>
      </c>
      <c r="K46" t="s">
        <v>287</v>
      </c>
      <c r="M46" t="s">
        <v>299</v>
      </c>
      <c r="N46" t="s">
        <v>288</v>
      </c>
      <c r="O46" t="s">
        <v>334</v>
      </c>
      <c r="P46" t="s">
        <v>289</v>
      </c>
      <c r="T46" t="s">
        <v>290</v>
      </c>
      <c r="Z46" t="s">
        <v>291</v>
      </c>
      <c r="AF46" t="s">
        <v>272</v>
      </c>
      <c r="AG46" t="s">
        <v>288</v>
      </c>
      <c r="AO46" t="s">
        <v>279</v>
      </c>
      <c r="AT46" t="s">
        <v>288</v>
      </c>
      <c r="AV46" t="s">
        <v>292</v>
      </c>
      <c r="AW46" t="s">
        <v>293</v>
      </c>
      <c r="BC46" t="s">
        <v>294</v>
      </c>
      <c r="BI46" t="s">
        <v>289</v>
      </c>
      <c r="BJ46" t="s">
        <v>288</v>
      </c>
      <c r="BK46" t="s">
        <v>288</v>
      </c>
      <c r="BL46" t="s">
        <v>268</v>
      </c>
      <c r="BM46" t="s">
        <v>288</v>
      </c>
    </row>
    <row r="47" spans="1:65" x14ac:dyDescent="0.2">
      <c r="A47" t="s">
        <v>284</v>
      </c>
      <c r="B47" t="s">
        <v>283</v>
      </c>
      <c r="C47" t="s">
        <v>295</v>
      </c>
      <c r="E47" t="s">
        <v>335</v>
      </c>
      <c r="G47" t="s">
        <v>285</v>
      </c>
      <c r="J47" t="s">
        <v>286</v>
      </c>
      <c r="K47" t="s">
        <v>287</v>
      </c>
      <c r="M47" t="s">
        <v>299</v>
      </c>
      <c r="N47" t="s">
        <v>288</v>
      </c>
      <c r="O47" t="s">
        <v>334</v>
      </c>
      <c r="P47" t="s">
        <v>289</v>
      </c>
      <c r="T47" t="s">
        <v>290</v>
      </c>
      <c r="Z47" t="s">
        <v>291</v>
      </c>
      <c r="AF47" t="s">
        <v>272</v>
      </c>
      <c r="AG47" t="s">
        <v>288</v>
      </c>
      <c r="AO47" t="s">
        <v>279</v>
      </c>
      <c r="AT47" t="s">
        <v>288</v>
      </c>
      <c r="AV47" t="s">
        <v>301</v>
      </c>
      <c r="AW47" t="s">
        <v>293</v>
      </c>
      <c r="BC47" t="s">
        <v>294</v>
      </c>
      <c r="BE47" t="s">
        <v>296</v>
      </c>
      <c r="BI47" t="s">
        <v>280</v>
      </c>
      <c r="BJ47" t="s">
        <v>288</v>
      </c>
      <c r="BK47" t="s">
        <v>288</v>
      </c>
      <c r="BL47" t="s">
        <v>268</v>
      </c>
      <c r="BM47" t="s">
        <v>288</v>
      </c>
    </row>
    <row r="48" spans="1:65" x14ac:dyDescent="0.2">
      <c r="A48" t="s">
        <v>273</v>
      </c>
      <c r="B48" t="s">
        <v>314</v>
      </c>
    </row>
    <row r="49" spans="1:65" x14ac:dyDescent="0.2">
      <c r="A49" t="s">
        <v>275</v>
      </c>
      <c r="B49" t="s">
        <v>276</v>
      </c>
      <c r="C49" t="s">
        <v>277</v>
      </c>
      <c r="D49" t="s">
        <v>282</v>
      </c>
      <c r="F49" t="s">
        <v>278</v>
      </c>
      <c r="O49" t="s">
        <v>279</v>
      </c>
    </row>
    <row r="50" spans="1:65" x14ac:dyDescent="0.2">
      <c r="A50" t="s">
        <v>275</v>
      </c>
      <c r="B50" t="s">
        <v>276</v>
      </c>
      <c r="C50" t="s">
        <v>280</v>
      </c>
      <c r="D50" t="s">
        <v>281</v>
      </c>
      <c r="F50" t="s">
        <v>278</v>
      </c>
      <c r="O50" t="s">
        <v>279</v>
      </c>
    </row>
    <row r="51" spans="1:65" x14ac:dyDescent="0.2">
      <c r="A51" t="s">
        <v>284</v>
      </c>
      <c r="B51" t="s">
        <v>283</v>
      </c>
      <c r="C51" t="s">
        <v>274</v>
      </c>
      <c r="E51" t="s">
        <v>336</v>
      </c>
      <c r="G51" t="s">
        <v>285</v>
      </c>
      <c r="J51" t="s">
        <v>286</v>
      </c>
      <c r="K51" t="s">
        <v>287</v>
      </c>
      <c r="M51" t="s">
        <v>299</v>
      </c>
      <c r="N51" t="s">
        <v>288</v>
      </c>
      <c r="O51" t="s">
        <v>337</v>
      </c>
      <c r="P51" t="s">
        <v>289</v>
      </c>
      <c r="T51" t="s">
        <v>290</v>
      </c>
      <c r="Z51" t="s">
        <v>291</v>
      </c>
      <c r="AF51" t="s">
        <v>272</v>
      </c>
      <c r="AG51" t="s">
        <v>288</v>
      </c>
      <c r="AO51" t="s">
        <v>279</v>
      </c>
      <c r="AT51" t="s">
        <v>288</v>
      </c>
      <c r="AV51" t="s">
        <v>292</v>
      </c>
      <c r="AW51" t="s">
        <v>293</v>
      </c>
      <c r="BC51" t="s">
        <v>294</v>
      </c>
      <c r="BI51" t="s">
        <v>289</v>
      </c>
      <c r="BJ51" t="s">
        <v>288</v>
      </c>
      <c r="BK51" t="s">
        <v>288</v>
      </c>
      <c r="BL51" t="s">
        <v>268</v>
      </c>
      <c r="BM51" t="s">
        <v>288</v>
      </c>
    </row>
    <row r="52" spans="1:65" x14ac:dyDescent="0.2">
      <c r="A52" t="s">
        <v>284</v>
      </c>
      <c r="B52" t="s">
        <v>283</v>
      </c>
      <c r="C52" t="s">
        <v>295</v>
      </c>
      <c r="E52" t="s">
        <v>338</v>
      </c>
      <c r="G52" t="s">
        <v>285</v>
      </c>
      <c r="J52" t="s">
        <v>286</v>
      </c>
      <c r="K52" t="s">
        <v>287</v>
      </c>
      <c r="M52" t="s">
        <v>299</v>
      </c>
      <c r="N52" t="s">
        <v>288</v>
      </c>
      <c r="O52" t="s">
        <v>337</v>
      </c>
      <c r="P52" t="s">
        <v>289</v>
      </c>
      <c r="T52" t="s">
        <v>290</v>
      </c>
      <c r="Z52" t="s">
        <v>291</v>
      </c>
      <c r="AF52" t="s">
        <v>272</v>
      </c>
      <c r="AG52" t="s">
        <v>288</v>
      </c>
      <c r="AO52" t="s">
        <v>279</v>
      </c>
      <c r="AT52" t="s">
        <v>288</v>
      </c>
      <c r="AV52" t="s">
        <v>301</v>
      </c>
      <c r="AW52" t="s">
        <v>293</v>
      </c>
      <c r="BC52" t="s">
        <v>294</v>
      </c>
      <c r="BE52" t="s">
        <v>296</v>
      </c>
      <c r="BI52" t="s">
        <v>280</v>
      </c>
      <c r="BJ52" t="s">
        <v>288</v>
      </c>
      <c r="BK52" t="s">
        <v>288</v>
      </c>
      <c r="BL52" t="s">
        <v>268</v>
      </c>
      <c r="BM52" t="s">
        <v>288</v>
      </c>
    </row>
    <row r="53" spans="1:65" x14ac:dyDescent="0.2">
      <c r="A53" t="s">
        <v>273</v>
      </c>
      <c r="B53" t="s">
        <v>315</v>
      </c>
    </row>
    <row r="54" spans="1:65" x14ac:dyDescent="0.2">
      <c r="A54" t="s">
        <v>275</v>
      </c>
      <c r="B54" t="s">
        <v>276</v>
      </c>
      <c r="C54" t="s">
        <v>277</v>
      </c>
      <c r="D54" t="s">
        <v>282</v>
      </c>
      <c r="F54" t="s">
        <v>278</v>
      </c>
      <c r="O54" t="s">
        <v>279</v>
      </c>
    </row>
    <row r="55" spans="1:65" x14ac:dyDescent="0.2">
      <c r="A55" t="s">
        <v>275</v>
      </c>
      <c r="B55" t="s">
        <v>276</v>
      </c>
      <c r="C55" t="s">
        <v>280</v>
      </c>
      <c r="D55" t="s">
        <v>281</v>
      </c>
      <c r="F55" t="s">
        <v>278</v>
      </c>
      <c r="O55" t="s">
        <v>279</v>
      </c>
    </row>
    <row r="56" spans="1:65" x14ac:dyDescent="0.2">
      <c r="A56" t="s">
        <v>284</v>
      </c>
      <c r="B56" t="s">
        <v>283</v>
      </c>
      <c r="C56" t="s">
        <v>274</v>
      </c>
      <c r="E56" t="s">
        <v>339</v>
      </c>
      <c r="G56" t="s">
        <v>285</v>
      </c>
      <c r="J56" t="s">
        <v>286</v>
      </c>
      <c r="K56" t="s">
        <v>287</v>
      </c>
      <c r="M56" t="s">
        <v>299</v>
      </c>
      <c r="N56" t="s">
        <v>288</v>
      </c>
      <c r="O56" t="s">
        <v>340</v>
      </c>
      <c r="P56" t="s">
        <v>289</v>
      </c>
      <c r="T56" t="s">
        <v>290</v>
      </c>
      <c r="Z56" t="s">
        <v>291</v>
      </c>
      <c r="AF56" t="s">
        <v>272</v>
      </c>
      <c r="AG56" t="s">
        <v>288</v>
      </c>
      <c r="AO56" t="s">
        <v>279</v>
      </c>
      <c r="AT56" t="s">
        <v>288</v>
      </c>
      <c r="AV56" t="s">
        <v>292</v>
      </c>
      <c r="AW56" t="s">
        <v>293</v>
      </c>
      <c r="BC56" t="s">
        <v>294</v>
      </c>
      <c r="BI56" t="s">
        <v>289</v>
      </c>
      <c r="BJ56" t="s">
        <v>288</v>
      </c>
      <c r="BK56" t="s">
        <v>288</v>
      </c>
      <c r="BL56" t="s">
        <v>268</v>
      </c>
      <c r="BM56" t="s">
        <v>288</v>
      </c>
    </row>
    <row r="57" spans="1:65" x14ac:dyDescent="0.2">
      <c r="A57" t="s">
        <v>284</v>
      </c>
      <c r="B57" t="s">
        <v>283</v>
      </c>
      <c r="C57" t="s">
        <v>295</v>
      </c>
      <c r="E57" t="s">
        <v>341</v>
      </c>
      <c r="G57" t="s">
        <v>285</v>
      </c>
      <c r="J57" t="s">
        <v>286</v>
      </c>
      <c r="K57" t="s">
        <v>287</v>
      </c>
      <c r="M57" t="s">
        <v>299</v>
      </c>
      <c r="N57" t="s">
        <v>288</v>
      </c>
      <c r="O57" t="s">
        <v>340</v>
      </c>
      <c r="P57" t="s">
        <v>289</v>
      </c>
      <c r="T57" t="s">
        <v>290</v>
      </c>
      <c r="Z57" t="s">
        <v>291</v>
      </c>
      <c r="AF57" t="s">
        <v>272</v>
      </c>
      <c r="AG57" t="s">
        <v>288</v>
      </c>
      <c r="AO57" t="s">
        <v>279</v>
      </c>
      <c r="AT57" t="s">
        <v>288</v>
      </c>
      <c r="AV57" t="s">
        <v>301</v>
      </c>
      <c r="AW57" t="s">
        <v>293</v>
      </c>
      <c r="BC57" t="s">
        <v>294</v>
      </c>
      <c r="BE57" t="s">
        <v>296</v>
      </c>
      <c r="BI57" t="s">
        <v>280</v>
      </c>
      <c r="BJ57" t="s">
        <v>288</v>
      </c>
      <c r="BK57" t="s">
        <v>288</v>
      </c>
      <c r="BL57" t="s">
        <v>268</v>
      </c>
      <c r="BM57" t="s">
        <v>288</v>
      </c>
    </row>
    <row r="58" spans="1:65" x14ac:dyDescent="0.2">
      <c r="A58" t="s">
        <v>273</v>
      </c>
      <c r="B58" t="s">
        <v>316</v>
      </c>
    </row>
    <row r="59" spans="1:65" x14ac:dyDescent="0.2">
      <c r="A59" t="s">
        <v>275</v>
      </c>
      <c r="B59" t="s">
        <v>276</v>
      </c>
      <c r="C59" t="s">
        <v>277</v>
      </c>
      <c r="D59" t="s">
        <v>282</v>
      </c>
      <c r="F59" t="s">
        <v>278</v>
      </c>
      <c r="O59" t="s">
        <v>279</v>
      </c>
    </row>
    <row r="60" spans="1:65" x14ac:dyDescent="0.2">
      <c r="A60" t="s">
        <v>275</v>
      </c>
      <c r="B60" t="s">
        <v>276</v>
      </c>
      <c r="C60" t="s">
        <v>280</v>
      </c>
      <c r="D60" t="s">
        <v>281</v>
      </c>
      <c r="F60" t="s">
        <v>278</v>
      </c>
      <c r="O60" t="s">
        <v>279</v>
      </c>
    </row>
    <row r="61" spans="1:65" x14ac:dyDescent="0.2">
      <c r="A61" t="s">
        <v>284</v>
      </c>
      <c r="B61" t="s">
        <v>283</v>
      </c>
      <c r="C61" t="s">
        <v>274</v>
      </c>
      <c r="E61" t="s">
        <v>342</v>
      </c>
      <c r="G61" t="s">
        <v>285</v>
      </c>
      <c r="J61" t="s">
        <v>286</v>
      </c>
      <c r="K61" t="s">
        <v>287</v>
      </c>
      <c r="M61" t="s">
        <v>299</v>
      </c>
      <c r="N61" t="s">
        <v>288</v>
      </c>
      <c r="O61" t="s">
        <v>343</v>
      </c>
      <c r="P61" t="s">
        <v>289</v>
      </c>
      <c r="T61" t="s">
        <v>290</v>
      </c>
      <c r="Z61" t="s">
        <v>291</v>
      </c>
      <c r="AF61" t="s">
        <v>272</v>
      </c>
      <c r="AG61" t="s">
        <v>288</v>
      </c>
      <c r="AO61" t="s">
        <v>279</v>
      </c>
      <c r="AT61" t="s">
        <v>288</v>
      </c>
      <c r="AV61" t="s">
        <v>292</v>
      </c>
      <c r="AW61" t="s">
        <v>293</v>
      </c>
      <c r="BC61" t="s">
        <v>294</v>
      </c>
      <c r="BI61" t="s">
        <v>289</v>
      </c>
      <c r="BJ61" t="s">
        <v>288</v>
      </c>
      <c r="BK61" t="s">
        <v>288</v>
      </c>
      <c r="BL61" t="s">
        <v>268</v>
      </c>
      <c r="BM61" t="s">
        <v>288</v>
      </c>
    </row>
    <row r="62" spans="1:65" x14ac:dyDescent="0.2">
      <c r="A62" t="s">
        <v>284</v>
      </c>
      <c r="B62" t="s">
        <v>283</v>
      </c>
      <c r="C62" t="s">
        <v>295</v>
      </c>
      <c r="E62" t="s">
        <v>344</v>
      </c>
      <c r="G62" t="s">
        <v>285</v>
      </c>
      <c r="J62" t="s">
        <v>286</v>
      </c>
      <c r="K62" t="s">
        <v>287</v>
      </c>
      <c r="M62" t="s">
        <v>299</v>
      </c>
      <c r="N62" t="s">
        <v>288</v>
      </c>
      <c r="O62" t="s">
        <v>343</v>
      </c>
      <c r="P62" t="s">
        <v>289</v>
      </c>
      <c r="T62" t="s">
        <v>290</v>
      </c>
      <c r="Z62" t="s">
        <v>291</v>
      </c>
      <c r="AF62" t="s">
        <v>272</v>
      </c>
      <c r="AG62" t="s">
        <v>288</v>
      </c>
      <c r="AO62" t="s">
        <v>279</v>
      </c>
      <c r="AT62" t="s">
        <v>288</v>
      </c>
      <c r="AV62" t="s">
        <v>301</v>
      </c>
      <c r="AW62" t="s">
        <v>293</v>
      </c>
      <c r="BC62" t="s">
        <v>294</v>
      </c>
      <c r="BE62" t="s">
        <v>296</v>
      </c>
      <c r="BI62" t="s">
        <v>280</v>
      </c>
      <c r="BJ62" t="s">
        <v>288</v>
      </c>
      <c r="BK62" t="s">
        <v>288</v>
      </c>
      <c r="BL62" t="s">
        <v>268</v>
      </c>
      <c r="BM62" t="s">
        <v>288</v>
      </c>
    </row>
    <row r="63" spans="1:65" x14ac:dyDescent="0.2">
      <c r="A63" t="s">
        <v>273</v>
      </c>
      <c r="B63" t="s">
        <v>317</v>
      </c>
    </row>
    <row r="64" spans="1:65" x14ac:dyDescent="0.2">
      <c r="A64" t="s">
        <v>275</v>
      </c>
      <c r="B64" t="s">
        <v>276</v>
      </c>
      <c r="C64" t="s">
        <v>277</v>
      </c>
      <c r="D64" t="s">
        <v>282</v>
      </c>
      <c r="F64" t="s">
        <v>278</v>
      </c>
      <c r="O64" t="s">
        <v>279</v>
      </c>
    </row>
    <row r="65" spans="1:65" x14ac:dyDescent="0.2">
      <c r="A65" t="s">
        <v>275</v>
      </c>
      <c r="B65" t="s">
        <v>276</v>
      </c>
      <c r="C65" t="s">
        <v>280</v>
      </c>
      <c r="D65" t="s">
        <v>281</v>
      </c>
      <c r="F65" t="s">
        <v>278</v>
      </c>
      <c r="O65" t="s">
        <v>279</v>
      </c>
    </row>
    <row r="66" spans="1:65" x14ac:dyDescent="0.2">
      <c r="A66" t="s">
        <v>284</v>
      </c>
      <c r="B66" t="s">
        <v>283</v>
      </c>
      <c r="C66" t="s">
        <v>274</v>
      </c>
      <c r="E66" t="s">
        <v>345</v>
      </c>
      <c r="G66" t="s">
        <v>285</v>
      </c>
      <c r="J66" t="s">
        <v>286</v>
      </c>
      <c r="K66" t="s">
        <v>287</v>
      </c>
      <c r="M66" t="s">
        <v>299</v>
      </c>
      <c r="N66" t="s">
        <v>288</v>
      </c>
      <c r="O66" t="s">
        <v>346</v>
      </c>
      <c r="P66" t="s">
        <v>289</v>
      </c>
      <c r="T66" t="s">
        <v>290</v>
      </c>
      <c r="Z66" t="s">
        <v>291</v>
      </c>
      <c r="AF66" t="s">
        <v>272</v>
      </c>
      <c r="AG66" t="s">
        <v>288</v>
      </c>
      <c r="AO66" t="s">
        <v>279</v>
      </c>
      <c r="AT66" t="s">
        <v>288</v>
      </c>
      <c r="AV66" t="s">
        <v>292</v>
      </c>
      <c r="AW66" t="s">
        <v>293</v>
      </c>
      <c r="BC66" t="s">
        <v>294</v>
      </c>
      <c r="BI66" t="s">
        <v>289</v>
      </c>
      <c r="BJ66" t="s">
        <v>288</v>
      </c>
      <c r="BK66" t="s">
        <v>288</v>
      </c>
      <c r="BL66" t="s">
        <v>268</v>
      </c>
      <c r="BM66" t="s">
        <v>288</v>
      </c>
    </row>
    <row r="67" spans="1:65" x14ac:dyDescent="0.2">
      <c r="A67" t="s">
        <v>284</v>
      </c>
      <c r="B67" t="s">
        <v>283</v>
      </c>
      <c r="C67" t="s">
        <v>295</v>
      </c>
      <c r="E67" t="s">
        <v>347</v>
      </c>
      <c r="G67" t="s">
        <v>285</v>
      </c>
      <c r="J67" t="s">
        <v>286</v>
      </c>
      <c r="K67" t="s">
        <v>287</v>
      </c>
      <c r="M67" t="s">
        <v>299</v>
      </c>
      <c r="N67" t="s">
        <v>288</v>
      </c>
      <c r="O67" t="s">
        <v>346</v>
      </c>
      <c r="P67" t="s">
        <v>289</v>
      </c>
      <c r="T67" t="s">
        <v>290</v>
      </c>
      <c r="Z67" t="s">
        <v>291</v>
      </c>
      <c r="AF67" t="s">
        <v>272</v>
      </c>
      <c r="AG67" t="s">
        <v>288</v>
      </c>
      <c r="AO67" t="s">
        <v>279</v>
      </c>
      <c r="AT67" t="s">
        <v>288</v>
      </c>
      <c r="AV67" t="s">
        <v>301</v>
      </c>
      <c r="AW67" t="s">
        <v>293</v>
      </c>
      <c r="BC67" t="s">
        <v>294</v>
      </c>
      <c r="BE67" t="s">
        <v>296</v>
      </c>
      <c r="BI67" t="s">
        <v>280</v>
      </c>
      <c r="BJ67" t="s">
        <v>288</v>
      </c>
      <c r="BK67" t="s">
        <v>288</v>
      </c>
      <c r="BL67" t="s">
        <v>268</v>
      </c>
      <c r="BM67" t="s">
        <v>288</v>
      </c>
    </row>
    <row r="68" spans="1:65" x14ac:dyDescent="0.2">
      <c r="A68" t="s">
        <v>273</v>
      </c>
      <c r="B68" t="s">
        <v>318</v>
      </c>
    </row>
    <row r="69" spans="1:65" x14ac:dyDescent="0.2">
      <c r="A69" t="s">
        <v>275</v>
      </c>
      <c r="B69" t="s">
        <v>276</v>
      </c>
      <c r="C69" t="s">
        <v>277</v>
      </c>
      <c r="D69" t="s">
        <v>282</v>
      </c>
      <c r="F69" t="s">
        <v>278</v>
      </c>
      <c r="O69" t="s">
        <v>279</v>
      </c>
    </row>
    <row r="70" spans="1:65" x14ac:dyDescent="0.2">
      <c r="A70" t="s">
        <v>275</v>
      </c>
      <c r="B70" t="s">
        <v>276</v>
      </c>
      <c r="C70" t="s">
        <v>280</v>
      </c>
      <c r="D70" t="s">
        <v>281</v>
      </c>
      <c r="F70" t="s">
        <v>278</v>
      </c>
      <c r="O70" t="s">
        <v>279</v>
      </c>
    </row>
    <row r="71" spans="1:65" x14ac:dyDescent="0.2">
      <c r="A71" t="s">
        <v>284</v>
      </c>
      <c r="B71" t="s">
        <v>283</v>
      </c>
      <c r="C71" t="s">
        <v>274</v>
      </c>
      <c r="E71" t="s">
        <v>348</v>
      </c>
      <c r="G71" t="s">
        <v>285</v>
      </c>
      <c r="J71" t="s">
        <v>286</v>
      </c>
      <c r="K71" t="s">
        <v>287</v>
      </c>
      <c r="M71" t="s">
        <v>299</v>
      </c>
      <c r="N71" t="s">
        <v>288</v>
      </c>
      <c r="O71" t="s">
        <v>349</v>
      </c>
      <c r="P71" t="s">
        <v>289</v>
      </c>
      <c r="T71" t="s">
        <v>290</v>
      </c>
      <c r="Z71" t="s">
        <v>291</v>
      </c>
      <c r="AF71" t="s">
        <v>272</v>
      </c>
      <c r="AG71" t="s">
        <v>288</v>
      </c>
      <c r="AO71" t="s">
        <v>279</v>
      </c>
      <c r="AT71" t="s">
        <v>288</v>
      </c>
      <c r="AV71" t="s">
        <v>292</v>
      </c>
      <c r="AW71" t="s">
        <v>293</v>
      </c>
      <c r="BC71" t="s">
        <v>294</v>
      </c>
      <c r="BI71" t="s">
        <v>289</v>
      </c>
      <c r="BJ71" t="s">
        <v>288</v>
      </c>
      <c r="BK71" t="s">
        <v>288</v>
      </c>
      <c r="BL71" t="s">
        <v>268</v>
      </c>
      <c r="BM71" t="s">
        <v>288</v>
      </c>
    </row>
    <row r="72" spans="1:65" x14ac:dyDescent="0.2">
      <c r="A72" t="s">
        <v>284</v>
      </c>
      <c r="B72" t="s">
        <v>283</v>
      </c>
      <c r="C72" t="s">
        <v>295</v>
      </c>
      <c r="E72" t="s">
        <v>350</v>
      </c>
      <c r="G72" t="s">
        <v>285</v>
      </c>
      <c r="J72" t="s">
        <v>286</v>
      </c>
      <c r="K72" t="s">
        <v>287</v>
      </c>
      <c r="M72" t="s">
        <v>299</v>
      </c>
      <c r="N72" t="s">
        <v>288</v>
      </c>
      <c r="O72" t="s">
        <v>349</v>
      </c>
      <c r="P72" t="s">
        <v>289</v>
      </c>
      <c r="T72" t="s">
        <v>290</v>
      </c>
      <c r="Z72" t="s">
        <v>291</v>
      </c>
      <c r="AF72" t="s">
        <v>272</v>
      </c>
      <c r="AG72" t="s">
        <v>288</v>
      </c>
      <c r="AO72" t="s">
        <v>279</v>
      </c>
      <c r="AT72" t="s">
        <v>288</v>
      </c>
      <c r="AV72" t="s">
        <v>301</v>
      </c>
      <c r="AW72" t="s">
        <v>293</v>
      </c>
      <c r="BC72" t="s">
        <v>294</v>
      </c>
      <c r="BE72" t="s">
        <v>296</v>
      </c>
      <c r="BI72" t="s">
        <v>280</v>
      </c>
      <c r="BJ72" t="s">
        <v>288</v>
      </c>
      <c r="BK72" t="s">
        <v>288</v>
      </c>
      <c r="BL72" t="s">
        <v>268</v>
      </c>
      <c r="BM72" t="s">
        <v>288</v>
      </c>
    </row>
    <row r="73" spans="1:65" x14ac:dyDescent="0.2">
      <c r="A73" t="s">
        <v>273</v>
      </c>
      <c r="B73" t="s">
        <v>319</v>
      </c>
    </row>
    <row r="74" spans="1:65" x14ac:dyDescent="0.2">
      <c r="A74" t="s">
        <v>275</v>
      </c>
      <c r="B74" t="s">
        <v>276</v>
      </c>
      <c r="C74" t="s">
        <v>277</v>
      </c>
      <c r="D74" t="s">
        <v>282</v>
      </c>
      <c r="F74" t="s">
        <v>278</v>
      </c>
      <c r="O74" t="s">
        <v>279</v>
      </c>
    </row>
    <row r="75" spans="1:65" x14ac:dyDescent="0.2">
      <c r="A75" t="s">
        <v>275</v>
      </c>
      <c r="B75" t="s">
        <v>276</v>
      </c>
      <c r="C75" t="s">
        <v>280</v>
      </c>
      <c r="D75" t="s">
        <v>281</v>
      </c>
      <c r="F75" t="s">
        <v>278</v>
      </c>
      <c r="O75" t="s">
        <v>279</v>
      </c>
    </row>
    <row r="76" spans="1:65" x14ac:dyDescent="0.2">
      <c r="A76" t="s">
        <v>284</v>
      </c>
      <c r="B76" t="s">
        <v>283</v>
      </c>
      <c r="C76" t="s">
        <v>274</v>
      </c>
      <c r="E76" t="s">
        <v>351</v>
      </c>
      <c r="G76" t="s">
        <v>285</v>
      </c>
      <c r="J76" t="s">
        <v>286</v>
      </c>
      <c r="K76" t="s">
        <v>287</v>
      </c>
      <c r="M76" t="s">
        <v>299</v>
      </c>
      <c r="N76" t="s">
        <v>288</v>
      </c>
      <c r="O76" t="s">
        <v>352</v>
      </c>
      <c r="P76" t="s">
        <v>289</v>
      </c>
      <c r="T76" t="s">
        <v>290</v>
      </c>
      <c r="Z76" t="s">
        <v>291</v>
      </c>
      <c r="AF76" t="s">
        <v>272</v>
      </c>
      <c r="AG76" t="s">
        <v>288</v>
      </c>
      <c r="AO76" t="s">
        <v>279</v>
      </c>
      <c r="AT76" t="s">
        <v>288</v>
      </c>
      <c r="AV76" t="s">
        <v>292</v>
      </c>
      <c r="AW76" t="s">
        <v>293</v>
      </c>
      <c r="BC76" t="s">
        <v>294</v>
      </c>
      <c r="BI76" t="s">
        <v>289</v>
      </c>
      <c r="BJ76" t="s">
        <v>288</v>
      </c>
      <c r="BK76" t="s">
        <v>288</v>
      </c>
      <c r="BL76" t="s">
        <v>268</v>
      </c>
      <c r="BM76" t="s">
        <v>288</v>
      </c>
    </row>
    <row r="77" spans="1:65" x14ac:dyDescent="0.2">
      <c r="A77" t="s">
        <v>284</v>
      </c>
      <c r="B77" t="s">
        <v>283</v>
      </c>
      <c r="C77" t="s">
        <v>295</v>
      </c>
      <c r="E77" t="s">
        <v>353</v>
      </c>
      <c r="G77" t="s">
        <v>285</v>
      </c>
      <c r="J77" t="s">
        <v>286</v>
      </c>
      <c r="K77" t="s">
        <v>287</v>
      </c>
      <c r="M77" t="s">
        <v>299</v>
      </c>
      <c r="N77" t="s">
        <v>288</v>
      </c>
      <c r="O77" t="s">
        <v>352</v>
      </c>
      <c r="P77" t="s">
        <v>289</v>
      </c>
      <c r="T77" t="s">
        <v>290</v>
      </c>
      <c r="Z77" t="s">
        <v>291</v>
      </c>
      <c r="AF77" t="s">
        <v>272</v>
      </c>
      <c r="AG77" t="s">
        <v>288</v>
      </c>
      <c r="AO77" t="s">
        <v>279</v>
      </c>
      <c r="AT77" t="s">
        <v>288</v>
      </c>
      <c r="AV77" t="s">
        <v>301</v>
      </c>
      <c r="AW77" t="s">
        <v>293</v>
      </c>
      <c r="BC77" t="s">
        <v>294</v>
      </c>
      <c r="BE77" t="s">
        <v>296</v>
      </c>
      <c r="BI77" t="s">
        <v>280</v>
      </c>
      <c r="BJ77" t="s">
        <v>288</v>
      </c>
      <c r="BK77" t="s">
        <v>288</v>
      </c>
      <c r="BL77" t="s">
        <v>268</v>
      </c>
      <c r="BM77" t="s">
        <v>288</v>
      </c>
    </row>
    <row r="78" spans="1:65" x14ac:dyDescent="0.2">
      <c r="A78" t="s">
        <v>273</v>
      </c>
      <c r="B78" t="s">
        <v>320</v>
      </c>
    </row>
    <row r="79" spans="1:65" x14ac:dyDescent="0.2">
      <c r="A79" t="s">
        <v>275</v>
      </c>
      <c r="B79" t="s">
        <v>276</v>
      </c>
      <c r="C79" t="s">
        <v>277</v>
      </c>
      <c r="D79" t="s">
        <v>282</v>
      </c>
      <c r="F79" t="s">
        <v>278</v>
      </c>
      <c r="O79" t="s">
        <v>279</v>
      </c>
    </row>
    <row r="80" spans="1:65" x14ac:dyDescent="0.2">
      <c r="A80" t="s">
        <v>275</v>
      </c>
      <c r="B80" t="s">
        <v>276</v>
      </c>
      <c r="C80" t="s">
        <v>280</v>
      </c>
      <c r="D80" t="s">
        <v>281</v>
      </c>
      <c r="F80" t="s">
        <v>278</v>
      </c>
      <c r="O80" t="s">
        <v>279</v>
      </c>
    </row>
    <row r="81" spans="1:65" x14ac:dyDescent="0.2">
      <c r="A81" t="s">
        <v>284</v>
      </c>
      <c r="B81" t="s">
        <v>283</v>
      </c>
      <c r="C81" t="s">
        <v>274</v>
      </c>
      <c r="E81" t="s">
        <v>354</v>
      </c>
      <c r="G81" t="s">
        <v>285</v>
      </c>
      <c r="J81" t="s">
        <v>286</v>
      </c>
      <c r="K81" t="s">
        <v>287</v>
      </c>
      <c r="M81" t="s">
        <v>299</v>
      </c>
      <c r="N81" t="s">
        <v>288</v>
      </c>
      <c r="O81" t="s">
        <v>355</v>
      </c>
      <c r="P81" t="s">
        <v>289</v>
      </c>
      <c r="T81" t="s">
        <v>290</v>
      </c>
      <c r="Z81" t="s">
        <v>291</v>
      </c>
      <c r="AF81" t="s">
        <v>272</v>
      </c>
      <c r="AG81" t="s">
        <v>288</v>
      </c>
      <c r="AO81" t="s">
        <v>279</v>
      </c>
      <c r="AT81" t="s">
        <v>288</v>
      </c>
      <c r="AV81" t="s">
        <v>292</v>
      </c>
      <c r="AW81" t="s">
        <v>293</v>
      </c>
      <c r="BC81" t="s">
        <v>294</v>
      </c>
      <c r="BI81" t="s">
        <v>289</v>
      </c>
      <c r="BJ81" t="s">
        <v>288</v>
      </c>
      <c r="BK81" t="s">
        <v>288</v>
      </c>
      <c r="BL81" t="s">
        <v>268</v>
      </c>
      <c r="BM81" t="s">
        <v>288</v>
      </c>
    </row>
    <row r="82" spans="1:65" x14ac:dyDescent="0.2">
      <c r="A82" t="s">
        <v>284</v>
      </c>
      <c r="B82" t="s">
        <v>283</v>
      </c>
      <c r="C82" t="s">
        <v>295</v>
      </c>
      <c r="E82" t="s">
        <v>356</v>
      </c>
      <c r="G82" t="s">
        <v>285</v>
      </c>
      <c r="J82" t="s">
        <v>286</v>
      </c>
      <c r="K82" t="s">
        <v>287</v>
      </c>
      <c r="M82" t="s">
        <v>299</v>
      </c>
      <c r="N82" t="s">
        <v>288</v>
      </c>
      <c r="O82" t="s">
        <v>355</v>
      </c>
      <c r="P82" t="s">
        <v>289</v>
      </c>
      <c r="T82" t="s">
        <v>290</v>
      </c>
      <c r="Z82" t="s">
        <v>291</v>
      </c>
      <c r="AF82" t="s">
        <v>272</v>
      </c>
      <c r="AG82" t="s">
        <v>288</v>
      </c>
      <c r="AO82" t="s">
        <v>279</v>
      </c>
      <c r="AT82" t="s">
        <v>288</v>
      </c>
      <c r="AV82" t="s">
        <v>301</v>
      </c>
      <c r="AW82" t="s">
        <v>293</v>
      </c>
      <c r="BC82" t="s">
        <v>294</v>
      </c>
      <c r="BE82" t="s">
        <v>296</v>
      </c>
      <c r="BI82" t="s">
        <v>280</v>
      </c>
      <c r="BJ82" t="s">
        <v>288</v>
      </c>
      <c r="BK82" t="s">
        <v>288</v>
      </c>
      <c r="BL82" t="s">
        <v>268</v>
      </c>
      <c r="BM82" t="s">
        <v>288</v>
      </c>
    </row>
    <row r="83" spans="1:65" x14ac:dyDescent="0.2">
      <c r="A83" t="s">
        <v>273</v>
      </c>
      <c r="B83" t="s">
        <v>283</v>
      </c>
    </row>
    <row r="84" spans="1:65" x14ac:dyDescent="0.2">
      <c r="A84" t="s">
        <v>275</v>
      </c>
      <c r="B84" t="s">
        <v>276</v>
      </c>
      <c r="C84" t="s">
        <v>277</v>
      </c>
      <c r="D84" t="s">
        <v>282</v>
      </c>
      <c r="F84" t="s">
        <v>278</v>
      </c>
      <c r="O84" t="s">
        <v>279</v>
      </c>
    </row>
    <row r="85" spans="1:65" x14ac:dyDescent="0.2">
      <c r="A85" t="s">
        <v>275</v>
      </c>
      <c r="B85" t="s">
        <v>276</v>
      </c>
      <c r="C85" t="s">
        <v>280</v>
      </c>
      <c r="D85" t="s">
        <v>281</v>
      </c>
      <c r="F85" t="s">
        <v>278</v>
      </c>
      <c r="O85" t="s">
        <v>279</v>
      </c>
    </row>
    <row r="86" spans="1:65" x14ac:dyDescent="0.2">
      <c r="A86" t="s">
        <v>284</v>
      </c>
      <c r="B86" t="s">
        <v>283</v>
      </c>
      <c r="C86" t="s">
        <v>274</v>
      </c>
      <c r="E86" t="s">
        <v>357</v>
      </c>
      <c r="G86" t="s">
        <v>285</v>
      </c>
      <c r="J86" t="s">
        <v>286</v>
      </c>
      <c r="K86" t="s">
        <v>287</v>
      </c>
      <c r="M86" t="s">
        <v>299</v>
      </c>
      <c r="N86" t="s">
        <v>288</v>
      </c>
      <c r="O86" t="s">
        <v>358</v>
      </c>
      <c r="P86" t="s">
        <v>289</v>
      </c>
      <c r="T86" t="s">
        <v>290</v>
      </c>
      <c r="Z86" t="s">
        <v>291</v>
      </c>
      <c r="AF86" t="s">
        <v>272</v>
      </c>
      <c r="AG86" t="s">
        <v>288</v>
      </c>
      <c r="AO86" t="s">
        <v>279</v>
      </c>
      <c r="AT86" t="s">
        <v>288</v>
      </c>
      <c r="AV86" t="s">
        <v>292</v>
      </c>
      <c r="AW86" t="s">
        <v>293</v>
      </c>
      <c r="BC86" t="s">
        <v>294</v>
      </c>
      <c r="BI86" t="s">
        <v>289</v>
      </c>
      <c r="BJ86" t="s">
        <v>288</v>
      </c>
      <c r="BK86" t="s">
        <v>288</v>
      </c>
      <c r="BL86" t="s">
        <v>268</v>
      </c>
      <c r="BM86" t="s">
        <v>288</v>
      </c>
    </row>
    <row r="87" spans="1:65" x14ac:dyDescent="0.2">
      <c r="A87" t="s">
        <v>284</v>
      </c>
      <c r="B87" t="s">
        <v>283</v>
      </c>
      <c r="C87" t="s">
        <v>295</v>
      </c>
      <c r="E87" t="s">
        <v>359</v>
      </c>
      <c r="G87" t="s">
        <v>285</v>
      </c>
      <c r="J87" t="s">
        <v>286</v>
      </c>
      <c r="K87" t="s">
        <v>287</v>
      </c>
      <c r="M87" t="s">
        <v>299</v>
      </c>
      <c r="N87" t="s">
        <v>288</v>
      </c>
      <c r="O87" t="s">
        <v>358</v>
      </c>
      <c r="P87" t="s">
        <v>289</v>
      </c>
      <c r="T87" t="s">
        <v>290</v>
      </c>
      <c r="Z87" t="s">
        <v>291</v>
      </c>
      <c r="AF87" t="s">
        <v>272</v>
      </c>
      <c r="AG87" t="s">
        <v>288</v>
      </c>
      <c r="AO87" t="s">
        <v>279</v>
      </c>
      <c r="AT87" t="s">
        <v>288</v>
      </c>
      <c r="AV87" t="s">
        <v>301</v>
      </c>
      <c r="AW87" t="s">
        <v>293</v>
      </c>
      <c r="BC87" t="s">
        <v>294</v>
      </c>
      <c r="BE87" t="s">
        <v>296</v>
      </c>
      <c r="BI87" t="s">
        <v>280</v>
      </c>
      <c r="BJ87" t="s">
        <v>288</v>
      </c>
      <c r="BK87" t="s">
        <v>288</v>
      </c>
      <c r="BL87" t="s">
        <v>268</v>
      </c>
      <c r="BM87" t="s">
        <v>288</v>
      </c>
    </row>
    <row r="88" spans="1:65" x14ac:dyDescent="0.2">
      <c r="A88" t="s">
        <v>273</v>
      </c>
      <c r="B88" t="s">
        <v>321</v>
      </c>
    </row>
    <row r="89" spans="1:65" x14ac:dyDescent="0.2">
      <c r="A89" t="s">
        <v>275</v>
      </c>
      <c r="B89" t="s">
        <v>276</v>
      </c>
      <c r="C89" t="s">
        <v>277</v>
      </c>
      <c r="D89" t="s">
        <v>282</v>
      </c>
      <c r="F89" t="s">
        <v>278</v>
      </c>
      <c r="O89" t="s">
        <v>279</v>
      </c>
    </row>
    <row r="90" spans="1:65" x14ac:dyDescent="0.2">
      <c r="A90" t="s">
        <v>275</v>
      </c>
      <c r="B90" t="s">
        <v>276</v>
      </c>
      <c r="C90" t="s">
        <v>280</v>
      </c>
      <c r="D90" t="s">
        <v>281</v>
      </c>
      <c r="F90" t="s">
        <v>278</v>
      </c>
      <c r="O90" t="s">
        <v>279</v>
      </c>
    </row>
    <row r="91" spans="1:65" x14ac:dyDescent="0.2">
      <c r="A91" t="s">
        <v>284</v>
      </c>
      <c r="B91" t="s">
        <v>283</v>
      </c>
      <c r="C91" t="s">
        <v>274</v>
      </c>
      <c r="E91" t="s">
        <v>360</v>
      </c>
      <c r="G91" t="s">
        <v>285</v>
      </c>
      <c r="J91" t="s">
        <v>286</v>
      </c>
      <c r="K91" t="s">
        <v>287</v>
      </c>
      <c r="M91" t="s">
        <v>299</v>
      </c>
      <c r="N91" t="s">
        <v>288</v>
      </c>
      <c r="O91" t="s">
        <v>361</v>
      </c>
      <c r="P91" t="s">
        <v>289</v>
      </c>
      <c r="T91" t="s">
        <v>290</v>
      </c>
      <c r="Z91" t="s">
        <v>291</v>
      </c>
      <c r="AF91" t="s">
        <v>272</v>
      </c>
      <c r="AG91" t="s">
        <v>288</v>
      </c>
      <c r="AO91" t="s">
        <v>279</v>
      </c>
      <c r="AT91" t="s">
        <v>288</v>
      </c>
      <c r="AV91" t="s">
        <v>292</v>
      </c>
      <c r="AW91" t="s">
        <v>293</v>
      </c>
      <c r="BC91" t="s">
        <v>294</v>
      </c>
      <c r="BI91" t="s">
        <v>289</v>
      </c>
      <c r="BJ91" t="s">
        <v>288</v>
      </c>
      <c r="BK91" t="s">
        <v>288</v>
      </c>
      <c r="BL91" t="s">
        <v>268</v>
      </c>
      <c r="BM91" t="s">
        <v>288</v>
      </c>
    </row>
    <row r="92" spans="1:65" x14ac:dyDescent="0.2">
      <c r="A92" t="s">
        <v>284</v>
      </c>
      <c r="B92" t="s">
        <v>283</v>
      </c>
      <c r="C92" t="s">
        <v>295</v>
      </c>
      <c r="E92" t="s">
        <v>362</v>
      </c>
      <c r="G92" t="s">
        <v>285</v>
      </c>
      <c r="J92" t="s">
        <v>286</v>
      </c>
      <c r="K92" t="s">
        <v>287</v>
      </c>
      <c r="M92" t="s">
        <v>299</v>
      </c>
      <c r="N92" t="s">
        <v>288</v>
      </c>
      <c r="O92" t="s">
        <v>361</v>
      </c>
      <c r="P92" t="s">
        <v>289</v>
      </c>
      <c r="T92" t="s">
        <v>290</v>
      </c>
      <c r="Z92" t="s">
        <v>291</v>
      </c>
      <c r="AF92" t="s">
        <v>272</v>
      </c>
      <c r="AG92" t="s">
        <v>288</v>
      </c>
      <c r="AO92" t="s">
        <v>279</v>
      </c>
      <c r="AT92" t="s">
        <v>288</v>
      </c>
      <c r="AV92" t="s">
        <v>301</v>
      </c>
      <c r="AW92" t="s">
        <v>293</v>
      </c>
      <c r="BC92" t="s">
        <v>294</v>
      </c>
      <c r="BE92" t="s">
        <v>296</v>
      </c>
      <c r="BI92" t="s">
        <v>280</v>
      </c>
      <c r="BJ92" t="s">
        <v>288</v>
      </c>
      <c r="BK92" t="s">
        <v>288</v>
      </c>
      <c r="BL92" t="s">
        <v>268</v>
      </c>
      <c r="BM92" t="s">
        <v>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Z53"/>
  <sheetViews>
    <sheetView view="pageBreakPreview" topLeftCell="A4" zoomScale="75" zoomScaleNormal="100" zoomScaleSheetLayoutView="75" workbookViewId="0">
      <selection activeCell="M37" sqref="M37"/>
    </sheetView>
  </sheetViews>
  <sheetFormatPr defaultRowHeight="18.75" x14ac:dyDescent="0.2"/>
  <cols>
    <col min="1" max="1" width="11.140625" style="2" customWidth="1"/>
    <col min="2" max="2" width="15.28515625" style="2" customWidth="1"/>
    <col min="3" max="3" width="14.42578125" style="2" customWidth="1"/>
    <col min="4" max="4" width="12.85546875" style="2" customWidth="1"/>
    <col min="5" max="5" width="8.7109375" style="2" customWidth="1"/>
    <col min="6" max="6" width="14.85546875" style="2" customWidth="1"/>
    <col min="7" max="7" width="14.140625" style="2" customWidth="1"/>
    <col min="8" max="8" width="16.28515625" style="2" customWidth="1"/>
    <col min="9" max="9" width="8.28515625" style="2" customWidth="1"/>
    <col min="10" max="10" width="8.85546875" style="2" customWidth="1"/>
    <col min="11" max="11" width="9" style="2" customWidth="1"/>
    <col min="12" max="12" width="17" style="2" customWidth="1"/>
    <col min="13" max="14" width="10.28515625" style="2" customWidth="1"/>
    <col min="15" max="15" width="15" style="2" customWidth="1"/>
    <col min="16" max="26" width="10.28515625" style="2" customWidth="1"/>
    <col min="27" max="16384" width="9.140625" style="2"/>
  </cols>
  <sheetData>
    <row r="1" spans="1:26" ht="21.75" customHeight="1" x14ac:dyDescent="0.2">
      <c r="A1" s="94" t="s">
        <v>157</v>
      </c>
      <c r="B1" s="94"/>
      <c r="C1" s="94"/>
      <c r="D1" s="94"/>
      <c r="E1" s="94"/>
      <c r="F1" s="94"/>
      <c r="G1" s="123" t="s">
        <v>154</v>
      </c>
      <c r="H1" s="123"/>
      <c r="I1" s="93" t="s">
        <v>160</v>
      </c>
      <c r="J1" s="93"/>
      <c r="K1" s="93"/>
      <c r="L1" s="93"/>
      <c r="M1" s="99" t="s">
        <v>96</v>
      </c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ht="21.75" customHeight="1" x14ac:dyDescent="0.2">
      <c r="A2" s="119" t="s">
        <v>45</v>
      </c>
      <c r="B2" s="119"/>
      <c r="C2" s="119"/>
      <c r="D2" s="119"/>
      <c r="E2" s="119"/>
      <c r="F2" s="119"/>
      <c r="G2" s="123"/>
      <c r="H2" s="123"/>
      <c r="I2" s="93"/>
      <c r="J2" s="93"/>
      <c r="K2" s="93"/>
      <c r="L2" s="93"/>
      <c r="M2" s="99" t="s">
        <v>78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ht="21.75" customHeight="1" x14ac:dyDescent="0.2">
      <c r="A3" s="94" t="s">
        <v>158</v>
      </c>
      <c r="B3" s="120"/>
      <c r="C3" s="120"/>
      <c r="D3" s="120"/>
      <c r="E3" s="120"/>
      <c r="F3" s="120"/>
      <c r="G3" s="123" t="s">
        <v>155</v>
      </c>
      <c r="H3" s="123"/>
      <c r="I3" s="94" t="s">
        <v>196</v>
      </c>
      <c r="J3" s="94"/>
      <c r="K3" s="94"/>
      <c r="L3" s="94"/>
      <c r="M3" s="100" t="s">
        <v>79</v>
      </c>
      <c r="N3" s="101" t="s">
        <v>81</v>
      </c>
      <c r="O3" s="100"/>
      <c r="P3" s="101" t="s">
        <v>65</v>
      </c>
      <c r="Q3" s="100"/>
      <c r="R3" s="101" t="s">
        <v>82</v>
      </c>
      <c r="S3" s="100"/>
      <c r="T3" s="101" t="s">
        <v>85</v>
      </c>
      <c r="U3" s="100"/>
      <c r="V3" s="101" t="s">
        <v>87</v>
      </c>
      <c r="W3" s="100"/>
      <c r="X3" s="86" t="s">
        <v>91</v>
      </c>
      <c r="Y3" s="105"/>
      <c r="Z3" s="105"/>
    </row>
    <row r="4" spans="1:26" ht="30" customHeight="1" x14ac:dyDescent="0.2">
      <c r="A4" s="119" t="s">
        <v>46</v>
      </c>
      <c r="B4" s="119"/>
      <c r="C4" s="119"/>
      <c r="D4" s="119"/>
      <c r="E4" s="119"/>
      <c r="F4" s="119"/>
      <c r="G4" s="123"/>
      <c r="H4" s="123"/>
      <c r="I4" s="94"/>
      <c r="J4" s="94"/>
      <c r="K4" s="94"/>
      <c r="L4" s="94"/>
      <c r="M4" s="95"/>
      <c r="N4" s="90"/>
      <c r="O4" s="95"/>
      <c r="P4" s="90"/>
      <c r="Q4" s="95"/>
      <c r="R4" s="90" t="s">
        <v>83</v>
      </c>
      <c r="S4" s="95"/>
      <c r="T4" s="90" t="s">
        <v>86</v>
      </c>
      <c r="U4" s="95"/>
      <c r="V4" s="90" t="s">
        <v>88</v>
      </c>
      <c r="W4" s="95"/>
      <c r="X4" s="86"/>
      <c r="Y4" s="105"/>
      <c r="Z4" s="105"/>
    </row>
    <row r="5" spans="1:26" ht="21.75" customHeight="1" x14ac:dyDescent="0.2">
      <c r="A5" s="94" t="s">
        <v>177</v>
      </c>
      <c r="B5" s="120"/>
      <c r="C5" s="120"/>
      <c r="D5" s="120"/>
      <c r="E5" s="120"/>
      <c r="F5" s="120"/>
      <c r="G5" s="123" t="s">
        <v>156</v>
      </c>
      <c r="H5" s="123"/>
      <c r="I5" s="94" t="s">
        <v>197</v>
      </c>
      <c r="J5" s="94"/>
      <c r="K5" s="94"/>
      <c r="L5" s="94"/>
      <c r="M5" s="95" t="s">
        <v>80</v>
      </c>
      <c r="N5" s="90"/>
      <c r="O5" s="95"/>
      <c r="P5" s="90" t="s">
        <v>182</v>
      </c>
      <c r="Q5" s="95"/>
      <c r="R5" s="106" t="s">
        <v>84</v>
      </c>
      <c r="S5" s="107"/>
      <c r="T5" s="106" t="s">
        <v>84</v>
      </c>
      <c r="U5" s="107"/>
      <c r="V5" s="90" t="s">
        <v>89</v>
      </c>
      <c r="W5" s="95"/>
      <c r="X5" s="86"/>
      <c r="Y5" s="105"/>
      <c r="Z5" s="105"/>
    </row>
    <row r="6" spans="1:26" ht="21.75" customHeight="1" x14ac:dyDescent="0.2">
      <c r="A6" s="119" t="s">
        <v>47</v>
      </c>
      <c r="B6" s="119"/>
      <c r="C6" s="119"/>
      <c r="D6" s="119"/>
      <c r="E6" s="119"/>
      <c r="F6" s="119"/>
      <c r="G6" s="123"/>
      <c r="H6" s="123"/>
      <c r="I6" s="94"/>
      <c r="J6" s="94"/>
      <c r="K6" s="94"/>
      <c r="L6" s="94"/>
      <c r="M6" s="96"/>
      <c r="N6" s="92"/>
      <c r="O6" s="96"/>
      <c r="P6" s="92"/>
      <c r="Q6" s="96"/>
      <c r="R6" s="92"/>
      <c r="S6" s="96"/>
      <c r="T6" s="92"/>
      <c r="U6" s="96"/>
      <c r="V6" s="92" t="s">
        <v>90</v>
      </c>
      <c r="W6" s="96"/>
      <c r="X6" s="86"/>
      <c r="Y6" s="105"/>
      <c r="Z6" s="105"/>
    </row>
    <row r="7" spans="1:26" ht="21.75" customHeight="1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84"/>
      <c r="O7" s="85"/>
      <c r="P7" s="84"/>
      <c r="Q7" s="85"/>
      <c r="R7" s="84"/>
      <c r="S7" s="85"/>
      <c r="T7" s="84"/>
      <c r="U7" s="85"/>
      <c r="V7" s="84"/>
      <c r="W7" s="85"/>
      <c r="X7" s="84"/>
      <c r="Y7" s="88"/>
      <c r="Z7" s="88"/>
    </row>
    <row r="8" spans="1:26" ht="22.5" customHeight="1" x14ac:dyDescent="0.2">
      <c r="A8" s="116" t="s">
        <v>48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84"/>
      <c r="O8" s="85"/>
      <c r="P8" s="84"/>
      <c r="Q8" s="85"/>
      <c r="R8" s="84"/>
      <c r="S8" s="85"/>
      <c r="T8" s="84"/>
      <c r="U8" s="85"/>
      <c r="V8" s="84"/>
      <c r="W8" s="85"/>
      <c r="X8" s="84"/>
      <c r="Y8" s="88"/>
      <c r="Z8" s="88"/>
    </row>
    <row r="9" spans="1:26" ht="22.5" customHeight="1" x14ac:dyDescent="0.2">
      <c r="A9" s="129" t="s">
        <v>49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9"/>
      <c r="N9" s="84"/>
      <c r="O9" s="85"/>
      <c r="P9" s="84"/>
      <c r="Q9" s="85"/>
      <c r="R9" s="84"/>
      <c r="S9" s="85"/>
      <c r="T9" s="84"/>
      <c r="U9" s="85"/>
      <c r="V9" s="84"/>
      <c r="W9" s="85"/>
      <c r="X9" s="84"/>
      <c r="Y9" s="88"/>
      <c r="Z9" s="88"/>
    </row>
    <row r="10" spans="1:26" ht="22.5" customHeight="1" x14ac:dyDescent="0.2">
      <c r="A10" s="124" t="s">
        <v>112</v>
      </c>
      <c r="B10" s="124"/>
      <c r="C10" s="124"/>
      <c r="D10" s="124"/>
      <c r="E10" s="135" t="s">
        <v>375</v>
      </c>
      <c r="F10" s="136"/>
      <c r="G10" s="136"/>
      <c r="H10" s="111" t="s">
        <v>376</v>
      </c>
      <c r="I10" s="111"/>
      <c r="J10" s="111"/>
      <c r="K10" s="111"/>
      <c r="L10" s="111"/>
      <c r="M10" s="9"/>
      <c r="N10" s="84"/>
      <c r="O10" s="85"/>
      <c r="P10" s="84"/>
      <c r="Q10" s="85"/>
      <c r="R10" s="84"/>
      <c r="S10" s="85"/>
      <c r="T10" s="84"/>
      <c r="U10" s="85"/>
      <c r="V10" s="84"/>
      <c r="W10" s="85"/>
      <c r="X10" s="84"/>
      <c r="Y10" s="88"/>
      <c r="Z10" s="88"/>
    </row>
    <row r="11" spans="1:26" ht="22.5" customHeight="1" x14ac:dyDescent="0.2">
      <c r="A11" s="124" t="s">
        <v>113</v>
      </c>
      <c r="B11" s="124"/>
      <c r="C11" s="124"/>
      <c r="D11" s="124"/>
      <c r="E11" s="134" t="s">
        <v>230</v>
      </c>
      <c r="F11" s="134"/>
      <c r="G11" s="134"/>
      <c r="H11" s="134"/>
      <c r="I11" s="111" t="s">
        <v>114</v>
      </c>
      <c r="J11" s="111"/>
      <c r="K11" s="111"/>
      <c r="L11" s="111"/>
      <c r="M11" s="9"/>
      <c r="N11" s="84"/>
      <c r="O11" s="85"/>
      <c r="P11" s="84"/>
      <c r="Q11" s="85"/>
      <c r="R11" s="84"/>
      <c r="S11" s="85"/>
      <c r="T11" s="84"/>
      <c r="U11" s="85"/>
      <c r="V11" s="84"/>
      <c r="W11" s="85"/>
      <c r="X11" s="84"/>
      <c r="Y11" s="88"/>
      <c r="Z11" s="88"/>
    </row>
    <row r="12" spans="1:26" ht="21.75" customHeight="1" x14ac:dyDescent="0.2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9"/>
      <c r="N12" s="84"/>
      <c r="O12" s="85"/>
      <c r="P12" s="84"/>
      <c r="Q12" s="85"/>
      <c r="R12" s="84"/>
      <c r="S12" s="85"/>
      <c r="T12" s="84"/>
      <c r="U12" s="85"/>
      <c r="V12" s="84"/>
      <c r="W12" s="85"/>
      <c r="X12" s="84"/>
      <c r="Y12" s="88"/>
      <c r="Z12" s="88"/>
    </row>
    <row r="13" spans="1:26" ht="21.75" customHeight="1" x14ac:dyDescent="0.2">
      <c r="A13" s="140" t="s">
        <v>50</v>
      </c>
      <c r="B13" s="109" t="s">
        <v>56</v>
      </c>
      <c r="C13" s="110"/>
      <c r="D13" s="144" t="s">
        <v>190</v>
      </c>
      <c r="E13" s="145"/>
      <c r="F13" s="109" t="s">
        <v>59</v>
      </c>
      <c r="G13" s="110"/>
      <c r="H13" s="14" t="s">
        <v>190</v>
      </c>
      <c r="I13" s="138" t="s">
        <v>5</v>
      </c>
      <c r="J13" s="109" t="s">
        <v>60</v>
      </c>
      <c r="K13" s="140"/>
      <c r="L13" s="13" t="s">
        <v>65</v>
      </c>
      <c r="M13" s="9"/>
      <c r="N13" s="84"/>
      <c r="O13" s="85"/>
      <c r="P13" s="84"/>
      <c r="Q13" s="85"/>
      <c r="R13" s="84"/>
      <c r="S13" s="85"/>
      <c r="T13" s="84"/>
      <c r="U13" s="85"/>
      <c r="V13" s="84"/>
      <c r="W13" s="85"/>
      <c r="X13" s="84"/>
      <c r="Y13" s="88"/>
      <c r="Z13" s="88"/>
    </row>
    <row r="14" spans="1:26" ht="21.75" customHeight="1" x14ac:dyDescent="0.2">
      <c r="A14" s="141"/>
      <c r="B14" s="112" t="s">
        <v>57</v>
      </c>
      <c r="C14" s="113"/>
      <c r="D14" s="114" t="s">
        <v>234</v>
      </c>
      <c r="E14" s="115"/>
      <c r="F14" s="112" t="s">
        <v>57</v>
      </c>
      <c r="G14" s="113"/>
      <c r="H14" s="15" t="s">
        <v>235</v>
      </c>
      <c r="I14" s="139"/>
      <c r="J14" s="112" t="s">
        <v>61</v>
      </c>
      <c r="K14" s="141"/>
      <c r="L14" s="13" t="s">
        <v>66</v>
      </c>
      <c r="M14" s="9"/>
      <c r="N14" s="84"/>
      <c r="O14" s="85"/>
      <c r="P14" s="84"/>
      <c r="Q14" s="85"/>
      <c r="R14" s="84"/>
      <c r="S14" s="85"/>
      <c r="T14" s="84"/>
      <c r="U14" s="85"/>
      <c r="V14" s="84"/>
      <c r="W14" s="85"/>
      <c r="X14" s="84"/>
      <c r="Y14" s="88"/>
      <c r="Z14" s="88"/>
    </row>
    <row r="15" spans="1:26" ht="21.75" customHeight="1" x14ac:dyDescent="0.2">
      <c r="A15" s="141"/>
      <c r="B15" s="132" t="s">
        <v>58</v>
      </c>
      <c r="C15" s="137"/>
      <c r="D15" s="142">
        <v>18000</v>
      </c>
      <c r="E15" s="143"/>
      <c r="F15" s="132" t="s">
        <v>58</v>
      </c>
      <c r="G15" s="137"/>
      <c r="H15" s="16">
        <v>18000</v>
      </c>
      <c r="I15" s="139"/>
      <c r="J15" s="132" t="s">
        <v>62</v>
      </c>
      <c r="K15" s="133"/>
      <c r="L15" s="13" t="s">
        <v>67</v>
      </c>
      <c r="M15" s="9"/>
      <c r="N15" s="84"/>
      <c r="O15" s="85"/>
      <c r="P15" s="84"/>
      <c r="Q15" s="85"/>
      <c r="R15" s="84"/>
      <c r="S15" s="85"/>
      <c r="T15" s="84"/>
      <c r="U15" s="85"/>
      <c r="V15" s="84"/>
      <c r="W15" s="85"/>
      <c r="X15" s="84"/>
      <c r="Y15" s="88"/>
      <c r="Z15" s="88"/>
    </row>
    <row r="16" spans="1:26" ht="21.75" customHeight="1" x14ac:dyDescent="0.2">
      <c r="A16" s="141"/>
      <c r="B16" s="12" t="s">
        <v>51</v>
      </c>
      <c r="C16" s="12" t="s">
        <v>53</v>
      </c>
      <c r="D16" s="12" t="s">
        <v>54</v>
      </c>
      <c r="E16" s="125"/>
      <c r="F16" s="12" t="s">
        <v>51</v>
      </c>
      <c r="G16" s="12" t="s">
        <v>53</v>
      </c>
      <c r="H16" s="10" t="s">
        <v>54</v>
      </c>
      <c r="I16" s="139"/>
      <c r="J16" s="125" t="s">
        <v>63</v>
      </c>
      <c r="K16" s="127" t="s">
        <v>64</v>
      </c>
      <c r="L16" s="13" t="s">
        <v>68</v>
      </c>
      <c r="M16" s="9"/>
      <c r="N16" s="84"/>
      <c r="O16" s="85"/>
      <c r="P16" s="84"/>
      <c r="Q16" s="85"/>
      <c r="R16" s="84"/>
      <c r="S16" s="85"/>
      <c r="T16" s="84"/>
      <c r="U16" s="85"/>
      <c r="V16" s="84"/>
      <c r="W16" s="85"/>
      <c r="X16" s="84"/>
      <c r="Y16" s="88"/>
      <c r="Z16" s="88"/>
    </row>
    <row r="17" spans="1:26" ht="21.75" customHeight="1" x14ac:dyDescent="0.2">
      <c r="A17" s="141"/>
      <c r="B17" s="77" t="s">
        <v>52</v>
      </c>
      <c r="C17" s="20" t="s">
        <v>51</v>
      </c>
      <c r="D17" s="20" t="s">
        <v>55</v>
      </c>
      <c r="E17" s="126"/>
      <c r="F17" s="20" t="s">
        <v>52</v>
      </c>
      <c r="G17" s="20" t="s">
        <v>51</v>
      </c>
      <c r="H17" s="19" t="s">
        <v>55</v>
      </c>
      <c r="I17" s="139"/>
      <c r="J17" s="126"/>
      <c r="K17" s="128"/>
      <c r="L17" s="13" t="s">
        <v>69</v>
      </c>
      <c r="M17" s="103" t="s">
        <v>92</v>
      </c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spans="1:26" ht="23.25" customHeight="1" x14ac:dyDescent="0.2">
      <c r="A18" s="23" t="s">
        <v>7</v>
      </c>
      <c r="B18" s="82">
        <v>6123.1382000000003</v>
      </c>
      <c r="C18" s="25"/>
      <c r="D18" s="24"/>
      <c r="E18" s="81"/>
      <c r="F18" s="82">
        <v>1979.5839000000001</v>
      </c>
      <c r="G18" s="25"/>
      <c r="H18" s="24"/>
      <c r="I18" s="26"/>
      <c r="J18" s="23"/>
      <c r="K18" s="28"/>
      <c r="L18" s="28"/>
      <c r="M18" s="100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1" t="s">
        <v>91</v>
      </c>
      <c r="X18" s="104"/>
      <c r="Y18" s="104"/>
      <c r="Z18" s="104"/>
    </row>
    <row r="19" spans="1:26" ht="23.25" customHeight="1" x14ac:dyDescent="0.2">
      <c r="A19" s="23" t="s">
        <v>8</v>
      </c>
      <c r="B19" s="82">
        <v>6123.1970000000001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5.8799999999791908E-2</v>
      </c>
      <c r="D19" s="24">
        <f>IF(C19="","",C19*$D$15)</f>
        <v>1058.3999999962543</v>
      </c>
      <c r="E19" s="81"/>
      <c r="F19" s="82">
        <v>1979.6026999999999</v>
      </c>
      <c r="G19" s="25">
        <f t="shared" ref="G19:G42" si="1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1.8799999999828287E-2</v>
      </c>
      <c r="H19" s="24">
        <f>IF(G19="","",G19*$H$15)</f>
        <v>338.39999999690917</v>
      </c>
      <c r="I19" s="26">
        <f>IF(H19="","",IF(D19="","",IF(AND(H19=0,D19=0),0,H19/D19)))</f>
        <v>0.31972789115467382</v>
      </c>
      <c r="J19" s="23"/>
      <c r="K19" s="83">
        <v>6.4377190000000004</v>
      </c>
      <c r="L19" s="28"/>
      <c r="M19" s="95"/>
      <c r="N19" s="89"/>
      <c r="O19" s="89"/>
      <c r="P19" s="89"/>
      <c r="Q19" s="89" t="s">
        <v>108</v>
      </c>
      <c r="R19" s="89"/>
      <c r="S19" s="89"/>
      <c r="T19" s="89"/>
      <c r="U19" s="89"/>
      <c r="V19" s="89"/>
      <c r="W19" s="90"/>
      <c r="X19" s="99"/>
      <c r="Y19" s="99"/>
      <c r="Z19" s="99"/>
    </row>
    <row r="20" spans="1:26" ht="23.25" customHeight="1" x14ac:dyDescent="0.2">
      <c r="A20" s="23" t="s">
        <v>9</v>
      </c>
      <c r="B20" s="82">
        <v>6123.2547999999997</v>
      </c>
      <c r="C20" s="25">
        <f t="shared" si="0"/>
        <v>5.7799999999588181E-2</v>
      </c>
      <c r="D20" s="24">
        <f t="shared" ref="D20:D42" si="2">IF(C20="","",C20*$D$15)</f>
        <v>1040.3999999925873</v>
      </c>
      <c r="E20" s="81"/>
      <c r="F20" s="82">
        <v>1979.6226999999999</v>
      </c>
      <c r="G20" s="25">
        <f t="shared" si="1"/>
        <v>1.999999999998181E-2</v>
      </c>
      <c r="H20" s="24">
        <f t="shared" ref="H20:H42" si="3">IF(G20="","",G20*$H$15)</f>
        <v>359.99999999967258</v>
      </c>
      <c r="I20" s="26">
        <f t="shared" ref="I20:I42" si="4">IF(H20="","",IF(D20="","",IF(AND(H20=0,D20=0),0,H20/D20)))</f>
        <v>0.34602076124782538</v>
      </c>
      <c r="J20" s="23"/>
      <c r="K20" s="83">
        <v>6.4695110000000007</v>
      </c>
      <c r="L20" s="28"/>
      <c r="M20" s="95" t="s">
        <v>80</v>
      </c>
      <c r="N20" s="89" t="s">
        <v>99</v>
      </c>
      <c r="O20" s="89"/>
      <c r="P20" s="89"/>
      <c r="Q20" s="89" t="s">
        <v>181</v>
      </c>
      <c r="R20" s="89"/>
      <c r="S20" s="89"/>
      <c r="T20" s="89" t="s">
        <v>94</v>
      </c>
      <c r="U20" s="89"/>
      <c r="V20" s="89"/>
      <c r="W20" s="90"/>
      <c r="X20" s="99"/>
      <c r="Y20" s="99"/>
      <c r="Z20" s="99"/>
    </row>
    <row r="21" spans="1:26" ht="23.25" customHeight="1" x14ac:dyDescent="0.2">
      <c r="A21" s="23" t="s">
        <v>10</v>
      </c>
      <c r="B21" s="82">
        <v>6123.3131000000003</v>
      </c>
      <c r="C21" s="25">
        <f t="shared" si="0"/>
        <v>5.8300000000599539E-2</v>
      </c>
      <c r="D21" s="24">
        <f t="shared" si="2"/>
        <v>1049.4000000107917</v>
      </c>
      <c r="E21" s="81"/>
      <c r="F21" s="82">
        <v>1979.6422</v>
      </c>
      <c r="G21" s="25">
        <f t="shared" si="1"/>
        <v>1.950000000010732E-2</v>
      </c>
      <c r="H21" s="24">
        <f t="shared" si="3"/>
        <v>351.00000000193177</v>
      </c>
      <c r="I21" s="26">
        <f t="shared" si="4"/>
        <v>0.33447684390920734</v>
      </c>
      <c r="J21" s="23"/>
      <c r="K21" s="83">
        <v>6.4735719999999999</v>
      </c>
      <c r="L21" s="28"/>
      <c r="M21" s="96"/>
      <c r="N21" s="91"/>
      <c r="O21" s="91"/>
      <c r="P21" s="91"/>
      <c r="Q21" s="91"/>
      <c r="R21" s="91"/>
      <c r="S21" s="91"/>
      <c r="T21" s="91"/>
      <c r="U21" s="91"/>
      <c r="V21" s="91"/>
      <c r="W21" s="92"/>
      <c r="X21" s="103"/>
      <c r="Y21" s="103"/>
      <c r="Z21" s="103"/>
    </row>
    <row r="22" spans="1:26" ht="23.25" customHeight="1" x14ac:dyDescent="0.2">
      <c r="A22" s="23" t="s">
        <v>11</v>
      </c>
      <c r="B22" s="82">
        <v>6123.3719000000001</v>
      </c>
      <c r="C22" s="25">
        <f t="shared" si="0"/>
        <v>5.8799999999791908E-2</v>
      </c>
      <c r="D22" s="24">
        <f t="shared" si="2"/>
        <v>1058.3999999962543</v>
      </c>
      <c r="E22" s="81"/>
      <c r="F22" s="82">
        <v>1979.6618000000001</v>
      </c>
      <c r="G22" s="25">
        <f t="shared" si="1"/>
        <v>1.9600000000082218E-2</v>
      </c>
      <c r="H22" s="24">
        <f t="shared" si="3"/>
        <v>352.80000000147993</v>
      </c>
      <c r="I22" s="26">
        <f t="shared" si="4"/>
        <v>0.33333333333591125</v>
      </c>
      <c r="J22" s="23"/>
      <c r="K22" s="83">
        <v>6.5000469999999995</v>
      </c>
      <c r="L22" s="28"/>
      <c r="M22" s="9"/>
      <c r="N22" s="97"/>
      <c r="O22" s="97"/>
      <c r="P22" s="97"/>
      <c r="Q22" s="97"/>
      <c r="R22" s="97"/>
      <c r="S22" s="97"/>
      <c r="T22" s="97"/>
      <c r="U22" s="97"/>
      <c r="V22" s="97"/>
      <c r="W22" s="84"/>
      <c r="X22" s="88"/>
      <c r="Y22" s="88"/>
      <c r="Z22" s="88"/>
    </row>
    <row r="23" spans="1:26" ht="23.25" customHeight="1" x14ac:dyDescent="0.2">
      <c r="A23" s="23" t="s">
        <v>12</v>
      </c>
      <c r="B23" s="82">
        <v>6123.4301999999998</v>
      </c>
      <c r="C23" s="25">
        <f t="shared" si="0"/>
        <v>5.8299999999690044E-2</v>
      </c>
      <c r="D23" s="24">
        <f t="shared" si="2"/>
        <v>1049.3999999944208</v>
      </c>
      <c r="E23" s="81"/>
      <c r="F23" s="82">
        <v>1979.6817000000001</v>
      </c>
      <c r="G23" s="25">
        <f t="shared" si="1"/>
        <v>1.9900000000006912E-2</v>
      </c>
      <c r="H23" s="24">
        <f t="shared" si="3"/>
        <v>358.20000000012442</v>
      </c>
      <c r="I23" s="26">
        <f t="shared" si="4"/>
        <v>0.34133790737757652</v>
      </c>
      <c r="J23" s="23"/>
      <c r="K23" s="83">
        <v>6.424461</v>
      </c>
      <c r="L23" s="28"/>
      <c r="M23" s="9"/>
      <c r="N23" s="97"/>
      <c r="O23" s="97"/>
      <c r="P23" s="97"/>
      <c r="Q23" s="97"/>
      <c r="R23" s="97"/>
      <c r="S23" s="97"/>
      <c r="T23" s="97"/>
      <c r="U23" s="97"/>
      <c r="V23" s="97"/>
      <c r="W23" s="84"/>
      <c r="X23" s="88"/>
      <c r="Y23" s="88"/>
      <c r="Z23" s="88"/>
    </row>
    <row r="24" spans="1:26" ht="23.25" customHeight="1" x14ac:dyDescent="0.2">
      <c r="A24" s="23" t="s">
        <v>13</v>
      </c>
      <c r="B24" s="82">
        <v>6123.4847</v>
      </c>
      <c r="C24" s="25">
        <f t="shared" si="0"/>
        <v>5.4500000000189175E-2</v>
      </c>
      <c r="D24" s="24">
        <f t="shared" si="2"/>
        <v>981.00000000340515</v>
      </c>
      <c r="E24" s="81"/>
      <c r="F24" s="82">
        <v>1979.6986999999999</v>
      </c>
      <c r="G24" s="25">
        <f t="shared" si="1"/>
        <v>1.6999999999825377E-2</v>
      </c>
      <c r="H24" s="24">
        <f t="shared" si="3"/>
        <v>305.99999999685679</v>
      </c>
      <c r="I24" s="26">
        <f t="shared" si="4"/>
        <v>0.31192660550030032</v>
      </c>
      <c r="J24" s="23"/>
      <c r="K24" s="83">
        <v>6.4086239999999997</v>
      </c>
      <c r="L24" s="28"/>
      <c r="M24" s="9"/>
      <c r="N24" s="97"/>
      <c r="O24" s="97"/>
      <c r="P24" s="97"/>
      <c r="Q24" s="97"/>
      <c r="R24" s="97"/>
      <c r="S24" s="97"/>
      <c r="T24" s="97"/>
      <c r="U24" s="97"/>
      <c r="V24" s="97"/>
      <c r="W24" s="84"/>
      <c r="X24" s="88"/>
      <c r="Y24" s="88"/>
      <c r="Z24" s="88"/>
    </row>
    <row r="25" spans="1:26" ht="23.25" customHeight="1" x14ac:dyDescent="0.2">
      <c r="A25" s="23" t="s">
        <v>14</v>
      </c>
      <c r="B25" s="82">
        <v>6123.5375000000004</v>
      </c>
      <c r="C25" s="25">
        <f t="shared" si="0"/>
        <v>5.2800000000388536E-2</v>
      </c>
      <c r="D25" s="24">
        <f t="shared" si="2"/>
        <v>950.40000000699365</v>
      </c>
      <c r="E25" s="81"/>
      <c r="F25" s="82">
        <v>1979.7131999999999</v>
      </c>
      <c r="G25" s="25">
        <f t="shared" si="1"/>
        <v>1.4499999999998181E-2</v>
      </c>
      <c r="H25" s="24">
        <f t="shared" si="3"/>
        <v>260.99999999996726</v>
      </c>
      <c r="I25" s="26">
        <f t="shared" si="4"/>
        <v>0.27462121211915685</v>
      </c>
      <c r="J25" s="23"/>
      <c r="K25" s="83">
        <v>6.4937389999999997</v>
      </c>
      <c r="L25" s="28"/>
      <c r="M25" s="9"/>
      <c r="N25" s="97"/>
      <c r="O25" s="97"/>
      <c r="P25" s="97"/>
      <c r="Q25" s="97"/>
      <c r="R25" s="97"/>
      <c r="S25" s="97"/>
      <c r="T25" s="97"/>
      <c r="U25" s="97"/>
      <c r="V25" s="97"/>
      <c r="W25" s="84"/>
      <c r="X25" s="88"/>
      <c r="Y25" s="88"/>
      <c r="Z25" s="88"/>
    </row>
    <row r="26" spans="1:26" ht="23.25" customHeight="1" x14ac:dyDescent="0.2">
      <c r="A26" s="23" t="s">
        <v>15</v>
      </c>
      <c r="B26" s="82">
        <v>6123.5919999999996</v>
      </c>
      <c r="C26" s="25">
        <f t="shared" si="0"/>
        <v>5.449999999927968E-2</v>
      </c>
      <c r="D26" s="24">
        <f t="shared" si="2"/>
        <v>980.99999998703424</v>
      </c>
      <c r="E26" s="81"/>
      <c r="F26" s="82">
        <v>1979.7263</v>
      </c>
      <c r="G26" s="25">
        <f t="shared" si="1"/>
        <v>1.3100000000122236E-2</v>
      </c>
      <c r="H26" s="24">
        <f t="shared" si="3"/>
        <v>235.80000000220025</v>
      </c>
      <c r="I26" s="26">
        <f t="shared" si="4"/>
        <v>0.24036697248248398</v>
      </c>
      <c r="J26" s="23"/>
      <c r="K26" s="83">
        <v>6.3477290000000002</v>
      </c>
      <c r="L26" s="28"/>
      <c r="M26" s="9"/>
      <c r="N26" s="97"/>
      <c r="O26" s="97"/>
      <c r="P26" s="97"/>
      <c r="Q26" s="97"/>
      <c r="R26" s="97"/>
      <c r="S26" s="97"/>
      <c r="T26" s="97"/>
      <c r="U26" s="97"/>
      <c r="V26" s="97"/>
      <c r="W26" s="84"/>
      <c r="X26" s="88"/>
      <c r="Y26" s="88"/>
      <c r="Z26" s="88"/>
    </row>
    <row r="27" spans="1:26" ht="23.25" customHeight="1" x14ac:dyDescent="0.2">
      <c r="A27" s="23" t="s">
        <v>16</v>
      </c>
      <c r="B27" s="82">
        <v>6123.6421</v>
      </c>
      <c r="C27" s="25">
        <f t="shared" si="0"/>
        <v>5.0100000000384171E-2</v>
      </c>
      <c r="D27" s="24">
        <f t="shared" si="2"/>
        <v>901.80000000691507</v>
      </c>
      <c r="E27" s="81"/>
      <c r="F27" s="82">
        <v>1979.7411999999999</v>
      </c>
      <c r="G27" s="25">
        <f t="shared" si="1"/>
        <v>1.4899999999897773E-2</v>
      </c>
      <c r="H27" s="24">
        <f t="shared" si="3"/>
        <v>268.19999999815991</v>
      </c>
      <c r="I27" s="26">
        <f t="shared" si="4"/>
        <v>0.29740518961643747</v>
      </c>
      <c r="J27" s="23"/>
      <c r="K27" s="83">
        <v>6.2874140000000001</v>
      </c>
      <c r="L27" s="28"/>
      <c r="M27" s="9"/>
      <c r="N27" s="97"/>
      <c r="O27" s="97"/>
      <c r="P27" s="97"/>
      <c r="Q27" s="97"/>
      <c r="R27" s="97"/>
      <c r="S27" s="97"/>
      <c r="T27" s="97"/>
      <c r="U27" s="97"/>
      <c r="V27" s="97"/>
      <c r="W27" s="84"/>
      <c r="X27" s="88"/>
      <c r="Y27" s="88"/>
      <c r="Z27" s="88"/>
    </row>
    <row r="28" spans="1:26" ht="23.25" customHeight="1" x14ac:dyDescent="0.2">
      <c r="A28" s="23" t="s">
        <v>17</v>
      </c>
      <c r="B28" s="82">
        <v>6123.7017999999998</v>
      </c>
      <c r="C28" s="25">
        <f t="shared" si="0"/>
        <v>5.9699999999793363E-2</v>
      </c>
      <c r="D28" s="24">
        <f t="shared" si="2"/>
        <v>1074.5999999962805</v>
      </c>
      <c r="E28" s="81"/>
      <c r="F28" s="82">
        <v>1979.7593999999999</v>
      </c>
      <c r="G28" s="25">
        <f t="shared" si="1"/>
        <v>1.81999999999789E-2</v>
      </c>
      <c r="H28" s="24">
        <f t="shared" si="3"/>
        <v>327.5999999996202</v>
      </c>
      <c r="I28" s="26">
        <f t="shared" si="4"/>
        <v>0.30485762144123779</v>
      </c>
      <c r="J28" s="23"/>
      <c r="K28" s="83">
        <v>6.216361</v>
      </c>
      <c r="L28" s="28"/>
      <c r="M28" s="9"/>
      <c r="N28" s="97"/>
      <c r="O28" s="97"/>
      <c r="P28" s="97"/>
      <c r="Q28" s="97"/>
      <c r="R28" s="97"/>
      <c r="S28" s="97"/>
      <c r="T28" s="97"/>
      <c r="U28" s="97"/>
      <c r="V28" s="97"/>
      <c r="W28" s="84"/>
      <c r="X28" s="88"/>
      <c r="Y28" s="88"/>
      <c r="Z28" s="88"/>
    </row>
    <row r="29" spans="1:26" ht="23.25" customHeight="1" x14ac:dyDescent="0.2">
      <c r="A29" s="23" t="s">
        <v>18</v>
      </c>
      <c r="B29" s="82">
        <v>6123.7592999999997</v>
      </c>
      <c r="C29" s="25">
        <f t="shared" si="0"/>
        <v>5.7499999999890861E-2</v>
      </c>
      <c r="D29" s="24">
        <f t="shared" si="2"/>
        <v>1034.9999999980355</v>
      </c>
      <c r="E29" s="81"/>
      <c r="F29" s="82">
        <v>1979.7774999999999</v>
      </c>
      <c r="G29" s="25">
        <f t="shared" si="1"/>
        <v>1.8100000000004002E-2</v>
      </c>
      <c r="H29" s="24">
        <f t="shared" si="3"/>
        <v>325.80000000007203</v>
      </c>
      <c r="I29" s="26">
        <f t="shared" si="4"/>
        <v>0.31478260869631924</v>
      </c>
      <c r="J29" s="23"/>
      <c r="K29" s="83">
        <v>6.2099729999999997</v>
      </c>
      <c r="L29" s="28"/>
      <c r="M29" s="118" t="s">
        <v>95</v>
      </c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23.25" customHeight="1" x14ac:dyDescent="0.2">
      <c r="A30" s="23" t="s">
        <v>19</v>
      </c>
      <c r="B30" s="82">
        <v>6123.8113000000003</v>
      </c>
      <c r="C30" s="25">
        <f t="shared" si="0"/>
        <v>5.2000000000589353E-2</v>
      </c>
      <c r="D30" s="24">
        <f t="shared" si="2"/>
        <v>936.00000001060835</v>
      </c>
      <c r="E30" s="81"/>
      <c r="F30" s="82">
        <v>1979.7926</v>
      </c>
      <c r="G30" s="25">
        <f t="shared" si="1"/>
        <v>1.5100000000074942E-2</v>
      </c>
      <c r="H30" s="24">
        <f t="shared" si="3"/>
        <v>271.80000000134896</v>
      </c>
      <c r="I30" s="26">
        <f t="shared" si="4"/>
        <v>0.29038461538276544</v>
      </c>
      <c r="J30" s="23"/>
      <c r="K30" s="83">
        <v>6.1507820000000004</v>
      </c>
      <c r="L30" s="28"/>
      <c r="M30" s="99" t="s">
        <v>97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23.25" customHeight="1" x14ac:dyDescent="0.2">
      <c r="A31" s="23" t="s">
        <v>20</v>
      </c>
      <c r="B31" s="82">
        <v>6123.8612000000003</v>
      </c>
      <c r="C31" s="25">
        <f t="shared" si="0"/>
        <v>4.9899999999979627E-2</v>
      </c>
      <c r="D31" s="24">
        <f t="shared" si="2"/>
        <v>898.19999999963329</v>
      </c>
      <c r="E31" s="81"/>
      <c r="F31" s="82">
        <v>1979.8072999999999</v>
      </c>
      <c r="G31" s="25">
        <f t="shared" si="1"/>
        <v>1.4699999999947977E-2</v>
      </c>
      <c r="H31" s="24">
        <f t="shared" si="3"/>
        <v>264.59999999906358</v>
      </c>
      <c r="I31" s="26">
        <f t="shared" si="4"/>
        <v>0.29458917835579113</v>
      </c>
      <c r="J31" s="23"/>
      <c r="K31" s="83">
        <v>6.2650510000000006</v>
      </c>
      <c r="L31" s="28"/>
      <c r="M31" s="100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179</v>
      </c>
      <c r="W31" s="98"/>
      <c r="X31" s="98"/>
      <c r="Y31" s="98" t="s">
        <v>91</v>
      </c>
      <c r="Z31" s="101"/>
    </row>
    <row r="32" spans="1:26" ht="23.25" customHeight="1" x14ac:dyDescent="0.2">
      <c r="A32" s="23" t="s">
        <v>21</v>
      </c>
      <c r="B32" s="82">
        <v>6123.9201999999996</v>
      </c>
      <c r="C32" s="25">
        <f t="shared" si="0"/>
        <v>5.8999999999286956E-2</v>
      </c>
      <c r="D32" s="24">
        <f t="shared" si="2"/>
        <v>1061.9999999871652</v>
      </c>
      <c r="E32" s="81"/>
      <c r="F32" s="82">
        <v>1979.8231000000001</v>
      </c>
      <c r="G32" s="25">
        <f t="shared" si="1"/>
        <v>1.5800000000126602E-2</v>
      </c>
      <c r="H32" s="24">
        <f t="shared" si="3"/>
        <v>284.40000000227883</v>
      </c>
      <c r="I32" s="26">
        <f t="shared" si="4"/>
        <v>0.26779661017487377</v>
      </c>
      <c r="J32" s="23"/>
      <c r="K32" s="83">
        <v>5.9499840000000006</v>
      </c>
      <c r="L32" s="28"/>
      <c r="M32" s="95"/>
      <c r="N32" s="89"/>
      <c r="O32" s="89"/>
      <c r="P32" s="89" t="s">
        <v>83</v>
      </c>
      <c r="Q32" s="89"/>
      <c r="R32" s="89" t="s">
        <v>102</v>
      </c>
      <c r="S32" s="89"/>
      <c r="T32" s="89" t="s">
        <v>104</v>
      </c>
      <c r="U32" s="89"/>
      <c r="V32" s="89" t="s">
        <v>105</v>
      </c>
      <c r="W32" s="89"/>
      <c r="X32" s="89"/>
      <c r="Y32" s="89"/>
      <c r="Z32" s="90"/>
    </row>
    <row r="33" spans="1:26" ht="23.25" customHeight="1" x14ac:dyDescent="0.2">
      <c r="A33" s="23" t="s">
        <v>22</v>
      </c>
      <c r="B33" s="82">
        <v>6123.9728999999998</v>
      </c>
      <c r="C33" s="25">
        <f t="shared" si="0"/>
        <v>5.2700000000186265E-2</v>
      </c>
      <c r="D33" s="24">
        <f t="shared" si="2"/>
        <v>948.60000000335276</v>
      </c>
      <c r="E33" s="81"/>
      <c r="F33" s="82">
        <v>1979.8382999999999</v>
      </c>
      <c r="G33" s="25">
        <f t="shared" si="1"/>
        <v>1.5199999999822467E-2</v>
      </c>
      <c r="H33" s="24">
        <f t="shared" si="3"/>
        <v>273.5999999968044</v>
      </c>
      <c r="I33" s="26">
        <f t="shared" si="4"/>
        <v>0.28842504743394198</v>
      </c>
      <c r="J33" s="23"/>
      <c r="K33" s="83">
        <v>6.2095280000000006</v>
      </c>
      <c r="L33" s="28"/>
      <c r="M33" s="95" t="s">
        <v>80</v>
      </c>
      <c r="N33" s="89" t="s">
        <v>99</v>
      </c>
      <c r="O33" s="89"/>
      <c r="P33" s="89" t="s">
        <v>101</v>
      </c>
      <c r="Q33" s="89"/>
      <c r="R33" s="89" t="s">
        <v>69</v>
      </c>
      <c r="S33" s="89"/>
      <c r="T33" s="89" t="s">
        <v>69</v>
      </c>
      <c r="U33" s="89"/>
      <c r="V33" s="89" t="s">
        <v>106</v>
      </c>
      <c r="W33" s="89"/>
      <c r="X33" s="89"/>
      <c r="Y33" s="89"/>
      <c r="Z33" s="90"/>
    </row>
    <row r="34" spans="1:26" ht="23.25" customHeight="1" x14ac:dyDescent="0.2">
      <c r="A34" s="23" t="s">
        <v>23</v>
      </c>
      <c r="B34" s="82">
        <v>6124.0250999999998</v>
      </c>
      <c r="C34" s="25">
        <f t="shared" si="0"/>
        <v>5.2200000000084401E-2</v>
      </c>
      <c r="D34" s="24">
        <f t="shared" si="2"/>
        <v>939.60000000151922</v>
      </c>
      <c r="E34" s="81"/>
      <c r="F34" s="82">
        <v>1979.8536999999999</v>
      </c>
      <c r="G34" s="25">
        <f t="shared" si="1"/>
        <v>1.5399999999999636E-2</v>
      </c>
      <c r="H34" s="24">
        <f t="shared" si="3"/>
        <v>277.19999999999345</v>
      </c>
      <c r="I34" s="26">
        <f t="shared" si="4"/>
        <v>0.29501915708763865</v>
      </c>
      <c r="J34" s="23"/>
      <c r="K34" s="83">
        <v>6.1356469999999996</v>
      </c>
      <c r="L34" s="28"/>
      <c r="M34" s="96"/>
      <c r="N34" s="91"/>
      <c r="O34" s="91"/>
      <c r="P34" s="91"/>
      <c r="Q34" s="91"/>
      <c r="R34" s="92"/>
      <c r="S34" s="96"/>
      <c r="T34" s="92"/>
      <c r="U34" s="96"/>
      <c r="V34" s="92"/>
      <c r="W34" s="103"/>
      <c r="X34" s="96"/>
      <c r="Y34" s="91"/>
      <c r="Z34" s="92"/>
    </row>
    <row r="35" spans="1:26" ht="23.25" customHeight="1" x14ac:dyDescent="0.2">
      <c r="A35" s="23" t="s">
        <v>24</v>
      </c>
      <c r="B35" s="82">
        <v>6124.0789999999997</v>
      </c>
      <c r="C35" s="25">
        <f t="shared" si="0"/>
        <v>5.389999999988504E-2</v>
      </c>
      <c r="D35" s="24">
        <f t="shared" si="2"/>
        <v>970.19999999793072</v>
      </c>
      <c r="E35" s="81"/>
      <c r="F35" s="82">
        <v>1979.8687</v>
      </c>
      <c r="G35" s="25">
        <f t="shared" si="1"/>
        <v>1.5000000000100044E-2</v>
      </c>
      <c r="H35" s="24">
        <f t="shared" si="3"/>
        <v>270.0000000018008</v>
      </c>
      <c r="I35" s="26">
        <f t="shared" si="4"/>
        <v>0.27829313543844225</v>
      </c>
      <c r="J35" s="23"/>
      <c r="K35" s="83">
        <v>6.1581909999999995</v>
      </c>
      <c r="L35" s="28"/>
      <c r="M35" s="9"/>
      <c r="N35" s="84" t="s">
        <v>165</v>
      </c>
      <c r="O35" s="85"/>
      <c r="P35" s="84">
        <v>0.4</v>
      </c>
      <c r="Q35" s="85"/>
      <c r="R35" s="84">
        <v>696</v>
      </c>
      <c r="S35" s="85"/>
      <c r="T35" s="97"/>
      <c r="U35" s="97"/>
      <c r="V35" s="97"/>
      <c r="W35" s="97"/>
      <c r="X35" s="97"/>
      <c r="Y35" s="97"/>
      <c r="Z35" s="84"/>
    </row>
    <row r="36" spans="1:26" ht="23.25" customHeight="1" x14ac:dyDescent="0.2">
      <c r="A36" s="23" t="s">
        <v>25</v>
      </c>
      <c r="B36" s="82">
        <v>6124.1277</v>
      </c>
      <c r="C36" s="25">
        <f t="shared" si="0"/>
        <v>4.8700000000280852E-2</v>
      </c>
      <c r="D36" s="24">
        <f t="shared" si="2"/>
        <v>876.60000000505534</v>
      </c>
      <c r="E36" s="81"/>
      <c r="F36" s="82">
        <v>1979.8828000000001</v>
      </c>
      <c r="G36" s="25">
        <f t="shared" si="1"/>
        <v>1.4100000000098589E-2</v>
      </c>
      <c r="H36" s="24">
        <f t="shared" si="3"/>
        <v>253.80000000177461</v>
      </c>
      <c r="I36" s="26">
        <f t="shared" si="4"/>
        <v>0.28952772073957445</v>
      </c>
      <c r="J36" s="23"/>
      <c r="K36" s="83">
        <v>6.2177410000000002</v>
      </c>
      <c r="L36" s="28"/>
      <c r="M36" s="9"/>
      <c r="N36" s="97" t="s">
        <v>166</v>
      </c>
      <c r="O36" s="97"/>
      <c r="P36" s="102">
        <v>6</v>
      </c>
      <c r="Q36" s="102"/>
      <c r="R36" s="97">
        <v>870</v>
      </c>
      <c r="S36" s="97"/>
      <c r="T36" s="97"/>
      <c r="U36" s="97"/>
      <c r="V36" s="97"/>
      <c r="W36" s="97"/>
      <c r="X36" s="97"/>
      <c r="Y36" s="97"/>
      <c r="Z36" s="84"/>
    </row>
    <row r="37" spans="1:26" ht="23.25" customHeight="1" x14ac:dyDescent="0.2">
      <c r="A37" s="23" t="s">
        <v>26</v>
      </c>
      <c r="B37" s="82">
        <v>6124.1752999999999</v>
      </c>
      <c r="C37" s="25">
        <f t="shared" si="0"/>
        <v>4.7599999999874854E-2</v>
      </c>
      <c r="D37" s="24">
        <f t="shared" si="2"/>
        <v>856.79999999774736</v>
      </c>
      <c r="E37" s="81"/>
      <c r="F37" s="82">
        <v>1979.8966</v>
      </c>
      <c r="G37" s="25">
        <f t="shared" si="1"/>
        <v>1.3799999999946522E-2</v>
      </c>
      <c r="H37" s="24">
        <f t="shared" si="3"/>
        <v>248.39999999903739</v>
      </c>
      <c r="I37" s="26">
        <f t="shared" si="4"/>
        <v>0.28991596638619338</v>
      </c>
      <c r="J37" s="23"/>
      <c r="K37" s="83">
        <v>6.2260020000000003</v>
      </c>
      <c r="L37" s="28"/>
      <c r="M37" s="9"/>
      <c r="N37" s="97"/>
      <c r="O37" s="97"/>
      <c r="P37" s="84"/>
      <c r="Q37" s="85"/>
      <c r="R37" s="84"/>
      <c r="S37" s="85"/>
      <c r="T37" s="97"/>
      <c r="U37" s="97"/>
      <c r="V37" s="97"/>
      <c r="W37" s="97"/>
      <c r="X37" s="97"/>
      <c r="Y37" s="97"/>
      <c r="Z37" s="84"/>
    </row>
    <row r="38" spans="1:26" ht="23.25" customHeight="1" x14ac:dyDescent="0.2">
      <c r="A38" s="23" t="s">
        <v>27</v>
      </c>
      <c r="B38" s="82">
        <v>6124.2214000000004</v>
      </c>
      <c r="C38" s="25">
        <f t="shared" si="0"/>
        <v>4.6100000000478758E-2</v>
      </c>
      <c r="D38" s="24">
        <f t="shared" si="2"/>
        <v>829.80000000861764</v>
      </c>
      <c r="E38" s="81"/>
      <c r="F38" s="82">
        <v>1979.9081000000001</v>
      </c>
      <c r="G38" s="25">
        <f t="shared" si="1"/>
        <v>1.1500000000069122E-2</v>
      </c>
      <c r="H38" s="24">
        <f t="shared" si="3"/>
        <v>207.00000000124419</v>
      </c>
      <c r="I38" s="26">
        <f t="shared" si="4"/>
        <v>0.24945770064966794</v>
      </c>
      <c r="J38" s="23"/>
      <c r="K38" s="83">
        <v>6.3765320000000001</v>
      </c>
      <c r="L38" s="28"/>
      <c r="M38" s="9"/>
      <c r="N38" s="86"/>
      <c r="O38" s="87"/>
      <c r="P38" s="86"/>
      <c r="Q38" s="87"/>
      <c r="R38" s="86"/>
      <c r="S38" s="87"/>
      <c r="T38" s="97"/>
      <c r="U38" s="97"/>
      <c r="V38" s="97"/>
      <c r="W38" s="97"/>
      <c r="X38" s="97"/>
      <c r="Y38" s="97"/>
      <c r="Z38" s="84"/>
    </row>
    <row r="39" spans="1:26" ht="23.25" customHeight="1" x14ac:dyDescent="0.2">
      <c r="A39" s="23" t="s">
        <v>28</v>
      </c>
      <c r="B39" s="82">
        <v>6124.2695000000003</v>
      </c>
      <c r="C39" s="25">
        <f t="shared" si="0"/>
        <v>4.8099999999976717E-2</v>
      </c>
      <c r="D39" s="24">
        <f t="shared" si="2"/>
        <v>865.7999999995809</v>
      </c>
      <c r="E39" s="81"/>
      <c r="F39" s="82">
        <v>1979.9227000000001</v>
      </c>
      <c r="G39" s="25">
        <f t="shared" si="1"/>
        <v>1.4599999999973079E-2</v>
      </c>
      <c r="H39" s="24">
        <f t="shared" si="3"/>
        <v>262.79999999951542</v>
      </c>
      <c r="I39" s="26">
        <f t="shared" si="4"/>
        <v>0.30353430353389077</v>
      </c>
      <c r="J39" s="23"/>
      <c r="K39" s="83">
        <v>6.3854059999999997</v>
      </c>
      <c r="L39" s="28"/>
      <c r="M39" s="9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84"/>
    </row>
    <row r="40" spans="1:26" ht="23.25" customHeight="1" x14ac:dyDescent="0.2">
      <c r="A40" s="23" t="s">
        <v>29</v>
      </c>
      <c r="B40" s="82">
        <v>6124.3197</v>
      </c>
      <c r="C40" s="25">
        <f t="shared" si="0"/>
        <v>5.0199999999676947E-2</v>
      </c>
      <c r="D40" s="24">
        <f t="shared" si="2"/>
        <v>903.59999999418505</v>
      </c>
      <c r="E40" s="81"/>
      <c r="F40" s="82">
        <v>1979.9386999999999</v>
      </c>
      <c r="G40" s="25">
        <f t="shared" si="1"/>
        <v>1.5999999999849024E-2</v>
      </c>
      <c r="H40" s="24">
        <f t="shared" si="3"/>
        <v>287.99999999728243</v>
      </c>
      <c r="I40" s="26">
        <f t="shared" si="4"/>
        <v>0.31872509960063722</v>
      </c>
      <c r="J40" s="23"/>
      <c r="K40" s="83">
        <v>6.3486139999999995</v>
      </c>
      <c r="L40" s="28"/>
      <c r="M40" s="99" t="s">
        <v>109</v>
      </c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ht="23.25" customHeight="1" x14ac:dyDescent="0.2">
      <c r="A41" s="23" t="s">
        <v>30</v>
      </c>
      <c r="B41" s="82">
        <v>6124.3703999999998</v>
      </c>
      <c r="C41" s="25">
        <f t="shared" si="0"/>
        <v>5.0699999999778811E-2</v>
      </c>
      <c r="D41" s="24">
        <f t="shared" si="2"/>
        <v>912.5999999960186</v>
      </c>
      <c r="E41" s="81"/>
      <c r="F41" s="82">
        <v>1979.9553000000001</v>
      </c>
      <c r="G41" s="25">
        <f t="shared" si="1"/>
        <v>1.6600000000153159E-2</v>
      </c>
      <c r="H41" s="24">
        <f t="shared" si="3"/>
        <v>298.80000000275686</v>
      </c>
      <c r="I41" s="26">
        <f t="shared" si="4"/>
        <v>0.327416173574469</v>
      </c>
      <c r="J41" s="23"/>
      <c r="K41" s="83">
        <v>6.2787009999999999</v>
      </c>
      <c r="L41" s="28"/>
      <c r="M41" s="100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1"/>
    </row>
    <row r="42" spans="1:26" ht="23.25" customHeight="1" x14ac:dyDescent="0.2">
      <c r="A42" s="23" t="s">
        <v>31</v>
      </c>
      <c r="B42" s="82">
        <v>6124.4210000000003</v>
      </c>
      <c r="C42" s="25">
        <f t="shared" si="0"/>
        <v>5.0600000000486034E-2</v>
      </c>
      <c r="D42" s="24">
        <f t="shared" si="2"/>
        <v>910.80000000874861</v>
      </c>
      <c r="E42" s="81"/>
      <c r="F42" s="82">
        <v>1979.9721999999999</v>
      </c>
      <c r="G42" s="25">
        <f t="shared" si="1"/>
        <v>1.6899999999850479E-2</v>
      </c>
      <c r="H42" s="24">
        <f t="shared" si="3"/>
        <v>304.19999999730862</v>
      </c>
      <c r="I42" s="26">
        <f t="shared" si="4"/>
        <v>0.33399209485549697</v>
      </c>
      <c r="J42" s="23"/>
      <c r="K42" s="83">
        <v>6.3697479999999995</v>
      </c>
      <c r="L42" s="28"/>
      <c r="M42" s="95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90"/>
    </row>
    <row r="43" spans="1:26" ht="22.5" customHeight="1" x14ac:dyDescent="0.2">
      <c r="A43" s="121" t="s">
        <v>70</v>
      </c>
      <c r="B43" s="121"/>
      <c r="C43" s="121"/>
      <c r="D43" s="24">
        <f>SUM(D18:D42)</f>
        <v>23090.399999999136</v>
      </c>
      <c r="E43" s="23"/>
      <c r="F43" s="29"/>
      <c r="G43" s="23"/>
      <c r="H43" s="24">
        <f>SUM(H18:H42)</f>
        <v>6989.3999999972038</v>
      </c>
      <c r="I43" s="26">
        <f>IF(AND(H43=0,D43=0),0,H43/D43)</f>
        <v>0.30269722482059497</v>
      </c>
      <c r="J43" s="23"/>
      <c r="K43" s="23"/>
      <c r="L43" s="28"/>
      <c r="M43" s="95" t="s">
        <v>80</v>
      </c>
      <c r="N43" s="89" t="s">
        <v>99</v>
      </c>
      <c r="O43" s="89"/>
      <c r="P43" s="89" t="s">
        <v>110</v>
      </c>
      <c r="Q43" s="89"/>
      <c r="R43" s="89"/>
      <c r="S43" s="89"/>
      <c r="T43" s="89"/>
      <c r="U43" s="89"/>
      <c r="V43" s="89"/>
      <c r="W43" s="89"/>
      <c r="X43" s="89" t="s">
        <v>110</v>
      </c>
      <c r="Y43" s="89"/>
      <c r="Z43" s="90"/>
    </row>
    <row r="44" spans="1:26" ht="22.5" customHeight="1" x14ac:dyDescent="0.2">
      <c r="A44" s="130" t="s">
        <v>71</v>
      </c>
      <c r="B44" s="130"/>
      <c r="C44" s="130"/>
      <c r="D44" s="30"/>
      <c r="E44" s="30"/>
      <c r="F44" s="31"/>
      <c r="G44" s="30"/>
      <c r="H44" s="30"/>
      <c r="I44" s="30"/>
      <c r="J44" s="30"/>
      <c r="K44" s="30">
        <v>1000</v>
      </c>
      <c r="L44" s="28"/>
      <c r="M44" s="96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2"/>
    </row>
    <row r="45" spans="1:26" ht="22.5" customHeight="1" x14ac:dyDescent="0.2">
      <c r="A45" s="32"/>
      <c r="B45" s="33"/>
      <c r="C45" s="33"/>
      <c r="D45" s="33"/>
      <c r="E45" s="33"/>
      <c r="F45" s="32"/>
      <c r="G45" s="32"/>
      <c r="H45" s="32"/>
      <c r="I45" s="33"/>
      <c r="J45" s="34"/>
      <c r="K45" s="34"/>
      <c r="L45" s="34"/>
      <c r="M45" s="9"/>
      <c r="N45" s="84"/>
      <c r="O45" s="85"/>
      <c r="P45" s="84"/>
      <c r="Q45" s="88"/>
      <c r="R45" s="85"/>
      <c r="S45" s="7"/>
      <c r="T45" s="84"/>
      <c r="U45" s="88"/>
      <c r="V45" s="88"/>
      <c r="W45" s="85"/>
      <c r="X45" s="84"/>
      <c r="Y45" s="88"/>
      <c r="Z45" s="88"/>
    </row>
    <row r="46" spans="1:26" ht="22.5" customHeight="1" x14ac:dyDescent="0.2">
      <c r="A46" s="108" t="s">
        <v>72</v>
      </c>
      <c r="B46" s="108"/>
      <c r="C46" s="108"/>
      <c r="D46" s="108"/>
      <c r="E46" s="108"/>
      <c r="F46" s="108"/>
      <c r="G46" s="131" t="s">
        <v>73</v>
      </c>
      <c r="H46" s="131"/>
      <c r="I46" s="131"/>
      <c r="J46" s="131"/>
      <c r="K46" s="131"/>
      <c r="L46" s="131"/>
      <c r="M46" s="9"/>
      <c r="N46" s="84"/>
      <c r="O46" s="85"/>
      <c r="P46" s="84"/>
      <c r="Q46" s="88"/>
      <c r="R46" s="85"/>
      <c r="S46" s="7"/>
      <c r="T46" s="84"/>
      <c r="U46" s="88"/>
      <c r="V46" s="88"/>
      <c r="W46" s="85"/>
      <c r="X46" s="84"/>
      <c r="Y46" s="88"/>
      <c r="Z46" s="88"/>
    </row>
    <row r="47" spans="1:26" ht="22.5" customHeight="1" x14ac:dyDescent="0.2">
      <c r="A47" s="117" t="s">
        <v>371</v>
      </c>
      <c r="B47" s="117"/>
      <c r="C47" s="117"/>
      <c r="D47" s="108" t="s">
        <v>74</v>
      </c>
      <c r="E47" s="108"/>
      <c r="F47" s="108"/>
      <c r="G47" s="33"/>
      <c r="H47" s="33"/>
      <c r="I47" s="33"/>
      <c r="J47" s="33"/>
      <c r="K47" s="33"/>
      <c r="L47" s="33"/>
      <c r="M47" s="9"/>
      <c r="N47" s="84"/>
      <c r="O47" s="85"/>
      <c r="P47" s="84"/>
      <c r="Q47" s="88"/>
      <c r="R47" s="85"/>
      <c r="S47" s="7"/>
      <c r="T47" s="84"/>
      <c r="U47" s="88"/>
      <c r="V47" s="88"/>
      <c r="W47" s="85"/>
      <c r="X47" s="84"/>
      <c r="Y47" s="88"/>
      <c r="Z47" s="88"/>
    </row>
    <row r="48" spans="1:26" ht="22.5" customHeight="1" x14ac:dyDescent="0.2">
      <c r="A48" s="148" t="s">
        <v>75</v>
      </c>
      <c r="B48" s="148"/>
      <c r="C48" s="148"/>
      <c r="D48" s="147" t="s">
        <v>76</v>
      </c>
      <c r="E48" s="147"/>
      <c r="F48" s="147"/>
      <c r="G48" s="32"/>
      <c r="H48" s="32"/>
      <c r="I48" s="32"/>
      <c r="J48" s="32"/>
      <c r="K48" s="32"/>
      <c r="L48" s="32"/>
    </row>
    <row r="49" spans="1:23" ht="22.5" customHeight="1" x14ac:dyDescent="0.2">
      <c r="A49" s="117" t="s">
        <v>372</v>
      </c>
      <c r="B49" s="117"/>
      <c r="C49" s="117"/>
      <c r="D49" s="108" t="s">
        <v>74</v>
      </c>
      <c r="E49" s="108"/>
      <c r="F49" s="108"/>
      <c r="G49" s="32"/>
      <c r="H49" s="108" t="s">
        <v>183</v>
      </c>
      <c r="I49" s="108"/>
      <c r="J49" s="108"/>
      <c r="K49" s="108" t="s">
        <v>77</v>
      </c>
      <c r="L49" s="108"/>
      <c r="N49" s="150" t="s">
        <v>150</v>
      </c>
      <c r="O49" s="150"/>
      <c r="P49" s="150"/>
      <c r="Q49" s="149" t="s">
        <v>370</v>
      </c>
      <c r="R49" s="149"/>
      <c r="S49" s="149"/>
      <c r="T49" s="149"/>
      <c r="U49" s="149"/>
      <c r="V49" s="149"/>
      <c r="W49" s="1"/>
    </row>
    <row r="50" spans="1:23" ht="22.15" customHeight="1" x14ac:dyDescent="0.2">
      <c r="A50" s="148" t="s">
        <v>75</v>
      </c>
      <c r="B50" s="148"/>
      <c r="C50" s="148"/>
      <c r="D50" s="147" t="s">
        <v>76</v>
      </c>
      <c r="E50" s="147"/>
      <c r="F50" s="147"/>
      <c r="G50" s="37"/>
      <c r="H50" s="147" t="s">
        <v>75</v>
      </c>
      <c r="I50" s="147"/>
      <c r="J50" s="147"/>
      <c r="K50" s="147" t="s">
        <v>76</v>
      </c>
      <c r="L50" s="147"/>
      <c r="S50" s="146" t="s">
        <v>76</v>
      </c>
      <c r="T50" s="146"/>
    </row>
    <row r="51" spans="1:23" ht="22.15" customHeight="1" x14ac:dyDescent="0.2">
      <c r="A51" s="117" t="s">
        <v>373</v>
      </c>
      <c r="B51" s="117"/>
      <c r="C51" s="117"/>
      <c r="D51" s="108" t="s">
        <v>74</v>
      </c>
      <c r="E51" s="108"/>
      <c r="F51" s="108"/>
      <c r="G51" s="32"/>
      <c r="H51" s="151"/>
      <c r="I51" s="151"/>
      <c r="J51" s="151"/>
      <c r="K51" s="152"/>
      <c r="L51" s="152"/>
      <c r="S51" s="146"/>
      <c r="T51" s="146"/>
    </row>
    <row r="52" spans="1:23" ht="20.100000000000001" customHeight="1" x14ac:dyDescent="0.2">
      <c r="A52" s="147" t="s">
        <v>75</v>
      </c>
      <c r="B52" s="147"/>
      <c r="C52" s="147"/>
      <c r="D52" s="146" t="s">
        <v>76</v>
      </c>
      <c r="E52" s="146"/>
      <c r="F52" s="146"/>
    </row>
    <row r="53" spans="1:23" ht="20.100000000000001" customHeight="1" x14ac:dyDescent="0.2">
      <c r="C53" s="1"/>
      <c r="D53" s="1"/>
      <c r="E53" s="1"/>
      <c r="F53" s="1"/>
      <c r="G53" s="1"/>
      <c r="H53" s="1"/>
    </row>
  </sheetData>
  <sheetProtection sheet="1" objects="1" scenarios="1"/>
  <mergeCells count="261">
    <mergeCell ref="A51:C51"/>
    <mergeCell ref="S50:T50"/>
    <mergeCell ref="A52:C52"/>
    <mergeCell ref="D52:F52"/>
    <mergeCell ref="D51:F51"/>
    <mergeCell ref="D48:F48"/>
    <mergeCell ref="A50:C50"/>
    <mergeCell ref="Q49:V49"/>
    <mergeCell ref="N49:P49"/>
    <mergeCell ref="H51:J51"/>
    <mergeCell ref="K51:L51"/>
    <mergeCell ref="D49:F49"/>
    <mergeCell ref="D50:F50"/>
    <mergeCell ref="H50:J50"/>
    <mergeCell ref="K50:L50"/>
    <mergeCell ref="A49:C49"/>
    <mergeCell ref="S51:T51"/>
    <mergeCell ref="A48:C48"/>
    <mergeCell ref="D47:F47"/>
    <mergeCell ref="F14:G14"/>
    <mergeCell ref="F15:G15"/>
    <mergeCell ref="I13:I17"/>
    <mergeCell ref="J13:K13"/>
    <mergeCell ref="J14:K14"/>
    <mergeCell ref="A5:F5"/>
    <mergeCell ref="A6:F6"/>
    <mergeCell ref="H10:L10"/>
    <mergeCell ref="G5:H6"/>
    <mergeCell ref="A13:A17"/>
    <mergeCell ref="E16:E17"/>
    <mergeCell ref="B15:C15"/>
    <mergeCell ref="D15:E15"/>
    <mergeCell ref="B13:C13"/>
    <mergeCell ref="D13:E13"/>
    <mergeCell ref="A1:F1"/>
    <mergeCell ref="A2:F2"/>
    <mergeCell ref="A3:F3"/>
    <mergeCell ref="A4:F4"/>
    <mergeCell ref="A43:C43"/>
    <mergeCell ref="A46:F46"/>
    <mergeCell ref="A12:L12"/>
    <mergeCell ref="G3:H4"/>
    <mergeCell ref="I3:L4"/>
    <mergeCell ref="A11:D11"/>
    <mergeCell ref="G1:H2"/>
    <mergeCell ref="J16:J17"/>
    <mergeCell ref="K16:K17"/>
    <mergeCell ref="A9:L9"/>
    <mergeCell ref="A44:C44"/>
    <mergeCell ref="G46:L46"/>
    <mergeCell ref="J15:K15"/>
    <mergeCell ref="E11:H11"/>
    <mergeCell ref="A10:D10"/>
    <mergeCell ref="E10:G10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A47:C47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20:M21"/>
    <mergeCell ref="M31:M32"/>
    <mergeCell ref="N10:O10"/>
    <mergeCell ref="N11:O11"/>
    <mergeCell ref="N12:O12"/>
    <mergeCell ref="N13:O13"/>
    <mergeCell ref="P11:Q11"/>
    <mergeCell ref="N7:O7"/>
    <mergeCell ref="N8:O8"/>
    <mergeCell ref="N9:O9"/>
    <mergeCell ref="P15:Q15"/>
    <mergeCell ref="P14:Q14"/>
    <mergeCell ref="Q23:S23"/>
    <mergeCell ref="R8:S8"/>
    <mergeCell ref="R9:S9"/>
    <mergeCell ref="R10:S10"/>
    <mergeCell ref="N18:P19"/>
    <mergeCell ref="N22:P22"/>
    <mergeCell ref="M1:Z1"/>
    <mergeCell ref="M2:Z2"/>
    <mergeCell ref="X3:Z6"/>
    <mergeCell ref="M5:M6"/>
    <mergeCell ref="M3:M4"/>
    <mergeCell ref="X7:Z7"/>
    <mergeCell ref="P3:Q4"/>
    <mergeCell ref="R3:S3"/>
    <mergeCell ref="R4:S4"/>
    <mergeCell ref="R5:S5"/>
    <mergeCell ref="R6:S6"/>
    <mergeCell ref="V3:W3"/>
    <mergeCell ref="V4:W4"/>
    <mergeCell ref="V5:W5"/>
    <mergeCell ref="V6:W6"/>
    <mergeCell ref="T6:U6"/>
    <mergeCell ref="R7:S7"/>
    <mergeCell ref="P7:Q7"/>
    <mergeCell ref="N3:O6"/>
    <mergeCell ref="T3:U3"/>
    <mergeCell ref="T4:U4"/>
    <mergeCell ref="T5:U5"/>
    <mergeCell ref="T7:U7"/>
    <mergeCell ref="V8:W8"/>
    <mergeCell ref="V9:W9"/>
    <mergeCell ref="V10:W10"/>
    <mergeCell ref="T8:U8"/>
    <mergeCell ref="T9:U9"/>
    <mergeCell ref="T10:U10"/>
    <mergeCell ref="P5:Q6"/>
    <mergeCell ref="P8:Q8"/>
    <mergeCell ref="P9:Q9"/>
    <mergeCell ref="P10:Q10"/>
    <mergeCell ref="V7:W7"/>
    <mergeCell ref="T11:U11"/>
    <mergeCell ref="T12:U12"/>
    <mergeCell ref="T13:U13"/>
    <mergeCell ref="R14:S14"/>
    <mergeCell ref="V11:W11"/>
    <mergeCell ref="Q22:S22"/>
    <mergeCell ref="T20:V21"/>
    <mergeCell ref="Q20:S20"/>
    <mergeCell ref="Q21:S21"/>
    <mergeCell ref="V12:W12"/>
    <mergeCell ref="V13:W13"/>
    <mergeCell ref="T14:U14"/>
    <mergeCell ref="V14:W14"/>
    <mergeCell ref="P12:Q12"/>
    <mergeCell ref="R11:S11"/>
    <mergeCell ref="R12:S12"/>
    <mergeCell ref="R13:S13"/>
    <mergeCell ref="R15:S15"/>
    <mergeCell ref="T15:U15"/>
    <mergeCell ref="P13:Q13"/>
    <mergeCell ref="X9:Z9"/>
    <mergeCell ref="X10:Z10"/>
    <mergeCell ref="X11:Z11"/>
    <mergeCell ref="X12:Z12"/>
    <mergeCell ref="R34:S34"/>
    <mergeCell ref="T16:U16"/>
    <mergeCell ref="N28:P28"/>
    <mergeCell ref="Q28:S28"/>
    <mergeCell ref="P16:Q16"/>
    <mergeCell ref="M17:Z17"/>
    <mergeCell ref="W18:Z21"/>
    <mergeCell ref="Q26:S26"/>
    <mergeCell ref="T26:V26"/>
    <mergeCell ref="T18:V19"/>
    <mergeCell ref="T22:V22"/>
    <mergeCell ref="Q18:S18"/>
    <mergeCell ref="N33:O34"/>
    <mergeCell ref="P31:Q31"/>
    <mergeCell ref="P32:Q32"/>
    <mergeCell ref="P33:Q33"/>
    <mergeCell ref="P34:Q34"/>
    <mergeCell ref="N20:P21"/>
    <mergeCell ref="W23:Z23"/>
    <mergeCell ref="N23:P23"/>
    <mergeCell ref="M18:M19"/>
    <mergeCell ref="N16:O16"/>
    <mergeCell ref="T25:V25"/>
    <mergeCell ref="W25:Z25"/>
    <mergeCell ref="N24:P24"/>
    <mergeCell ref="Q24:S24"/>
    <mergeCell ref="X14:Z14"/>
    <mergeCell ref="X15:Z15"/>
    <mergeCell ref="X16:Z16"/>
    <mergeCell ref="T23:V23"/>
    <mergeCell ref="W24:Z24"/>
    <mergeCell ref="N25:P25"/>
    <mergeCell ref="Q25:S25"/>
    <mergeCell ref="W22:Z22"/>
    <mergeCell ref="R16:S16"/>
    <mergeCell ref="Q19:S19"/>
    <mergeCell ref="V16:W16"/>
    <mergeCell ref="T33:U33"/>
    <mergeCell ref="R31:S31"/>
    <mergeCell ref="R32:S32"/>
    <mergeCell ref="V15:W15"/>
    <mergeCell ref="N14:O14"/>
    <mergeCell ref="N15:O15"/>
    <mergeCell ref="X13:Z13"/>
    <mergeCell ref="Y35:Z35"/>
    <mergeCell ref="N35:O35"/>
    <mergeCell ref="T34:U34"/>
    <mergeCell ref="V34:X34"/>
    <mergeCell ref="T35:U35"/>
    <mergeCell ref="V35:X35"/>
    <mergeCell ref="W26:Z26"/>
    <mergeCell ref="N27:P27"/>
    <mergeCell ref="Q27:S27"/>
    <mergeCell ref="T27:V27"/>
    <mergeCell ref="W27:Z27"/>
    <mergeCell ref="N26:P26"/>
    <mergeCell ref="T24:V24"/>
    <mergeCell ref="N31:O32"/>
    <mergeCell ref="T28:V28"/>
    <mergeCell ref="W28:Z28"/>
    <mergeCell ref="X41:Z42"/>
    <mergeCell ref="N36:O36"/>
    <mergeCell ref="P36:Q36"/>
    <mergeCell ref="R36:S36"/>
    <mergeCell ref="T38:U38"/>
    <mergeCell ref="R39:S39"/>
    <mergeCell ref="T39:U39"/>
    <mergeCell ref="V39:X39"/>
    <mergeCell ref="Y39:Z39"/>
    <mergeCell ref="S41:S44"/>
    <mergeCell ref="T41:W44"/>
    <mergeCell ref="N37:O37"/>
    <mergeCell ref="T37:U37"/>
    <mergeCell ref="V37:X37"/>
    <mergeCell ref="Y37:Z37"/>
    <mergeCell ref="T36:U36"/>
    <mergeCell ref="V36:X36"/>
    <mergeCell ref="Y36:Z36"/>
    <mergeCell ref="X43:Z44"/>
    <mergeCell ref="X45:Z45"/>
    <mergeCell ref="X46:Z46"/>
    <mergeCell ref="X47:Z47"/>
    <mergeCell ref="I1:L2"/>
    <mergeCell ref="I5:L6"/>
    <mergeCell ref="M43:M44"/>
    <mergeCell ref="N47:O47"/>
    <mergeCell ref="T45:W45"/>
    <mergeCell ref="T46:W46"/>
    <mergeCell ref="T47:W47"/>
    <mergeCell ref="N43:O44"/>
    <mergeCell ref="P43:R44"/>
    <mergeCell ref="P45:R45"/>
    <mergeCell ref="N39:O39"/>
    <mergeCell ref="P39:Q39"/>
    <mergeCell ref="N41:O42"/>
    <mergeCell ref="P41:R42"/>
    <mergeCell ref="M40:Z40"/>
    <mergeCell ref="M41:M42"/>
    <mergeCell ref="N45:O45"/>
    <mergeCell ref="N46:O46"/>
    <mergeCell ref="V38:X38"/>
    <mergeCell ref="Y38:Z38"/>
    <mergeCell ref="P35:Q35"/>
    <mergeCell ref="R35:S35"/>
    <mergeCell ref="P37:Q37"/>
    <mergeCell ref="N38:O38"/>
    <mergeCell ref="R37:S37"/>
    <mergeCell ref="P38:Q38"/>
    <mergeCell ref="R38:S38"/>
    <mergeCell ref="P46:R46"/>
    <mergeCell ref="P47:R4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3" orientation="portrait" horizontalDpi="180" verticalDpi="180" r:id="rId1"/>
  <headerFooter alignWithMargins="0"/>
  <colBreaks count="1" manualBreakCount="1">
    <brk id="1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Z52"/>
  <sheetViews>
    <sheetView view="pageBreakPreview" topLeftCell="A13" zoomScale="75" zoomScaleNormal="75" zoomScaleSheetLayoutView="50" workbookViewId="0">
      <selection activeCell="T41" sqref="T41:W44"/>
    </sheetView>
  </sheetViews>
  <sheetFormatPr defaultRowHeight="18.75" x14ac:dyDescent="0.2"/>
  <cols>
    <col min="1" max="1" width="11.140625" style="2" customWidth="1"/>
    <col min="2" max="2" width="14" style="2" customWidth="1"/>
    <col min="3" max="3" width="15.7109375" style="2" customWidth="1"/>
    <col min="4" max="4" width="12" style="2" customWidth="1"/>
    <col min="5" max="5" width="5.42578125" style="2" customWidth="1"/>
    <col min="6" max="6" width="15.140625" style="2" customWidth="1"/>
    <col min="7" max="7" width="14" style="2" customWidth="1"/>
    <col min="8" max="8" width="16.28515625" style="2" customWidth="1"/>
    <col min="9" max="9" width="8.28515625" style="2" customWidth="1"/>
    <col min="10" max="10" width="8.85546875" style="2" customWidth="1"/>
    <col min="11" max="11" width="7.85546875" style="2" customWidth="1"/>
    <col min="12" max="12" width="17.14062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4" t="s">
        <v>157</v>
      </c>
      <c r="B1" s="94"/>
      <c r="C1" s="94"/>
      <c r="D1" s="94"/>
      <c r="E1" s="94"/>
      <c r="F1" s="94"/>
      <c r="G1" s="123" t="s">
        <v>154</v>
      </c>
      <c r="H1" s="123"/>
      <c r="I1" s="94" t="s">
        <v>160</v>
      </c>
      <c r="J1" s="94"/>
      <c r="K1" s="94"/>
      <c r="L1" s="94"/>
      <c r="M1" s="99" t="s">
        <v>96</v>
      </c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ht="21.75" customHeight="1" x14ac:dyDescent="0.2">
      <c r="A2" s="119" t="s">
        <v>45</v>
      </c>
      <c r="B2" s="119"/>
      <c r="C2" s="119"/>
      <c r="D2" s="119"/>
      <c r="E2" s="119"/>
      <c r="F2" s="119"/>
      <c r="G2" s="123"/>
      <c r="H2" s="123"/>
      <c r="I2" s="94"/>
      <c r="J2" s="94"/>
      <c r="K2" s="94"/>
      <c r="L2" s="94"/>
      <c r="M2" s="99" t="s">
        <v>78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ht="21.75" customHeight="1" x14ac:dyDescent="0.2">
      <c r="A3" s="94" t="s">
        <v>158</v>
      </c>
      <c r="B3" s="120"/>
      <c r="C3" s="120"/>
      <c r="D3" s="120"/>
      <c r="E3" s="120"/>
      <c r="F3" s="120"/>
      <c r="G3" s="123" t="s">
        <v>155</v>
      </c>
      <c r="H3" s="123"/>
      <c r="I3" s="94" t="s">
        <v>198</v>
      </c>
      <c r="J3" s="94"/>
      <c r="K3" s="94"/>
      <c r="L3" s="94"/>
      <c r="M3" s="100" t="s">
        <v>79</v>
      </c>
      <c r="N3" s="101" t="s">
        <v>81</v>
      </c>
      <c r="O3" s="100"/>
      <c r="P3" s="101" t="s">
        <v>65</v>
      </c>
      <c r="Q3" s="100"/>
      <c r="R3" s="101" t="s">
        <v>82</v>
      </c>
      <c r="S3" s="100"/>
      <c r="T3" s="101" t="s">
        <v>85</v>
      </c>
      <c r="U3" s="100"/>
      <c r="V3" s="101" t="s">
        <v>87</v>
      </c>
      <c r="W3" s="100"/>
      <c r="X3" s="86" t="s">
        <v>91</v>
      </c>
      <c r="Y3" s="105"/>
      <c r="Z3" s="105"/>
    </row>
    <row r="4" spans="1:26" ht="30" customHeight="1" x14ac:dyDescent="0.2">
      <c r="A4" s="119" t="s">
        <v>46</v>
      </c>
      <c r="B4" s="119"/>
      <c r="C4" s="119"/>
      <c r="D4" s="119"/>
      <c r="E4" s="119"/>
      <c r="F4" s="119"/>
      <c r="G4" s="123"/>
      <c r="H4" s="123"/>
      <c r="I4" s="94"/>
      <c r="J4" s="94"/>
      <c r="K4" s="94"/>
      <c r="L4" s="94"/>
      <c r="M4" s="95"/>
      <c r="N4" s="90"/>
      <c r="O4" s="95"/>
      <c r="P4" s="90"/>
      <c r="Q4" s="95"/>
      <c r="R4" s="90" t="s">
        <v>83</v>
      </c>
      <c r="S4" s="95"/>
      <c r="T4" s="90" t="s">
        <v>86</v>
      </c>
      <c r="U4" s="95"/>
      <c r="V4" s="90" t="s">
        <v>88</v>
      </c>
      <c r="W4" s="95"/>
      <c r="X4" s="86"/>
      <c r="Y4" s="105"/>
      <c r="Z4" s="105"/>
    </row>
    <row r="5" spans="1:26" ht="21.75" customHeight="1" x14ac:dyDescent="0.2">
      <c r="A5" s="94" t="s">
        <v>177</v>
      </c>
      <c r="B5" s="120"/>
      <c r="C5" s="120"/>
      <c r="D5" s="120"/>
      <c r="E5" s="120"/>
      <c r="F5" s="120"/>
      <c r="G5" s="123" t="s">
        <v>156</v>
      </c>
      <c r="H5" s="123"/>
      <c r="I5" s="94" t="s">
        <v>199</v>
      </c>
      <c r="J5" s="94"/>
      <c r="K5" s="94"/>
      <c r="L5" s="94"/>
      <c r="M5" s="95" t="s">
        <v>80</v>
      </c>
      <c r="N5" s="90"/>
      <c r="O5" s="95"/>
      <c r="P5" s="90" t="s">
        <v>182</v>
      </c>
      <c r="Q5" s="95"/>
      <c r="R5" s="106" t="s">
        <v>84</v>
      </c>
      <c r="S5" s="107"/>
      <c r="T5" s="106" t="s">
        <v>84</v>
      </c>
      <c r="U5" s="107"/>
      <c r="V5" s="90" t="s">
        <v>89</v>
      </c>
      <c r="W5" s="95"/>
      <c r="X5" s="86"/>
      <c r="Y5" s="105"/>
      <c r="Z5" s="105"/>
    </row>
    <row r="6" spans="1:26" ht="21.75" customHeight="1" x14ac:dyDescent="0.2">
      <c r="A6" s="119" t="s">
        <v>47</v>
      </c>
      <c r="B6" s="119"/>
      <c r="C6" s="119"/>
      <c r="D6" s="119"/>
      <c r="E6" s="119"/>
      <c r="F6" s="119"/>
      <c r="G6" s="123"/>
      <c r="H6" s="123"/>
      <c r="I6" s="94"/>
      <c r="J6" s="94"/>
      <c r="K6" s="94"/>
      <c r="L6" s="94"/>
      <c r="M6" s="96"/>
      <c r="N6" s="92"/>
      <c r="O6" s="96"/>
      <c r="P6" s="92"/>
      <c r="Q6" s="96"/>
      <c r="R6" s="92"/>
      <c r="S6" s="96"/>
      <c r="T6" s="92"/>
      <c r="U6" s="96"/>
      <c r="V6" s="92" t="s">
        <v>90</v>
      </c>
      <c r="W6" s="96"/>
      <c r="X6" s="86"/>
      <c r="Y6" s="105"/>
      <c r="Z6" s="105"/>
    </row>
    <row r="7" spans="1:26" ht="21.75" customHeight="1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84"/>
      <c r="O7" s="85"/>
      <c r="P7" s="84"/>
      <c r="Q7" s="85"/>
      <c r="R7" s="84"/>
      <c r="S7" s="85"/>
      <c r="T7" s="84"/>
      <c r="U7" s="85"/>
      <c r="V7" s="84"/>
      <c r="W7" s="85"/>
      <c r="X7" s="84"/>
      <c r="Y7" s="88"/>
      <c r="Z7" s="88"/>
    </row>
    <row r="8" spans="1:26" ht="22.5" customHeight="1" x14ac:dyDescent="0.2">
      <c r="A8" s="116" t="s">
        <v>48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84"/>
      <c r="O8" s="85"/>
      <c r="P8" s="84"/>
      <c r="Q8" s="85"/>
      <c r="R8" s="84"/>
      <c r="S8" s="85"/>
      <c r="T8" s="84"/>
      <c r="U8" s="85"/>
      <c r="V8" s="84"/>
      <c r="W8" s="85"/>
      <c r="X8" s="84"/>
      <c r="Y8" s="88"/>
      <c r="Z8" s="88"/>
    </row>
    <row r="9" spans="1:26" ht="22.5" customHeight="1" x14ac:dyDescent="0.2">
      <c r="A9" s="129" t="s">
        <v>49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9"/>
      <c r="N9" s="84"/>
      <c r="O9" s="85"/>
      <c r="P9" s="84"/>
      <c r="Q9" s="85"/>
      <c r="R9" s="84"/>
      <c r="S9" s="85"/>
      <c r="T9" s="84"/>
      <c r="U9" s="85"/>
      <c r="V9" s="84"/>
      <c r="W9" s="85"/>
      <c r="X9" s="84"/>
      <c r="Y9" s="88"/>
      <c r="Z9" s="88"/>
    </row>
    <row r="10" spans="1:26" ht="22.5" customHeight="1" x14ac:dyDescent="0.2">
      <c r="A10" s="124" t="s">
        <v>112</v>
      </c>
      <c r="B10" s="124"/>
      <c r="C10" s="124"/>
      <c r="D10" s="124"/>
      <c r="E10" s="135" t="s">
        <v>375</v>
      </c>
      <c r="F10" s="136"/>
      <c r="G10" s="136"/>
      <c r="H10" s="111" t="s">
        <v>376</v>
      </c>
      <c r="I10" s="111"/>
      <c r="J10" s="111"/>
      <c r="K10" s="111"/>
      <c r="L10" s="111"/>
      <c r="M10" s="9"/>
      <c r="N10" s="84"/>
      <c r="O10" s="85"/>
      <c r="P10" s="84"/>
      <c r="Q10" s="85"/>
      <c r="R10" s="84"/>
      <c r="S10" s="85"/>
      <c r="T10" s="84"/>
      <c r="U10" s="85"/>
      <c r="V10" s="84"/>
      <c r="W10" s="85"/>
      <c r="X10" s="84"/>
      <c r="Y10" s="88"/>
      <c r="Z10" s="88"/>
    </row>
    <row r="11" spans="1:26" ht="22.5" customHeight="1" x14ac:dyDescent="0.2">
      <c r="A11" s="124" t="s">
        <v>113</v>
      </c>
      <c r="B11" s="124"/>
      <c r="C11" s="124"/>
      <c r="D11" s="124"/>
      <c r="E11" s="134" t="s">
        <v>231</v>
      </c>
      <c r="F11" s="134"/>
      <c r="G11" s="134"/>
      <c r="H11" s="134"/>
      <c r="I11" s="111" t="s">
        <v>114</v>
      </c>
      <c r="J11" s="111"/>
      <c r="K11" s="111"/>
      <c r="L11" s="111"/>
      <c r="M11" s="9"/>
      <c r="N11" s="84"/>
      <c r="O11" s="85"/>
      <c r="P11" s="84"/>
      <c r="Q11" s="85"/>
      <c r="R11" s="84"/>
      <c r="S11" s="85"/>
      <c r="T11" s="84"/>
      <c r="U11" s="85"/>
      <c r="V11" s="84"/>
      <c r="W11" s="85"/>
      <c r="X11" s="84"/>
      <c r="Y11" s="88"/>
      <c r="Z11" s="88"/>
    </row>
    <row r="12" spans="1:26" ht="21.75" customHeight="1" x14ac:dyDescent="0.2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9"/>
      <c r="N12" s="84"/>
      <c r="O12" s="85"/>
      <c r="P12" s="84"/>
      <c r="Q12" s="85"/>
      <c r="R12" s="84"/>
      <c r="S12" s="85"/>
      <c r="T12" s="84"/>
      <c r="U12" s="85"/>
      <c r="V12" s="84"/>
      <c r="W12" s="85"/>
      <c r="X12" s="84"/>
      <c r="Y12" s="88"/>
      <c r="Z12" s="88"/>
    </row>
    <row r="13" spans="1:26" ht="21.75" customHeight="1" x14ac:dyDescent="0.2">
      <c r="A13" s="140" t="s">
        <v>50</v>
      </c>
      <c r="B13" s="109" t="s">
        <v>56</v>
      </c>
      <c r="C13" s="110"/>
      <c r="D13" s="144" t="s">
        <v>190</v>
      </c>
      <c r="E13" s="145"/>
      <c r="F13" s="109" t="s">
        <v>59</v>
      </c>
      <c r="G13" s="110"/>
      <c r="H13" s="14" t="s">
        <v>191</v>
      </c>
      <c r="I13" s="138" t="s">
        <v>5</v>
      </c>
      <c r="J13" s="109" t="s">
        <v>60</v>
      </c>
      <c r="K13" s="140"/>
      <c r="L13" s="13" t="s">
        <v>65</v>
      </c>
      <c r="M13" s="9"/>
      <c r="N13" s="84"/>
      <c r="O13" s="85"/>
      <c r="P13" s="84"/>
      <c r="Q13" s="85"/>
      <c r="R13" s="84"/>
      <c r="S13" s="85"/>
      <c r="T13" s="84"/>
      <c r="U13" s="85"/>
      <c r="V13" s="84"/>
      <c r="W13" s="85"/>
      <c r="X13" s="84"/>
      <c r="Y13" s="88"/>
      <c r="Z13" s="88"/>
    </row>
    <row r="14" spans="1:26" ht="21.75" customHeight="1" x14ac:dyDescent="0.2">
      <c r="A14" s="141"/>
      <c r="B14" s="112" t="s">
        <v>57</v>
      </c>
      <c r="C14" s="113"/>
      <c r="D14" s="114" t="s">
        <v>217</v>
      </c>
      <c r="E14" s="115"/>
      <c r="F14" s="112" t="s">
        <v>57</v>
      </c>
      <c r="G14" s="113"/>
      <c r="H14" s="15" t="s">
        <v>217</v>
      </c>
      <c r="I14" s="139"/>
      <c r="J14" s="112" t="s">
        <v>61</v>
      </c>
      <c r="K14" s="141"/>
      <c r="L14" s="13" t="s">
        <v>66</v>
      </c>
      <c r="M14" s="9"/>
      <c r="N14" s="84"/>
      <c r="O14" s="85"/>
      <c r="P14" s="84"/>
      <c r="Q14" s="85"/>
      <c r="R14" s="84"/>
      <c r="S14" s="85"/>
      <c r="T14" s="84"/>
      <c r="U14" s="85"/>
      <c r="V14" s="84"/>
      <c r="W14" s="85"/>
      <c r="X14" s="84"/>
      <c r="Y14" s="88"/>
      <c r="Z14" s="88"/>
    </row>
    <row r="15" spans="1:26" ht="18.75" customHeight="1" x14ac:dyDescent="0.2">
      <c r="A15" s="141"/>
      <c r="B15" s="132" t="s">
        <v>58</v>
      </c>
      <c r="C15" s="137"/>
      <c r="D15" s="142">
        <v>18000</v>
      </c>
      <c r="E15" s="143"/>
      <c r="F15" s="132" t="s">
        <v>58</v>
      </c>
      <c r="G15" s="137"/>
      <c r="H15" s="16">
        <v>18000</v>
      </c>
      <c r="I15" s="139"/>
      <c r="J15" s="132" t="s">
        <v>62</v>
      </c>
      <c r="K15" s="133"/>
      <c r="L15" s="13" t="s">
        <v>67</v>
      </c>
      <c r="M15" s="9"/>
      <c r="N15" s="84"/>
      <c r="O15" s="85"/>
      <c r="P15" s="84"/>
      <c r="Q15" s="85"/>
      <c r="R15" s="84"/>
      <c r="S15" s="85"/>
      <c r="T15" s="84"/>
      <c r="U15" s="85"/>
      <c r="V15" s="84"/>
      <c r="W15" s="85"/>
      <c r="X15" s="84"/>
      <c r="Y15" s="88"/>
      <c r="Z15" s="88"/>
    </row>
    <row r="16" spans="1:26" ht="30.75" customHeight="1" x14ac:dyDescent="0.2">
      <c r="A16" s="141"/>
      <c r="B16" s="12" t="s">
        <v>51</v>
      </c>
      <c r="C16" s="12" t="s">
        <v>53</v>
      </c>
      <c r="D16" s="12" t="s">
        <v>54</v>
      </c>
      <c r="E16" s="125"/>
      <c r="F16" s="12" t="s">
        <v>51</v>
      </c>
      <c r="G16" s="12" t="s">
        <v>53</v>
      </c>
      <c r="H16" s="10" t="s">
        <v>54</v>
      </c>
      <c r="I16" s="139"/>
      <c r="J16" s="125" t="s">
        <v>63</v>
      </c>
      <c r="K16" s="127" t="s">
        <v>64</v>
      </c>
      <c r="L16" s="13" t="s">
        <v>68</v>
      </c>
      <c r="M16" s="9"/>
      <c r="N16" s="84"/>
      <c r="O16" s="85"/>
      <c r="P16" s="84"/>
      <c r="Q16" s="85"/>
      <c r="R16" s="84"/>
      <c r="S16" s="85"/>
      <c r="T16" s="84"/>
      <c r="U16" s="85"/>
      <c r="V16" s="84"/>
      <c r="W16" s="85"/>
      <c r="X16" s="84"/>
      <c r="Y16" s="88"/>
      <c r="Z16" s="88"/>
    </row>
    <row r="17" spans="1:26" ht="21.75" customHeight="1" x14ac:dyDescent="0.2">
      <c r="A17" s="141"/>
      <c r="B17" s="12" t="s">
        <v>52</v>
      </c>
      <c r="C17" s="20" t="s">
        <v>51</v>
      </c>
      <c r="D17" s="20" t="s">
        <v>55</v>
      </c>
      <c r="E17" s="126"/>
      <c r="F17" s="20" t="s">
        <v>52</v>
      </c>
      <c r="G17" s="76" t="s">
        <v>51</v>
      </c>
      <c r="H17" s="11" t="s">
        <v>55</v>
      </c>
      <c r="I17" s="154"/>
      <c r="J17" s="153"/>
      <c r="K17" s="128"/>
      <c r="L17" s="13" t="s">
        <v>69</v>
      </c>
      <c r="M17" s="103" t="s">
        <v>92</v>
      </c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spans="1:26" ht="23.25" customHeight="1" x14ac:dyDescent="0.2">
      <c r="A18" s="23" t="s">
        <v>7</v>
      </c>
      <c r="B18" s="82">
        <v>14262.9229</v>
      </c>
      <c r="C18" s="25"/>
      <c r="D18" s="24"/>
      <c r="E18" s="81"/>
      <c r="F18" s="82">
        <v>7160.2359999999999</v>
      </c>
      <c r="G18" s="22"/>
      <c r="H18" s="24"/>
      <c r="I18" s="26"/>
      <c r="J18" s="23"/>
      <c r="K18" s="79"/>
      <c r="L18" s="28"/>
      <c r="M18" s="100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1" t="s">
        <v>91</v>
      </c>
      <c r="X18" s="104"/>
      <c r="Y18" s="104"/>
      <c r="Z18" s="104"/>
    </row>
    <row r="19" spans="1:26" ht="23.25" customHeight="1" x14ac:dyDescent="0.2">
      <c r="A19" s="23" t="s">
        <v>8</v>
      </c>
      <c r="B19" s="82">
        <v>14263.1201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0.19720000000052096</v>
      </c>
      <c r="D19" s="24">
        <f t="shared" ref="D19:D42" si="1">IF(C19="","",C19*$D$15)</f>
        <v>3549.6000000093773</v>
      </c>
      <c r="E19" s="81"/>
      <c r="F19" s="82">
        <v>7160.3445000000002</v>
      </c>
      <c r="G19" s="2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0.10850000000027649</v>
      </c>
      <c r="H19" s="24">
        <f t="shared" ref="H19:H42" si="3">IF(G19="","",G19*$H$15)</f>
        <v>1953.0000000049768</v>
      </c>
      <c r="I19" s="26">
        <f t="shared" ref="I19:I42" si="4">IF(H19="","",IF(D19="","",IF(AND(H19=0,D19=0),0,H19/D19)))</f>
        <v>0.55020283975654083</v>
      </c>
      <c r="J19" s="23"/>
      <c r="K19" s="83">
        <v>6.326905</v>
      </c>
      <c r="L19" s="28"/>
      <c r="M19" s="95"/>
      <c r="N19" s="89"/>
      <c r="O19" s="89"/>
      <c r="P19" s="89"/>
      <c r="Q19" s="89" t="s">
        <v>108</v>
      </c>
      <c r="R19" s="89"/>
      <c r="S19" s="89"/>
      <c r="T19" s="89"/>
      <c r="U19" s="89"/>
      <c r="V19" s="89"/>
      <c r="W19" s="90"/>
      <c r="X19" s="99"/>
      <c r="Y19" s="99"/>
      <c r="Z19" s="99"/>
    </row>
    <row r="20" spans="1:26" ht="23.25" customHeight="1" x14ac:dyDescent="0.2">
      <c r="A20" s="23" t="s">
        <v>9</v>
      </c>
      <c r="B20" s="82">
        <v>14263.318300000001</v>
      </c>
      <c r="C20" s="25">
        <f t="shared" si="0"/>
        <v>0.19820000000072469</v>
      </c>
      <c r="D20" s="24">
        <f t="shared" si="1"/>
        <v>3567.6000000130443</v>
      </c>
      <c r="E20" s="81"/>
      <c r="F20" s="82">
        <v>7160.4579999999996</v>
      </c>
      <c r="G20" s="22">
        <f t="shared" si="2"/>
        <v>0.11349999999947613</v>
      </c>
      <c r="H20" s="24">
        <f t="shared" si="3"/>
        <v>2042.9999999905704</v>
      </c>
      <c r="I20" s="26">
        <f t="shared" si="4"/>
        <v>0.57265388495994518</v>
      </c>
      <c r="J20" s="23"/>
      <c r="K20" s="83">
        <v>6.4124369999999997</v>
      </c>
      <c r="L20" s="28"/>
      <c r="M20" s="95" t="s">
        <v>80</v>
      </c>
      <c r="N20" s="89" t="s">
        <v>99</v>
      </c>
      <c r="O20" s="89"/>
      <c r="P20" s="89"/>
      <c r="Q20" s="89" t="s">
        <v>181</v>
      </c>
      <c r="R20" s="89"/>
      <c r="S20" s="89"/>
      <c r="T20" s="89" t="s">
        <v>94</v>
      </c>
      <c r="U20" s="89"/>
      <c r="V20" s="89"/>
      <c r="W20" s="90"/>
      <c r="X20" s="99"/>
      <c r="Y20" s="99"/>
      <c r="Z20" s="99"/>
    </row>
    <row r="21" spans="1:26" ht="23.25" customHeight="1" x14ac:dyDescent="0.2">
      <c r="A21" s="23" t="s">
        <v>10</v>
      </c>
      <c r="B21" s="82">
        <v>14263.5124</v>
      </c>
      <c r="C21" s="25">
        <f t="shared" si="0"/>
        <v>0.19409999999879801</v>
      </c>
      <c r="D21" s="24">
        <f t="shared" si="1"/>
        <v>3493.7999999783642</v>
      </c>
      <c r="E21" s="81"/>
      <c r="F21" s="82">
        <v>7160.5702000000001</v>
      </c>
      <c r="G21" s="22">
        <f t="shared" si="2"/>
        <v>0.11220000000048458</v>
      </c>
      <c r="H21" s="24">
        <f t="shared" si="3"/>
        <v>2019.6000000087224</v>
      </c>
      <c r="I21" s="26">
        <f t="shared" si="4"/>
        <v>0.57805255023791546</v>
      </c>
      <c r="J21" s="23"/>
      <c r="K21" s="83">
        <v>6.418342</v>
      </c>
      <c r="L21" s="28"/>
      <c r="M21" s="96"/>
      <c r="N21" s="91"/>
      <c r="O21" s="91"/>
      <c r="P21" s="91"/>
      <c r="Q21" s="91"/>
      <c r="R21" s="91"/>
      <c r="S21" s="91"/>
      <c r="T21" s="91"/>
      <c r="U21" s="91"/>
      <c r="V21" s="91"/>
      <c r="W21" s="92"/>
      <c r="X21" s="103"/>
      <c r="Y21" s="103"/>
      <c r="Z21" s="103"/>
    </row>
    <row r="22" spans="1:26" ht="23.25" customHeight="1" x14ac:dyDescent="0.2">
      <c r="A22" s="23" t="s">
        <v>11</v>
      </c>
      <c r="B22" s="82">
        <v>14263.7039</v>
      </c>
      <c r="C22" s="25">
        <f t="shared" si="0"/>
        <v>0.19150000000081491</v>
      </c>
      <c r="D22" s="24">
        <f t="shared" si="1"/>
        <v>3447.0000000146683</v>
      </c>
      <c r="E22" s="81"/>
      <c r="F22" s="82">
        <v>7160.6824999999999</v>
      </c>
      <c r="G22" s="22">
        <f t="shared" si="2"/>
        <v>0.11229999999977736</v>
      </c>
      <c r="H22" s="24">
        <f t="shared" si="3"/>
        <v>2021.3999999959924</v>
      </c>
      <c r="I22" s="26">
        <f t="shared" si="4"/>
        <v>0.58642297649764741</v>
      </c>
      <c r="J22" s="23"/>
      <c r="K22" s="83">
        <v>6.2409280000000003</v>
      </c>
      <c r="L22" s="28"/>
      <c r="M22" s="9"/>
      <c r="N22" s="97"/>
      <c r="O22" s="97"/>
      <c r="P22" s="97"/>
      <c r="Q22" s="97"/>
      <c r="R22" s="97"/>
      <c r="S22" s="97"/>
      <c r="T22" s="97"/>
      <c r="U22" s="97"/>
      <c r="V22" s="97"/>
      <c r="W22" s="84"/>
      <c r="X22" s="88"/>
      <c r="Y22" s="88"/>
      <c r="Z22" s="88"/>
    </row>
    <row r="23" spans="1:26" ht="23.25" customHeight="1" x14ac:dyDescent="0.2">
      <c r="A23" s="23" t="s">
        <v>12</v>
      </c>
      <c r="B23" s="82">
        <v>14263.894200000001</v>
      </c>
      <c r="C23" s="25">
        <f t="shared" si="0"/>
        <v>0.19030000000020664</v>
      </c>
      <c r="D23" s="24">
        <f t="shared" si="1"/>
        <v>3425.4000000037195</v>
      </c>
      <c r="E23" s="81"/>
      <c r="F23" s="82">
        <v>7160.7947000000004</v>
      </c>
      <c r="G23" s="22">
        <f t="shared" si="2"/>
        <v>0.11220000000048458</v>
      </c>
      <c r="H23" s="24">
        <f t="shared" si="3"/>
        <v>2019.6000000087224</v>
      </c>
      <c r="I23" s="26">
        <f t="shared" si="4"/>
        <v>0.58959537572444953</v>
      </c>
      <c r="J23" s="23"/>
      <c r="K23" s="83">
        <v>6.461163</v>
      </c>
      <c r="L23" s="28"/>
      <c r="M23" s="9"/>
      <c r="N23" s="97"/>
      <c r="O23" s="97"/>
      <c r="P23" s="97"/>
      <c r="Q23" s="97"/>
      <c r="R23" s="97"/>
      <c r="S23" s="97"/>
      <c r="T23" s="97"/>
      <c r="U23" s="97"/>
      <c r="V23" s="97"/>
      <c r="W23" s="84"/>
      <c r="X23" s="88"/>
      <c r="Y23" s="88"/>
      <c r="Z23" s="88"/>
    </row>
    <row r="24" spans="1:26" ht="23.25" customHeight="1" x14ac:dyDescent="0.2">
      <c r="A24" s="23" t="s">
        <v>13</v>
      </c>
      <c r="B24" s="82">
        <v>14264.077499999999</v>
      </c>
      <c r="C24" s="25">
        <f t="shared" si="0"/>
        <v>0.18329999999878055</v>
      </c>
      <c r="D24" s="24">
        <f t="shared" si="1"/>
        <v>3299.3999999780499</v>
      </c>
      <c r="E24" s="81"/>
      <c r="F24" s="82">
        <v>7160.9014999999999</v>
      </c>
      <c r="G24" s="22">
        <f t="shared" si="2"/>
        <v>0.10679999999956635</v>
      </c>
      <c r="H24" s="24">
        <f t="shared" si="3"/>
        <v>1922.3999999921944</v>
      </c>
      <c r="I24" s="26">
        <f t="shared" si="4"/>
        <v>0.58265139116353992</v>
      </c>
      <c r="J24" s="23"/>
      <c r="K24" s="83">
        <v>6.4758290000000001</v>
      </c>
      <c r="L24" s="28"/>
      <c r="M24" s="9"/>
      <c r="N24" s="97"/>
      <c r="O24" s="97"/>
      <c r="P24" s="97"/>
      <c r="Q24" s="97"/>
      <c r="R24" s="97"/>
      <c r="S24" s="97"/>
      <c r="T24" s="97"/>
      <c r="U24" s="97"/>
      <c r="V24" s="97"/>
      <c r="W24" s="84"/>
      <c r="X24" s="88"/>
      <c r="Y24" s="88"/>
      <c r="Z24" s="88"/>
    </row>
    <row r="25" spans="1:26" ht="23.25" customHeight="1" x14ac:dyDescent="0.2">
      <c r="A25" s="23" t="s">
        <v>14</v>
      </c>
      <c r="B25" s="82">
        <v>14264.282499999999</v>
      </c>
      <c r="C25" s="25">
        <f t="shared" si="0"/>
        <v>0.20499999999992724</v>
      </c>
      <c r="D25" s="24">
        <f t="shared" si="1"/>
        <v>3689.9999999986903</v>
      </c>
      <c r="E25" s="81"/>
      <c r="F25" s="82">
        <v>7161.0132999999996</v>
      </c>
      <c r="G25" s="22">
        <f t="shared" si="2"/>
        <v>0.11179999999967549</v>
      </c>
      <c r="H25" s="24">
        <f t="shared" si="3"/>
        <v>2012.3999999941589</v>
      </c>
      <c r="I25" s="26">
        <f t="shared" si="4"/>
        <v>0.54536585365714718</v>
      </c>
      <c r="J25" s="23"/>
      <c r="K25" s="83">
        <v>6.4319850000000001</v>
      </c>
      <c r="L25" s="28"/>
      <c r="M25" s="9"/>
      <c r="N25" s="97"/>
      <c r="O25" s="97"/>
      <c r="P25" s="97"/>
      <c r="Q25" s="97"/>
      <c r="R25" s="97"/>
      <c r="S25" s="97"/>
      <c r="T25" s="97"/>
      <c r="U25" s="97"/>
      <c r="V25" s="97"/>
      <c r="W25" s="84"/>
      <c r="X25" s="88"/>
      <c r="Y25" s="88"/>
      <c r="Z25" s="88"/>
    </row>
    <row r="26" spans="1:26" ht="23.25" customHeight="1" x14ac:dyDescent="0.2">
      <c r="A26" s="23" t="s">
        <v>15</v>
      </c>
      <c r="B26" s="82">
        <v>14264.501</v>
      </c>
      <c r="C26" s="25">
        <f t="shared" si="0"/>
        <v>0.21850000000085856</v>
      </c>
      <c r="D26" s="24">
        <f t="shared" si="1"/>
        <v>3933.0000000154541</v>
      </c>
      <c r="E26" s="81"/>
      <c r="F26" s="82">
        <v>7161.1277</v>
      </c>
      <c r="G26" s="22">
        <f t="shared" si="2"/>
        <v>0.11440000000038708</v>
      </c>
      <c r="H26" s="24">
        <f t="shared" si="3"/>
        <v>2059.2000000069675</v>
      </c>
      <c r="I26" s="26">
        <f t="shared" si="4"/>
        <v>0.52356979405005755</v>
      </c>
      <c r="J26" s="23"/>
      <c r="K26" s="83">
        <v>6.347073</v>
      </c>
      <c r="L26" s="28"/>
      <c r="M26" s="9"/>
      <c r="N26" s="97"/>
      <c r="O26" s="97"/>
      <c r="P26" s="97"/>
      <c r="Q26" s="97"/>
      <c r="R26" s="97"/>
      <c r="S26" s="97"/>
      <c r="T26" s="97"/>
      <c r="U26" s="97"/>
      <c r="V26" s="97"/>
      <c r="W26" s="84"/>
      <c r="X26" s="88"/>
      <c r="Y26" s="88"/>
      <c r="Z26" s="88"/>
    </row>
    <row r="27" spans="1:26" ht="23.25" customHeight="1" x14ac:dyDescent="0.2">
      <c r="A27" s="23" t="s">
        <v>16</v>
      </c>
      <c r="B27" s="82">
        <v>14264.733399999999</v>
      </c>
      <c r="C27" s="25">
        <f t="shared" si="0"/>
        <v>0.23239999999896099</v>
      </c>
      <c r="D27" s="24">
        <f t="shared" si="1"/>
        <v>4183.1999999812979</v>
      </c>
      <c r="E27" s="81"/>
      <c r="F27" s="82">
        <v>7161.2457000000004</v>
      </c>
      <c r="G27" s="22">
        <f t="shared" si="2"/>
        <v>0.1180000000003929</v>
      </c>
      <c r="H27" s="24">
        <f t="shared" si="3"/>
        <v>2124.0000000070722</v>
      </c>
      <c r="I27" s="26">
        <f t="shared" si="4"/>
        <v>0.50774526678537202</v>
      </c>
      <c r="J27" s="23"/>
      <c r="K27" s="83">
        <v>6.2139979999999992</v>
      </c>
      <c r="L27" s="28"/>
      <c r="M27" s="9"/>
      <c r="N27" s="97"/>
      <c r="O27" s="97"/>
      <c r="P27" s="97"/>
      <c r="Q27" s="97"/>
      <c r="R27" s="97"/>
      <c r="S27" s="97"/>
      <c r="T27" s="97"/>
      <c r="U27" s="97"/>
      <c r="V27" s="97"/>
      <c r="W27" s="84"/>
      <c r="X27" s="88"/>
      <c r="Y27" s="88"/>
      <c r="Z27" s="88"/>
    </row>
    <row r="28" spans="1:26" ht="23.25" customHeight="1" x14ac:dyDescent="0.2">
      <c r="A28" s="23" t="s">
        <v>17</v>
      </c>
      <c r="B28" s="82">
        <v>14264.9516</v>
      </c>
      <c r="C28" s="25">
        <f t="shared" si="0"/>
        <v>0.21820000000116124</v>
      </c>
      <c r="D28" s="24">
        <f t="shared" si="1"/>
        <v>3927.6000000209024</v>
      </c>
      <c r="E28" s="81"/>
      <c r="F28" s="82">
        <v>7161.3531999999996</v>
      </c>
      <c r="G28" s="22">
        <f t="shared" si="2"/>
        <v>0.10749999999916326</v>
      </c>
      <c r="H28" s="24">
        <f t="shared" si="3"/>
        <v>1934.9999999849388</v>
      </c>
      <c r="I28" s="26">
        <f t="shared" si="4"/>
        <v>0.49266727772039942</v>
      </c>
      <c r="J28" s="23"/>
      <c r="K28" s="83">
        <v>6.167478</v>
      </c>
      <c r="L28" s="28"/>
      <c r="M28" s="9"/>
      <c r="N28" s="97"/>
      <c r="O28" s="97"/>
      <c r="P28" s="97"/>
      <c r="Q28" s="97"/>
      <c r="R28" s="97"/>
      <c r="S28" s="97"/>
      <c r="T28" s="97"/>
      <c r="U28" s="97"/>
      <c r="V28" s="97"/>
      <c r="W28" s="84"/>
      <c r="X28" s="88"/>
      <c r="Y28" s="88"/>
      <c r="Z28" s="88"/>
    </row>
    <row r="29" spans="1:26" ht="23.25" customHeight="1" x14ac:dyDescent="0.2">
      <c r="A29" s="23" t="s">
        <v>18</v>
      </c>
      <c r="B29" s="82">
        <v>14265.165000000001</v>
      </c>
      <c r="C29" s="25">
        <f t="shared" si="0"/>
        <v>0.21340000000054715</v>
      </c>
      <c r="D29" s="24">
        <f t="shared" si="1"/>
        <v>3841.2000000098487</v>
      </c>
      <c r="E29" s="81"/>
      <c r="F29" s="82">
        <v>7161.4589999999998</v>
      </c>
      <c r="G29" s="22">
        <f t="shared" si="2"/>
        <v>0.10580000000027212</v>
      </c>
      <c r="H29" s="24">
        <f t="shared" si="3"/>
        <v>1904.4000000048982</v>
      </c>
      <c r="I29" s="26">
        <f t="shared" si="4"/>
        <v>0.4957825679475204</v>
      </c>
      <c r="J29" s="23"/>
      <c r="K29" s="83">
        <v>6.1520820000000001</v>
      </c>
      <c r="L29" s="28"/>
      <c r="M29" s="118" t="s">
        <v>95</v>
      </c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23.25" customHeight="1" x14ac:dyDescent="0.2">
      <c r="A30" s="23" t="s">
        <v>19</v>
      </c>
      <c r="B30" s="82">
        <v>14265.3807</v>
      </c>
      <c r="C30" s="25">
        <f t="shared" si="0"/>
        <v>0.21569999999883294</v>
      </c>
      <c r="D30" s="24">
        <f t="shared" si="1"/>
        <v>3882.5999999789929</v>
      </c>
      <c r="E30" s="81"/>
      <c r="F30" s="82">
        <v>7161.5672999999997</v>
      </c>
      <c r="G30" s="22">
        <f t="shared" si="2"/>
        <v>0.10829999999987194</v>
      </c>
      <c r="H30" s="24">
        <f t="shared" si="3"/>
        <v>1949.399999997695</v>
      </c>
      <c r="I30" s="26">
        <f t="shared" si="4"/>
        <v>0.50208623087833992</v>
      </c>
      <c r="J30" s="23"/>
      <c r="K30" s="83">
        <v>6.1710240000000001</v>
      </c>
      <c r="L30" s="28"/>
      <c r="M30" s="99" t="s">
        <v>97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23.25" customHeight="1" x14ac:dyDescent="0.2">
      <c r="A31" s="23" t="s">
        <v>20</v>
      </c>
      <c r="B31" s="82">
        <v>14265.590399999999</v>
      </c>
      <c r="C31" s="25">
        <f t="shared" si="0"/>
        <v>0.20969999999942956</v>
      </c>
      <c r="D31" s="24">
        <f t="shared" si="1"/>
        <v>3774.5999999897322</v>
      </c>
      <c r="E31" s="81"/>
      <c r="F31" s="82">
        <v>7161.6724999999997</v>
      </c>
      <c r="G31" s="22">
        <f t="shared" si="2"/>
        <v>0.10519999999996799</v>
      </c>
      <c r="H31" s="24">
        <f t="shared" si="3"/>
        <v>1893.5999999994237</v>
      </c>
      <c r="I31" s="26">
        <f t="shared" si="4"/>
        <v>0.50166905102648618</v>
      </c>
      <c r="J31" s="23"/>
      <c r="K31" s="83">
        <v>6.2041589999999998</v>
      </c>
      <c r="L31" s="28"/>
      <c r="M31" s="100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179</v>
      </c>
      <c r="W31" s="98"/>
      <c r="X31" s="98"/>
      <c r="Y31" s="98" t="s">
        <v>91</v>
      </c>
      <c r="Z31" s="101"/>
    </row>
    <row r="32" spans="1:26" ht="23.25" customHeight="1" x14ac:dyDescent="0.2">
      <c r="A32" s="23" t="s">
        <v>21</v>
      </c>
      <c r="B32" s="82">
        <v>14265.802100000001</v>
      </c>
      <c r="C32" s="25">
        <f t="shared" si="0"/>
        <v>0.21170000000165601</v>
      </c>
      <c r="D32" s="24">
        <f t="shared" si="1"/>
        <v>3810.6000000298081</v>
      </c>
      <c r="E32" s="81"/>
      <c r="F32" s="82">
        <v>7161.7821999999996</v>
      </c>
      <c r="G32" s="22">
        <f t="shared" si="2"/>
        <v>0.10969999999997526</v>
      </c>
      <c r="H32" s="24">
        <f t="shared" si="3"/>
        <v>1974.5999999995547</v>
      </c>
      <c r="I32" s="26">
        <f t="shared" si="4"/>
        <v>0.51818611241907009</v>
      </c>
      <c r="J32" s="23"/>
      <c r="K32" s="83">
        <v>6.0501100000000001</v>
      </c>
      <c r="L32" s="28"/>
      <c r="M32" s="95"/>
      <c r="N32" s="89"/>
      <c r="O32" s="89"/>
      <c r="P32" s="89" t="s">
        <v>83</v>
      </c>
      <c r="Q32" s="89"/>
      <c r="R32" s="89" t="s">
        <v>102</v>
      </c>
      <c r="S32" s="89"/>
      <c r="T32" s="89" t="s">
        <v>104</v>
      </c>
      <c r="U32" s="89"/>
      <c r="V32" s="89" t="s">
        <v>105</v>
      </c>
      <c r="W32" s="89"/>
      <c r="X32" s="89"/>
      <c r="Y32" s="89"/>
      <c r="Z32" s="90"/>
    </row>
    <row r="33" spans="1:26" ht="23.25" customHeight="1" x14ac:dyDescent="0.2">
      <c r="A33" s="23" t="s">
        <v>22</v>
      </c>
      <c r="B33" s="82">
        <v>14266.015100000001</v>
      </c>
      <c r="C33" s="25">
        <f t="shared" si="0"/>
        <v>0.21299999999973807</v>
      </c>
      <c r="D33" s="24">
        <f t="shared" si="1"/>
        <v>3833.9999999952852</v>
      </c>
      <c r="E33" s="81"/>
      <c r="F33" s="82">
        <v>7161.8914000000004</v>
      </c>
      <c r="G33" s="22">
        <f t="shared" si="2"/>
        <v>0.10920000000078289</v>
      </c>
      <c r="H33" s="24">
        <f t="shared" si="3"/>
        <v>1965.6000000140921</v>
      </c>
      <c r="I33" s="26">
        <f t="shared" si="4"/>
        <v>0.51267605634233415</v>
      </c>
      <c r="J33" s="23"/>
      <c r="K33" s="83">
        <v>6.0204409999999999</v>
      </c>
      <c r="L33" s="28"/>
      <c r="M33" s="95" t="s">
        <v>80</v>
      </c>
      <c r="N33" s="89" t="s">
        <v>99</v>
      </c>
      <c r="O33" s="89"/>
      <c r="P33" s="89" t="s">
        <v>101</v>
      </c>
      <c r="Q33" s="89"/>
      <c r="R33" s="89" t="s">
        <v>69</v>
      </c>
      <c r="S33" s="89"/>
      <c r="T33" s="89" t="s">
        <v>69</v>
      </c>
      <c r="U33" s="89"/>
      <c r="V33" s="89" t="s">
        <v>106</v>
      </c>
      <c r="W33" s="89"/>
      <c r="X33" s="89"/>
      <c r="Y33" s="89"/>
      <c r="Z33" s="90"/>
    </row>
    <row r="34" spans="1:26" ht="23.25" customHeight="1" x14ac:dyDescent="0.2">
      <c r="A34" s="23" t="s">
        <v>23</v>
      </c>
      <c r="B34" s="82">
        <v>14266.2318</v>
      </c>
      <c r="C34" s="25">
        <f t="shared" si="0"/>
        <v>0.21669999999903666</v>
      </c>
      <c r="D34" s="24">
        <f t="shared" si="1"/>
        <v>3900.5999999826599</v>
      </c>
      <c r="E34" s="81"/>
      <c r="F34" s="82">
        <v>7162.0019000000002</v>
      </c>
      <c r="G34" s="22">
        <f t="shared" si="2"/>
        <v>0.11049999999977445</v>
      </c>
      <c r="H34" s="24">
        <f t="shared" si="3"/>
        <v>1988.99999999594</v>
      </c>
      <c r="I34" s="26">
        <f t="shared" si="4"/>
        <v>0.50992155053191357</v>
      </c>
      <c r="J34" s="23"/>
      <c r="K34" s="83">
        <v>5.8952020000000003</v>
      </c>
      <c r="L34" s="28"/>
      <c r="M34" s="96"/>
      <c r="N34" s="91"/>
      <c r="O34" s="91"/>
      <c r="P34" s="91"/>
      <c r="Q34" s="91"/>
      <c r="R34" s="92"/>
      <c r="S34" s="96"/>
      <c r="T34" s="92"/>
      <c r="U34" s="96"/>
      <c r="V34" s="92"/>
      <c r="W34" s="103"/>
      <c r="X34" s="96"/>
      <c r="Y34" s="91"/>
      <c r="Z34" s="92"/>
    </row>
    <row r="35" spans="1:26" ht="23.25" customHeight="1" x14ac:dyDescent="0.2">
      <c r="A35" s="23" t="s">
        <v>24</v>
      </c>
      <c r="B35" s="82">
        <v>14266.447200000001</v>
      </c>
      <c r="C35" s="25">
        <f t="shared" si="0"/>
        <v>0.21540000000095461</v>
      </c>
      <c r="D35" s="24">
        <f t="shared" si="1"/>
        <v>3877.2000000171829</v>
      </c>
      <c r="E35" s="81"/>
      <c r="F35" s="82">
        <v>7162.1121999999996</v>
      </c>
      <c r="G35" s="22">
        <f t="shared" si="2"/>
        <v>0.1102999999993699</v>
      </c>
      <c r="H35" s="24">
        <f t="shared" si="3"/>
        <v>1985.3999999886582</v>
      </c>
      <c r="I35" s="26">
        <f t="shared" si="4"/>
        <v>0.51207056638292048</v>
      </c>
      <c r="J35" s="23"/>
      <c r="K35" s="83">
        <v>6.0330409999999999</v>
      </c>
      <c r="L35" s="28"/>
      <c r="M35" s="9"/>
      <c r="N35" s="97" t="s">
        <v>165</v>
      </c>
      <c r="O35" s="97"/>
      <c r="P35" s="97">
        <v>0.4</v>
      </c>
      <c r="Q35" s="97"/>
      <c r="R35" s="97">
        <v>696</v>
      </c>
      <c r="S35" s="97"/>
      <c r="T35" s="97"/>
      <c r="U35" s="97"/>
      <c r="V35" s="97"/>
      <c r="W35" s="97"/>
      <c r="X35" s="97"/>
      <c r="Y35" s="97"/>
      <c r="Z35" s="84"/>
    </row>
    <row r="36" spans="1:26" ht="23.25" customHeight="1" x14ac:dyDescent="0.2">
      <c r="A36" s="23" t="s">
        <v>25</v>
      </c>
      <c r="B36" s="82">
        <v>14266.6504</v>
      </c>
      <c r="C36" s="25">
        <f t="shared" si="0"/>
        <v>0.20319999999992433</v>
      </c>
      <c r="D36" s="24">
        <f t="shared" si="1"/>
        <v>3657.5999999986379</v>
      </c>
      <c r="E36" s="81"/>
      <c r="F36" s="82">
        <v>7162.2181</v>
      </c>
      <c r="G36" s="22">
        <f t="shared" si="2"/>
        <v>0.10590000000047439</v>
      </c>
      <c r="H36" s="24">
        <f t="shared" si="3"/>
        <v>1906.2000000085391</v>
      </c>
      <c r="I36" s="26">
        <f t="shared" si="4"/>
        <v>0.52116141732536336</v>
      </c>
      <c r="J36" s="23"/>
      <c r="K36" s="83">
        <v>6.206874</v>
      </c>
      <c r="L36" s="28"/>
      <c r="M36" s="9"/>
      <c r="N36" s="97" t="s">
        <v>166</v>
      </c>
      <c r="O36" s="97"/>
      <c r="P36" s="102">
        <v>6</v>
      </c>
      <c r="Q36" s="102"/>
      <c r="R36" s="97">
        <v>870</v>
      </c>
      <c r="S36" s="97"/>
      <c r="T36" s="97"/>
      <c r="U36" s="97"/>
      <c r="V36" s="97"/>
      <c r="W36" s="97"/>
      <c r="X36" s="97"/>
      <c r="Y36" s="97"/>
      <c r="Z36" s="84"/>
    </row>
    <row r="37" spans="1:26" ht="23.25" customHeight="1" x14ac:dyDescent="0.2">
      <c r="A37" s="23" t="s">
        <v>26</v>
      </c>
      <c r="B37" s="82">
        <v>14266.856599999999</v>
      </c>
      <c r="C37" s="25">
        <f t="shared" si="0"/>
        <v>0.20619999999871652</v>
      </c>
      <c r="D37" s="24">
        <f t="shared" si="1"/>
        <v>3711.5999999768974</v>
      </c>
      <c r="E37" s="81"/>
      <c r="F37" s="82">
        <v>7162.3242</v>
      </c>
      <c r="G37" s="22">
        <f t="shared" si="2"/>
        <v>0.10609999999996944</v>
      </c>
      <c r="H37" s="24">
        <f t="shared" si="3"/>
        <v>1909.7999999994499</v>
      </c>
      <c r="I37" s="26">
        <f t="shared" si="4"/>
        <v>0.51454898157434459</v>
      </c>
      <c r="J37" s="23"/>
      <c r="K37" s="83">
        <v>6.1773490000000004</v>
      </c>
      <c r="L37" s="28"/>
      <c r="M37" s="9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84"/>
    </row>
    <row r="38" spans="1:26" ht="23.25" customHeight="1" x14ac:dyDescent="0.2">
      <c r="A38" s="23" t="s">
        <v>27</v>
      </c>
      <c r="B38" s="82">
        <v>14267.062</v>
      </c>
      <c r="C38" s="25">
        <f t="shared" si="0"/>
        <v>0.20540000000073633</v>
      </c>
      <c r="D38" s="24">
        <f t="shared" si="1"/>
        <v>3697.2000000132539</v>
      </c>
      <c r="E38" s="81"/>
      <c r="F38" s="82">
        <v>7162.4286000000002</v>
      </c>
      <c r="G38" s="22">
        <f t="shared" si="2"/>
        <v>0.1044000000001688</v>
      </c>
      <c r="H38" s="24">
        <f t="shared" si="3"/>
        <v>1879.2000000030384</v>
      </c>
      <c r="I38" s="26">
        <f t="shared" si="4"/>
        <v>0.50827653359198899</v>
      </c>
      <c r="J38" s="23"/>
      <c r="K38" s="83">
        <v>6.1899679999999995</v>
      </c>
      <c r="L38" s="28"/>
      <c r="M38" s="9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84"/>
    </row>
    <row r="39" spans="1:26" ht="23.25" customHeight="1" x14ac:dyDescent="0.2">
      <c r="A39" s="23" t="s">
        <v>28</v>
      </c>
      <c r="B39" s="82">
        <v>14267.262699999999</v>
      </c>
      <c r="C39" s="25">
        <f t="shared" si="0"/>
        <v>0.20069999999941501</v>
      </c>
      <c r="D39" s="24">
        <f t="shared" si="1"/>
        <v>3612.5999999894702</v>
      </c>
      <c r="E39" s="81"/>
      <c r="F39" s="82">
        <v>7162.5312999999996</v>
      </c>
      <c r="G39" s="22">
        <f t="shared" si="2"/>
        <v>0.10269999999945867</v>
      </c>
      <c r="H39" s="24">
        <f t="shared" si="3"/>
        <v>1848.599999990256</v>
      </c>
      <c r="I39" s="26">
        <f t="shared" si="4"/>
        <v>0.51170901843427008</v>
      </c>
      <c r="J39" s="23"/>
      <c r="K39" s="83">
        <v>6.2445699999999995</v>
      </c>
      <c r="L39" s="28"/>
      <c r="M39" s="9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84"/>
    </row>
    <row r="40" spans="1:26" ht="23.25" customHeight="1" x14ac:dyDescent="0.2">
      <c r="A40" s="23" t="s">
        <v>29</v>
      </c>
      <c r="B40" s="82">
        <v>14267.458000000001</v>
      </c>
      <c r="C40" s="25">
        <f t="shared" si="0"/>
        <v>0.19530000000122527</v>
      </c>
      <c r="D40" s="24">
        <f t="shared" si="1"/>
        <v>3515.4000000220549</v>
      </c>
      <c r="E40" s="81"/>
      <c r="F40" s="82">
        <v>7162.6293999999998</v>
      </c>
      <c r="G40" s="22">
        <f t="shared" si="2"/>
        <v>9.8100000000158616E-2</v>
      </c>
      <c r="H40" s="24">
        <f t="shared" si="3"/>
        <v>1765.8000000028551</v>
      </c>
      <c r="I40" s="26">
        <f t="shared" si="4"/>
        <v>0.50230414746309859</v>
      </c>
      <c r="J40" s="23"/>
      <c r="K40" s="83">
        <v>6.2975519999999996</v>
      </c>
      <c r="L40" s="28"/>
      <c r="M40" s="99" t="s">
        <v>109</v>
      </c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ht="23.25" customHeight="1" x14ac:dyDescent="0.2">
      <c r="A41" s="23" t="s">
        <v>30</v>
      </c>
      <c r="B41" s="82">
        <v>14267.6582</v>
      </c>
      <c r="C41" s="25">
        <f t="shared" si="0"/>
        <v>0.20019999999931315</v>
      </c>
      <c r="D41" s="24">
        <f t="shared" si="1"/>
        <v>3603.5999999876367</v>
      </c>
      <c r="E41" s="81"/>
      <c r="F41" s="82">
        <v>7162.7285000000002</v>
      </c>
      <c r="G41" s="22">
        <f t="shared" si="2"/>
        <v>9.9100000000362343E-2</v>
      </c>
      <c r="H41" s="24">
        <f t="shared" si="3"/>
        <v>1783.8000000065222</v>
      </c>
      <c r="I41" s="26">
        <f t="shared" si="4"/>
        <v>0.4950049950085032</v>
      </c>
      <c r="J41" s="23"/>
      <c r="K41" s="83">
        <v>6.2778499999999999</v>
      </c>
      <c r="L41" s="28"/>
      <c r="M41" s="100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1"/>
    </row>
    <row r="42" spans="1:26" ht="23.25" customHeight="1" x14ac:dyDescent="0.2">
      <c r="A42" s="23" t="s">
        <v>31</v>
      </c>
      <c r="B42" s="82">
        <v>14267.852999999999</v>
      </c>
      <c r="C42" s="25">
        <f t="shared" si="0"/>
        <v>0.19479999999930442</v>
      </c>
      <c r="D42" s="24">
        <f t="shared" si="1"/>
        <v>3506.3999999874795</v>
      </c>
      <c r="E42" s="81"/>
      <c r="F42" s="82">
        <v>7162.8289999999997</v>
      </c>
      <c r="G42" s="22">
        <f t="shared" si="2"/>
        <v>0.10049999999955617</v>
      </c>
      <c r="H42" s="24">
        <f t="shared" si="3"/>
        <v>1808.999999992011</v>
      </c>
      <c r="I42" s="26">
        <f t="shared" si="4"/>
        <v>0.5159137576997691</v>
      </c>
      <c r="J42" s="23"/>
      <c r="K42" s="83">
        <v>6.3173979999999998</v>
      </c>
      <c r="L42" s="28"/>
      <c r="M42" s="95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90"/>
    </row>
    <row r="43" spans="1:26" ht="31.5" customHeight="1" x14ac:dyDescent="0.2">
      <c r="A43" s="121" t="s">
        <v>70</v>
      </c>
      <c r="B43" s="121"/>
      <c r="C43" s="121"/>
      <c r="D43" s="24">
        <f>SUM(D18:D42)</f>
        <v>88741.799999992509</v>
      </c>
      <c r="E43" s="23"/>
      <c r="F43" s="29"/>
      <c r="G43" s="36"/>
      <c r="H43" s="24">
        <f>SUM(H18:H42)</f>
        <v>46673.99999999725</v>
      </c>
      <c r="I43" s="26">
        <f>IF(AND(H43=0,D43=0),0,H43/D43)</f>
        <v>0.52595282042961933</v>
      </c>
      <c r="J43" s="23"/>
      <c r="K43" s="23"/>
      <c r="L43" s="28"/>
      <c r="M43" s="95" t="s">
        <v>80</v>
      </c>
      <c r="N43" s="89" t="s">
        <v>99</v>
      </c>
      <c r="O43" s="89"/>
      <c r="P43" s="89" t="s">
        <v>110</v>
      </c>
      <c r="Q43" s="89"/>
      <c r="R43" s="89"/>
      <c r="S43" s="89"/>
      <c r="T43" s="89"/>
      <c r="U43" s="89"/>
      <c r="V43" s="89"/>
      <c r="W43" s="89"/>
      <c r="X43" s="89" t="s">
        <v>110</v>
      </c>
      <c r="Y43" s="89"/>
      <c r="Z43" s="90"/>
    </row>
    <row r="44" spans="1:26" ht="22.5" customHeight="1" x14ac:dyDescent="0.2">
      <c r="A44" s="130" t="s">
        <v>71</v>
      </c>
      <c r="B44" s="130"/>
      <c r="C44" s="130"/>
      <c r="D44" s="30"/>
      <c r="E44" s="30"/>
      <c r="F44" s="31"/>
      <c r="G44" s="23"/>
      <c r="H44" s="23"/>
      <c r="I44" s="23"/>
      <c r="J44" s="23"/>
      <c r="K44" s="23"/>
      <c r="L44" s="28"/>
      <c r="M44" s="96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2"/>
    </row>
    <row r="45" spans="1:26" ht="22.5" customHeight="1" x14ac:dyDescent="0.2">
      <c r="A45" s="32"/>
      <c r="B45" s="33"/>
      <c r="C45" s="33"/>
      <c r="D45" s="33"/>
      <c r="E45" s="33"/>
      <c r="F45" s="33"/>
      <c r="G45" s="33"/>
      <c r="H45" s="33"/>
      <c r="I45" s="33"/>
      <c r="J45" s="34"/>
      <c r="K45" s="34"/>
      <c r="L45" s="34"/>
      <c r="M45" s="9"/>
      <c r="N45" s="84"/>
      <c r="O45" s="85"/>
      <c r="P45" s="84"/>
      <c r="Q45" s="88"/>
      <c r="R45" s="85"/>
      <c r="S45" s="7"/>
      <c r="T45" s="84"/>
      <c r="U45" s="88"/>
      <c r="V45" s="88"/>
      <c r="W45" s="85"/>
      <c r="X45" s="84"/>
      <c r="Y45" s="88"/>
      <c r="Z45" s="88"/>
    </row>
    <row r="46" spans="1:26" ht="22.5" customHeight="1" x14ac:dyDescent="0.2">
      <c r="A46" s="108" t="s">
        <v>72</v>
      </c>
      <c r="B46" s="108"/>
      <c r="C46" s="108"/>
      <c r="D46" s="108"/>
      <c r="E46" s="108"/>
      <c r="F46" s="108"/>
      <c r="G46" s="131" t="s">
        <v>73</v>
      </c>
      <c r="H46" s="131"/>
      <c r="I46" s="131"/>
      <c r="J46" s="131"/>
      <c r="K46" s="131"/>
      <c r="L46" s="131"/>
      <c r="M46" s="9"/>
      <c r="N46" s="84"/>
      <c r="O46" s="85"/>
      <c r="P46" s="84"/>
      <c r="Q46" s="88"/>
      <c r="R46" s="85"/>
      <c r="S46" s="7"/>
      <c r="T46" s="84"/>
      <c r="U46" s="88"/>
      <c r="V46" s="88"/>
      <c r="W46" s="85"/>
      <c r="X46" s="84"/>
      <c r="Y46" s="88"/>
      <c r="Z46" s="88"/>
    </row>
    <row r="47" spans="1:26" ht="22.5" customHeight="1" x14ac:dyDescent="0.2">
      <c r="A47" s="117" t="s">
        <v>371</v>
      </c>
      <c r="B47" s="117"/>
      <c r="C47" s="117"/>
      <c r="D47" s="108" t="s">
        <v>74</v>
      </c>
      <c r="E47" s="108"/>
      <c r="F47" s="108"/>
      <c r="G47" s="33"/>
      <c r="H47" s="33"/>
      <c r="I47" s="33"/>
      <c r="J47" s="33"/>
      <c r="K47" s="33"/>
      <c r="L47" s="33"/>
      <c r="M47" s="9"/>
      <c r="N47" s="84"/>
      <c r="O47" s="85"/>
      <c r="P47" s="84"/>
      <c r="Q47" s="88"/>
      <c r="R47" s="85"/>
      <c r="S47" s="7"/>
      <c r="T47" s="84"/>
      <c r="U47" s="88"/>
      <c r="V47" s="88"/>
      <c r="W47" s="85"/>
      <c r="X47" s="84"/>
      <c r="Y47" s="88"/>
      <c r="Z47" s="88"/>
    </row>
    <row r="48" spans="1:26" ht="22.5" customHeight="1" x14ac:dyDescent="0.2">
      <c r="A48" s="148" t="s">
        <v>75</v>
      </c>
      <c r="B48" s="148"/>
      <c r="C48" s="148"/>
      <c r="D48" s="147" t="s">
        <v>76</v>
      </c>
      <c r="E48" s="147"/>
      <c r="F48" s="147"/>
      <c r="G48" s="32"/>
      <c r="H48" s="32"/>
      <c r="I48" s="32"/>
      <c r="J48" s="32"/>
      <c r="K48" s="32"/>
      <c r="L48" s="32"/>
    </row>
    <row r="49" spans="1:23" ht="22.5" customHeight="1" x14ac:dyDescent="0.2">
      <c r="A49" s="117" t="s">
        <v>372</v>
      </c>
      <c r="B49" s="117"/>
      <c r="C49" s="117"/>
      <c r="D49" s="108" t="s">
        <v>74</v>
      </c>
      <c r="E49" s="108"/>
      <c r="F49" s="108"/>
      <c r="G49" s="32"/>
      <c r="H49" s="108" t="s">
        <v>183</v>
      </c>
      <c r="I49" s="108"/>
      <c r="J49" s="108"/>
      <c r="K49" s="108" t="s">
        <v>77</v>
      </c>
      <c r="L49" s="108"/>
      <c r="N49" s="150" t="s">
        <v>150</v>
      </c>
      <c r="O49" s="150"/>
      <c r="P49" s="150"/>
      <c r="Q49" s="149" t="s">
        <v>370</v>
      </c>
      <c r="R49" s="149"/>
      <c r="S49" s="149"/>
      <c r="T49" s="149"/>
      <c r="U49" s="149"/>
      <c r="V49" s="149"/>
      <c r="W49" s="1"/>
    </row>
    <row r="50" spans="1:23" ht="22.5" customHeight="1" x14ac:dyDescent="0.2">
      <c r="A50" s="148" t="s">
        <v>75</v>
      </c>
      <c r="B50" s="148"/>
      <c r="C50" s="148"/>
      <c r="D50" s="147" t="s">
        <v>76</v>
      </c>
      <c r="E50" s="147"/>
      <c r="F50" s="147"/>
      <c r="G50" s="37"/>
      <c r="H50" s="147" t="s">
        <v>75</v>
      </c>
      <c r="I50" s="147"/>
      <c r="J50" s="147"/>
      <c r="K50" s="147" t="s">
        <v>76</v>
      </c>
      <c r="L50" s="147"/>
      <c r="S50" s="146" t="s">
        <v>76</v>
      </c>
      <c r="T50" s="146"/>
    </row>
    <row r="51" spans="1:23" ht="20.100000000000001" customHeight="1" x14ac:dyDescent="0.2">
      <c r="A51" s="117" t="s">
        <v>373</v>
      </c>
      <c r="B51" s="117"/>
      <c r="C51" s="117"/>
      <c r="D51" s="108" t="s">
        <v>74</v>
      </c>
      <c r="E51" s="108"/>
      <c r="F51" s="108"/>
      <c r="G51" s="32"/>
      <c r="H51" s="32"/>
      <c r="I51" s="32"/>
      <c r="J51" s="32"/>
      <c r="K51" s="32"/>
      <c r="L51" s="32"/>
    </row>
    <row r="52" spans="1:23" ht="20.100000000000001" customHeight="1" x14ac:dyDescent="0.2">
      <c r="A52" s="147" t="s">
        <v>75</v>
      </c>
      <c r="B52" s="147"/>
      <c r="C52" s="147"/>
      <c r="D52" s="146" t="s">
        <v>76</v>
      </c>
      <c r="E52" s="146"/>
      <c r="F52" s="146"/>
      <c r="G52" s="35"/>
      <c r="H52" s="35"/>
      <c r="I52" s="32"/>
      <c r="J52" s="32"/>
      <c r="K52" s="32"/>
      <c r="L52" s="32"/>
    </row>
  </sheetData>
  <sheetProtection sheet="1" objects="1" scenarios="1"/>
  <mergeCells count="258"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14:O14"/>
    <mergeCell ref="N15:O15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Z52"/>
  <sheetViews>
    <sheetView view="pageBreakPreview" topLeftCell="A10" zoomScale="75" zoomScaleNormal="75" zoomScaleSheetLayoutView="50" workbookViewId="0">
      <selection activeCell="K19" sqref="K19:K42"/>
    </sheetView>
  </sheetViews>
  <sheetFormatPr defaultRowHeight="18.75" x14ac:dyDescent="0.2"/>
  <cols>
    <col min="1" max="1" width="11.140625" style="2" customWidth="1"/>
    <col min="2" max="2" width="14.28515625" style="2" customWidth="1"/>
    <col min="3" max="3" width="12.140625" style="2" customWidth="1"/>
    <col min="4" max="4" width="14" style="2" customWidth="1"/>
    <col min="5" max="5" width="5.42578125" style="2" customWidth="1"/>
    <col min="6" max="6" width="15.140625" style="2" customWidth="1"/>
    <col min="7" max="7" width="14.140625" style="2" customWidth="1"/>
    <col min="8" max="8" width="16.28515625" style="2" customWidth="1"/>
    <col min="9" max="9" width="8.28515625" style="2" customWidth="1"/>
    <col min="10" max="10" width="8.85546875" style="2" customWidth="1"/>
    <col min="11" max="11" width="9.5703125" style="2" customWidth="1"/>
    <col min="12" max="12" width="18.14062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4" t="s">
        <v>157</v>
      </c>
      <c r="B1" s="94"/>
      <c r="C1" s="94"/>
      <c r="D1" s="94"/>
      <c r="E1" s="94"/>
      <c r="F1" s="94"/>
      <c r="G1" s="123" t="s">
        <v>154</v>
      </c>
      <c r="H1" s="123"/>
      <c r="I1" s="94" t="s">
        <v>160</v>
      </c>
      <c r="J1" s="94"/>
      <c r="K1" s="94"/>
      <c r="L1" s="94"/>
      <c r="M1" s="99" t="s">
        <v>96</v>
      </c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ht="21.75" customHeight="1" x14ac:dyDescent="0.2">
      <c r="A2" s="119" t="s">
        <v>45</v>
      </c>
      <c r="B2" s="119"/>
      <c r="C2" s="119"/>
      <c r="D2" s="119"/>
      <c r="E2" s="119"/>
      <c r="F2" s="119"/>
      <c r="G2" s="123"/>
      <c r="H2" s="123"/>
      <c r="I2" s="94"/>
      <c r="J2" s="94"/>
      <c r="K2" s="94"/>
      <c r="L2" s="94"/>
      <c r="M2" s="99" t="s">
        <v>78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ht="21.75" customHeight="1" x14ac:dyDescent="0.2">
      <c r="A3" s="94" t="s">
        <v>158</v>
      </c>
      <c r="B3" s="120"/>
      <c r="C3" s="120"/>
      <c r="D3" s="120"/>
      <c r="E3" s="120"/>
      <c r="F3" s="120"/>
      <c r="G3" s="123" t="s">
        <v>155</v>
      </c>
      <c r="H3" s="123"/>
      <c r="I3" s="94" t="s">
        <v>203</v>
      </c>
      <c r="J3" s="94"/>
      <c r="K3" s="94"/>
      <c r="L3" s="94"/>
      <c r="M3" s="100" t="s">
        <v>79</v>
      </c>
      <c r="N3" s="101" t="s">
        <v>81</v>
      </c>
      <c r="O3" s="100"/>
      <c r="P3" s="101" t="s">
        <v>65</v>
      </c>
      <c r="Q3" s="100"/>
      <c r="R3" s="101" t="s">
        <v>82</v>
      </c>
      <c r="S3" s="100"/>
      <c r="T3" s="101" t="s">
        <v>85</v>
      </c>
      <c r="U3" s="100"/>
      <c r="V3" s="101" t="s">
        <v>87</v>
      </c>
      <c r="W3" s="100"/>
      <c r="X3" s="86" t="s">
        <v>91</v>
      </c>
      <c r="Y3" s="105"/>
      <c r="Z3" s="105"/>
    </row>
    <row r="4" spans="1:26" ht="29.25" customHeight="1" x14ac:dyDescent="0.2">
      <c r="A4" s="119" t="s">
        <v>46</v>
      </c>
      <c r="B4" s="119"/>
      <c r="C4" s="119"/>
      <c r="D4" s="119"/>
      <c r="E4" s="119"/>
      <c r="F4" s="119"/>
      <c r="G4" s="123"/>
      <c r="H4" s="123"/>
      <c r="I4" s="94"/>
      <c r="J4" s="94"/>
      <c r="K4" s="94"/>
      <c r="L4" s="94"/>
      <c r="M4" s="95"/>
      <c r="N4" s="90"/>
      <c r="O4" s="95"/>
      <c r="P4" s="90"/>
      <c r="Q4" s="95"/>
      <c r="R4" s="90" t="s">
        <v>83</v>
      </c>
      <c r="S4" s="95"/>
      <c r="T4" s="90" t="s">
        <v>86</v>
      </c>
      <c r="U4" s="95"/>
      <c r="V4" s="90" t="s">
        <v>88</v>
      </c>
      <c r="W4" s="95"/>
      <c r="X4" s="86"/>
      <c r="Y4" s="105"/>
      <c r="Z4" s="105"/>
    </row>
    <row r="5" spans="1:26" ht="21.75" customHeight="1" x14ac:dyDescent="0.2">
      <c r="A5" s="94" t="s">
        <v>178</v>
      </c>
      <c r="B5" s="120"/>
      <c r="C5" s="120"/>
      <c r="D5" s="120"/>
      <c r="E5" s="120"/>
      <c r="F5" s="120"/>
      <c r="G5" s="123" t="s">
        <v>156</v>
      </c>
      <c r="H5" s="123"/>
      <c r="I5" s="94" t="s">
        <v>202</v>
      </c>
      <c r="J5" s="94"/>
      <c r="K5" s="94"/>
      <c r="L5" s="94"/>
      <c r="M5" s="95" t="s">
        <v>80</v>
      </c>
      <c r="N5" s="90"/>
      <c r="O5" s="95"/>
      <c r="P5" s="90" t="s">
        <v>182</v>
      </c>
      <c r="Q5" s="95"/>
      <c r="R5" s="106" t="s">
        <v>84</v>
      </c>
      <c r="S5" s="107"/>
      <c r="T5" s="106" t="s">
        <v>84</v>
      </c>
      <c r="U5" s="107"/>
      <c r="V5" s="90" t="s">
        <v>89</v>
      </c>
      <c r="W5" s="95"/>
      <c r="X5" s="86"/>
      <c r="Y5" s="105"/>
      <c r="Z5" s="105"/>
    </row>
    <row r="6" spans="1:26" ht="21.75" customHeight="1" x14ac:dyDescent="0.2">
      <c r="A6" s="119" t="s">
        <v>47</v>
      </c>
      <c r="B6" s="119"/>
      <c r="C6" s="119"/>
      <c r="D6" s="119"/>
      <c r="E6" s="119"/>
      <c r="F6" s="119"/>
      <c r="G6" s="123"/>
      <c r="H6" s="123"/>
      <c r="I6" s="94"/>
      <c r="J6" s="94"/>
      <c r="K6" s="94"/>
      <c r="L6" s="94"/>
      <c r="M6" s="96"/>
      <c r="N6" s="92"/>
      <c r="O6" s="96"/>
      <c r="P6" s="92"/>
      <c r="Q6" s="96"/>
      <c r="R6" s="92"/>
      <c r="S6" s="96"/>
      <c r="T6" s="92"/>
      <c r="U6" s="96"/>
      <c r="V6" s="92" t="s">
        <v>90</v>
      </c>
      <c r="W6" s="96"/>
      <c r="X6" s="86"/>
      <c r="Y6" s="105"/>
      <c r="Z6" s="105"/>
    </row>
    <row r="7" spans="1:26" ht="21.75" customHeight="1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84"/>
      <c r="O7" s="85"/>
      <c r="P7" s="84"/>
      <c r="Q7" s="85"/>
      <c r="R7" s="84"/>
      <c r="S7" s="85"/>
      <c r="T7" s="84"/>
      <c r="U7" s="85"/>
      <c r="V7" s="84"/>
      <c r="W7" s="85"/>
      <c r="X7" s="84"/>
      <c r="Y7" s="88"/>
      <c r="Z7" s="88"/>
    </row>
    <row r="8" spans="1:26" ht="22.5" customHeight="1" x14ac:dyDescent="0.2">
      <c r="A8" s="116" t="s">
        <v>48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84"/>
      <c r="O8" s="85"/>
      <c r="P8" s="84"/>
      <c r="Q8" s="85"/>
      <c r="R8" s="84"/>
      <c r="S8" s="85"/>
      <c r="T8" s="84"/>
      <c r="U8" s="85"/>
      <c r="V8" s="84"/>
      <c r="W8" s="85"/>
      <c r="X8" s="84"/>
      <c r="Y8" s="88"/>
      <c r="Z8" s="88"/>
    </row>
    <row r="9" spans="1:26" ht="22.5" customHeight="1" x14ac:dyDescent="0.2">
      <c r="A9" s="129" t="s">
        <v>49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9"/>
      <c r="N9" s="84"/>
      <c r="O9" s="85"/>
      <c r="P9" s="84"/>
      <c r="Q9" s="85"/>
      <c r="R9" s="84"/>
      <c r="S9" s="85"/>
      <c r="T9" s="84"/>
      <c r="U9" s="85"/>
      <c r="V9" s="84"/>
      <c r="W9" s="85"/>
      <c r="X9" s="84"/>
      <c r="Y9" s="88"/>
      <c r="Z9" s="88"/>
    </row>
    <row r="10" spans="1:26" ht="22.5" customHeight="1" x14ac:dyDescent="0.2">
      <c r="A10" s="124" t="s">
        <v>112</v>
      </c>
      <c r="B10" s="124"/>
      <c r="C10" s="124"/>
      <c r="D10" s="124"/>
      <c r="E10" s="135" t="s">
        <v>375</v>
      </c>
      <c r="F10" s="136"/>
      <c r="G10" s="136"/>
      <c r="H10" s="111" t="s">
        <v>376</v>
      </c>
      <c r="I10" s="111"/>
      <c r="J10" s="111"/>
      <c r="K10" s="111"/>
      <c r="L10" s="111"/>
      <c r="M10" s="9"/>
      <c r="N10" s="84"/>
      <c r="O10" s="85"/>
      <c r="P10" s="84"/>
      <c r="Q10" s="85"/>
      <c r="R10" s="84"/>
      <c r="S10" s="85"/>
      <c r="T10" s="84"/>
      <c r="U10" s="85"/>
      <c r="V10" s="84"/>
      <c r="W10" s="85"/>
      <c r="X10" s="84"/>
      <c r="Y10" s="88"/>
      <c r="Z10" s="88"/>
    </row>
    <row r="11" spans="1:26" ht="22.5" customHeight="1" x14ac:dyDescent="0.2">
      <c r="A11" s="124" t="s">
        <v>113</v>
      </c>
      <c r="B11" s="124"/>
      <c r="C11" s="124"/>
      <c r="D11" s="124"/>
      <c r="E11" s="134" t="s">
        <v>222</v>
      </c>
      <c r="F11" s="134"/>
      <c r="G11" s="134"/>
      <c r="H11" s="134"/>
      <c r="I11" s="111" t="s">
        <v>114</v>
      </c>
      <c r="J11" s="111"/>
      <c r="K11" s="111"/>
      <c r="L11" s="111"/>
      <c r="M11" s="9"/>
      <c r="N11" s="84"/>
      <c r="O11" s="85"/>
      <c r="P11" s="84"/>
      <c r="Q11" s="85"/>
      <c r="R11" s="84"/>
      <c r="S11" s="85"/>
      <c r="T11" s="84"/>
      <c r="U11" s="85"/>
      <c r="V11" s="84"/>
      <c r="W11" s="85"/>
      <c r="X11" s="84"/>
      <c r="Y11" s="88"/>
      <c r="Z11" s="88"/>
    </row>
    <row r="12" spans="1:26" ht="21.75" customHeight="1" x14ac:dyDescent="0.2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9"/>
      <c r="N12" s="84"/>
      <c r="O12" s="85"/>
      <c r="P12" s="84"/>
      <c r="Q12" s="85"/>
      <c r="R12" s="84"/>
      <c r="S12" s="85"/>
      <c r="T12" s="84"/>
      <c r="U12" s="85"/>
      <c r="V12" s="84"/>
      <c r="W12" s="85"/>
      <c r="X12" s="84"/>
      <c r="Y12" s="88"/>
      <c r="Z12" s="88"/>
    </row>
    <row r="13" spans="1:26" ht="21.75" customHeight="1" x14ac:dyDescent="0.2">
      <c r="A13" s="171" t="s">
        <v>50</v>
      </c>
      <c r="B13" s="156" t="s">
        <v>56</v>
      </c>
      <c r="C13" s="157"/>
      <c r="D13" s="165" t="s">
        <v>190</v>
      </c>
      <c r="E13" s="166"/>
      <c r="F13" s="156" t="s">
        <v>59</v>
      </c>
      <c r="G13" s="157"/>
      <c r="H13" s="40" t="s">
        <v>190</v>
      </c>
      <c r="I13" s="168" t="s">
        <v>5</v>
      </c>
      <c r="J13" s="156" t="s">
        <v>60</v>
      </c>
      <c r="K13" s="171"/>
      <c r="L13" s="41" t="s">
        <v>65</v>
      </c>
      <c r="M13" s="9"/>
      <c r="N13" s="84"/>
      <c r="O13" s="85"/>
      <c r="P13" s="84"/>
      <c r="Q13" s="85"/>
      <c r="R13" s="84"/>
      <c r="S13" s="85"/>
      <c r="T13" s="84"/>
      <c r="U13" s="85"/>
      <c r="V13" s="84"/>
      <c r="W13" s="85"/>
      <c r="X13" s="84"/>
      <c r="Y13" s="88"/>
      <c r="Z13" s="88"/>
    </row>
    <row r="14" spans="1:26" ht="21.75" customHeight="1" x14ac:dyDescent="0.2">
      <c r="A14" s="172"/>
      <c r="B14" s="158" t="s">
        <v>57</v>
      </c>
      <c r="C14" s="159"/>
      <c r="D14" s="160" t="s">
        <v>218</v>
      </c>
      <c r="E14" s="161"/>
      <c r="F14" s="158" t="s">
        <v>57</v>
      </c>
      <c r="G14" s="159"/>
      <c r="H14" s="42" t="s">
        <v>218</v>
      </c>
      <c r="I14" s="169"/>
      <c r="J14" s="158" t="s">
        <v>61</v>
      </c>
      <c r="K14" s="172"/>
      <c r="L14" s="41" t="s">
        <v>66</v>
      </c>
      <c r="M14" s="9"/>
      <c r="N14" s="84"/>
      <c r="O14" s="85"/>
      <c r="P14" s="84"/>
      <c r="Q14" s="85"/>
      <c r="R14" s="84"/>
      <c r="S14" s="85"/>
      <c r="T14" s="84"/>
      <c r="U14" s="85"/>
      <c r="V14" s="84"/>
      <c r="W14" s="85"/>
      <c r="X14" s="84"/>
      <c r="Y14" s="88"/>
      <c r="Z14" s="88"/>
    </row>
    <row r="15" spans="1:26" ht="21.75" customHeight="1" x14ac:dyDescent="0.2">
      <c r="A15" s="172"/>
      <c r="B15" s="162" t="s">
        <v>58</v>
      </c>
      <c r="C15" s="163"/>
      <c r="D15" s="175">
        <v>12000</v>
      </c>
      <c r="E15" s="176"/>
      <c r="F15" s="162" t="s">
        <v>58</v>
      </c>
      <c r="G15" s="163"/>
      <c r="H15" s="43">
        <v>12000</v>
      </c>
      <c r="I15" s="169"/>
      <c r="J15" s="162" t="s">
        <v>62</v>
      </c>
      <c r="K15" s="173"/>
      <c r="L15" s="41" t="s">
        <v>67</v>
      </c>
      <c r="M15" s="9"/>
      <c r="N15" s="84"/>
      <c r="O15" s="85"/>
      <c r="P15" s="84"/>
      <c r="Q15" s="85"/>
      <c r="R15" s="84"/>
      <c r="S15" s="85"/>
      <c r="T15" s="84"/>
      <c r="U15" s="85"/>
      <c r="V15" s="84"/>
      <c r="W15" s="85"/>
      <c r="X15" s="84"/>
      <c r="Y15" s="88"/>
      <c r="Z15" s="88"/>
    </row>
    <row r="16" spans="1:26" ht="21.75" customHeight="1" x14ac:dyDescent="0.2">
      <c r="A16" s="172"/>
      <c r="B16" s="44" t="s">
        <v>51</v>
      </c>
      <c r="C16" s="44" t="s">
        <v>53</v>
      </c>
      <c r="D16" s="44" t="s">
        <v>54</v>
      </c>
      <c r="E16" s="127"/>
      <c r="F16" s="44" t="s">
        <v>51</v>
      </c>
      <c r="G16" s="44" t="s">
        <v>53</v>
      </c>
      <c r="H16" s="45" t="s">
        <v>54</v>
      </c>
      <c r="I16" s="169"/>
      <c r="J16" s="127" t="s">
        <v>63</v>
      </c>
      <c r="K16" s="127" t="s">
        <v>64</v>
      </c>
      <c r="L16" s="41" t="s">
        <v>68</v>
      </c>
      <c r="M16" s="9"/>
      <c r="N16" s="84"/>
      <c r="O16" s="85"/>
      <c r="P16" s="84"/>
      <c r="Q16" s="85"/>
      <c r="R16" s="84"/>
      <c r="S16" s="85"/>
      <c r="T16" s="84"/>
      <c r="U16" s="85"/>
      <c r="V16" s="84"/>
      <c r="W16" s="85"/>
      <c r="X16" s="84"/>
      <c r="Y16" s="88"/>
      <c r="Z16" s="88"/>
    </row>
    <row r="17" spans="1:26" ht="21.75" customHeight="1" x14ac:dyDescent="0.2">
      <c r="A17" s="173"/>
      <c r="B17" s="46" t="s">
        <v>52</v>
      </c>
      <c r="C17" s="46" t="s">
        <v>51</v>
      </c>
      <c r="D17" s="46" t="s">
        <v>55</v>
      </c>
      <c r="E17" s="174"/>
      <c r="F17" s="46" t="s">
        <v>52</v>
      </c>
      <c r="G17" s="47" t="s">
        <v>51</v>
      </c>
      <c r="H17" s="48" t="s">
        <v>55</v>
      </c>
      <c r="I17" s="170"/>
      <c r="J17" s="128"/>
      <c r="K17" s="128"/>
      <c r="L17" s="41" t="s">
        <v>69</v>
      </c>
      <c r="M17" s="103" t="s">
        <v>92</v>
      </c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spans="1:26" ht="23.25" customHeight="1" x14ac:dyDescent="0.2">
      <c r="A18" s="49" t="s">
        <v>7</v>
      </c>
      <c r="B18" s="82">
        <v>9274.7926000000007</v>
      </c>
      <c r="C18" s="25"/>
      <c r="D18" s="24"/>
      <c r="E18" s="81"/>
      <c r="F18" s="82">
        <v>5892.7028</v>
      </c>
      <c r="G18" s="51"/>
      <c r="H18" s="50"/>
      <c r="I18" s="52"/>
      <c r="J18" s="39"/>
      <c r="K18" s="79"/>
      <c r="L18" s="53"/>
      <c r="M18" s="100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1" t="s">
        <v>91</v>
      </c>
      <c r="X18" s="104"/>
      <c r="Y18" s="104"/>
      <c r="Z18" s="104"/>
    </row>
    <row r="19" spans="1:26" ht="23.25" customHeight="1" x14ac:dyDescent="0.2">
      <c r="A19" s="49" t="s">
        <v>8</v>
      </c>
      <c r="B19" s="82">
        <v>9274.8786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8.5999999999330612E-2</v>
      </c>
      <c r="D19" s="24">
        <f t="shared" ref="D19:D42" si="1">IF(C19="","",C19*$D$15)</f>
        <v>1031.9999999919673</v>
      </c>
      <c r="E19" s="81"/>
      <c r="F19" s="82">
        <v>5892.7856000000002</v>
      </c>
      <c r="G19" s="51">
        <f>F19-ReportObject3_3</f>
        <v>8.2800000000133878E-2</v>
      </c>
      <c r="H19" s="50">
        <f t="shared" ref="H19:H42" si="2">IF(G19="","",G19*$H$15)</f>
        <v>993.60000000160653</v>
      </c>
      <c r="I19" s="52">
        <f t="shared" ref="I19:I42" si="3">IF(H19="","",IF(D19="","",IF(AND(H19=0,D19=0),0,H19/D19)))</f>
        <v>0.96279069768346925</v>
      </c>
      <c r="J19" s="39"/>
      <c r="K19" s="83">
        <v>6.326905</v>
      </c>
      <c r="L19" s="53"/>
      <c r="M19" s="95"/>
      <c r="N19" s="89"/>
      <c r="O19" s="89"/>
      <c r="P19" s="89"/>
      <c r="Q19" s="89" t="s">
        <v>108</v>
      </c>
      <c r="R19" s="89"/>
      <c r="S19" s="89"/>
      <c r="T19" s="89"/>
      <c r="U19" s="89"/>
      <c r="V19" s="89"/>
      <c r="W19" s="90"/>
      <c r="X19" s="99"/>
      <c r="Y19" s="99"/>
      <c r="Z19" s="99"/>
    </row>
    <row r="20" spans="1:26" ht="23.25" customHeight="1" x14ac:dyDescent="0.2">
      <c r="A20" s="49" t="s">
        <v>9</v>
      </c>
      <c r="B20" s="82">
        <v>9274.9609999999993</v>
      </c>
      <c r="C20" s="25">
        <f t="shared" si="0"/>
        <v>8.2399999999324791E-2</v>
      </c>
      <c r="D20" s="24">
        <f t="shared" si="1"/>
        <v>988.79999999189749</v>
      </c>
      <c r="E20" s="81"/>
      <c r="F20" s="82">
        <v>5892.8684000000003</v>
      </c>
      <c r="G20" s="51">
        <f>F20-F19</f>
        <v>8.2800000000133878E-2</v>
      </c>
      <c r="H20" s="50">
        <f t="shared" si="2"/>
        <v>993.60000000160653</v>
      </c>
      <c r="I20" s="52">
        <f t="shared" si="3"/>
        <v>1.0048543689418976</v>
      </c>
      <c r="J20" s="39"/>
      <c r="K20" s="83">
        <v>6.4124369999999997</v>
      </c>
      <c r="L20" s="53"/>
      <c r="M20" s="95" t="s">
        <v>80</v>
      </c>
      <c r="N20" s="89" t="s">
        <v>99</v>
      </c>
      <c r="O20" s="89"/>
      <c r="P20" s="89"/>
      <c r="Q20" s="89" t="s">
        <v>181</v>
      </c>
      <c r="R20" s="89"/>
      <c r="S20" s="89"/>
      <c r="T20" s="89" t="s">
        <v>94</v>
      </c>
      <c r="U20" s="89"/>
      <c r="V20" s="89"/>
      <c r="W20" s="90"/>
      <c r="X20" s="99"/>
      <c r="Y20" s="99"/>
      <c r="Z20" s="99"/>
    </row>
    <row r="21" spans="1:26" ht="23.25" customHeight="1" x14ac:dyDescent="0.2">
      <c r="A21" s="49" t="s">
        <v>10</v>
      </c>
      <c r="B21" s="82">
        <v>9275.0416000000005</v>
      </c>
      <c r="C21" s="25">
        <f t="shared" si="0"/>
        <v>8.060000000114087E-2</v>
      </c>
      <c r="D21" s="24">
        <f t="shared" si="1"/>
        <v>967.20000001369044</v>
      </c>
      <c r="E21" s="81"/>
      <c r="F21" s="82">
        <v>5892.9507000000003</v>
      </c>
      <c r="G21" s="51">
        <f t="shared" ref="G21:G42" si="4">F21-F20</f>
        <v>8.2300000000032014E-2</v>
      </c>
      <c r="H21" s="50">
        <f t="shared" si="2"/>
        <v>987.60000000038417</v>
      </c>
      <c r="I21" s="52">
        <f t="shared" si="3"/>
        <v>1.021091811400336</v>
      </c>
      <c r="J21" s="39"/>
      <c r="K21" s="83">
        <v>6.418342</v>
      </c>
      <c r="L21" s="53"/>
      <c r="M21" s="96"/>
      <c r="N21" s="91"/>
      <c r="O21" s="91"/>
      <c r="P21" s="91"/>
      <c r="Q21" s="91"/>
      <c r="R21" s="91"/>
      <c r="S21" s="91"/>
      <c r="T21" s="91"/>
      <c r="U21" s="91"/>
      <c r="V21" s="91"/>
      <c r="W21" s="92"/>
      <c r="X21" s="103"/>
      <c r="Y21" s="103"/>
      <c r="Z21" s="103"/>
    </row>
    <row r="22" spans="1:26" ht="23.25" customHeight="1" x14ac:dyDescent="0.2">
      <c r="A22" s="49" t="s">
        <v>11</v>
      </c>
      <c r="B22" s="82">
        <v>9275.1223000000009</v>
      </c>
      <c r="C22" s="25">
        <f t="shared" si="0"/>
        <v>8.0700000000433647E-2</v>
      </c>
      <c r="D22" s="24">
        <f t="shared" si="1"/>
        <v>968.40000000520376</v>
      </c>
      <c r="E22" s="81"/>
      <c r="F22" s="82">
        <v>5893.0339000000004</v>
      </c>
      <c r="G22" s="51">
        <f t="shared" si="4"/>
        <v>8.3200000000033469E-2</v>
      </c>
      <c r="H22" s="50">
        <f t="shared" si="2"/>
        <v>998.40000000040163</v>
      </c>
      <c r="I22" s="52">
        <f t="shared" si="3"/>
        <v>1.0309789343195339</v>
      </c>
      <c r="J22" s="39"/>
      <c r="K22" s="83">
        <v>6.2409280000000003</v>
      </c>
      <c r="L22" s="53"/>
      <c r="M22" s="9"/>
      <c r="N22" s="97"/>
      <c r="O22" s="97"/>
      <c r="P22" s="97"/>
      <c r="Q22" s="97"/>
      <c r="R22" s="97"/>
      <c r="S22" s="97"/>
      <c r="T22" s="97"/>
      <c r="U22" s="97"/>
      <c r="V22" s="97"/>
      <c r="W22" s="84"/>
      <c r="X22" s="88"/>
      <c r="Y22" s="88"/>
      <c r="Z22" s="88"/>
    </row>
    <row r="23" spans="1:26" ht="23.25" customHeight="1" x14ac:dyDescent="0.2">
      <c r="A23" s="49" t="s">
        <v>12</v>
      </c>
      <c r="B23" s="82">
        <v>9275.2005000000008</v>
      </c>
      <c r="C23" s="25">
        <f t="shared" si="0"/>
        <v>7.819999999992433E-2</v>
      </c>
      <c r="D23" s="24">
        <f t="shared" si="1"/>
        <v>938.39999999909196</v>
      </c>
      <c r="E23" s="81"/>
      <c r="F23" s="82">
        <v>5893.1162000000004</v>
      </c>
      <c r="G23" s="51">
        <f t="shared" si="4"/>
        <v>8.2300000000032014E-2</v>
      </c>
      <c r="H23" s="50">
        <f t="shared" si="2"/>
        <v>987.60000000038417</v>
      </c>
      <c r="I23" s="52">
        <f t="shared" si="3"/>
        <v>1.0524296675206093</v>
      </c>
      <c r="J23" s="39"/>
      <c r="K23" s="83">
        <v>6.461163</v>
      </c>
      <c r="L23" s="53"/>
      <c r="M23" s="9"/>
      <c r="N23" s="97"/>
      <c r="O23" s="97"/>
      <c r="P23" s="97"/>
      <c r="Q23" s="97"/>
      <c r="R23" s="97"/>
      <c r="S23" s="97"/>
      <c r="T23" s="97"/>
      <c r="U23" s="97"/>
      <c r="V23" s="97"/>
      <c r="W23" s="84"/>
      <c r="X23" s="88"/>
      <c r="Y23" s="88"/>
      <c r="Z23" s="88"/>
    </row>
    <row r="24" spans="1:26" ht="23.25" customHeight="1" x14ac:dyDescent="0.2">
      <c r="A24" s="49" t="s">
        <v>13</v>
      </c>
      <c r="B24" s="82">
        <v>9275.2710000000006</v>
      </c>
      <c r="C24" s="25">
        <f t="shared" si="0"/>
        <v>7.0499999999810825E-2</v>
      </c>
      <c r="D24" s="24">
        <f t="shared" si="1"/>
        <v>845.9999999977299</v>
      </c>
      <c r="E24" s="81"/>
      <c r="F24" s="82">
        <v>5893.1943000000001</v>
      </c>
      <c r="G24" s="51">
        <f t="shared" si="4"/>
        <v>7.8099999999722058E-2</v>
      </c>
      <c r="H24" s="50">
        <f t="shared" si="2"/>
        <v>937.1999999966647</v>
      </c>
      <c r="I24" s="52">
        <f t="shared" si="3"/>
        <v>1.1078014184387466</v>
      </c>
      <c r="J24" s="39"/>
      <c r="K24" s="83">
        <v>6.4758290000000001</v>
      </c>
      <c r="L24" s="53"/>
      <c r="M24" s="9"/>
      <c r="N24" s="97"/>
      <c r="O24" s="97"/>
      <c r="P24" s="97"/>
      <c r="Q24" s="97"/>
      <c r="R24" s="97"/>
      <c r="S24" s="97"/>
      <c r="T24" s="97"/>
      <c r="U24" s="97"/>
      <c r="V24" s="97"/>
      <c r="W24" s="84"/>
      <c r="X24" s="88"/>
      <c r="Y24" s="88"/>
      <c r="Z24" s="88"/>
    </row>
    <row r="25" spans="1:26" ht="23.25" customHeight="1" x14ac:dyDescent="0.2">
      <c r="A25" s="49" t="s">
        <v>14</v>
      </c>
      <c r="B25" s="82">
        <v>9275.3644000000004</v>
      </c>
      <c r="C25" s="25">
        <f t="shared" si="0"/>
        <v>9.3399999999746797E-2</v>
      </c>
      <c r="D25" s="24">
        <f t="shared" si="1"/>
        <v>1120.7999999969616</v>
      </c>
      <c r="E25" s="81"/>
      <c r="F25" s="82">
        <v>5893.2811000000002</v>
      </c>
      <c r="G25" s="51">
        <f t="shared" si="4"/>
        <v>8.680000000003929E-2</v>
      </c>
      <c r="H25" s="50">
        <f t="shared" si="2"/>
        <v>1041.6000000004715</v>
      </c>
      <c r="I25" s="52">
        <f t="shared" si="3"/>
        <v>0.92933618843977084</v>
      </c>
      <c r="J25" s="39"/>
      <c r="K25" s="83">
        <v>6.4319850000000001</v>
      </c>
      <c r="L25" s="53"/>
      <c r="M25" s="9"/>
      <c r="N25" s="97"/>
      <c r="O25" s="97"/>
      <c r="P25" s="97"/>
      <c r="Q25" s="97"/>
      <c r="R25" s="97"/>
      <c r="S25" s="97"/>
      <c r="T25" s="97"/>
      <c r="U25" s="97"/>
      <c r="V25" s="97"/>
      <c r="W25" s="84"/>
      <c r="X25" s="88"/>
      <c r="Y25" s="88"/>
      <c r="Z25" s="88"/>
    </row>
    <row r="26" spans="1:26" ht="23.25" customHeight="1" x14ac:dyDescent="0.2">
      <c r="A26" s="49" t="s">
        <v>15</v>
      </c>
      <c r="B26" s="82">
        <v>9275.4796000000006</v>
      </c>
      <c r="C26" s="25">
        <f t="shared" si="0"/>
        <v>0.11520000000018626</v>
      </c>
      <c r="D26" s="24">
        <f t="shared" si="1"/>
        <v>1382.4000000022352</v>
      </c>
      <c r="E26" s="81"/>
      <c r="F26" s="82">
        <v>5893.3783999999996</v>
      </c>
      <c r="G26" s="51">
        <f t="shared" si="4"/>
        <v>9.7299999999449938E-2</v>
      </c>
      <c r="H26" s="50">
        <f t="shared" si="2"/>
        <v>1167.5999999933993</v>
      </c>
      <c r="I26" s="52">
        <f t="shared" si="3"/>
        <v>0.84461805554941505</v>
      </c>
      <c r="J26" s="39"/>
      <c r="K26" s="83">
        <v>6.347073</v>
      </c>
      <c r="L26" s="53"/>
      <c r="M26" s="9"/>
      <c r="N26" s="97"/>
      <c r="O26" s="97"/>
      <c r="P26" s="97"/>
      <c r="Q26" s="97"/>
      <c r="R26" s="97"/>
      <c r="S26" s="97"/>
      <c r="T26" s="97"/>
      <c r="U26" s="97"/>
      <c r="V26" s="97"/>
      <c r="W26" s="84"/>
      <c r="X26" s="88"/>
      <c r="Y26" s="88"/>
      <c r="Z26" s="88"/>
    </row>
    <row r="27" spans="1:26" ht="23.25" customHeight="1" x14ac:dyDescent="0.2">
      <c r="A27" s="49" t="s">
        <v>16</v>
      </c>
      <c r="B27" s="82">
        <v>9275.6090999999997</v>
      </c>
      <c r="C27" s="25">
        <f t="shared" si="0"/>
        <v>0.12949999999909778</v>
      </c>
      <c r="D27" s="24">
        <f t="shared" si="1"/>
        <v>1553.9999999891734</v>
      </c>
      <c r="E27" s="81"/>
      <c r="F27" s="82">
        <v>5893.4795999999997</v>
      </c>
      <c r="G27" s="51">
        <f t="shared" si="4"/>
        <v>0.10120000000006257</v>
      </c>
      <c r="H27" s="50">
        <f t="shared" si="2"/>
        <v>1214.4000000007509</v>
      </c>
      <c r="I27" s="52">
        <f t="shared" si="3"/>
        <v>0.78146718147310912</v>
      </c>
      <c r="J27" s="39"/>
      <c r="K27" s="83">
        <v>6.2139979999999992</v>
      </c>
      <c r="L27" s="53"/>
      <c r="M27" s="9"/>
      <c r="N27" s="97"/>
      <c r="O27" s="97"/>
      <c r="P27" s="97"/>
      <c r="Q27" s="97"/>
      <c r="R27" s="97"/>
      <c r="S27" s="97"/>
      <c r="T27" s="97"/>
      <c r="U27" s="97"/>
      <c r="V27" s="97"/>
      <c r="W27" s="84"/>
      <c r="X27" s="88"/>
      <c r="Y27" s="88"/>
      <c r="Z27" s="88"/>
    </row>
    <row r="28" spans="1:26" ht="23.25" customHeight="1" x14ac:dyDescent="0.2">
      <c r="A28" s="49" t="s">
        <v>17</v>
      </c>
      <c r="B28" s="82">
        <v>9275.7083000000002</v>
      </c>
      <c r="C28" s="25">
        <f t="shared" si="0"/>
        <v>9.9200000000564614E-2</v>
      </c>
      <c r="D28" s="24">
        <f t="shared" si="1"/>
        <v>1190.4000000067754</v>
      </c>
      <c r="E28" s="81"/>
      <c r="F28" s="82">
        <v>5893.5653000000002</v>
      </c>
      <c r="G28" s="51">
        <f t="shared" si="4"/>
        <v>8.5700000000542786E-2</v>
      </c>
      <c r="H28" s="50">
        <f t="shared" si="2"/>
        <v>1028.4000000065134</v>
      </c>
      <c r="I28" s="52">
        <f t="shared" si="3"/>
        <v>0.86391129032313518</v>
      </c>
      <c r="J28" s="39"/>
      <c r="K28" s="83">
        <v>6.167478</v>
      </c>
      <c r="L28" s="53"/>
      <c r="M28" s="9"/>
      <c r="N28" s="97"/>
      <c r="O28" s="97"/>
      <c r="P28" s="97"/>
      <c r="Q28" s="97"/>
      <c r="R28" s="97"/>
      <c r="S28" s="97"/>
      <c r="T28" s="97"/>
      <c r="U28" s="97"/>
      <c r="V28" s="97"/>
      <c r="W28" s="84"/>
      <c r="X28" s="88"/>
      <c r="Y28" s="88"/>
      <c r="Z28" s="88"/>
    </row>
    <row r="29" spans="1:26" ht="23.25" customHeight="1" x14ac:dyDescent="0.2">
      <c r="A29" s="49" t="s">
        <v>18</v>
      </c>
      <c r="B29" s="82">
        <v>9275.8011000000006</v>
      </c>
      <c r="C29" s="25">
        <f t="shared" si="0"/>
        <v>9.2800000000352156E-2</v>
      </c>
      <c r="D29" s="24">
        <f t="shared" si="1"/>
        <v>1113.6000000042259</v>
      </c>
      <c r="E29" s="81"/>
      <c r="F29" s="82">
        <v>5893.6480000000001</v>
      </c>
      <c r="G29" s="51">
        <f t="shared" si="4"/>
        <v>8.2699999999931606E-2</v>
      </c>
      <c r="H29" s="50">
        <f t="shared" si="2"/>
        <v>992.39999999917927</v>
      </c>
      <c r="I29" s="52">
        <f t="shared" si="3"/>
        <v>0.89116379309932947</v>
      </c>
      <c r="J29" s="39"/>
      <c r="K29" s="83">
        <v>6.1520820000000001</v>
      </c>
      <c r="L29" s="53"/>
      <c r="M29" s="118" t="s">
        <v>95</v>
      </c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23.25" customHeight="1" x14ac:dyDescent="0.2">
      <c r="A30" s="49" t="s">
        <v>19</v>
      </c>
      <c r="B30" s="82">
        <v>9275.8973999999998</v>
      </c>
      <c r="C30" s="25">
        <f t="shared" si="0"/>
        <v>9.6299999999246211E-2</v>
      </c>
      <c r="D30" s="24">
        <f t="shared" si="1"/>
        <v>1155.5999999909545</v>
      </c>
      <c r="E30" s="81"/>
      <c r="F30" s="82">
        <v>5893.7335000000003</v>
      </c>
      <c r="G30" s="51">
        <f t="shared" si="4"/>
        <v>8.5500000000138243E-2</v>
      </c>
      <c r="H30" s="50">
        <f t="shared" si="2"/>
        <v>1026.0000000016589</v>
      </c>
      <c r="I30" s="52">
        <f t="shared" si="3"/>
        <v>0.8878504672981048</v>
      </c>
      <c r="J30" s="39"/>
      <c r="K30" s="83">
        <v>6.1710240000000001</v>
      </c>
      <c r="L30" s="53"/>
      <c r="M30" s="99" t="s">
        <v>97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23.25" customHeight="1" x14ac:dyDescent="0.2">
      <c r="A31" s="49" t="s">
        <v>20</v>
      </c>
      <c r="B31" s="82">
        <v>9275.9907000000003</v>
      </c>
      <c r="C31" s="25">
        <f t="shared" si="0"/>
        <v>9.330000000045402E-2</v>
      </c>
      <c r="D31" s="24">
        <f t="shared" si="1"/>
        <v>1119.6000000054482</v>
      </c>
      <c r="E31" s="81"/>
      <c r="F31" s="82">
        <v>5893.8158000000003</v>
      </c>
      <c r="G31" s="51">
        <f t="shared" si="4"/>
        <v>8.2300000000032014E-2</v>
      </c>
      <c r="H31" s="50">
        <f t="shared" si="2"/>
        <v>987.60000000038417</v>
      </c>
      <c r="I31" s="52">
        <f t="shared" si="3"/>
        <v>0.88210075026400347</v>
      </c>
      <c r="J31" s="39"/>
      <c r="K31" s="83">
        <v>6.2041589999999998</v>
      </c>
      <c r="L31" s="53"/>
      <c r="M31" s="100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179</v>
      </c>
      <c r="W31" s="98"/>
      <c r="X31" s="98"/>
      <c r="Y31" s="98" t="s">
        <v>91</v>
      </c>
      <c r="Z31" s="101"/>
    </row>
    <row r="32" spans="1:26" ht="23.25" customHeight="1" x14ac:dyDescent="0.2">
      <c r="A32" s="49" t="s">
        <v>21</v>
      </c>
      <c r="B32" s="82">
        <v>9276.0843999999997</v>
      </c>
      <c r="C32" s="25">
        <f t="shared" si="0"/>
        <v>9.3699999999444117E-2</v>
      </c>
      <c r="D32" s="24">
        <f t="shared" si="1"/>
        <v>1124.3999999933294</v>
      </c>
      <c r="E32" s="81"/>
      <c r="F32" s="82">
        <v>5893.9014999999999</v>
      </c>
      <c r="G32" s="51">
        <f t="shared" si="4"/>
        <v>8.5699999999633292E-2</v>
      </c>
      <c r="H32" s="50">
        <f t="shared" si="2"/>
        <v>1028.3999999955995</v>
      </c>
      <c r="I32" s="52">
        <f t="shared" si="3"/>
        <v>0.91462113127152311</v>
      </c>
      <c r="J32" s="39"/>
      <c r="K32" s="83">
        <v>6.0501100000000001</v>
      </c>
      <c r="L32" s="53"/>
      <c r="M32" s="95"/>
      <c r="N32" s="89"/>
      <c r="O32" s="89"/>
      <c r="P32" s="89" t="s">
        <v>83</v>
      </c>
      <c r="Q32" s="89"/>
      <c r="R32" s="89" t="s">
        <v>102</v>
      </c>
      <c r="S32" s="89"/>
      <c r="T32" s="89" t="s">
        <v>104</v>
      </c>
      <c r="U32" s="89"/>
      <c r="V32" s="89" t="s">
        <v>105</v>
      </c>
      <c r="W32" s="89"/>
      <c r="X32" s="89"/>
      <c r="Y32" s="89"/>
      <c r="Z32" s="90"/>
    </row>
    <row r="33" spans="1:26" ht="23.25" customHeight="1" x14ac:dyDescent="0.2">
      <c r="A33" s="49" t="s">
        <v>22</v>
      </c>
      <c r="B33" s="82">
        <v>9276.1759999999995</v>
      </c>
      <c r="C33" s="25">
        <f t="shared" si="0"/>
        <v>9.1599999999743886E-2</v>
      </c>
      <c r="D33" s="24">
        <f t="shared" si="1"/>
        <v>1099.1999999969266</v>
      </c>
      <c r="E33" s="81"/>
      <c r="F33" s="82">
        <v>5893.9865</v>
      </c>
      <c r="G33" s="51">
        <f t="shared" si="4"/>
        <v>8.500000000003638E-2</v>
      </c>
      <c r="H33" s="50">
        <f t="shared" si="2"/>
        <v>1020.0000000004366</v>
      </c>
      <c r="I33" s="52">
        <f t="shared" si="3"/>
        <v>0.92794759825626683</v>
      </c>
      <c r="J33" s="39"/>
      <c r="K33" s="83">
        <v>6.0204409999999999</v>
      </c>
      <c r="L33" s="53"/>
      <c r="M33" s="95" t="s">
        <v>80</v>
      </c>
      <c r="N33" s="89" t="s">
        <v>99</v>
      </c>
      <c r="O33" s="89"/>
      <c r="P33" s="89" t="s">
        <v>101</v>
      </c>
      <c r="Q33" s="89"/>
      <c r="R33" s="89" t="s">
        <v>69</v>
      </c>
      <c r="S33" s="89"/>
      <c r="T33" s="89" t="s">
        <v>69</v>
      </c>
      <c r="U33" s="89"/>
      <c r="V33" s="89" t="s">
        <v>106</v>
      </c>
      <c r="W33" s="89"/>
      <c r="X33" s="89"/>
      <c r="Y33" s="89"/>
      <c r="Z33" s="90"/>
    </row>
    <row r="34" spans="1:26" ht="23.25" customHeight="1" x14ac:dyDescent="0.2">
      <c r="A34" s="49" t="s">
        <v>23</v>
      </c>
      <c r="B34" s="82">
        <v>9276.2726999999995</v>
      </c>
      <c r="C34" s="25">
        <f t="shared" si="0"/>
        <v>9.6700000000055297E-2</v>
      </c>
      <c r="D34" s="24">
        <f t="shared" si="1"/>
        <v>1160.4000000006636</v>
      </c>
      <c r="E34" s="81"/>
      <c r="F34" s="82">
        <v>5894.0752000000002</v>
      </c>
      <c r="G34" s="51">
        <f t="shared" si="4"/>
        <v>8.8700000000244472E-2</v>
      </c>
      <c r="H34" s="50">
        <f t="shared" si="2"/>
        <v>1064.4000000029337</v>
      </c>
      <c r="I34" s="52">
        <f t="shared" si="3"/>
        <v>0.91726990693064892</v>
      </c>
      <c r="J34" s="39"/>
      <c r="K34" s="83">
        <v>5.8952020000000003</v>
      </c>
      <c r="L34" s="53"/>
      <c r="M34" s="96"/>
      <c r="N34" s="91"/>
      <c r="O34" s="91"/>
      <c r="P34" s="91"/>
      <c r="Q34" s="91"/>
      <c r="R34" s="92"/>
      <c r="S34" s="96"/>
      <c r="T34" s="92"/>
      <c r="U34" s="96"/>
      <c r="V34" s="92"/>
      <c r="W34" s="103"/>
      <c r="X34" s="96"/>
      <c r="Y34" s="91"/>
      <c r="Z34" s="92"/>
    </row>
    <row r="35" spans="1:26" ht="23.25" customHeight="1" x14ac:dyDescent="0.2">
      <c r="A35" s="49" t="s">
        <v>24</v>
      </c>
      <c r="B35" s="82">
        <v>9276.3693999999996</v>
      </c>
      <c r="C35" s="25">
        <f t="shared" si="0"/>
        <v>9.6700000000055297E-2</v>
      </c>
      <c r="D35" s="24">
        <f t="shared" si="1"/>
        <v>1160.4000000006636</v>
      </c>
      <c r="E35" s="81"/>
      <c r="F35" s="82">
        <v>5894.1632</v>
      </c>
      <c r="G35" s="51">
        <f t="shared" si="4"/>
        <v>8.7999999999738066E-2</v>
      </c>
      <c r="H35" s="50">
        <f t="shared" si="2"/>
        <v>1055.9999999968568</v>
      </c>
      <c r="I35" s="52">
        <f t="shared" si="3"/>
        <v>0.91003102378167267</v>
      </c>
      <c r="J35" s="39"/>
      <c r="K35" s="83">
        <v>6.0330409999999999</v>
      </c>
      <c r="L35" s="53"/>
      <c r="M35" s="9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84"/>
    </row>
    <row r="36" spans="1:26" ht="23.25" customHeight="1" x14ac:dyDescent="0.2">
      <c r="A36" s="49" t="s">
        <v>25</v>
      </c>
      <c r="B36" s="82">
        <v>9276.4601999999995</v>
      </c>
      <c r="C36" s="25">
        <f t="shared" si="0"/>
        <v>9.0799999999944703E-2</v>
      </c>
      <c r="D36" s="24">
        <f t="shared" si="1"/>
        <v>1089.5999999993364</v>
      </c>
      <c r="E36" s="81"/>
      <c r="F36" s="82">
        <v>5894.2469000000001</v>
      </c>
      <c r="G36" s="51">
        <f t="shared" si="4"/>
        <v>8.3700000000135333E-2</v>
      </c>
      <c r="H36" s="50">
        <f t="shared" si="2"/>
        <v>1004.400000001624</v>
      </c>
      <c r="I36" s="52">
        <f t="shared" si="3"/>
        <v>0.92180616740293286</v>
      </c>
      <c r="J36" s="39"/>
      <c r="K36" s="83">
        <v>6.206874</v>
      </c>
      <c r="L36" s="53"/>
      <c r="M36" s="9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84"/>
    </row>
    <row r="37" spans="1:26" ht="23.25" customHeight="1" x14ac:dyDescent="0.2">
      <c r="A37" s="49" t="s">
        <v>26</v>
      </c>
      <c r="B37" s="82">
        <v>9276.5547000000006</v>
      </c>
      <c r="C37" s="25">
        <f t="shared" si="0"/>
        <v>9.450000000106229E-2</v>
      </c>
      <c r="D37" s="24">
        <f t="shared" si="1"/>
        <v>1134.0000000127475</v>
      </c>
      <c r="E37" s="81"/>
      <c r="F37" s="82">
        <v>5894.3311999999996</v>
      </c>
      <c r="G37" s="51">
        <f t="shared" si="4"/>
        <v>8.4299999999529973E-2</v>
      </c>
      <c r="H37" s="50">
        <f t="shared" si="2"/>
        <v>1011.5999999943597</v>
      </c>
      <c r="I37" s="52">
        <f t="shared" si="3"/>
        <v>0.89206349204849045</v>
      </c>
      <c r="J37" s="39"/>
      <c r="K37" s="83">
        <v>6.1773490000000004</v>
      </c>
      <c r="L37" s="53"/>
      <c r="M37" s="9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84"/>
    </row>
    <row r="38" spans="1:26" ht="23.25" customHeight="1" x14ac:dyDescent="0.2">
      <c r="A38" s="49" t="s">
        <v>27</v>
      </c>
      <c r="B38" s="82">
        <v>9276.6463999999996</v>
      </c>
      <c r="C38" s="25">
        <f t="shared" si="0"/>
        <v>9.1699999999036663E-2</v>
      </c>
      <c r="D38" s="24">
        <f t="shared" si="1"/>
        <v>1100.39999998844</v>
      </c>
      <c r="E38" s="81"/>
      <c r="F38" s="82">
        <v>5894.4142000000002</v>
      </c>
      <c r="G38" s="51">
        <f t="shared" si="4"/>
        <v>8.3000000000538421E-2</v>
      </c>
      <c r="H38" s="50">
        <f t="shared" si="2"/>
        <v>996.00000000646105</v>
      </c>
      <c r="I38" s="52">
        <f t="shared" si="3"/>
        <v>0.90512540895758298</v>
      </c>
      <c r="J38" s="39"/>
      <c r="K38" s="83">
        <v>6.1899679999999995</v>
      </c>
      <c r="L38" s="53"/>
      <c r="M38" s="9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84"/>
    </row>
    <row r="39" spans="1:26" ht="23.25" customHeight="1" x14ac:dyDescent="0.2">
      <c r="A39" s="49" t="s">
        <v>28</v>
      </c>
      <c r="B39" s="82">
        <v>9276.7315999999992</v>
      </c>
      <c r="C39" s="25">
        <f t="shared" si="0"/>
        <v>8.5199999999531428E-2</v>
      </c>
      <c r="D39" s="24">
        <f t="shared" si="1"/>
        <v>1022.3999999943771</v>
      </c>
      <c r="E39" s="81"/>
      <c r="F39" s="82">
        <v>5894.4912999999997</v>
      </c>
      <c r="G39" s="51">
        <f t="shared" si="4"/>
        <v>7.7099999999518332E-2</v>
      </c>
      <c r="H39" s="50">
        <f t="shared" si="2"/>
        <v>925.19999999421998</v>
      </c>
      <c r="I39" s="52">
        <f t="shared" si="3"/>
        <v>0.90492957746411218</v>
      </c>
      <c r="J39" s="39"/>
      <c r="K39" s="83">
        <v>6.2445699999999995</v>
      </c>
      <c r="L39" s="53"/>
      <c r="M39" s="9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84"/>
    </row>
    <row r="40" spans="1:26" ht="23.25" customHeight="1" x14ac:dyDescent="0.2">
      <c r="A40" s="49" t="s">
        <v>29</v>
      </c>
      <c r="B40" s="82">
        <v>9276.8155999999999</v>
      </c>
      <c r="C40" s="25">
        <f t="shared" si="0"/>
        <v>8.4000000000742148E-2</v>
      </c>
      <c r="D40" s="24">
        <f t="shared" si="1"/>
        <v>1008.0000000089058</v>
      </c>
      <c r="E40" s="81"/>
      <c r="F40" s="82">
        <v>5894.5637999999999</v>
      </c>
      <c r="G40" s="51">
        <f t="shared" si="4"/>
        <v>7.2500000000218279E-2</v>
      </c>
      <c r="H40" s="50">
        <f t="shared" si="2"/>
        <v>870.00000000261934</v>
      </c>
      <c r="I40" s="52">
        <f t="shared" si="3"/>
        <v>0.86309523809021116</v>
      </c>
      <c r="J40" s="39"/>
      <c r="K40" s="83">
        <v>6.2975519999999996</v>
      </c>
      <c r="L40" s="53"/>
      <c r="M40" s="99" t="s">
        <v>109</v>
      </c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ht="23.25" customHeight="1" x14ac:dyDescent="0.2">
      <c r="A41" s="49" t="s">
        <v>30</v>
      </c>
      <c r="B41" s="82">
        <v>9276.9190999999992</v>
      </c>
      <c r="C41" s="25">
        <f t="shared" si="0"/>
        <v>0.10349999999925785</v>
      </c>
      <c r="D41" s="24">
        <f t="shared" si="1"/>
        <v>1241.9999999910942</v>
      </c>
      <c r="E41" s="81"/>
      <c r="F41" s="82">
        <v>5894.6449000000002</v>
      </c>
      <c r="G41" s="51">
        <f t="shared" si="4"/>
        <v>8.1100000000333239E-2</v>
      </c>
      <c r="H41" s="50">
        <f t="shared" si="2"/>
        <v>973.20000000399887</v>
      </c>
      <c r="I41" s="52">
        <f t="shared" si="3"/>
        <v>0.78357487923589142</v>
      </c>
      <c r="J41" s="39"/>
      <c r="K41" s="83">
        <v>6.2778499999999999</v>
      </c>
      <c r="L41" s="53"/>
      <c r="M41" s="100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1"/>
    </row>
    <row r="42" spans="1:26" ht="23.25" customHeight="1" x14ac:dyDescent="0.2">
      <c r="A42" s="49" t="s">
        <v>31</v>
      </c>
      <c r="B42" s="82">
        <v>9277.0146000000004</v>
      </c>
      <c r="C42" s="25">
        <f t="shared" si="0"/>
        <v>9.5500000001266017E-2</v>
      </c>
      <c r="D42" s="24">
        <f t="shared" si="1"/>
        <v>1146.0000000151922</v>
      </c>
      <c r="E42" s="81"/>
      <c r="F42" s="82">
        <v>5894.7268999999997</v>
      </c>
      <c r="G42" s="51">
        <f t="shared" si="4"/>
        <v>8.1999999999425199E-2</v>
      </c>
      <c r="H42" s="50">
        <f t="shared" si="2"/>
        <v>983.99999999310239</v>
      </c>
      <c r="I42" s="52">
        <f t="shared" si="3"/>
        <v>0.85863874343809576</v>
      </c>
      <c r="J42" s="39"/>
      <c r="K42" s="83">
        <v>6.3173979999999998</v>
      </c>
      <c r="L42" s="53"/>
      <c r="M42" s="95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90"/>
    </row>
    <row r="43" spans="1:26" ht="22.5" customHeight="1" x14ac:dyDescent="0.2">
      <c r="A43" s="167" t="s">
        <v>70</v>
      </c>
      <c r="B43" s="167"/>
      <c r="C43" s="167"/>
      <c r="D43" s="50">
        <f>SUM(D18:D42)</f>
        <v>26663.999999997031</v>
      </c>
      <c r="E43" s="39"/>
      <c r="F43" s="54"/>
      <c r="G43" s="39"/>
      <c r="H43" s="50">
        <f>SUM(H18:H42)</f>
        <v>24289.199999995617</v>
      </c>
      <c r="I43" s="52">
        <f>IF(AND(H43=0,D43=0),0,H43/D43)</f>
        <v>0.91093609360929795</v>
      </c>
      <c r="J43" s="39"/>
      <c r="K43" s="39"/>
      <c r="L43" s="53"/>
      <c r="M43" s="95" t="s">
        <v>80</v>
      </c>
      <c r="N43" s="89" t="s">
        <v>99</v>
      </c>
      <c r="O43" s="89"/>
      <c r="P43" s="89" t="s">
        <v>110</v>
      </c>
      <c r="Q43" s="89"/>
      <c r="R43" s="89"/>
      <c r="S43" s="89"/>
      <c r="T43" s="89"/>
      <c r="U43" s="89"/>
      <c r="V43" s="89"/>
      <c r="W43" s="89"/>
      <c r="X43" s="89" t="s">
        <v>110</v>
      </c>
      <c r="Y43" s="89"/>
      <c r="Z43" s="90"/>
    </row>
    <row r="44" spans="1:26" ht="22.5" customHeight="1" x14ac:dyDescent="0.2">
      <c r="A44" s="164" t="s">
        <v>71</v>
      </c>
      <c r="B44" s="164"/>
      <c r="C44" s="164"/>
      <c r="D44" s="39"/>
      <c r="E44" s="39"/>
      <c r="F44" s="54"/>
      <c r="G44" s="39"/>
      <c r="H44" s="39"/>
      <c r="I44" s="39"/>
      <c r="J44" s="39"/>
      <c r="K44" s="39"/>
      <c r="L44" s="53"/>
      <c r="M44" s="96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2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84"/>
      <c r="O45" s="85"/>
      <c r="P45" s="84"/>
      <c r="Q45" s="88"/>
      <c r="R45" s="85"/>
      <c r="S45" s="7"/>
      <c r="T45" s="84"/>
      <c r="U45" s="88"/>
      <c r="V45" s="88"/>
      <c r="W45" s="85"/>
      <c r="X45" s="84"/>
      <c r="Y45" s="88"/>
      <c r="Z45" s="88"/>
    </row>
    <row r="46" spans="1:26" ht="22.5" customHeight="1" x14ac:dyDescent="0.2">
      <c r="A46" s="155" t="s">
        <v>72</v>
      </c>
      <c r="B46" s="155"/>
      <c r="C46" s="155"/>
      <c r="D46" s="155"/>
      <c r="E46" s="155"/>
      <c r="F46" s="155"/>
      <c r="G46" s="177" t="s">
        <v>73</v>
      </c>
      <c r="H46" s="177"/>
      <c r="I46" s="177"/>
      <c r="J46" s="177"/>
      <c r="K46" s="177"/>
      <c r="L46" s="177"/>
      <c r="M46" s="9"/>
      <c r="N46" s="84"/>
      <c r="O46" s="85"/>
      <c r="P46" s="84"/>
      <c r="Q46" s="88"/>
      <c r="R46" s="85"/>
      <c r="S46" s="7"/>
      <c r="T46" s="84"/>
      <c r="U46" s="88"/>
      <c r="V46" s="88"/>
      <c r="W46" s="85"/>
      <c r="X46" s="84"/>
      <c r="Y46" s="88"/>
      <c r="Z46" s="88"/>
    </row>
    <row r="47" spans="1:26" ht="22.5" customHeight="1" x14ac:dyDescent="0.2">
      <c r="A47" s="117" t="s">
        <v>371</v>
      </c>
      <c r="B47" s="117"/>
      <c r="C47" s="117"/>
      <c r="D47" s="108" t="s">
        <v>74</v>
      </c>
      <c r="E47" s="108"/>
      <c r="F47" s="108"/>
      <c r="G47" s="56"/>
      <c r="H47" s="56"/>
      <c r="I47" s="56"/>
      <c r="J47" s="56"/>
      <c r="K47" s="56"/>
      <c r="L47" s="56"/>
      <c r="M47" s="9"/>
      <c r="N47" s="84"/>
      <c r="O47" s="85"/>
      <c r="P47" s="84"/>
      <c r="Q47" s="88"/>
      <c r="R47" s="85"/>
      <c r="S47" s="7"/>
      <c r="T47" s="84"/>
      <c r="U47" s="88"/>
      <c r="V47" s="88"/>
      <c r="W47" s="85"/>
      <c r="X47" s="84"/>
      <c r="Y47" s="88"/>
      <c r="Z47" s="88"/>
    </row>
    <row r="48" spans="1:26" ht="22.5" customHeight="1" x14ac:dyDescent="0.2">
      <c r="A48" s="148" t="s">
        <v>75</v>
      </c>
      <c r="B48" s="148"/>
      <c r="C48" s="148"/>
      <c r="D48" s="147" t="s">
        <v>76</v>
      </c>
      <c r="E48" s="147"/>
      <c r="F48" s="147"/>
      <c r="G48" s="55"/>
      <c r="H48" s="55"/>
      <c r="I48" s="55"/>
      <c r="J48" s="55"/>
      <c r="K48" s="55"/>
      <c r="L48" s="55"/>
    </row>
    <row r="49" spans="1:23" ht="22.5" customHeight="1" x14ac:dyDescent="0.2">
      <c r="A49" s="117" t="s">
        <v>372</v>
      </c>
      <c r="B49" s="117"/>
      <c r="C49" s="117"/>
      <c r="D49" s="108" t="s">
        <v>74</v>
      </c>
      <c r="E49" s="108"/>
      <c r="F49" s="108"/>
      <c r="G49" s="55"/>
      <c r="H49" s="155" t="s">
        <v>183</v>
      </c>
      <c r="I49" s="155"/>
      <c r="J49" s="155"/>
      <c r="K49" s="155" t="s">
        <v>77</v>
      </c>
      <c r="L49" s="155"/>
      <c r="N49" s="150" t="s">
        <v>150</v>
      </c>
      <c r="O49" s="150"/>
      <c r="P49" s="150"/>
      <c r="Q49" s="149" t="s">
        <v>370</v>
      </c>
      <c r="R49" s="149"/>
      <c r="S49" s="149"/>
      <c r="T49" s="149"/>
      <c r="U49" s="149"/>
      <c r="V49" s="149"/>
      <c r="W49" s="1"/>
    </row>
    <row r="50" spans="1:23" ht="22.5" customHeight="1" x14ac:dyDescent="0.2">
      <c r="A50" s="148" t="s">
        <v>75</v>
      </c>
      <c r="B50" s="148"/>
      <c r="C50" s="148"/>
      <c r="D50" s="147" t="s">
        <v>76</v>
      </c>
      <c r="E50" s="147"/>
      <c r="F50" s="147"/>
      <c r="G50" s="58"/>
      <c r="H50" s="148" t="s">
        <v>75</v>
      </c>
      <c r="I50" s="148"/>
      <c r="J50" s="148"/>
      <c r="K50" s="148" t="s">
        <v>76</v>
      </c>
      <c r="L50" s="148"/>
      <c r="S50" s="146" t="s">
        <v>76</v>
      </c>
      <c r="T50" s="146"/>
    </row>
    <row r="51" spans="1:23" ht="20.100000000000001" customHeight="1" x14ac:dyDescent="0.2">
      <c r="A51" s="117" t="s">
        <v>373</v>
      </c>
      <c r="B51" s="117"/>
      <c r="C51" s="117"/>
      <c r="D51" s="108" t="s">
        <v>74</v>
      </c>
      <c r="E51" s="108"/>
      <c r="F51" s="108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47" t="s">
        <v>75</v>
      </c>
      <c r="B52" s="147"/>
      <c r="C52" s="147"/>
      <c r="D52" s="146" t="s">
        <v>76</v>
      </c>
      <c r="E52" s="146"/>
      <c r="F52" s="146"/>
      <c r="G52" s="59"/>
      <c r="H52" s="59"/>
      <c r="I52" s="55"/>
      <c r="J52" s="55"/>
      <c r="K52" s="55"/>
      <c r="L52" s="55"/>
    </row>
  </sheetData>
  <sheetProtection sheet="1" objects="1" scenarios="1"/>
  <mergeCells count="258"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D49:F49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H10:L10"/>
    <mergeCell ref="D13:E13"/>
    <mergeCell ref="E10:G10"/>
    <mergeCell ref="A43:C43"/>
    <mergeCell ref="I13:I17"/>
    <mergeCell ref="J13:K13"/>
    <mergeCell ref="J14:K14"/>
    <mergeCell ref="J15:K15"/>
    <mergeCell ref="I3:L4"/>
    <mergeCell ref="A11:D11"/>
    <mergeCell ref="E11:H11"/>
    <mergeCell ref="A10:D10"/>
    <mergeCell ref="H50:J50"/>
    <mergeCell ref="K50:L50"/>
    <mergeCell ref="A12:L12"/>
    <mergeCell ref="A47:C47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X7:Z7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N10:O10"/>
    <mergeCell ref="N11:O11"/>
    <mergeCell ref="P7:Q7"/>
    <mergeCell ref="P8:Q8"/>
    <mergeCell ref="M20:M21"/>
    <mergeCell ref="M31:M32"/>
    <mergeCell ref="N16:O16"/>
    <mergeCell ref="N12:O12"/>
    <mergeCell ref="N13:O13"/>
    <mergeCell ref="M18:M19"/>
    <mergeCell ref="N20:P21"/>
    <mergeCell ref="P13:Q13"/>
    <mergeCell ref="N28:P28"/>
    <mergeCell ref="Q28:S28"/>
    <mergeCell ref="P16:Q16"/>
    <mergeCell ref="M17:Z17"/>
    <mergeCell ref="W18:Z21"/>
    <mergeCell ref="X15:Z15"/>
    <mergeCell ref="Q18:S18"/>
    <mergeCell ref="R16:S16"/>
    <mergeCell ref="V15:W15"/>
    <mergeCell ref="V16:W16"/>
    <mergeCell ref="T16:U16"/>
    <mergeCell ref="N24:P24"/>
    <mergeCell ref="W24:Z24"/>
    <mergeCell ref="N25:P25"/>
    <mergeCell ref="Q24:S24"/>
    <mergeCell ref="N22:P22"/>
    <mergeCell ref="V7:W7"/>
    <mergeCell ref="T10:U10"/>
    <mergeCell ref="P9:Q9"/>
    <mergeCell ref="P10:Q10"/>
    <mergeCell ref="P11:Q11"/>
    <mergeCell ref="R11:S11"/>
    <mergeCell ref="V9:W9"/>
    <mergeCell ref="V10:W10"/>
    <mergeCell ref="T11:U11"/>
    <mergeCell ref="R9:S9"/>
    <mergeCell ref="R10:S10"/>
    <mergeCell ref="T9:U9"/>
    <mergeCell ref="V11:W11"/>
    <mergeCell ref="P3:Q4"/>
    <mergeCell ref="R3:S3"/>
    <mergeCell ref="R4:S4"/>
    <mergeCell ref="R5:S5"/>
    <mergeCell ref="R6:S6"/>
    <mergeCell ref="V3:W3"/>
    <mergeCell ref="V4:W4"/>
    <mergeCell ref="V5:W5"/>
    <mergeCell ref="V6:W6"/>
    <mergeCell ref="R12:S12"/>
    <mergeCell ref="R13:S13"/>
    <mergeCell ref="P12:Q12"/>
    <mergeCell ref="M1:Z1"/>
    <mergeCell ref="M2:Z2"/>
    <mergeCell ref="X3:Z6"/>
    <mergeCell ref="M5:M6"/>
    <mergeCell ref="M3:M4"/>
    <mergeCell ref="T6:U6"/>
    <mergeCell ref="N7:O7"/>
    <mergeCell ref="N8:O8"/>
    <mergeCell ref="N9:O9"/>
    <mergeCell ref="P5:Q6"/>
    <mergeCell ref="N3:O6"/>
    <mergeCell ref="T3:U3"/>
    <mergeCell ref="T4:U4"/>
    <mergeCell ref="T5:U5"/>
    <mergeCell ref="T7:U7"/>
    <mergeCell ref="R7:S7"/>
    <mergeCell ref="R8:S8"/>
    <mergeCell ref="X9:Z9"/>
    <mergeCell ref="X10:Z10"/>
    <mergeCell ref="T8:U8"/>
    <mergeCell ref="V8:W8"/>
    <mergeCell ref="T25:V25"/>
    <mergeCell ref="Q22:S22"/>
    <mergeCell ref="T33:U33"/>
    <mergeCell ref="R31:S31"/>
    <mergeCell ref="R32:S32"/>
    <mergeCell ref="N31:O32"/>
    <mergeCell ref="N33:O34"/>
    <mergeCell ref="N23:P23"/>
    <mergeCell ref="V12:W12"/>
    <mergeCell ref="T14:U14"/>
    <mergeCell ref="R34:S34"/>
    <mergeCell ref="T34:U34"/>
    <mergeCell ref="V34:X34"/>
    <mergeCell ref="T24:V24"/>
    <mergeCell ref="T12:U12"/>
    <mergeCell ref="T13:U13"/>
    <mergeCell ref="R14:S14"/>
    <mergeCell ref="P34:Q34"/>
    <mergeCell ref="Q25:S25"/>
    <mergeCell ref="W25:Z25"/>
    <mergeCell ref="T27:V27"/>
    <mergeCell ref="N27:P27"/>
    <mergeCell ref="W27:Z27"/>
    <mergeCell ref="N26:P26"/>
    <mergeCell ref="X11:Z11"/>
    <mergeCell ref="X12:Z12"/>
    <mergeCell ref="X13:Z13"/>
    <mergeCell ref="X14:Z14"/>
    <mergeCell ref="X16:Z16"/>
    <mergeCell ref="T15:U15"/>
    <mergeCell ref="R15:S15"/>
    <mergeCell ref="T23:V23"/>
    <mergeCell ref="W23:Z23"/>
    <mergeCell ref="Q23:S23"/>
    <mergeCell ref="P15:Q15"/>
    <mergeCell ref="T22:V22"/>
    <mergeCell ref="Q19:S19"/>
    <mergeCell ref="N18:P19"/>
    <mergeCell ref="W22:Z22"/>
    <mergeCell ref="T20:V21"/>
    <mergeCell ref="Q21:S21"/>
    <mergeCell ref="N14:O14"/>
    <mergeCell ref="N15:O15"/>
    <mergeCell ref="Q20:S20"/>
    <mergeCell ref="P14:Q14"/>
    <mergeCell ref="T18:V19"/>
    <mergeCell ref="V14:W14"/>
    <mergeCell ref="V13:W13"/>
    <mergeCell ref="Q26:S26"/>
    <mergeCell ref="T26:V26"/>
    <mergeCell ref="P31:Q31"/>
    <mergeCell ref="P32:Q32"/>
    <mergeCell ref="P33:Q33"/>
    <mergeCell ref="W28:Z28"/>
    <mergeCell ref="T28:V28"/>
    <mergeCell ref="W26:Z26"/>
    <mergeCell ref="Q27:S27"/>
    <mergeCell ref="P38:Q38"/>
    <mergeCell ref="R38:S38"/>
    <mergeCell ref="T38:U38"/>
    <mergeCell ref="N37:O37"/>
    <mergeCell ref="P37:Q37"/>
    <mergeCell ref="R37:S37"/>
    <mergeCell ref="T37:U37"/>
    <mergeCell ref="Y35:Z35"/>
    <mergeCell ref="N36:O36"/>
    <mergeCell ref="P36:Q36"/>
    <mergeCell ref="R36:S36"/>
    <mergeCell ref="T36:U36"/>
    <mergeCell ref="V36:X36"/>
    <mergeCell ref="Y36:Z36"/>
    <mergeCell ref="V37:X37"/>
    <mergeCell ref="Y37:Z37"/>
    <mergeCell ref="N35:O35"/>
    <mergeCell ref="P35:Q35"/>
    <mergeCell ref="R35:S35"/>
    <mergeCell ref="T35:U35"/>
    <mergeCell ref="V35:X35"/>
    <mergeCell ref="I1:L2"/>
    <mergeCell ref="G5:H6"/>
    <mergeCell ref="I5:L6"/>
    <mergeCell ref="X46:Z46"/>
    <mergeCell ref="X47:Z47"/>
    <mergeCell ref="M43:M44"/>
    <mergeCell ref="N47:O47"/>
    <mergeCell ref="T45:W45"/>
    <mergeCell ref="T46:W46"/>
    <mergeCell ref="T47:W47"/>
    <mergeCell ref="N43:O44"/>
    <mergeCell ref="P43:R44"/>
    <mergeCell ref="X41:Z42"/>
    <mergeCell ref="X43:Z44"/>
    <mergeCell ref="R39:S39"/>
    <mergeCell ref="T39:U39"/>
    <mergeCell ref="V39:X39"/>
    <mergeCell ref="Y39:Z39"/>
    <mergeCell ref="S41:S44"/>
    <mergeCell ref="T41:W44"/>
    <mergeCell ref="X45:Z45"/>
    <mergeCell ref="V38:X38"/>
    <mergeCell ref="Y38:Z38"/>
    <mergeCell ref="N38:O38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Z53"/>
  <sheetViews>
    <sheetView view="pageBreakPreview" topLeftCell="A13" zoomScale="75" zoomScaleNormal="100" zoomScaleSheetLayoutView="75" workbookViewId="0">
      <selection activeCell="K19" sqref="K19:K42"/>
    </sheetView>
  </sheetViews>
  <sheetFormatPr defaultRowHeight="18.75" x14ac:dyDescent="0.2"/>
  <cols>
    <col min="1" max="1" width="11.140625" style="2" customWidth="1"/>
    <col min="2" max="2" width="15.140625" style="2" customWidth="1"/>
    <col min="3" max="3" width="14.8554687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0" width="8.85546875" style="2" customWidth="1"/>
    <col min="11" max="11" width="10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4" t="s">
        <v>157</v>
      </c>
      <c r="B1" s="94"/>
      <c r="C1" s="94"/>
      <c r="D1" s="94"/>
      <c r="E1" s="94"/>
      <c r="F1" s="94"/>
      <c r="G1" s="123" t="s">
        <v>154</v>
      </c>
      <c r="H1" s="123"/>
      <c r="I1" s="94" t="s">
        <v>160</v>
      </c>
      <c r="J1" s="94"/>
      <c r="K1" s="94"/>
      <c r="L1" s="94"/>
      <c r="M1" s="99" t="s">
        <v>96</v>
      </c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ht="21.75" customHeight="1" x14ac:dyDescent="0.2">
      <c r="A2" s="119" t="s">
        <v>45</v>
      </c>
      <c r="B2" s="119"/>
      <c r="C2" s="119"/>
      <c r="D2" s="119"/>
      <c r="E2" s="119"/>
      <c r="F2" s="119"/>
      <c r="G2" s="123"/>
      <c r="H2" s="123"/>
      <c r="I2" s="94"/>
      <c r="J2" s="94"/>
      <c r="K2" s="94"/>
      <c r="L2" s="94"/>
      <c r="M2" s="99" t="s">
        <v>78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ht="21.75" customHeight="1" x14ac:dyDescent="0.2">
      <c r="A3" s="94" t="s">
        <v>158</v>
      </c>
      <c r="B3" s="120"/>
      <c r="C3" s="120"/>
      <c r="D3" s="120"/>
      <c r="E3" s="120"/>
      <c r="F3" s="120"/>
      <c r="G3" s="123" t="s">
        <v>155</v>
      </c>
      <c r="H3" s="123"/>
      <c r="I3" s="94" t="s">
        <v>203</v>
      </c>
      <c r="J3" s="94"/>
      <c r="K3" s="94"/>
      <c r="L3" s="94"/>
      <c r="M3" s="100" t="s">
        <v>79</v>
      </c>
      <c r="N3" s="101" t="s">
        <v>81</v>
      </c>
      <c r="O3" s="100"/>
      <c r="P3" s="101" t="s">
        <v>65</v>
      </c>
      <c r="Q3" s="100"/>
      <c r="R3" s="101" t="s">
        <v>82</v>
      </c>
      <c r="S3" s="100"/>
      <c r="T3" s="101" t="s">
        <v>85</v>
      </c>
      <c r="U3" s="100"/>
      <c r="V3" s="101" t="s">
        <v>87</v>
      </c>
      <c r="W3" s="100"/>
      <c r="X3" s="86" t="s">
        <v>91</v>
      </c>
      <c r="Y3" s="105"/>
      <c r="Z3" s="105"/>
    </row>
    <row r="4" spans="1:26" ht="29.25" customHeight="1" x14ac:dyDescent="0.2">
      <c r="A4" s="119" t="s">
        <v>46</v>
      </c>
      <c r="B4" s="119"/>
      <c r="C4" s="119"/>
      <c r="D4" s="119"/>
      <c r="E4" s="119"/>
      <c r="F4" s="119"/>
      <c r="G4" s="123"/>
      <c r="H4" s="123"/>
      <c r="I4" s="94"/>
      <c r="J4" s="94"/>
      <c r="K4" s="94"/>
      <c r="L4" s="94"/>
      <c r="M4" s="95"/>
      <c r="N4" s="90"/>
      <c r="O4" s="95"/>
      <c r="P4" s="90"/>
      <c r="Q4" s="95"/>
      <c r="R4" s="90" t="s">
        <v>83</v>
      </c>
      <c r="S4" s="95"/>
      <c r="T4" s="90" t="s">
        <v>86</v>
      </c>
      <c r="U4" s="95"/>
      <c r="V4" s="90" t="s">
        <v>88</v>
      </c>
      <c r="W4" s="95"/>
      <c r="X4" s="86"/>
      <c r="Y4" s="105"/>
      <c r="Z4" s="105"/>
    </row>
    <row r="5" spans="1:26" ht="21.75" customHeight="1" x14ac:dyDescent="0.2">
      <c r="A5" s="94" t="s">
        <v>177</v>
      </c>
      <c r="B5" s="120"/>
      <c r="C5" s="120"/>
      <c r="D5" s="120"/>
      <c r="E5" s="120"/>
      <c r="F5" s="120"/>
      <c r="G5" s="123" t="s">
        <v>156</v>
      </c>
      <c r="H5" s="123"/>
      <c r="I5" s="94" t="s">
        <v>204</v>
      </c>
      <c r="J5" s="94"/>
      <c r="K5" s="94"/>
      <c r="L5" s="94"/>
      <c r="M5" s="95" t="s">
        <v>80</v>
      </c>
      <c r="N5" s="90"/>
      <c r="O5" s="95"/>
      <c r="P5" s="90" t="s">
        <v>182</v>
      </c>
      <c r="Q5" s="95"/>
      <c r="R5" s="106" t="s">
        <v>84</v>
      </c>
      <c r="S5" s="107"/>
      <c r="T5" s="106" t="s">
        <v>84</v>
      </c>
      <c r="U5" s="107"/>
      <c r="V5" s="90" t="s">
        <v>89</v>
      </c>
      <c r="W5" s="95"/>
      <c r="X5" s="86"/>
      <c r="Y5" s="105"/>
      <c r="Z5" s="105"/>
    </row>
    <row r="6" spans="1:26" ht="21.75" customHeight="1" x14ac:dyDescent="0.2">
      <c r="A6" s="119" t="s">
        <v>47</v>
      </c>
      <c r="B6" s="119"/>
      <c r="C6" s="119"/>
      <c r="D6" s="119"/>
      <c r="E6" s="119"/>
      <c r="F6" s="119"/>
      <c r="G6" s="123"/>
      <c r="H6" s="123"/>
      <c r="I6" s="94"/>
      <c r="J6" s="94"/>
      <c r="K6" s="94"/>
      <c r="L6" s="94"/>
      <c r="M6" s="96"/>
      <c r="N6" s="92"/>
      <c r="O6" s="96"/>
      <c r="P6" s="92"/>
      <c r="Q6" s="96"/>
      <c r="R6" s="92"/>
      <c r="S6" s="96"/>
      <c r="T6" s="92"/>
      <c r="U6" s="96"/>
      <c r="V6" s="92" t="s">
        <v>90</v>
      </c>
      <c r="W6" s="96"/>
      <c r="X6" s="86"/>
      <c r="Y6" s="105"/>
      <c r="Z6" s="105"/>
    </row>
    <row r="7" spans="1:26" ht="21.75" customHeight="1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84"/>
      <c r="O7" s="85"/>
      <c r="P7" s="84"/>
      <c r="Q7" s="85"/>
      <c r="R7" s="84"/>
      <c r="S7" s="85"/>
      <c r="T7" s="84"/>
      <c r="U7" s="85"/>
      <c r="V7" s="84"/>
      <c r="W7" s="85"/>
      <c r="X7" s="84"/>
      <c r="Y7" s="88"/>
      <c r="Z7" s="88"/>
    </row>
    <row r="8" spans="1:26" ht="22.5" customHeight="1" x14ac:dyDescent="0.2">
      <c r="A8" s="116" t="s">
        <v>48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84"/>
      <c r="O8" s="85"/>
      <c r="P8" s="84"/>
      <c r="Q8" s="85"/>
      <c r="R8" s="84"/>
      <c r="S8" s="85"/>
      <c r="T8" s="84"/>
      <c r="U8" s="85"/>
      <c r="V8" s="84"/>
      <c r="W8" s="85"/>
      <c r="X8" s="84"/>
      <c r="Y8" s="88"/>
      <c r="Z8" s="88"/>
    </row>
    <row r="9" spans="1:26" ht="22.5" customHeight="1" x14ac:dyDescent="0.2">
      <c r="A9" s="129" t="s">
        <v>49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9"/>
      <c r="N9" s="84"/>
      <c r="O9" s="85"/>
      <c r="P9" s="84"/>
      <c r="Q9" s="85"/>
      <c r="R9" s="84"/>
      <c r="S9" s="85"/>
      <c r="T9" s="84"/>
      <c r="U9" s="85"/>
      <c r="V9" s="84"/>
      <c r="W9" s="85"/>
      <c r="X9" s="84"/>
      <c r="Y9" s="88"/>
      <c r="Z9" s="88"/>
    </row>
    <row r="10" spans="1:26" ht="22.5" customHeight="1" x14ac:dyDescent="0.2">
      <c r="A10" s="124" t="s">
        <v>112</v>
      </c>
      <c r="B10" s="124"/>
      <c r="C10" s="124"/>
      <c r="D10" s="124"/>
      <c r="E10" s="135" t="s">
        <v>375</v>
      </c>
      <c r="F10" s="136"/>
      <c r="G10" s="136"/>
      <c r="H10" s="111" t="s">
        <v>376</v>
      </c>
      <c r="I10" s="111"/>
      <c r="J10" s="111"/>
      <c r="K10" s="111"/>
      <c r="L10" s="111"/>
      <c r="M10" s="9"/>
      <c r="N10" s="84"/>
      <c r="O10" s="85"/>
      <c r="P10" s="84"/>
      <c r="Q10" s="85"/>
      <c r="R10" s="84"/>
      <c r="S10" s="85"/>
      <c r="T10" s="84"/>
      <c r="U10" s="85"/>
      <c r="V10" s="84"/>
      <c r="W10" s="85"/>
      <c r="X10" s="84"/>
      <c r="Y10" s="88"/>
      <c r="Z10" s="88"/>
    </row>
    <row r="11" spans="1:26" ht="22.5" customHeight="1" x14ac:dyDescent="0.2">
      <c r="A11" s="124" t="s">
        <v>113</v>
      </c>
      <c r="B11" s="124"/>
      <c r="C11" s="124"/>
      <c r="D11" s="124"/>
      <c r="E11" s="134" t="s">
        <v>232</v>
      </c>
      <c r="F11" s="134"/>
      <c r="G11" s="134"/>
      <c r="H11" s="134"/>
      <c r="I11" s="111" t="s">
        <v>114</v>
      </c>
      <c r="J11" s="111"/>
      <c r="K11" s="111"/>
      <c r="L11" s="111"/>
      <c r="M11" s="9"/>
      <c r="N11" s="84"/>
      <c r="O11" s="85"/>
      <c r="P11" s="84"/>
      <c r="Q11" s="85"/>
      <c r="R11" s="84"/>
      <c r="S11" s="85"/>
      <c r="T11" s="84"/>
      <c r="U11" s="85"/>
      <c r="V11" s="84"/>
      <c r="W11" s="85"/>
      <c r="X11" s="84"/>
      <c r="Y11" s="88"/>
      <c r="Z11" s="88"/>
    </row>
    <row r="12" spans="1:26" ht="21.75" customHeight="1" x14ac:dyDescent="0.2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9"/>
      <c r="N12" s="84"/>
      <c r="O12" s="85"/>
      <c r="P12" s="84"/>
      <c r="Q12" s="85"/>
      <c r="R12" s="84"/>
      <c r="S12" s="85"/>
      <c r="T12" s="84"/>
      <c r="U12" s="85"/>
      <c r="V12" s="84"/>
      <c r="W12" s="85"/>
      <c r="X12" s="84"/>
      <c r="Y12" s="88"/>
      <c r="Z12" s="88"/>
    </row>
    <row r="13" spans="1:26" ht="21.75" customHeight="1" x14ac:dyDescent="0.2">
      <c r="A13" s="171" t="s">
        <v>50</v>
      </c>
      <c r="B13" s="156" t="s">
        <v>56</v>
      </c>
      <c r="C13" s="157"/>
      <c r="D13" s="165" t="s">
        <v>190</v>
      </c>
      <c r="E13" s="166"/>
      <c r="F13" s="156" t="s">
        <v>59</v>
      </c>
      <c r="G13" s="157"/>
      <c r="H13" s="40" t="s">
        <v>190</v>
      </c>
      <c r="I13" s="168" t="s">
        <v>5</v>
      </c>
      <c r="J13" s="156" t="s">
        <v>60</v>
      </c>
      <c r="K13" s="171"/>
      <c r="L13" s="41" t="s">
        <v>65</v>
      </c>
      <c r="M13" s="9"/>
      <c r="N13" s="84"/>
      <c r="O13" s="85"/>
      <c r="P13" s="84"/>
      <c r="Q13" s="85"/>
      <c r="R13" s="84"/>
      <c r="S13" s="85"/>
      <c r="T13" s="84"/>
      <c r="U13" s="85"/>
      <c r="V13" s="84"/>
      <c r="W13" s="85"/>
      <c r="X13" s="84"/>
      <c r="Y13" s="88"/>
      <c r="Z13" s="88"/>
    </row>
    <row r="14" spans="1:26" ht="21.75" customHeight="1" x14ac:dyDescent="0.2">
      <c r="A14" s="172"/>
      <c r="B14" s="158" t="s">
        <v>57</v>
      </c>
      <c r="C14" s="159"/>
      <c r="D14" s="160" t="s">
        <v>236</v>
      </c>
      <c r="E14" s="161"/>
      <c r="F14" s="158" t="s">
        <v>57</v>
      </c>
      <c r="G14" s="159"/>
      <c r="H14" s="42" t="s">
        <v>237</v>
      </c>
      <c r="I14" s="169"/>
      <c r="J14" s="158" t="s">
        <v>61</v>
      </c>
      <c r="K14" s="172"/>
      <c r="L14" s="41" t="s">
        <v>66</v>
      </c>
      <c r="M14" s="9"/>
      <c r="N14" s="84"/>
      <c r="O14" s="85"/>
      <c r="P14" s="84"/>
      <c r="Q14" s="85"/>
      <c r="R14" s="84"/>
      <c r="S14" s="85"/>
      <c r="T14" s="84"/>
      <c r="U14" s="85"/>
      <c r="V14" s="84"/>
      <c r="W14" s="85"/>
      <c r="X14" s="84"/>
      <c r="Y14" s="88"/>
      <c r="Z14" s="88"/>
    </row>
    <row r="15" spans="1:26" ht="21.75" customHeight="1" x14ac:dyDescent="0.2">
      <c r="A15" s="172"/>
      <c r="B15" s="162" t="s">
        <v>58</v>
      </c>
      <c r="C15" s="163"/>
      <c r="D15" s="175">
        <v>12000</v>
      </c>
      <c r="E15" s="176"/>
      <c r="F15" s="162" t="s">
        <v>58</v>
      </c>
      <c r="G15" s="163"/>
      <c r="H15" s="43">
        <v>12000</v>
      </c>
      <c r="I15" s="169"/>
      <c r="J15" s="162" t="s">
        <v>62</v>
      </c>
      <c r="K15" s="173"/>
      <c r="L15" s="41" t="s">
        <v>67</v>
      </c>
      <c r="M15" s="9"/>
      <c r="N15" s="84"/>
      <c r="O15" s="85"/>
      <c r="P15" s="84"/>
      <c r="Q15" s="85"/>
      <c r="R15" s="84"/>
      <c r="S15" s="85"/>
      <c r="T15" s="84"/>
      <c r="U15" s="85"/>
      <c r="V15" s="84"/>
      <c r="W15" s="85"/>
      <c r="X15" s="84"/>
      <c r="Y15" s="88"/>
      <c r="Z15" s="88"/>
    </row>
    <row r="16" spans="1:26" ht="21.75" customHeight="1" x14ac:dyDescent="0.2">
      <c r="A16" s="172"/>
      <c r="B16" s="44" t="s">
        <v>51</v>
      </c>
      <c r="C16" s="44" t="s">
        <v>53</v>
      </c>
      <c r="D16" s="44" t="s">
        <v>54</v>
      </c>
      <c r="E16" s="127"/>
      <c r="F16" s="44" t="s">
        <v>51</v>
      </c>
      <c r="G16" s="44" t="s">
        <v>53</v>
      </c>
      <c r="H16" s="45" t="s">
        <v>54</v>
      </c>
      <c r="I16" s="169"/>
      <c r="J16" s="127" t="s">
        <v>63</v>
      </c>
      <c r="K16" s="127" t="s">
        <v>64</v>
      </c>
      <c r="L16" s="41" t="s">
        <v>68</v>
      </c>
      <c r="M16" s="9"/>
      <c r="N16" s="84"/>
      <c r="O16" s="85"/>
      <c r="P16" s="84"/>
      <c r="Q16" s="85"/>
      <c r="R16" s="84"/>
      <c r="S16" s="85"/>
      <c r="T16" s="84"/>
      <c r="U16" s="85"/>
      <c r="V16" s="84"/>
      <c r="W16" s="85"/>
      <c r="X16" s="84"/>
      <c r="Y16" s="88"/>
      <c r="Z16" s="88"/>
    </row>
    <row r="17" spans="1:26" ht="21.75" customHeight="1" x14ac:dyDescent="0.2">
      <c r="A17" s="173"/>
      <c r="B17" s="46" t="s">
        <v>52</v>
      </c>
      <c r="C17" s="46" t="s">
        <v>51</v>
      </c>
      <c r="D17" s="46" t="s">
        <v>55</v>
      </c>
      <c r="E17" s="174"/>
      <c r="F17" s="46" t="s">
        <v>52</v>
      </c>
      <c r="G17" s="47" t="s">
        <v>51</v>
      </c>
      <c r="H17" s="48" t="s">
        <v>55</v>
      </c>
      <c r="I17" s="170"/>
      <c r="J17" s="128"/>
      <c r="K17" s="128"/>
      <c r="L17" s="41" t="s">
        <v>69</v>
      </c>
      <c r="M17" s="103" t="s">
        <v>92</v>
      </c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spans="1:26" ht="23.25" customHeight="1" x14ac:dyDescent="0.2">
      <c r="A18" s="49" t="s">
        <v>7</v>
      </c>
      <c r="B18" s="82">
        <v>58.794499999999999</v>
      </c>
      <c r="C18" s="25"/>
      <c r="D18" s="24"/>
      <c r="E18" s="81"/>
      <c r="F18" s="82">
        <v>36.131</v>
      </c>
      <c r="G18" s="51"/>
      <c r="H18" s="50"/>
      <c r="I18" s="52"/>
      <c r="J18" s="39"/>
      <c r="K18" s="79"/>
      <c r="L18" s="53"/>
      <c r="M18" s="100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1" t="s">
        <v>91</v>
      </c>
      <c r="X18" s="104"/>
      <c r="Y18" s="104"/>
      <c r="Z18" s="104"/>
    </row>
    <row r="19" spans="1:26" ht="23.25" customHeight="1" x14ac:dyDescent="0.2">
      <c r="A19" s="49" t="s">
        <v>8</v>
      </c>
      <c r="B19" s="82">
        <v>58.794499999999999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</v>
      </c>
      <c r="D19" s="24">
        <f t="shared" ref="D19:D42" si="1">IF(C19="","",C19*$D$15)</f>
        <v>0</v>
      </c>
      <c r="E19" s="81"/>
      <c r="F19" s="82">
        <v>36.131</v>
      </c>
      <c r="G19" s="51">
        <f>F19-ReportObject4_3</f>
        <v>0</v>
      </c>
      <c r="H19" s="50">
        <f t="shared" ref="H19:H42" si="2">IF(G19="","",G19*$H$15)</f>
        <v>0</v>
      </c>
      <c r="I19" s="52">
        <f t="shared" ref="I19:I42" si="3">IF(H19="","",IF(D19="","",IF(AND(H19=0,D19=0),0,H19/D19)))</f>
        <v>0</v>
      </c>
      <c r="J19" s="39"/>
      <c r="K19" s="83">
        <v>6.4377190000000004</v>
      </c>
      <c r="L19" s="53"/>
      <c r="M19" s="95"/>
      <c r="N19" s="89"/>
      <c r="O19" s="89"/>
      <c r="P19" s="89"/>
      <c r="Q19" s="89" t="s">
        <v>108</v>
      </c>
      <c r="R19" s="89"/>
      <c r="S19" s="89"/>
      <c r="T19" s="89"/>
      <c r="U19" s="89"/>
      <c r="V19" s="89"/>
      <c r="W19" s="90"/>
      <c r="X19" s="99"/>
      <c r="Y19" s="99"/>
      <c r="Z19" s="99"/>
    </row>
    <row r="20" spans="1:26" ht="23.25" customHeight="1" x14ac:dyDescent="0.2">
      <c r="A20" s="49" t="s">
        <v>9</v>
      </c>
      <c r="B20" s="82">
        <v>58.794499999999999</v>
      </c>
      <c r="C20" s="25">
        <f t="shared" si="0"/>
        <v>0</v>
      </c>
      <c r="D20" s="24">
        <f t="shared" si="1"/>
        <v>0</v>
      </c>
      <c r="E20" s="81"/>
      <c r="F20" s="82">
        <v>36.131</v>
      </c>
      <c r="G20" s="51">
        <f>F20-F19</f>
        <v>0</v>
      </c>
      <c r="H20" s="50">
        <f t="shared" si="2"/>
        <v>0</v>
      </c>
      <c r="I20" s="52">
        <f t="shared" si="3"/>
        <v>0</v>
      </c>
      <c r="J20" s="39"/>
      <c r="K20" s="83">
        <v>6.4695110000000007</v>
      </c>
      <c r="L20" s="53"/>
      <c r="M20" s="95" t="s">
        <v>80</v>
      </c>
      <c r="N20" s="89" t="s">
        <v>99</v>
      </c>
      <c r="O20" s="89"/>
      <c r="P20" s="89"/>
      <c r="Q20" s="89" t="s">
        <v>181</v>
      </c>
      <c r="R20" s="89"/>
      <c r="S20" s="89"/>
      <c r="T20" s="89" t="s">
        <v>94</v>
      </c>
      <c r="U20" s="89"/>
      <c r="V20" s="89"/>
      <c r="W20" s="90"/>
      <c r="X20" s="99"/>
      <c r="Y20" s="99"/>
      <c r="Z20" s="99"/>
    </row>
    <row r="21" spans="1:26" ht="23.25" customHeight="1" x14ac:dyDescent="0.2">
      <c r="A21" s="49" t="s">
        <v>10</v>
      </c>
      <c r="B21" s="82">
        <v>58.794499999999999</v>
      </c>
      <c r="C21" s="25">
        <f t="shared" si="0"/>
        <v>0</v>
      </c>
      <c r="D21" s="24">
        <f t="shared" si="1"/>
        <v>0</v>
      </c>
      <c r="E21" s="81"/>
      <c r="F21" s="82">
        <v>36.131</v>
      </c>
      <c r="G21" s="51">
        <f t="shared" ref="G21:G42" si="4">F21-F20</f>
        <v>0</v>
      </c>
      <c r="H21" s="50">
        <f t="shared" si="2"/>
        <v>0</v>
      </c>
      <c r="I21" s="52">
        <f t="shared" si="3"/>
        <v>0</v>
      </c>
      <c r="J21" s="39"/>
      <c r="K21" s="83">
        <v>6.4735719999999999</v>
      </c>
      <c r="L21" s="53"/>
      <c r="M21" s="96"/>
      <c r="N21" s="91"/>
      <c r="O21" s="91"/>
      <c r="P21" s="91"/>
      <c r="Q21" s="91"/>
      <c r="R21" s="91"/>
      <c r="S21" s="91"/>
      <c r="T21" s="91"/>
      <c r="U21" s="91"/>
      <c r="V21" s="91"/>
      <c r="W21" s="92"/>
      <c r="X21" s="103"/>
      <c r="Y21" s="103"/>
      <c r="Z21" s="103"/>
    </row>
    <row r="22" spans="1:26" ht="23.25" customHeight="1" x14ac:dyDescent="0.2">
      <c r="A22" s="49" t="s">
        <v>11</v>
      </c>
      <c r="B22" s="82">
        <v>58.794499999999999</v>
      </c>
      <c r="C22" s="25">
        <f t="shared" si="0"/>
        <v>0</v>
      </c>
      <c r="D22" s="24">
        <f t="shared" si="1"/>
        <v>0</v>
      </c>
      <c r="E22" s="81"/>
      <c r="F22" s="82">
        <v>36.131</v>
      </c>
      <c r="G22" s="51">
        <f t="shared" si="4"/>
        <v>0</v>
      </c>
      <c r="H22" s="50">
        <f t="shared" si="2"/>
        <v>0</v>
      </c>
      <c r="I22" s="52">
        <f t="shared" si="3"/>
        <v>0</v>
      </c>
      <c r="J22" s="39"/>
      <c r="K22" s="83">
        <v>6.5000469999999995</v>
      </c>
      <c r="L22" s="53"/>
      <c r="M22" s="9"/>
      <c r="N22" s="97"/>
      <c r="O22" s="97"/>
      <c r="P22" s="97"/>
      <c r="Q22" s="97"/>
      <c r="R22" s="97"/>
      <c r="S22" s="97"/>
      <c r="T22" s="97"/>
      <c r="U22" s="97"/>
      <c r="V22" s="97"/>
      <c r="W22" s="84"/>
      <c r="X22" s="88"/>
      <c r="Y22" s="88"/>
      <c r="Z22" s="88"/>
    </row>
    <row r="23" spans="1:26" ht="23.25" customHeight="1" x14ac:dyDescent="0.2">
      <c r="A23" s="49" t="s">
        <v>12</v>
      </c>
      <c r="B23" s="82">
        <v>58.794600000000003</v>
      </c>
      <c r="C23" s="25">
        <f t="shared" si="0"/>
        <v>1.0000000000331966E-4</v>
      </c>
      <c r="D23" s="24">
        <f t="shared" si="1"/>
        <v>1.2000000000398359</v>
      </c>
      <c r="E23" s="81"/>
      <c r="F23" s="82">
        <v>36.131</v>
      </c>
      <c r="G23" s="51">
        <f t="shared" si="4"/>
        <v>0</v>
      </c>
      <c r="H23" s="50">
        <f t="shared" si="2"/>
        <v>0</v>
      </c>
      <c r="I23" s="52">
        <f t="shared" si="3"/>
        <v>0</v>
      </c>
      <c r="J23" s="39"/>
      <c r="K23" s="83">
        <v>6.424461</v>
      </c>
      <c r="L23" s="53"/>
      <c r="M23" s="9"/>
      <c r="N23" s="97"/>
      <c r="O23" s="97"/>
      <c r="P23" s="97"/>
      <c r="Q23" s="97"/>
      <c r="R23" s="97"/>
      <c r="S23" s="97"/>
      <c r="T23" s="97"/>
      <c r="U23" s="97"/>
      <c r="V23" s="97"/>
      <c r="W23" s="84"/>
      <c r="X23" s="88"/>
      <c r="Y23" s="88"/>
      <c r="Z23" s="88"/>
    </row>
    <row r="24" spans="1:26" ht="23.25" customHeight="1" x14ac:dyDescent="0.2">
      <c r="A24" s="49" t="s">
        <v>13</v>
      </c>
      <c r="B24" s="82">
        <v>58.794600000000003</v>
      </c>
      <c r="C24" s="25">
        <f t="shared" si="0"/>
        <v>0</v>
      </c>
      <c r="D24" s="24">
        <f t="shared" si="1"/>
        <v>0</v>
      </c>
      <c r="E24" s="81"/>
      <c r="F24" s="82">
        <v>36.131</v>
      </c>
      <c r="G24" s="51">
        <f t="shared" si="4"/>
        <v>0</v>
      </c>
      <c r="H24" s="50">
        <f t="shared" si="2"/>
        <v>0</v>
      </c>
      <c r="I24" s="52">
        <f t="shared" si="3"/>
        <v>0</v>
      </c>
      <c r="J24" s="39"/>
      <c r="K24" s="83">
        <v>6.4086239999999997</v>
      </c>
      <c r="L24" s="53"/>
      <c r="M24" s="9"/>
      <c r="N24" s="97"/>
      <c r="O24" s="97"/>
      <c r="P24" s="97"/>
      <c r="Q24" s="97"/>
      <c r="R24" s="97"/>
      <c r="S24" s="97"/>
      <c r="T24" s="97"/>
      <c r="U24" s="97"/>
      <c r="V24" s="97"/>
      <c r="W24" s="84"/>
      <c r="X24" s="88"/>
      <c r="Y24" s="88"/>
      <c r="Z24" s="88"/>
    </row>
    <row r="25" spans="1:26" ht="23.25" customHeight="1" x14ac:dyDescent="0.2">
      <c r="A25" s="49" t="s">
        <v>14</v>
      </c>
      <c r="B25" s="82">
        <v>58.794600000000003</v>
      </c>
      <c r="C25" s="25">
        <f t="shared" si="0"/>
        <v>0</v>
      </c>
      <c r="D25" s="24">
        <f t="shared" si="1"/>
        <v>0</v>
      </c>
      <c r="E25" s="81"/>
      <c r="F25" s="82">
        <v>36.131</v>
      </c>
      <c r="G25" s="51">
        <f t="shared" si="4"/>
        <v>0</v>
      </c>
      <c r="H25" s="50">
        <f t="shared" si="2"/>
        <v>0</v>
      </c>
      <c r="I25" s="52">
        <f t="shared" si="3"/>
        <v>0</v>
      </c>
      <c r="J25" s="39"/>
      <c r="K25" s="83">
        <v>6.4937389999999997</v>
      </c>
      <c r="L25" s="53"/>
      <c r="M25" s="9"/>
      <c r="N25" s="97"/>
      <c r="O25" s="97"/>
      <c r="P25" s="97"/>
      <c r="Q25" s="97"/>
      <c r="R25" s="97"/>
      <c r="S25" s="97"/>
      <c r="T25" s="97"/>
      <c r="U25" s="97"/>
      <c r="V25" s="97"/>
      <c r="W25" s="84"/>
      <c r="X25" s="88"/>
      <c r="Y25" s="88"/>
      <c r="Z25" s="88"/>
    </row>
    <row r="26" spans="1:26" ht="23.25" customHeight="1" x14ac:dyDescent="0.2">
      <c r="A26" s="49" t="s">
        <v>15</v>
      </c>
      <c r="B26" s="82">
        <v>58.794600000000003</v>
      </c>
      <c r="C26" s="25">
        <f t="shared" si="0"/>
        <v>0</v>
      </c>
      <c r="D26" s="24">
        <f t="shared" si="1"/>
        <v>0</v>
      </c>
      <c r="E26" s="81"/>
      <c r="F26" s="82">
        <v>36.131</v>
      </c>
      <c r="G26" s="51">
        <f t="shared" si="4"/>
        <v>0</v>
      </c>
      <c r="H26" s="50">
        <f t="shared" si="2"/>
        <v>0</v>
      </c>
      <c r="I26" s="52">
        <f t="shared" si="3"/>
        <v>0</v>
      </c>
      <c r="J26" s="39"/>
      <c r="K26" s="83">
        <v>6.3477290000000002</v>
      </c>
      <c r="L26" s="53"/>
      <c r="M26" s="9"/>
      <c r="N26" s="97"/>
      <c r="O26" s="97"/>
      <c r="P26" s="97"/>
      <c r="Q26" s="97"/>
      <c r="R26" s="97"/>
      <c r="S26" s="97"/>
      <c r="T26" s="97"/>
      <c r="U26" s="97"/>
      <c r="V26" s="97"/>
      <c r="W26" s="84"/>
      <c r="X26" s="88"/>
      <c r="Y26" s="88"/>
      <c r="Z26" s="88"/>
    </row>
    <row r="27" spans="1:26" ht="23.25" customHeight="1" x14ac:dyDescent="0.2">
      <c r="A27" s="49" t="s">
        <v>16</v>
      </c>
      <c r="B27" s="82">
        <v>58.794600000000003</v>
      </c>
      <c r="C27" s="25">
        <f t="shared" si="0"/>
        <v>0</v>
      </c>
      <c r="D27" s="24">
        <f t="shared" si="1"/>
        <v>0</v>
      </c>
      <c r="E27" s="81"/>
      <c r="F27" s="82">
        <v>36.131</v>
      </c>
      <c r="G27" s="51">
        <f t="shared" si="4"/>
        <v>0</v>
      </c>
      <c r="H27" s="50">
        <f t="shared" si="2"/>
        <v>0</v>
      </c>
      <c r="I27" s="52">
        <f t="shared" si="3"/>
        <v>0</v>
      </c>
      <c r="J27" s="39"/>
      <c r="K27" s="83">
        <v>6.2874140000000001</v>
      </c>
      <c r="L27" s="53"/>
      <c r="M27" s="9"/>
      <c r="N27" s="97"/>
      <c r="O27" s="97"/>
      <c r="P27" s="97"/>
      <c r="Q27" s="97"/>
      <c r="R27" s="97"/>
      <c r="S27" s="97"/>
      <c r="T27" s="97"/>
      <c r="U27" s="97"/>
      <c r="V27" s="97"/>
      <c r="W27" s="84"/>
      <c r="X27" s="88"/>
      <c r="Y27" s="88"/>
      <c r="Z27" s="88"/>
    </row>
    <row r="28" spans="1:26" ht="23.25" customHeight="1" x14ac:dyDescent="0.2">
      <c r="A28" s="49" t="s">
        <v>17</v>
      </c>
      <c r="B28" s="82">
        <v>58.794600000000003</v>
      </c>
      <c r="C28" s="25">
        <f t="shared" si="0"/>
        <v>0</v>
      </c>
      <c r="D28" s="24">
        <f t="shared" si="1"/>
        <v>0</v>
      </c>
      <c r="E28" s="81"/>
      <c r="F28" s="82">
        <v>36.131</v>
      </c>
      <c r="G28" s="51">
        <f t="shared" si="4"/>
        <v>0</v>
      </c>
      <c r="H28" s="50">
        <f t="shared" si="2"/>
        <v>0</v>
      </c>
      <c r="I28" s="52">
        <f t="shared" si="3"/>
        <v>0</v>
      </c>
      <c r="J28" s="39"/>
      <c r="K28" s="83">
        <v>6.216361</v>
      </c>
      <c r="L28" s="53"/>
      <c r="M28" s="9"/>
      <c r="N28" s="97"/>
      <c r="O28" s="97"/>
      <c r="P28" s="97"/>
      <c r="Q28" s="97"/>
      <c r="R28" s="97"/>
      <c r="S28" s="97"/>
      <c r="T28" s="97"/>
      <c r="U28" s="97"/>
      <c r="V28" s="97"/>
      <c r="W28" s="84"/>
      <c r="X28" s="88"/>
      <c r="Y28" s="88"/>
      <c r="Z28" s="88"/>
    </row>
    <row r="29" spans="1:26" ht="23.25" customHeight="1" x14ac:dyDescent="0.2">
      <c r="A29" s="49" t="s">
        <v>18</v>
      </c>
      <c r="B29" s="82">
        <v>58.794600000000003</v>
      </c>
      <c r="C29" s="25">
        <f t="shared" si="0"/>
        <v>0</v>
      </c>
      <c r="D29" s="24">
        <f t="shared" si="1"/>
        <v>0</v>
      </c>
      <c r="E29" s="81"/>
      <c r="F29" s="82">
        <v>36.131</v>
      </c>
      <c r="G29" s="51">
        <f t="shared" si="4"/>
        <v>0</v>
      </c>
      <c r="H29" s="50">
        <f t="shared" si="2"/>
        <v>0</v>
      </c>
      <c r="I29" s="52">
        <f t="shared" si="3"/>
        <v>0</v>
      </c>
      <c r="J29" s="39"/>
      <c r="K29" s="83">
        <v>6.2099729999999997</v>
      </c>
      <c r="L29" s="53"/>
      <c r="M29" s="118" t="s">
        <v>95</v>
      </c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23.25" customHeight="1" x14ac:dyDescent="0.2">
      <c r="A30" s="49" t="s">
        <v>19</v>
      </c>
      <c r="B30" s="82">
        <v>58.794600000000003</v>
      </c>
      <c r="C30" s="25">
        <f t="shared" si="0"/>
        <v>0</v>
      </c>
      <c r="D30" s="24">
        <f t="shared" si="1"/>
        <v>0</v>
      </c>
      <c r="E30" s="81"/>
      <c r="F30" s="82">
        <v>36.131</v>
      </c>
      <c r="G30" s="51">
        <f t="shared" si="4"/>
        <v>0</v>
      </c>
      <c r="H30" s="50">
        <f t="shared" si="2"/>
        <v>0</v>
      </c>
      <c r="I30" s="52">
        <f t="shared" si="3"/>
        <v>0</v>
      </c>
      <c r="J30" s="39"/>
      <c r="K30" s="83">
        <v>6.1507820000000004</v>
      </c>
      <c r="L30" s="53"/>
      <c r="M30" s="99" t="s">
        <v>97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23.25" customHeight="1" x14ac:dyDescent="0.2">
      <c r="A31" s="49" t="s">
        <v>20</v>
      </c>
      <c r="B31" s="82">
        <v>58.794600000000003</v>
      </c>
      <c r="C31" s="25">
        <f t="shared" si="0"/>
        <v>0</v>
      </c>
      <c r="D31" s="24">
        <f t="shared" si="1"/>
        <v>0</v>
      </c>
      <c r="E31" s="81"/>
      <c r="F31" s="82">
        <v>36.131</v>
      </c>
      <c r="G31" s="51">
        <f t="shared" si="4"/>
        <v>0</v>
      </c>
      <c r="H31" s="50">
        <f t="shared" si="2"/>
        <v>0</v>
      </c>
      <c r="I31" s="52">
        <f t="shared" si="3"/>
        <v>0</v>
      </c>
      <c r="J31" s="39"/>
      <c r="K31" s="83">
        <v>6.2650510000000006</v>
      </c>
      <c r="L31" s="53"/>
      <c r="M31" s="100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179</v>
      </c>
      <c r="W31" s="98"/>
      <c r="X31" s="98"/>
      <c r="Y31" s="98" t="s">
        <v>91</v>
      </c>
      <c r="Z31" s="101"/>
    </row>
    <row r="32" spans="1:26" ht="23.25" customHeight="1" x14ac:dyDescent="0.2">
      <c r="A32" s="49" t="s">
        <v>21</v>
      </c>
      <c r="B32" s="82">
        <v>58.794600000000003</v>
      </c>
      <c r="C32" s="25">
        <f t="shared" si="0"/>
        <v>0</v>
      </c>
      <c r="D32" s="24">
        <f t="shared" si="1"/>
        <v>0</v>
      </c>
      <c r="E32" s="81"/>
      <c r="F32" s="82">
        <v>36.131</v>
      </c>
      <c r="G32" s="51">
        <f t="shared" si="4"/>
        <v>0</v>
      </c>
      <c r="H32" s="50">
        <f t="shared" si="2"/>
        <v>0</v>
      </c>
      <c r="I32" s="52">
        <f t="shared" si="3"/>
        <v>0</v>
      </c>
      <c r="J32" s="39"/>
      <c r="K32" s="83">
        <v>5.9499840000000006</v>
      </c>
      <c r="L32" s="53"/>
      <c r="M32" s="95"/>
      <c r="N32" s="89"/>
      <c r="O32" s="89"/>
      <c r="P32" s="89" t="s">
        <v>83</v>
      </c>
      <c r="Q32" s="89"/>
      <c r="R32" s="89" t="s">
        <v>102</v>
      </c>
      <c r="S32" s="89"/>
      <c r="T32" s="89" t="s">
        <v>104</v>
      </c>
      <c r="U32" s="89"/>
      <c r="V32" s="89" t="s">
        <v>105</v>
      </c>
      <c r="W32" s="89"/>
      <c r="X32" s="89"/>
      <c r="Y32" s="89"/>
      <c r="Z32" s="90"/>
    </row>
    <row r="33" spans="1:26" ht="23.25" customHeight="1" x14ac:dyDescent="0.2">
      <c r="A33" s="49" t="s">
        <v>22</v>
      </c>
      <c r="B33" s="82">
        <v>58.794600000000003</v>
      </c>
      <c r="C33" s="25">
        <f t="shared" si="0"/>
        <v>0</v>
      </c>
      <c r="D33" s="24">
        <f t="shared" si="1"/>
        <v>0</v>
      </c>
      <c r="E33" s="81"/>
      <c r="F33" s="82">
        <v>36.131</v>
      </c>
      <c r="G33" s="51">
        <f t="shared" si="4"/>
        <v>0</v>
      </c>
      <c r="H33" s="50">
        <f t="shared" si="2"/>
        <v>0</v>
      </c>
      <c r="I33" s="52">
        <f t="shared" si="3"/>
        <v>0</v>
      </c>
      <c r="J33" s="39"/>
      <c r="K33" s="83">
        <v>6.2095280000000006</v>
      </c>
      <c r="L33" s="53"/>
      <c r="M33" s="95" t="s">
        <v>80</v>
      </c>
      <c r="N33" s="89" t="s">
        <v>99</v>
      </c>
      <c r="O33" s="89"/>
      <c r="P33" s="89" t="s">
        <v>101</v>
      </c>
      <c r="Q33" s="89"/>
      <c r="R33" s="89" t="s">
        <v>69</v>
      </c>
      <c r="S33" s="89"/>
      <c r="T33" s="89" t="s">
        <v>69</v>
      </c>
      <c r="U33" s="89"/>
      <c r="V33" s="89" t="s">
        <v>106</v>
      </c>
      <c r="W33" s="89"/>
      <c r="X33" s="89"/>
      <c r="Y33" s="89"/>
      <c r="Z33" s="90"/>
    </row>
    <row r="34" spans="1:26" ht="23.25" customHeight="1" x14ac:dyDescent="0.2">
      <c r="A34" s="49" t="s">
        <v>23</v>
      </c>
      <c r="B34" s="82">
        <v>58.794600000000003</v>
      </c>
      <c r="C34" s="25">
        <f t="shared" si="0"/>
        <v>0</v>
      </c>
      <c r="D34" s="24">
        <f t="shared" si="1"/>
        <v>0</v>
      </c>
      <c r="E34" s="81"/>
      <c r="F34" s="82">
        <v>36.131</v>
      </c>
      <c r="G34" s="51">
        <f t="shared" si="4"/>
        <v>0</v>
      </c>
      <c r="H34" s="50">
        <f t="shared" si="2"/>
        <v>0</v>
      </c>
      <c r="I34" s="52">
        <f t="shared" si="3"/>
        <v>0</v>
      </c>
      <c r="J34" s="39"/>
      <c r="K34" s="83">
        <v>6.1356469999999996</v>
      </c>
      <c r="L34" s="53"/>
      <c r="M34" s="96"/>
      <c r="N34" s="91"/>
      <c r="O34" s="91"/>
      <c r="P34" s="91"/>
      <c r="Q34" s="91"/>
      <c r="R34" s="92"/>
      <c r="S34" s="96"/>
      <c r="T34" s="92"/>
      <c r="U34" s="96"/>
      <c r="V34" s="92"/>
      <c r="W34" s="103"/>
      <c r="X34" s="96"/>
      <c r="Y34" s="91"/>
      <c r="Z34" s="92"/>
    </row>
    <row r="35" spans="1:26" ht="23.25" customHeight="1" x14ac:dyDescent="0.2">
      <c r="A35" s="49" t="s">
        <v>24</v>
      </c>
      <c r="B35" s="82">
        <v>58.794600000000003</v>
      </c>
      <c r="C35" s="25">
        <f t="shared" si="0"/>
        <v>0</v>
      </c>
      <c r="D35" s="24">
        <f t="shared" si="1"/>
        <v>0</v>
      </c>
      <c r="E35" s="81"/>
      <c r="F35" s="82">
        <v>36.131</v>
      </c>
      <c r="G35" s="51">
        <f t="shared" si="4"/>
        <v>0</v>
      </c>
      <c r="H35" s="50">
        <f t="shared" si="2"/>
        <v>0</v>
      </c>
      <c r="I35" s="52">
        <f t="shared" si="3"/>
        <v>0</v>
      </c>
      <c r="J35" s="39"/>
      <c r="K35" s="83">
        <v>6.1581909999999995</v>
      </c>
      <c r="L35" s="53"/>
      <c r="M35" s="9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84"/>
    </row>
    <row r="36" spans="1:26" ht="23.25" customHeight="1" x14ac:dyDescent="0.2">
      <c r="A36" s="49" t="s">
        <v>25</v>
      </c>
      <c r="B36" s="82">
        <v>58.794600000000003</v>
      </c>
      <c r="C36" s="25">
        <f t="shared" si="0"/>
        <v>0</v>
      </c>
      <c r="D36" s="24">
        <f t="shared" si="1"/>
        <v>0</v>
      </c>
      <c r="E36" s="81"/>
      <c r="F36" s="82">
        <v>36.131</v>
      </c>
      <c r="G36" s="51">
        <f t="shared" si="4"/>
        <v>0</v>
      </c>
      <c r="H36" s="50">
        <f t="shared" si="2"/>
        <v>0</v>
      </c>
      <c r="I36" s="52">
        <f t="shared" si="3"/>
        <v>0</v>
      </c>
      <c r="J36" s="39"/>
      <c r="K36" s="83">
        <v>6.2177410000000002</v>
      </c>
      <c r="L36" s="53"/>
      <c r="M36" s="9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84"/>
    </row>
    <row r="37" spans="1:26" ht="23.25" customHeight="1" x14ac:dyDescent="0.2">
      <c r="A37" s="49" t="s">
        <v>26</v>
      </c>
      <c r="B37" s="82">
        <v>58.794600000000003</v>
      </c>
      <c r="C37" s="25">
        <f t="shared" si="0"/>
        <v>0</v>
      </c>
      <c r="D37" s="24">
        <f t="shared" si="1"/>
        <v>0</v>
      </c>
      <c r="E37" s="81"/>
      <c r="F37" s="82">
        <v>36.131</v>
      </c>
      <c r="G37" s="51">
        <f t="shared" si="4"/>
        <v>0</v>
      </c>
      <c r="H37" s="50">
        <f t="shared" si="2"/>
        <v>0</v>
      </c>
      <c r="I37" s="52">
        <f t="shared" si="3"/>
        <v>0</v>
      </c>
      <c r="J37" s="39"/>
      <c r="K37" s="83">
        <v>6.2260020000000003</v>
      </c>
      <c r="L37" s="53"/>
      <c r="M37" s="9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84"/>
    </row>
    <row r="38" spans="1:26" ht="23.25" customHeight="1" x14ac:dyDescent="0.2">
      <c r="A38" s="49" t="s">
        <v>27</v>
      </c>
      <c r="B38" s="82">
        <v>58.794600000000003</v>
      </c>
      <c r="C38" s="25">
        <f t="shared" si="0"/>
        <v>0</v>
      </c>
      <c r="D38" s="24">
        <f t="shared" si="1"/>
        <v>0</v>
      </c>
      <c r="E38" s="81"/>
      <c r="F38" s="82">
        <v>36.131</v>
      </c>
      <c r="G38" s="51">
        <f t="shared" si="4"/>
        <v>0</v>
      </c>
      <c r="H38" s="50">
        <f t="shared" si="2"/>
        <v>0</v>
      </c>
      <c r="I38" s="52">
        <f t="shared" si="3"/>
        <v>0</v>
      </c>
      <c r="J38" s="39"/>
      <c r="K38" s="83">
        <v>6.3765320000000001</v>
      </c>
      <c r="L38" s="53"/>
      <c r="M38" s="9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84"/>
    </row>
    <row r="39" spans="1:26" ht="23.25" customHeight="1" x14ac:dyDescent="0.2">
      <c r="A39" s="49" t="s">
        <v>28</v>
      </c>
      <c r="B39" s="82">
        <v>58.794600000000003</v>
      </c>
      <c r="C39" s="25">
        <f t="shared" si="0"/>
        <v>0</v>
      </c>
      <c r="D39" s="24">
        <f t="shared" si="1"/>
        <v>0</v>
      </c>
      <c r="E39" s="81"/>
      <c r="F39" s="82">
        <v>36.131</v>
      </c>
      <c r="G39" s="51">
        <f t="shared" si="4"/>
        <v>0</v>
      </c>
      <c r="H39" s="50">
        <f t="shared" si="2"/>
        <v>0</v>
      </c>
      <c r="I39" s="52">
        <f t="shared" si="3"/>
        <v>0</v>
      </c>
      <c r="J39" s="39"/>
      <c r="K39" s="83">
        <v>6.3854059999999997</v>
      </c>
      <c r="L39" s="53"/>
      <c r="M39" s="9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84"/>
    </row>
    <row r="40" spans="1:26" ht="23.25" customHeight="1" x14ac:dyDescent="0.2">
      <c r="A40" s="49" t="s">
        <v>29</v>
      </c>
      <c r="B40" s="82">
        <v>58.794699999999999</v>
      </c>
      <c r="C40" s="25">
        <f t="shared" si="0"/>
        <v>9.9999999996214228E-5</v>
      </c>
      <c r="D40" s="24">
        <f t="shared" si="1"/>
        <v>1.1999999999545707</v>
      </c>
      <c r="E40" s="81"/>
      <c r="F40" s="82">
        <v>36.131</v>
      </c>
      <c r="G40" s="51">
        <f t="shared" si="4"/>
        <v>0</v>
      </c>
      <c r="H40" s="50">
        <f t="shared" si="2"/>
        <v>0</v>
      </c>
      <c r="I40" s="52">
        <f t="shared" si="3"/>
        <v>0</v>
      </c>
      <c r="J40" s="39"/>
      <c r="K40" s="83">
        <v>6.3486139999999995</v>
      </c>
      <c r="L40" s="53"/>
      <c r="M40" s="99" t="s">
        <v>109</v>
      </c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ht="23.25" customHeight="1" x14ac:dyDescent="0.2">
      <c r="A41" s="49" t="s">
        <v>30</v>
      </c>
      <c r="B41" s="82">
        <v>58.794699999999999</v>
      </c>
      <c r="C41" s="25">
        <f t="shared" si="0"/>
        <v>0</v>
      </c>
      <c r="D41" s="24">
        <f t="shared" si="1"/>
        <v>0</v>
      </c>
      <c r="E41" s="81"/>
      <c r="F41" s="82">
        <v>36.131</v>
      </c>
      <c r="G41" s="51">
        <f t="shared" si="4"/>
        <v>0</v>
      </c>
      <c r="H41" s="50">
        <f t="shared" si="2"/>
        <v>0</v>
      </c>
      <c r="I41" s="52">
        <f t="shared" si="3"/>
        <v>0</v>
      </c>
      <c r="J41" s="39"/>
      <c r="K41" s="83">
        <v>6.2787009999999999</v>
      </c>
      <c r="L41" s="53"/>
      <c r="M41" s="100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1"/>
    </row>
    <row r="42" spans="1:26" ht="23.25" customHeight="1" x14ac:dyDescent="0.2">
      <c r="A42" s="49" t="s">
        <v>31</v>
      </c>
      <c r="B42" s="82">
        <v>58.794699999999999</v>
      </c>
      <c r="C42" s="25">
        <f t="shared" si="0"/>
        <v>0</v>
      </c>
      <c r="D42" s="24">
        <f t="shared" si="1"/>
        <v>0</v>
      </c>
      <c r="E42" s="81"/>
      <c r="F42" s="82">
        <v>36.131</v>
      </c>
      <c r="G42" s="51">
        <f t="shared" si="4"/>
        <v>0</v>
      </c>
      <c r="H42" s="50">
        <f t="shared" si="2"/>
        <v>0</v>
      </c>
      <c r="I42" s="52">
        <f t="shared" si="3"/>
        <v>0</v>
      </c>
      <c r="J42" s="39"/>
      <c r="K42" s="83">
        <v>6.3697479999999995</v>
      </c>
      <c r="L42" s="53"/>
      <c r="M42" s="95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90"/>
    </row>
    <row r="43" spans="1:26" ht="22.5" customHeight="1" x14ac:dyDescent="0.2">
      <c r="A43" s="167" t="s">
        <v>70</v>
      </c>
      <c r="B43" s="167"/>
      <c r="C43" s="167"/>
      <c r="D43" s="50">
        <f>SUM(D18:D42)</f>
        <v>2.3999999999944066</v>
      </c>
      <c r="E43" s="39"/>
      <c r="F43" s="54"/>
      <c r="G43" s="39"/>
      <c r="H43" s="39">
        <f>SUM(H18:H42)</f>
        <v>0</v>
      </c>
      <c r="I43" s="52">
        <f>IF(AND(H43=0,D43=0),0,H43/D43)</f>
        <v>0</v>
      </c>
      <c r="J43" s="39"/>
      <c r="K43" s="39"/>
      <c r="L43" s="53"/>
      <c r="M43" s="95" t="s">
        <v>80</v>
      </c>
      <c r="N43" s="89" t="s">
        <v>99</v>
      </c>
      <c r="O43" s="89"/>
      <c r="P43" s="89" t="s">
        <v>110</v>
      </c>
      <c r="Q43" s="89"/>
      <c r="R43" s="89"/>
      <c r="S43" s="89"/>
      <c r="T43" s="89"/>
      <c r="U43" s="89"/>
      <c r="V43" s="89"/>
      <c r="W43" s="89"/>
      <c r="X43" s="89" t="s">
        <v>110</v>
      </c>
      <c r="Y43" s="89"/>
      <c r="Z43" s="90"/>
    </row>
    <row r="44" spans="1:26" ht="22.5" customHeight="1" x14ac:dyDescent="0.2">
      <c r="A44" s="164" t="s">
        <v>71</v>
      </c>
      <c r="B44" s="164"/>
      <c r="C44" s="164"/>
      <c r="D44" s="39"/>
      <c r="E44" s="39"/>
      <c r="F44" s="54"/>
      <c r="G44" s="39"/>
      <c r="H44" s="39"/>
      <c r="I44" s="39"/>
      <c r="J44" s="39"/>
      <c r="K44" s="39"/>
      <c r="L44" s="53"/>
      <c r="M44" s="96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2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84"/>
      <c r="O45" s="85"/>
      <c r="P45" s="84"/>
      <c r="Q45" s="88"/>
      <c r="R45" s="85"/>
      <c r="S45" s="7"/>
      <c r="T45" s="84"/>
      <c r="U45" s="88"/>
      <c r="V45" s="88"/>
      <c r="W45" s="85"/>
      <c r="X45" s="84"/>
      <c r="Y45" s="88"/>
      <c r="Z45" s="88"/>
    </row>
    <row r="46" spans="1:26" ht="22.5" customHeight="1" x14ac:dyDescent="0.2">
      <c r="A46" s="155" t="s">
        <v>72</v>
      </c>
      <c r="B46" s="155"/>
      <c r="C46" s="155"/>
      <c r="D46" s="155"/>
      <c r="E46" s="155"/>
      <c r="F46" s="155"/>
      <c r="G46" s="177" t="s">
        <v>73</v>
      </c>
      <c r="H46" s="177"/>
      <c r="I46" s="177"/>
      <c r="J46" s="177"/>
      <c r="K46" s="177"/>
      <c r="L46" s="177"/>
      <c r="M46" s="9"/>
      <c r="N46" s="84"/>
      <c r="O46" s="85"/>
      <c r="P46" s="84"/>
      <c r="Q46" s="88"/>
      <c r="R46" s="85"/>
      <c r="S46" s="7"/>
      <c r="T46" s="84"/>
      <c r="U46" s="88"/>
      <c r="V46" s="88"/>
      <c r="W46" s="85"/>
      <c r="X46" s="84"/>
      <c r="Y46" s="88"/>
      <c r="Z46" s="88"/>
    </row>
    <row r="47" spans="1:26" ht="22.5" customHeight="1" x14ac:dyDescent="0.2">
      <c r="A47" s="117" t="s">
        <v>371</v>
      </c>
      <c r="B47" s="117"/>
      <c r="C47" s="117"/>
      <c r="D47" s="108" t="s">
        <v>74</v>
      </c>
      <c r="E47" s="108"/>
      <c r="F47" s="108"/>
      <c r="G47" s="56"/>
      <c r="H47" s="56"/>
      <c r="I47" s="56"/>
      <c r="J47" s="56"/>
      <c r="K47" s="56"/>
      <c r="L47" s="56"/>
      <c r="M47" s="9"/>
      <c r="N47" s="84"/>
      <c r="O47" s="85"/>
      <c r="P47" s="84"/>
      <c r="Q47" s="88"/>
      <c r="R47" s="85"/>
      <c r="S47" s="7"/>
      <c r="T47" s="84"/>
      <c r="U47" s="88"/>
      <c r="V47" s="88"/>
      <c r="W47" s="85"/>
      <c r="X47" s="84"/>
      <c r="Y47" s="88"/>
      <c r="Z47" s="88"/>
    </row>
    <row r="48" spans="1:26" ht="22.5" customHeight="1" x14ac:dyDescent="0.2">
      <c r="A48" s="148" t="s">
        <v>75</v>
      </c>
      <c r="B48" s="148"/>
      <c r="C48" s="148"/>
      <c r="D48" s="147" t="s">
        <v>76</v>
      </c>
      <c r="E48" s="147"/>
      <c r="F48" s="147"/>
      <c r="G48" s="55"/>
      <c r="H48" s="55"/>
      <c r="I48" s="55"/>
      <c r="J48" s="55"/>
      <c r="K48" s="55"/>
      <c r="L48" s="55"/>
    </row>
    <row r="49" spans="1:23" ht="22.5" customHeight="1" x14ac:dyDescent="0.2">
      <c r="A49" s="117" t="s">
        <v>372</v>
      </c>
      <c r="B49" s="117"/>
      <c r="C49" s="117"/>
      <c r="D49" s="108" t="s">
        <v>74</v>
      </c>
      <c r="E49" s="108"/>
      <c r="F49" s="108"/>
      <c r="G49" s="55"/>
      <c r="H49" s="155" t="s">
        <v>183</v>
      </c>
      <c r="I49" s="155"/>
      <c r="J49" s="155"/>
      <c r="K49" s="155" t="s">
        <v>77</v>
      </c>
      <c r="L49" s="155"/>
      <c r="N49" s="150" t="s">
        <v>150</v>
      </c>
      <c r="O49" s="150"/>
      <c r="P49" s="150"/>
      <c r="Q49" s="149" t="s">
        <v>370</v>
      </c>
      <c r="R49" s="149"/>
      <c r="S49" s="149"/>
      <c r="T49" s="149"/>
      <c r="U49" s="149"/>
      <c r="V49" s="149"/>
      <c r="W49" s="1"/>
    </row>
    <row r="50" spans="1:23" ht="22.5" customHeight="1" x14ac:dyDescent="0.2">
      <c r="A50" s="148" t="s">
        <v>75</v>
      </c>
      <c r="B50" s="148"/>
      <c r="C50" s="148"/>
      <c r="D50" s="147" t="s">
        <v>76</v>
      </c>
      <c r="E50" s="147"/>
      <c r="F50" s="147"/>
      <c r="G50" s="58"/>
      <c r="H50" s="148" t="s">
        <v>75</v>
      </c>
      <c r="I50" s="148"/>
      <c r="J50" s="148"/>
      <c r="K50" s="148" t="s">
        <v>76</v>
      </c>
      <c r="L50" s="148"/>
      <c r="S50" s="146" t="s">
        <v>76</v>
      </c>
      <c r="T50" s="146"/>
    </row>
    <row r="51" spans="1:23" ht="20.100000000000001" customHeight="1" x14ac:dyDescent="0.2">
      <c r="A51" s="117" t="s">
        <v>373</v>
      </c>
      <c r="B51" s="117"/>
      <c r="C51" s="117"/>
      <c r="D51" s="108" t="s">
        <v>74</v>
      </c>
      <c r="E51" s="108"/>
      <c r="F51" s="108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47" t="s">
        <v>75</v>
      </c>
      <c r="B52" s="147"/>
      <c r="C52" s="147"/>
      <c r="D52" s="146" t="s">
        <v>76</v>
      </c>
      <c r="E52" s="146"/>
      <c r="F52" s="146"/>
      <c r="G52" s="59"/>
      <c r="H52" s="59"/>
      <c r="I52" s="55"/>
      <c r="J52" s="55"/>
      <c r="K52" s="55"/>
      <c r="L52" s="55"/>
    </row>
    <row r="53" spans="1:23" x14ac:dyDescent="0.2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</row>
  </sheetData>
  <sheetProtection sheet="1" objects="1" scenarios="1"/>
  <mergeCells count="258"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14:O14"/>
    <mergeCell ref="N15:O15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4" orientation="portrait" horizontalDpi="180" verticalDpi="180" r:id="rId1"/>
  <headerFooter alignWithMargins="0"/>
  <colBreaks count="1" manualBreakCount="1">
    <brk id="1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Z52"/>
  <sheetViews>
    <sheetView view="pageBreakPreview" zoomScale="75" zoomScaleNormal="100" zoomScaleSheetLayoutView="75" workbookViewId="0">
      <selection activeCell="K19" sqref="K19:K42"/>
    </sheetView>
  </sheetViews>
  <sheetFormatPr defaultRowHeight="18.75" x14ac:dyDescent="0.2"/>
  <cols>
    <col min="1" max="1" width="11.140625" style="2" customWidth="1"/>
    <col min="2" max="2" width="15.140625" style="2" customWidth="1"/>
    <col min="3" max="3" width="13.570312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0" width="8.85546875" style="2" customWidth="1"/>
    <col min="11" max="11" width="9.570312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4" t="s">
        <v>157</v>
      </c>
      <c r="B1" s="94"/>
      <c r="C1" s="94"/>
      <c r="D1" s="94"/>
      <c r="E1" s="94"/>
      <c r="F1" s="94"/>
      <c r="G1" s="123" t="s">
        <v>154</v>
      </c>
      <c r="H1" s="123"/>
      <c r="I1" s="94" t="s">
        <v>160</v>
      </c>
      <c r="J1" s="94"/>
      <c r="K1" s="94"/>
      <c r="L1" s="94"/>
      <c r="M1" s="99" t="s">
        <v>96</v>
      </c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ht="21.75" customHeight="1" x14ac:dyDescent="0.2">
      <c r="A2" s="119" t="s">
        <v>45</v>
      </c>
      <c r="B2" s="119"/>
      <c r="C2" s="119"/>
      <c r="D2" s="119"/>
      <c r="E2" s="119"/>
      <c r="F2" s="119"/>
      <c r="G2" s="123"/>
      <c r="H2" s="123"/>
      <c r="I2" s="94"/>
      <c r="J2" s="94"/>
      <c r="K2" s="94"/>
      <c r="L2" s="94"/>
      <c r="M2" s="99" t="s">
        <v>78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ht="21.75" customHeight="1" x14ac:dyDescent="0.2">
      <c r="A3" s="94" t="s">
        <v>158</v>
      </c>
      <c r="B3" s="120"/>
      <c r="C3" s="120"/>
      <c r="D3" s="120"/>
      <c r="E3" s="120"/>
      <c r="F3" s="120"/>
      <c r="G3" s="123" t="s">
        <v>155</v>
      </c>
      <c r="H3" s="123"/>
      <c r="I3" s="94" t="s">
        <v>203</v>
      </c>
      <c r="J3" s="94"/>
      <c r="K3" s="94"/>
      <c r="L3" s="94"/>
      <c r="M3" s="100" t="s">
        <v>79</v>
      </c>
      <c r="N3" s="101" t="s">
        <v>81</v>
      </c>
      <c r="O3" s="100"/>
      <c r="P3" s="101" t="s">
        <v>65</v>
      </c>
      <c r="Q3" s="100"/>
      <c r="R3" s="101" t="s">
        <v>82</v>
      </c>
      <c r="S3" s="100"/>
      <c r="T3" s="101" t="s">
        <v>85</v>
      </c>
      <c r="U3" s="100"/>
      <c r="V3" s="101" t="s">
        <v>87</v>
      </c>
      <c r="W3" s="100"/>
      <c r="X3" s="86" t="s">
        <v>91</v>
      </c>
      <c r="Y3" s="105"/>
      <c r="Z3" s="105"/>
    </row>
    <row r="4" spans="1:26" ht="29.25" customHeight="1" x14ac:dyDescent="0.2">
      <c r="A4" s="119" t="s">
        <v>46</v>
      </c>
      <c r="B4" s="119"/>
      <c r="C4" s="119"/>
      <c r="D4" s="119"/>
      <c r="E4" s="119"/>
      <c r="F4" s="119"/>
      <c r="G4" s="123"/>
      <c r="H4" s="123"/>
      <c r="I4" s="94"/>
      <c r="J4" s="94"/>
      <c r="K4" s="94"/>
      <c r="L4" s="94"/>
      <c r="M4" s="95"/>
      <c r="N4" s="90"/>
      <c r="O4" s="95"/>
      <c r="P4" s="90"/>
      <c r="Q4" s="95"/>
      <c r="R4" s="90" t="s">
        <v>83</v>
      </c>
      <c r="S4" s="95"/>
      <c r="T4" s="90" t="s">
        <v>86</v>
      </c>
      <c r="U4" s="95"/>
      <c r="V4" s="90" t="s">
        <v>88</v>
      </c>
      <c r="W4" s="95"/>
      <c r="X4" s="86"/>
      <c r="Y4" s="105"/>
      <c r="Z4" s="105"/>
    </row>
    <row r="5" spans="1:26" ht="21.75" customHeight="1" x14ac:dyDescent="0.2">
      <c r="A5" s="94" t="s">
        <v>177</v>
      </c>
      <c r="B5" s="120"/>
      <c r="C5" s="120"/>
      <c r="D5" s="120"/>
      <c r="E5" s="120"/>
      <c r="F5" s="120"/>
      <c r="G5" s="123" t="s">
        <v>156</v>
      </c>
      <c r="H5" s="123"/>
      <c r="I5" s="94" t="s">
        <v>259</v>
      </c>
      <c r="J5" s="94"/>
      <c r="K5" s="94"/>
      <c r="L5" s="94"/>
      <c r="M5" s="95" t="s">
        <v>80</v>
      </c>
      <c r="N5" s="90"/>
      <c r="O5" s="95"/>
      <c r="P5" s="90" t="s">
        <v>182</v>
      </c>
      <c r="Q5" s="95"/>
      <c r="R5" s="106" t="s">
        <v>84</v>
      </c>
      <c r="S5" s="107"/>
      <c r="T5" s="106" t="s">
        <v>84</v>
      </c>
      <c r="U5" s="107"/>
      <c r="V5" s="90" t="s">
        <v>89</v>
      </c>
      <c r="W5" s="95"/>
      <c r="X5" s="86"/>
      <c r="Y5" s="105"/>
      <c r="Z5" s="105"/>
    </row>
    <row r="6" spans="1:26" ht="21.75" customHeight="1" x14ac:dyDescent="0.2">
      <c r="A6" s="119" t="s">
        <v>47</v>
      </c>
      <c r="B6" s="119"/>
      <c r="C6" s="119"/>
      <c r="D6" s="119"/>
      <c r="E6" s="119"/>
      <c r="F6" s="119"/>
      <c r="G6" s="123"/>
      <c r="H6" s="123"/>
      <c r="I6" s="94"/>
      <c r="J6" s="94"/>
      <c r="K6" s="94"/>
      <c r="L6" s="94"/>
      <c r="M6" s="96"/>
      <c r="N6" s="92"/>
      <c r="O6" s="96"/>
      <c r="P6" s="92"/>
      <c r="Q6" s="96"/>
      <c r="R6" s="92"/>
      <c r="S6" s="96"/>
      <c r="T6" s="92"/>
      <c r="U6" s="96"/>
      <c r="V6" s="92" t="s">
        <v>90</v>
      </c>
      <c r="W6" s="96"/>
      <c r="X6" s="86"/>
      <c r="Y6" s="105"/>
      <c r="Z6" s="105"/>
    </row>
    <row r="7" spans="1:26" ht="21.75" customHeight="1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84"/>
      <c r="O7" s="85"/>
      <c r="P7" s="84"/>
      <c r="Q7" s="85"/>
      <c r="R7" s="84"/>
      <c r="S7" s="85"/>
      <c r="T7" s="84"/>
      <c r="U7" s="85"/>
      <c r="V7" s="84"/>
      <c r="W7" s="85"/>
      <c r="X7" s="84"/>
      <c r="Y7" s="88"/>
      <c r="Z7" s="88"/>
    </row>
    <row r="8" spans="1:26" ht="22.5" customHeight="1" x14ac:dyDescent="0.2">
      <c r="A8" s="116" t="s">
        <v>48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84"/>
      <c r="O8" s="85"/>
      <c r="P8" s="84"/>
      <c r="Q8" s="85"/>
      <c r="R8" s="84"/>
      <c r="S8" s="85"/>
      <c r="T8" s="84"/>
      <c r="U8" s="85"/>
      <c r="V8" s="84"/>
      <c r="W8" s="85"/>
      <c r="X8" s="84"/>
      <c r="Y8" s="88"/>
      <c r="Z8" s="88"/>
    </row>
    <row r="9" spans="1:26" ht="22.5" customHeight="1" x14ac:dyDescent="0.2">
      <c r="A9" s="129" t="s">
        <v>49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9"/>
      <c r="N9" s="84"/>
      <c r="O9" s="85"/>
      <c r="P9" s="84"/>
      <c r="Q9" s="85"/>
      <c r="R9" s="84"/>
      <c r="S9" s="85"/>
      <c r="T9" s="84"/>
      <c r="U9" s="85"/>
      <c r="V9" s="84"/>
      <c r="W9" s="85"/>
      <c r="X9" s="84"/>
      <c r="Y9" s="88"/>
      <c r="Z9" s="88"/>
    </row>
    <row r="10" spans="1:26" ht="22.5" customHeight="1" x14ac:dyDescent="0.2">
      <c r="A10" s="124" t="s">
        <v>112</v>
      </c>
      <c r="B10" s="124"/>
      <c r="C10" s="124"/>
      <c r="D10" s="124"/>
      <c r="E10" s="135" t="s">
        <v>375</v>
      </c>
      <c r="F10" s="136"/>
      <c r="G10" s="136"/>
      <c r="H10" s="111" t="s">
        <v>376</v>
      </c>
      <c r="I10" s="111"/>
      <c r="J10" s="111"/>
      <c r="K10" s="111"/>
      <c r="L10" s="111"/>
      <c r="M10" s="9"/>
      <c r="N10" s="84"/>
      <c r="O10" s="85"/>
      <c r="P10" s="84"/>
      <c r="Q10" s="85"/>
      <c r="R10" s="84"/>
      <c r="S10" s="85"/>
      <c r="T10" s="84"/>
      <c r="U10" s="85"/>
      <c r="V10" s="84"/>
      <c r="W10" s="85"/>
      <c r="X10" s="84"/>
      <c r="Y10" s="88"/>
      <c r="Z10" s="88"/>
    </row>
    <row r="11" spans="1:26" ht="22.5" customHeight="1" x14ac:dyDescent="0.2">
      <c r="A11" s="124" t="s">
        <v>113</v>
      </c>
      <c r="B11" s="124"/>
      <c r="C11" s="124"/>
      <c r="D11" s="124"/>
      <c r="E11" s="134" t="s">
        <v>232</v>
      </c>
      <c r="F11" s="134"/>
      <c r="G11" s="134"/>
      <c r="H11" s="134"/>
      <c r="I11" s="111" t="s">
        <v>114</v>
      </c>
      <c r="J11" s="111"/>
      <c r="K11" s="111"/>
      <c r="L11" s="111"/>
      <c r="M11" s="9"/>
      <c r="N11" s="84"/>
      <c r="O11" s="85"/>
      <c r="P11" s="84"/>
      <c r="Q11" s="85"/>
      <c r="R11" s="84"/>
      <c r="S11" s="85"/>
      <c r="T11" s="84"/>
      <c r="U11" s="85"/>
      <c r="V11" s="84"/>
      <c r="W11" s="85"/>
      <c r="X11" s="84"/>
      <c r="Y11" s="88"/>
      <c r="Z11" s="88"/>
    </row>
    <row r="12" spans="1:26" ht="21.75" customHeight="1" x14ac:dyDescent="0.2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9"/>
      <c r="N12" s="84"/>
      <c r="O12" s="85"/>
      <c r="P12" s="84"/>
      <c r="Q12" s="85"/>
      <c r="R12" s="84"/>
      <c r="S12" s="85"/>
      <c r="T12" s="84"/>
      <c r="U12" s="85"/>
      <c r="V12" s="84"/>
      <c r="W12" s="85"/>
      <c r="X12" s="84"/>
      <c r="Y12" s="88"/>
      <c r="Z12" s="88"/>
    </row>
    <row r="13" spans="1:26" ht="21.75" customHeight="1" x14ac:dyDescent="0.2">
      <c r="A13" s="171" t="s">
        <v>50</v>
      </c>
      <c r="B13" s="156" t="s">
        <v>56</v>
      </c>
      <c r="C13" s="157"/>
      <c r="D13" s="165" t="s">
        <v>190</v>
      </c>
      <c r="E13" s="166"/>
      <c r="F13" s="156" t="s">
        <v>59</v>
      </c>
      <c r="G13" s="157"/>
      <c r="H13" s="40" t="s">
        <v>190</v>
      </c>
      <c r="I13" s="168" t="s">
        <v>5</v>
      </c>
      <c r="J13" s="156" t="s">
        <v>60</v>
      </c>
      <c r="K13" s="171"/>
      <c r="L13" s="41" t="s">
        <v>65</v>
      </c>
      <c r="M13" s="9"/>
      <c r="N13" s="84"/>
      <c r="O13" s="85"/>
      <c r="P13" s="84"/>
      <c r="Q13" s="85"/>
      <c r="R13" s="84"/>
      <c r="S13" s="85"/>
      <c r="T13" s="84"/>
      <c r="U13" s="85"/>
      <c r="V13" s="84"/>
      <c r="W13" s="85"/>
      <c r="X13" s="84"/>
      <c r="Y13" s="88"/>
      <c r="Z13" s="88"/>
    </row>
    <row r="14" spans="1:26" ht="21.75" customHeight="1" x14ac:dyDescent="0.2">
      <c r="A14" s="172"/>
      <c r="B14" s="158" t="s">
        <v>57</v>
      </c>
      <c r="C14" s="159"/>
      <c r="D14" s="160" t="s">
        <v>262</v>
      </c>
      <c r="E14" s="161"/>
      <c r="F14" s="158" t="s">
        <v>57</v>
      </c>
      <c r="G14" s="159"/>
      <c r="H14" s="42" t="s">
        <v>263</v>
      </c>
      <c r="I14" s="169"/>
      <c r="J14" s="158" t="s">
        <v>61</v>
      </c>
      <c r="K14" s="172"/>
      <c r="L14" s="41" t="s">
        <v>66</v>
      </c>
      <c r="M14" s="9"/>
      <c r="N14" s="84"/>
      <c r="O14" s="85"/>
      <c r="P14" s="84"/>
      <c r="Q14" s="85"/>
      <c r="R14" s="84"/>
      <c r="S14" s="85"/>
      <c r="T14" s="84"/>
      <c r="U14" s="85"/>
      <c r="V14" s="84"/>
      <c r="W14" s="85"/>
      <c r="X14" s="84"/>
      <c r="Y14" s="88"/>
      <c r="Z14" s="88"/>
    </row>
    <row r="15" spans="1:26" ht="21.75" customHeight="1" x14ac:dyDescent="0.2">
      <c r="A15" s="172"/>
      <c r="B15" s="162" t="s">
        <v>58</v>
      </c>
      <c r="C15" s="163"/>
      <c r="D15" s="175">
        <v>4800</v>
      </c>
      <c r="E15" s="176"/>
      <c r="F15" s="162" t="s">
        <v>58</v>
      </c>
      <c r="G15" s="163"/>
      <c r="H15" s="43">
        <v>4800</v>
      </c>
      <c r="I15" s="169"/>
      <c r="J15" s="162" t="s">
        <v>62</v>
      </c>
      <c r="K15" s="173"/>
      <c r="L15" s="41" t="s">
        <v>67</v>
      </c>
      <c r="M15" s="9"/>
      <c r="N15" s="84"/>
      <c r="O15" s="85"/>
      <c r="P15" s="84"/>
      <c r="Q15" s="85"/>
      <c r="R15" s="84"/>
      <c r="S15" s="85"/>
      <c r="T15" s="84"/>
      <c r="U15" s="85"/>
      <c r="V15" s="84"/>
      <c r="W15" s="85"/>
      <c r="X15" s="84"/>
      <c r="Y15" s="88"/>
      <c r="Z15" s="88"/>
    </row>
    <row r="16" spans="1:26" ht="21.75" customHeight="1" x14ac:dyDescent="0.2">
      <c r="A16" s="172"/>
      <c r="B16" s="44" t="s">
        <v>51</v>
      </c>
      <c r="C16" s="44" t="s">
        <v>53</v>
      </c>
      <c r="D16" s="44" t="s">
        <v>54</v>
      </c>
      <c r="E16" s="127"/>
      <c r="F16" s="44" t="s">
        <v>51</v>
      </c>
      <c r="G16" s="44" t="s">
        <v>53</v>
      </c>
      <c r="H16" s="45" t="s">
        <v>54</v>
      </c>
      <c r="I16" s="169"/>
      <c r="J16" s="127" t="s">
        <v>63</v>
      </c>
      <c r="K16" s="127" t="s">
        <v>64</v>
      </c>
      <c r="L16" s="41" t="s">
        <v>68</v>
      </c>
      <c r="M16" s="9"/>
      <c r="N16" s="84"/>
      <c r="O16" s="85"/>
      <c r="P16" s="84"/>
      <c r="Q16" s="85"/>
      <c r="R16" s="84"/>
      <c r="S16" s="85"/>
      <c r="T16" s="84"/>
      <c r="U16" s="85"/>
      <c r="V16" s="84"/>
      <c r="W16" s="85"/>
      <c r="X16" s="84"/>
      <c r="Y16" s="88"/>
      <c r="Z16" s="88"/>
    </row>
    <row r="17" spans="1:26" ht="21.75" customHeight="1" x14ac:dyDescent="0.2">
      <c r="A17" s="172"/>
      <c r="B17" s="46" t="s">
        <v>52</v>
      </c>
      <c r="C17" s="46" t="s">
        <v>51</v>
      </c>
      <c r="D17" s="46" t="s">
        <v>55</v>
      </c>
      <c r="E17" s="174"/>
      <c r="F17" s="46" t="s">
        <v>52</v>
      </c>
      <c r="G17" s="47" t="s">
        <v>51</v>
      </c>
      <c r="H17" s="48" t="s">
        <v>55</v>
      </c>
      <c r="I17" s="170"/>
      <c r="J17" s="128"/>
      <c r="K17" s="128"/>
      <c r="L17" s="41" t="s">
        <v>69</v>
      </c>
      <c r="M17" s="103" t="s">
        <v>92</v>
      </c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spans="1:26" ht="23.25" customHeight="1" x14ac:dyDescent="0.2">
      <c r="A18" s="78" t="s">
        <v>7</v>
      </c>
      <c r="B18" s="82">
        <v>4420.4867000000004</v>
      </c>
      <c r="C18" s="25"/>
      <c r="D18" s="24"/>
      <c r="E18" s="81"/>
      <c r="F18" s="82">
        <v>1973.7951</v>
      </c>
      <c r="G18" s="51"/>
      <c r="H18" s="50"/>
      <c r="I18" s="52"/>
      <c r="J18" s="39"/>
      <c r="K18" s="79"/>
      <c r="L18" s="53"/>
      <c r="M18" s="100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1" t="s">
        <v>91</v>
      </c>
      <c r="X18" s="104"/>
      <c r="Y18" s="104"/>
      <c r="Z18" s="104"/>
    </row>
    <row r="19" spans="1:26" ht="23.25" customHeight="1" x14ac:dyDescent="0.2">
      <c r="A19" s="78" t="s">
        <v>8</v>
      </c>
      <c r="B19" s="82">
        <v>4420.7776000000003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0.29089999999996508</v>
      </c>
      <c r="D19" s="24">
        <f t="shared" ref="D19:D42" si="1">IF(C19="","",C19*$D$15)</f>
        <v>1396.3199999998324</v>
      </c>
      <c r="E19" s="81"/>
      <c r="F19" s="82">
        <v>1973.9302</v>
      </c>
      <c r="G19" s="51">
        <f>F19-ReportObject5_3</f>
        <v>0.1350999999999658</v>
      </c>
      <c r="H19" s="50">
        <f t="shared" ref="H19:H42" si="2">IF(G19="","",G19*$H$15)</f>
        <v>648.47999999983585</v>
      </c>
      <c r="I19" s="52">
        <f t="shared" ref="I19:I42" si="3">IF(H19="","",IF(D19="","",IF(AND(H19=0,D19=0),0,H19/D19)))</f>
        <v>0.46442076314878661</v>
      </c>
      <c r="J19" s="39"/>
      <c r="K19" s="83">
        <v>6.326905</v>
      </c>
      <c r="L19" s="53"/>
      <c r="M19" s="95"/>
      <c r="N19" s="89"/>
      <c r="O19" s="89"/>
      <c r="P19" s="89"/>
      <c r="Q19" s="89" t="s">
        <v>108</v>
      </c>
      <c r="R19" s="89"/>
      <c r="S19" s="89"/>
      <c r="T19" s="89"/>
      <c r="U19" s="89"/>
      <c r="V19" s="89"/>
      <c r="W19" s="90"/>
      <c r="X19" s="99"/>
      <c r="Y19" s="99"/>
      <c r="Z19" s="99"/>
    </row>
    <row r="20" spans="1:26" ht="23.25" customHeight="1" x14ac:dyDescent="0.2">
      <c r="A20" s="78" t="s">
        <v>9</v>
      </c>
      <c r="B20" s="82">
        <v>4421.0717999999997</v>
      </c>
      <c r="C20" s="25">
        <f t="shared" si="0"/>
        <v>0.29419999999936408</v>
      </c>
      <c r="D20" s="24">
        <f t="shared" si="1"/>
        <v>1412.1599999969476</v>
      </c>
      <c r="E20" s="81"/>
      <c r="F20" s="82">
        <v>1974.0694000000001</v>
      </c>
      <c r="G20" s="51">
        <f>F20-F19</f>
        <v>0.13920000000007349</v>
      </c>
      <c r="H20" s="50">
        <f t="shared" si="2"/>
        <v>668.16000000035274</v>
      </c>
      <c r="I20" s="52">
        <f t="shared" si="3"/>
        <v>0.47314751869603799</v>
      </c>
      <c r="J20" s="39"/>
      <c r="K20" s="83">
        <v>6.4124369999999997</v>
      </c>
      <c r="L20" s="53"/>
      <c r="M20" s="95" t="s">
        <v>80</v>
      </c>
      <c r="N20" s="89" t="s">
        <v>99</v>
      </c>
      <c r="O20" s="89"/>
      <c r="P20" s="89"/>
      <c r="Q20" s="89" t="s">
        <v>181</v>
      </c>
      <c r="R20" s="89"/>
      <c r="S20" s="89"/>
      <c r="T20" s="89" t="s">
        <v>94</v>
      </c>
      <c r="U20" s="89"/>
      <c r="V20" s="89"/>
      <c r="W20" s="90"/>
      <c r="X20" s="99"/>
      <c r="Y20" s="99"/>
      <c r="Z20" s="99"/>
    </row>
    <row r="21" spans="1:26" ht="23.25" customHeight="1" x14ac:dyDescent="0.2">
      <c r="A21" s="78" t="s">
        <v>10</v>
      </c>
      <c r="B21" s="82">
        <v>4421.3602000000001</v>
      </c>
      <c r="C21" s="25">
        <f t="shared" si="0"/>
        <v>0.28840000000036525</v>
      </c>
      <c r="D21" s="24">
        <f t="shared" si="1"/>
        <v>1384.3200000017532</v>
      </c>
      <c r="E21" s="81"/>
      <c r="F21" s="82">
        <v>1974.2071000000001</v>
      </c>
      <c r="G21" s="51">
        <f t="shared" ref="G21:G42" si="4">F21-F20</f>
        <v>0.13769999999999527</v>
      </c>
      <c r="H21" s="50">
        <f t="shared" si="2"/>
        <v>660.9599999999773</v>
      </c>
      <c r="I21" s="52">
        <f t="shared" si="3"/>
        <v>0.47746185852919859</v>
      </c>
      <c r="J21" s="39"/>
      <c r="K21" s="83">
        <v>6.418342</v>
      </c>
      <c r="L21" s="53"/>
      <c r="M21" s="96"/>
      <c r="N21" s="91"/>
      <c r="O21" s="91"/>
      <c r="P21" s="91"/>
      <c r="Q21" s="91"/>
      <c r="R21" s="91"/>
      <c r="S21" s="91"/>
      <c r="T21" s="91"/>
      <c r="U21" s="91"/>
      <c r="V21" s="91"/>
      <c r="W21" s="92"/>
      <c r="X21" s="103"/>
      <c r="Y21" s="103"/>
      <c r="Z21" s="103"/>
    </row>
    <row r="22" spans="1:26" ht="23.25" customHeight="1" x14ac:dyDescent="0.2">
      <c r="A22" s="78" t="s">
        <v>11</v>
      </c>
      <c r="B22" s="82">
        <v>4421.6507000000001</v>
      </c>
      <c r="C22" s="25">
        <f t="shared" si="0"/>
        <v>0.29050000000006548</v>
      </c>
      <c r="D22" s="24">
        <f t="shared" si="1"/>
        <v>1394.4000000003143</v>
      </c>
      <c r="E22" s="81"/>
      <c r="F22" s="82">
        <v>1974.3462999999999</v>
      </c>
      <c r="G22" s="51">
        <f t="shared" si="4"/>
        <v>0.13919999999984611</v>
      </c>
      <c r="H22" s="50">
        <f t="shared" si="2"/>
        <v>668.15999999926134</v>
      </c>
      <c r="I22" s="52">
        <f t="shared" si="3"/>
        <v>0.47917383820934506</v>
      </c>
      <c r="J22" s="39"/>
      <c r="K22" s="83">
        <v>6.2409280000000003</v>
      </c>
      <c r="L22" s="53"/>
      <c r="M22" s="9"/>
      <c r="N22" s="97"/>
      <c r="O22" s="97"/>
      <c r="P22" s="97"/>
      <c r="Q22" s="97"/>
      <c r="R22" s="97"/>
      <c r="S22" s="97"/>
      <c r="T22" s="97"/>
      <c r="U22" s="97"/>
      <c r="V22" s="97"/>
      <c r="W22" s="84"/>
      <c r="X22" s="88"/>
      <c r="Y22" s="88"/>
      <c r="Z22" s="88"/>
    </row>
    <row r="23" spans="1:26" ht="23.25" customHeight="1" x14ac:dyDescent="0.2">
      <c r="A23" s="78" t="s">
        <v>12</v>
      </c>
      <c r="B23" s="82">
        <v>4421.9423999999999</v>
      </c>
      <c r="C23" s="25">
        <f t="shared" si="0"/>
        <v>0.29169999999976426</v>
      </c>
      <c r="D23" s="24">
        <f t="shared" si="1"/>
        <v>1400.1599999988684</v>
      </c>
      <c r="E23" s="81"/>
      <c r="F23" s="82">
        <v>1974.4866</v>
      </c>
      <c r="G23" s="51">
        <f t="shared" si="4"/>
        <v>0.14030000000002474</v>
      </c>
      <c r="H23" s="50">
        <f t="shared" si="2"/>
        <v>673.44000000011874</v>
      </c>
      <c r="I23" s="52">
        <f t="shared" si="3"/>
        <v>0.4809736030172716</v>
      </c>
      <c r="J23" s="39"/>
      <c r="K23" s="83">
        <v>6.461163</v>
      </c>
      <c r="L23" s="53"/>
      <c r="M23" s="9"/>
      <c r="N23" s="97"/>
      <c r="O23" s="97"/>
      <c r="P23" s="97"/>
      <c r="Q23" s="97"/>
      <c r="R23" s="97"/>
      <c r="S23" s="97"/>
      <c r="T23" s="97"/>
      <c r="U23" s="97"/>
      <c r="V23" s="97"/>
      <c r="W23" s="84"/>
      <c r="X23" s="88"/>
      <c r="Y23" s="88"/>
      <c r="Z23" s="88"/>
    </row>
    <row r="24" spans="1:26" ht="23.25" customHeight="1" x14ac:dyDescent="0.2">
      <c r="A24" s="78" t="s">
        <v>13</v>
      </c>
      <c r="B24" s="82">
        <v>4422.2308999999996</v>
      </c>
      <c r="C24" s="25">
        <f t="shared" si="0"/>
        <v>0.28849999999965803</v>
      </c>
      <c r="D24" s="24">
        <f t="shared" si="1"/>
        <v>1384.7999999983585</v>
      </c>
      <c r="E24" s="81"/>
      <c r="F24" s="82">
        <v>1974.6264000000001</v>
      </c>
      <c r="G24" s="51">
        <f t="shared" si="4"/>
        <v>0.13980000000015025</v>
      </c>
      <c r="H24" s="50">
        <f t="shared" si="2"/>
        <v>671.04000000072119</v>
      </c>
      <c r="I24" s="52">
        <f t="shared" si="3"/>
        <v>0.4845753899491021</v>
      </c>
      <c r="J24" s="39"/>
      <c r="K24" s="83">
        <v>6.4758290000000001</v>
      </c>
      <c r="L24" s="53"/>
      <c r="M24" s="9"/>
      <c r="N24" s="97"/>
      <c r="O24" s="97"/>
      <c r="P24" s="97"/>
      <c r="Q24" s="97"/>
      <c r="R24" s="97"/>
      <c r="S24" s="97"/>
      <c r="T24" s="97"/>
      <c r="U24" s="97"/>
      <c r="V24" s="97"/>
      <c r="W24" s="84"/>
      <c r="X24" s="88"/>
      <c r="Y24" s="88"/>
      <c r="Z24" s="88"/>
    </row>
    <row r="25" spans="1:26" ht="23.25" customHeight="1" x14ac:dyDescent="0.2">
      <c r="A25" s="78" t="s">
        <v>14</v>
      </c>
      <c r="B25" s="82">
        <v>4422.5185000000001</v>
      </c>
      <c r="C25" s="25">
        <f t="shared" si="0"/>
        <v>0.28760000000056607</v>
      </c>
      <c r="D25" s="24">
        <f t="shared" si="1"/>
        <v>1380.4800000027171</v>
      </c>
      <c r="E25" s="81"/>
      <c r="F25" s="82">
        <v>1974.7645</v>
      </c>
      <c r="G25" s="51">
        <f t="shared" si="4"/>
        <v>0.13809999999989486</v>
      </c>
      <c r="H25" s="50">
        <f t="shared" si="2"/>
        <v>662.87999999949534</v>
      </c>
      <c r="I25" s="52">
        <f t="shared" si="3"/>
        <v>0.48018080667462809</v>
      </c>
      <c r="J25" s="39"/>
      <c r="K25" s="83">
        <v>6.4319850000000001</v>
      </c>
      <c r="L25" s="53"/>
      <c r="M25" s="9"/>
      <c r="N25" s="97"/>
      <c r="O25" s="97"/>
      <c r="P25" s="97"/>
      <c r="Q25" s="97"/>
      <c r="R25" s="97"/>
      <c r="S25" s="97"/>
      <c r="T25" s="97"/>
      <c r="U25" s="97"/>
      <c r="V25" s="97"/>
      <c r="W25" s="84"/>
      <c r="X25" s="88"/>
      <c r="Y25" s="88"/>
      <c r="Z25" s="88"/>
    </row>
    <row r="26" spans="1:26" ht="23.25" customHeight="1" x14ac:dyDescent="0.2">
      <c r="A26" s="78" t="s">
        <v>15</v>
      </c>
      <c r="B26" s="82">
        <v>4422.8107</v>
      </c>
      <c r="C26" s="25">
        <f t="shared" si="0"/>
        <v>0.29219999999986612</v>
      </c>
      <c r="D26" s="24">
        <f t="shared" si="1"/>
        <v>1402.5599999993574</v>
      </c>
      <c r="E26" s="81"/>
      <c r="F26" s="82">
        <v>1974.8995</v>
      </c>
      <c r="G26" s="51">
        <f t="shared" si="4"/>
        <v>0.13499999999999091</v>
      </c>
      <c r="H26" s="50">
        <f t="shared" si="2"/>
        <v>647.99999999995634</v>
      </c>
      <c r="I26" s="52">
        <f t="shared" si="3"/>
        <v>0.46201232032872264</v>
      </c>
      <c r="J26" s="39"/>
      <c r="K26" s="83">
        <v>6.347073</v>
      </c>
      <c r="L26" s="53"/>
      <c r="M26" s="9"/>
      <c r="N26" s="97"/>
      <c r="O26" s="97"/>
      <c r="P26" s="97"/>
      <c r="Q26" s="97"/>
      <c r="R26" s="97"/>
      <c r="S26" s="97"/>
      <c r="T26" s="97"/>
      <c r="U26" s="97"/>
      <c r="V26" s="97"/>
      <c r="W26" s="84"/>
      <c r="X26" s="88"/>
      <c r="Y26" s="88"/>
      <c r="Z26" s="88"/>
    </row>
    <row r="27" spans="1:26" ht="23.25" customHeight="1" x14ac:dyDescent="0.2">
      <c r="A27" s="78" t="s">
        <v>16</v>
      </c>
      <c r="B27" s="82">
        <v>4423.0991999999997</v>
      </c>
      <c r="C27" s="25">
        <f t="shared" si="0"/>
        <v>0.28849999999965803</v>
      </c>
      <c r="D27" s="24">
        <f t="shared" si="1"/>
        <v>1384.7999999983585</v>
      </c>
      <c r="E27" s="81"/>
      <c r="F27" s="82">
        <v>1975.0287000000001</v>
      </c>
      <c r="G27" s="51">
        <f t="shared" si="4"/>
        <v>0.12920000000008258</v>
      </c>
      <c r="H27" s="50">
        <f t="shared" si="2"/>
        <v>620.16000000039639</v>
      </c>
      <c r="I27" s="52">
        <f t="shared" si="3"/>
        <v>0.44783362218452594</v>
      </c>
      <c r="J27" s="39"/>
      <c r="K27" s="83">
        <v>6.2139979999999992</v>
      </c>
      <c r="L27" s="53"/>
      <c r="M27" s="9"/>
      <c r="N27" s="97"/>
      <c r="O27" s="97"/>
      <c r="P27" s="97"/>
      <c r="Q27" s="97"/>
      <c r="R27" s="97"/>
      <c r="S27" s="97"/>
      <c r="T27" s="97"/>
      <c r="U27" s="97"/>
      <c r="V27" s="97"/>
      <c r="W27" s="84"/>
      <c r="X27" s="88"/>
      <c r="Y27" s="88"/>
      <c r="Z27" s="88"/>
    </row>
    <row r="28" spans="1:26" ht="23.25" customHeight="1" x14ac:dyDescent="0.2">
      <c r="A28" s="78" t="s">
        <v>17</v>
      </c>
      <c r="B28" s="82">
        <v>4423.3887000000004</v>
      </c>
      <c r="C28" s="25">
        <f t="shared" si="0"/>
        <v>0.28950000000077125</v>
      </c>
      <c r="D28" s="24">
        <f t="shared" si="1"/>
        <v>1389.600000003702</v>
      </c>
      <c r="E28" s="81"/>
      <c r="F28" s="82">
        <v>1975.1559</v>
      </c>
      <c r="G28" s="51">
        <f t="shared" si="4"/>
        <v>0.1271999999999025</v>
      </c>
      <c r="H28" s="50">
        <f t="shared" si="2"/>
        <v>610.55999999953201</v>
      </c>
      <c r="I28" s="52">
        <f t="shared" si="3"/>
        <v>0.43937823834046158</v>
      </c>
      <c r="J28" s="39"/>
      <c r="K28" s="83">
        <v>6.167478</v>
      </c>
      <c r="L28" s="53"/>
      <c r="M28" s="9"/>
      <c r="N28" s="97"/>
      <c r="O28" s="97"/>
      <c r="P28" s="97"/>
      <c r="Q28" s="97"/>
      <c r="R28" s="97"/>
      <c r="S28" s="97"/>
      <c r="T28" s="97"/>
      <c r="U28" s="97"/>
      <c r="V28" s="97"/>
      <c r="W28" s="84"/>
      <c r="X28" s="88"/>
      <c r="Y28" s="88"/>
      <c r="Z28" s="88"/>
    </row>
    <row r="29" spans="1:26" ht="23.25" customHeight="1" x14ac:dyDescent="0.2">
      <c r="A29" s="78" t="s">
        <v>18</v>
      </c>
      <c r="B29" s="82">
        <v>4423.6738999999998</v>
      </c>
      <c r="C29" s="25">
        <f t="shared" si="0"/>
        <v>0.28519999999934953</v>
      </c>
      <c r="D29" s="24">
        <f t="shared" si="1"/>
        <v>1368.9599999968777</v>
      </c>
      <c r="E29" s="81"/>
      <c r="F29" s="82">
        <v>1975.2811999999999</v>
      </c>
      <c r="G29" s="51">
        <f t="shared" si="4"/>
        <v>0.12529999999992469</v>
      </c>
      <c r="H29" s="50">
        <f t="shared" si="2"/>
        <v>601.43999999963853</v>
      </c>
      <c r="I29" s="52">
        <f t="shared" si="3"/>
        <v>0.43934081346497361</v>
      </c>
      <c r="J29" s="39"/>
      <c r="K29" s="83">
        <v>6.1520820000000001</v>
      </c>
      <c r="L29" s="53"/>
      <c r="M29" s="118" t="s">
        <v>95</v>
      </c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23.25" customHeight="1" x14ac:dyDescent="0.2">
      <c r="A30" s="78" t="s">
        <v>19</v>
      </c>
      <c r="B30" s="82">
        <v>4423.9571999999998</v>
      </c>
      <c r="C30" s="25">
        <f t="shared" si="0"/>
        <v>0.28330000000005384</v>
      </c>
      <c r="D30" s="24">
        <f t="shared" si="1"/>
        <v>1359.8400000002584</v>
      </c>
      <c r="E30" s="81"/>
      <c r="F30" s="82">
        <v>1975.4041999999999</v>
      </c>
      <c r="G30" s="51">
        <f t="shared" si="4"/>
        <v>0.12300000000004729</v>
      </c>
      <c r="H30" s="50">
        <f t="shared" si="2"/>
        <v>590.40000000022701</v>
      </c>
      <c r="I30" s="52">
        <f t="shared" si="3"/>
        <v>0.43416872573252352</v>
      </c>
      <c r="J30" s="39"/>
      <c r="K30" s="83">
        <v>6.1710240000000001</v>
      </c>
      <c r="L30" s="53"/>
      <c r="M30" s="99" t="s">
        <v>97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23.25" customHeight="1" x14ac:dyDescent="0.2">
      <c r="A31" s="78" t="s">
        <v>20</v>
      </c>
      <c r="B31" s="82">
        <v>4424.2439999999997</v>
      </c>
      <c r="C31" s="25">
        <f t="shared" si="0"/>
        <v>0.28679999999985739</v>
      </c>
      <c r="D31" s="24">
        <f t="shared" si="1"/>
        <v>1376.6399999993155</v>
      </c>
      <c r="E31" s="81"/>
      <c r="F31" s="82">
        <v>1975.5302999999999</v>
      </c>
      <c r="G31" s="51">
        <f t="shared" si="4"/>
        <v>0.12609999999995125</v>
      </c>
      <c r="H31" s="50">
        <f t="shared" si="2"/>
        <v>605.27999999976601</v>
      </c>
      <c r="I31" s="52">
        <f t="shared" si="3"/>
        <v>0.43967921896797058</v>
      </c>
      <c r="J31" s="39"/>
      <c r="K31" s="83">
        <v>6.2041589999999998</v>
      </c>
      <c r="L31" s="53"/>
      <c r="M31" s="100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179</v>
      </c>
      <c r="W31" s="98"/>
      <c r="X31" s="98"/>
      <c r="Y31" s="98" t="s">
        <v>91</v>
      </c>
      <c r="Z31" s="101"/>
    </row>
    <row r="32" spans="1:26" ht="23.25" customHeight="1" x14ac:dyDescent="0.2">
      <c r="A32" s="78" t="s">
        <v>21</v>
      </c>
      <c r="B32" s="82">
        <v>4424.5290000000005</v>
      </c>
      <c r="C32" s="25">
        <f t="shared" si="0"/>
        <v>0.28500000000076398</v>
      </c>
      <c r="D32" s="24">
        <f t="shared" si="1"/>
        <v>1368.0000000036671</v>
      </c>
      <c r="E32" s="81"/>
      <c r="F32" s="82">
        <v>1975.6539</v>
      </c>
      <c r="G32" s="51">
        <f t="shared" si="4"/>
        <v>0.12360000000012406</v>
      </c>
      <c r="H32" s="50">
        <f t="shared" si="2"/>
        <v>593.28000000059546</v>
      </c>
      <c r="I32" s="52">
        <f t="shared" si="3"/>
        <v>0.43368421052558853</v>
      </c>
      <c r="J32" s="39"/>
      <c r="K32" s="83">
        <v>6.0501100000000001</v>
      </c>
      <c r="L32" s="53"/>
      <c r="M32" s="95"/>
      <c r="N32" s="89"/>
      <c r="O32" s="89"/>
      <c r="P32" s="89" t="s">
        <v>83</v>
      </c>
      <c r="Q32" s="89"/>
      <c r="R32" s="89" t="s">
        <v>102</v>
      </c>
      <c r="S32" s="89"/>
      <c r="T32" s="89" t="s">
        <v>104</v>
      </c>
      <c r="U32" s="89"/>
      <c r="V32" s="89" t="s">
        <v>105</v>
      </c>
      <c r="W32" s="89"/>
      <c r="X32" s="89"/>
      <c r="Y32" s="89"/>
      <c r="Z32" s="90"/>
    </row>
    <row r="33" spans="1:26" ht="23.25" customHeight="1" x14ac:dyDescent="0.2">
      <c r="A33" s="78" t="s">
        <v>22</v>
      </c>
      <c r="B33" s="82">
        <v>4424.8158999999996</v>
      </c>
      <c r="C33" s="25">
        <f t="shared" si="0"/>
        <v>0.28689999999915017</v>
      </c>
      <c r="D33" s="24">
        <f t="shared" si="1"/>
        <v>1377.1199999959208</v>
      </c>
      <c r="E33" s="81"/>
      <c r="F33" s="82">
        <v>1975.7771</v>
      </c>
      <c r="G33" s="51">
        <f t="shared" si="4"/>
        <v>0.12319999999999709</v>
      </c>
      <c r="H33" s="50">
        <f t="shared" si="2"/>
        <v>591.35999999998603</v>
      </c>
      <c r="I33" s="52">
        <f t="shared" si="3"/>
        <v>0.42941791565131415</v>
      </c>
      <c r="J33" s="39"/>
      <c r="K33" s="83">
        <v>6.0204409999999999</v>
      </c>
      <c r="L33" s="53"/>
      <c r="M33" s="95" t="s">
        <v>80</v>
      </c>
      <c r="N33" s="89" t="s">
        <v>99</v>
      </c>
      <c r="O33" s="89"/>
      <c r="P33" s="89" t="s">
        <v>101</v>
      </c>
      <c r="Q33" s="89"/>
      <c r="R33" s="89" t="s">
        <v>69</v>
      </c>
      <c r="S33" s="89"/>
      <c r="T33" s="89" t="s">
        <v>69</v>
      </c>
      <c r="U33" s="89"/>
      <c r="V33" s="89" t="s">
        <v>106</v>
      </c>
      <c r="W33" s="89"/>
      <c r="X33" s="89"/>
      <c r="Y33" s="89"/>
      <c r="Z33" s="90"/>
    </row>
    <row r="34" spans="1:26" ht="23.25" customHeight="1" x14ac:dyDescent="0.2">
      <c r="A34" s="78" t="s">
        <v>23</v>
      </c>
      <c r="B34" s="82">
        <v>4425.1013999999996</v>
      </c>
      <c r="C34" s="25">
        <f t="shared" si="0"/>
        <v>0.28549999999995634</v>
      </c>
      <c r="D34" s="24">
        <f t="shared" si="1"/>
        <v>1370.3999999997905</v>
      </c>
      <c r="E34" s="81"/>
      <c r="F34" s="82">
        <v>1975.8991000000001</v>
      </c>
      <c r="G34" s="51">
        <f t="shared" si="4"/>
        <v>0.12200000000007094</v>
      </c>
      <c r="H34" s="50">
        <f t="shared" si="2"/>
        <v>585.60000000034051</v>
      </c>
      <c r="I34" s="52">
        <f t="shared" si="3"/>
        <v>0.42732049036808967</v>
      </c>
      <c r="J34" s="39"/>
      <c r="K34" s="83">
        <v>5.8952020000000003</v>
      </c>
      <c r="L34" s="53"/>
      <c r="M34" s="96"/>
      <c r="N34" s="91"/>
      <c r="O34" s="91"/>
      <c r="P34" s="91"/>
      <c r="Q34" s="91"/>
      <c r="R34" s="92"/>
      <c r="S34" s="96"/>
      <c r="T34" s="92"/>
      <c r="U34" s="96"/>
      <c r="V34" s="92"/>
      <c r="W34" s="103"/>
      <c r="X34" s="96"/>
      <c r="Y34" s="91"/>
      <c r="Z34" s="92"/>
    </row>
    <row r="35" spans="1:26" ht="23.25" customHeight="1" x14ac:dyDescent="0.2">
      <c r="A35" s="78" t="s">
        <v>24</v>
      </c>
      <c r="B35" s="82">
        <v>4425.3873999999996</v>
      </c>
      <c r="C35" s="25">
        <f t="shared" si="0"/>
        <v>0.28600000000005821</v>
      </c>
      <c r="D35" s="24">
        <f t="shared" si="1"/>
        <v>1372.8000000002794</v>
      </c>
      <c r="E35" s="81"/>
      <c r="F35" s="82">
        <v>1976.0248999999999</v>
      </c>
      <c r="G35" s="51">
        <f t="shared" si="4"/>
        <v>0.12579999999979918</v>
      </c>
      <c r="H35" s="50">
        <f t="shared" si="2"/>
        <v>603.83999999903608</v>
      </c>
      <c r="I35" s="52">
        <f t="shared" si="3"/>
        <v>0.43986013985934819</v>
      </c>
      <c r="J35" s="39"/>
      <c r="K35" s="83">
        <v>6.0330409999999999</v>
      </c>
      <c r="L35" s="53"/>
      <c r="M35" s="9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84"/>
    </row>
    <row r="36" spans="1:26" ht="23.25" customHeight="1" x14ac:dyDescent="0.2">
      <c r="A36" s="78" t="s">
        <v>25</v>
      </c>
      <c r="B36" s="82">
        <v>4425.6698999999999</v>
      </c>
      <c r="C36" s="25">
        <f t="shared" si="0"/>
        <v>0.28250000000025466</v>
      </c>
      <c r="D36" s="24">
        <f t="shared" si="1"/>
        <v>1356.0000000012224</v>
      </c>
      <c r="E36" s="81"/>
      <c r="F36" s="82">
        <v>1976.1503</v>
      </c>
      <c r="G36" s="51">
        <f t="shared" si="4"/>
        <v>0.12540000000012697</v>
      </c>
      <c r="H36" s="50">
        <f t="shared" si="2"/>
        <v>601.92000000060943</v>
      </c>
      <c r="I36" s="52">
        <f>IF(H36="","",IF(D36="","",IF(AND(H36=0,D36=0),0,H36/D36)))</f>
        <v>0.44389380530978378</v>
      </c>
      <c r="J36" s="39"/>
      <c r="K36" s="83">
        <v>6.206874</v>
      </c>
      <c r="L36" s="53"/>
      <c r="M36" s="9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84"/>
    </row>
    <row r="37" spans="1:26" ht="23.25" customHeight="1" x14ac:dyDescent="0.2">
      <c r="A37" s="78" t="s">
        <v>26</v>
      </c>
      <c r="B37" s="82">
        <v>4425.9533000000001</v>
      </c>
      <c r="C37" s="25">
        <f t="shared" si="0"/>
        <v>0.28340000000025611</v>
      </c>
      <c r="D37" s="24">
        <f t="shared" si="1"/>
        <v>1360.3200000012293</v>
      </c>
      <c r="E37" s="81"/>
      <c r="F37" s="82">
        <v>1976.2777000000001</v>
      </c>
      <c r="G37" s="51">
        <f t="shared" si="4"/>
        <v>0.12740000000007967</v>
      </c>
      <c r="H37" s="50">
        <f t="shared" si="2"/>
        <v>611.52000000038242</v>
      </c>
      <c r="I37" s="52">
        <f t="shared" si="3"/>
        <v>0.44954128440354457</v>
      </c>
      <c r="J37" s="39"/>
      <c r="K37" s="83">
        <v>6.1773490000000004</v>
      </c>
      <c r="L37" s="53"/>
      <c r="M37" s="9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84"/>
    </row>
    <row r="38" spans="1:26" ht="23.25" customHeight="1" x14ac:dyDescent="0.2">
      <c r="A38" s="78" t="s">
        <v>27</v>
      </c>
      <c r="B38" s="82">
        <v>4426.2371000000003</v>
      </c>
      <c r="C38" s="25">
        <f t="shared" si="0"/>
        <v>0.28380000000015571</v>
      </c>
      <c r="D38" s="24">
        <f t="shared" si="1"/>
        <v>1362.2400000007474</v>
      </c>
      <c r="E38" s="81"/>
      <c r="F38" s="82">
        <v>1976.4067</v>
      </c>
      <c r="G38" s="51">
        <f t="shared" si="4"/>
        <v>0.12899999999990541</v>
      </c>
      <c r="H38" s="50">
        <f t="shared" si="2"/>
        <v>619.19999999954598</v>
      </c>
      <c r="I38" s="52">
        <f t="shared" si="3"/>
        <v>0.45454545454487189</v>
      </c>
      <c r="J38" s="39"/>
      <c r="K38" s="83">
        <v>6.1899679999999995</v>
      </c>
      <c r="L38" s="53"/>
      <c r="M38" s="9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84"/>
    </row>
    <row r="39" spans="1:26" ht="23.25" customHeight="1" x14ac:dyDescent="0.2">
      <c r="A39" s="78" t="s">
        <v>28</v>
      </c>
      <c r="B39" s="82">
        <v>4426.5205999999998</v>
      </c>
      <c r="C39" s="25">
        <f t="shared" si="0"/>
        <v>0.28349999999954889</v>
      </c>
      <c r="D39" s="24">
        <f t="shared" si="1"/>
        <v>1360.7999999978347</v>
      </c>
      <c r="E39" s="81"/>
      <c r="F39" s="82">
        <v>1976.5355</v>
      </c>
      <c r="G39" s="51">
        <f t="shared" si="4"/>
        <v>0.12879999999995562</v>
      </c>
      <c r="H39" s="50">
        <f t="shared" si="2"/>
        <v>618.23999999978696</v>
      </c>
      <c r="I39" s="52">
        <f t="shared" si="3"/>
        <v>0.45432098765488738</v>
      </c>
      <c r="J39" s="39"/>
      <c r="K39" s="83">
        <v>6.2445699999999995</v>
      </c>
      <c r="L39" s="53"/>
      <c r="M39" s="9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84"/>
    </row>
    <row r="40" spans="1:26" ht="23.25" customHeight="1" x14ac:dyDescent="0.2">
      <c r="A40" s="78" t="s">
        <v>29</v>
      </c>
      <c r="B40" s="82">
        <v>4426.8054000000002</v>
      </c>
      <c r="C40" s="25">
        <f t="shared" si="0"/>
        <v>0.28480000000035943</v>
      </c>
      <c r="D40" s="24">
        <f t="shared" si="1"/>
        <v>1367.0400000017253</v>
      </c>
      <c r="E40" s="81"/>
      <c r="F40" s="82">
        <v>1976.6650999999999</v>
      </c>
      <c r="G40" s="51">
        <f t="shared" si="4"/>
        <v>0.12959999999998217</v>
      </c>
      <c r="H40" s="50">
        <f t="shared" si="2"/>
        <v>622.07999999991443</v>
      </c>
      <c r="I40" s="52">
        <f t="shared" si="3"/>
        <v>0.45505617977464402</v>
      </c>
      <c r="J40" s="39"/>
      <c r="K40" s="83">
        <v>6.2975519999999996</v>
      </c>
      <c r="L40" s="53"/>
      <c r="M40" s="99" t="s">
        <v>109</v>
      </c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ht="23.25" customHeight="1" x14ac:dyDescent="0.2">
      <c r="A41" s="78" t="s">
        <v>30</v>
      </c>
      <c r="B41" s="82">
        <v>4427.0879000000004</v>
      </c>
      <c r="C41" s="25">
        <f t="shared" si="0"/>
        <v>0.28250000000025466</v>
      </c>
      <c r="D41" s="24">
        <f t="shared" si="1"/>
        <v>1356.0000000012224</v>
      </c>
      <c r="E41" s="81"/>
      <c r="F41" s="82">
        <v>1976.7923000000001</v>
      </c>
      <c r="G41" s="51">
        <f t="shared" si="4"/>
        <v>0.12720000000012988</v>
      </c>
      <c r="H41" s="50">
        <f t="shared" si="2"/>
        <v>610.5600000006234</v>
      </c>
      <c r="I41" s="52">
        <f t="shared" si="3"/>
        <v>0.45026548672571759</v>
      </c>
      <c r="J41" s="39"/>
      <c r="K41" s="83">
        <v>6.2778499999999999</v>
      </c>
      <c r="L41" s="53"/>
      <c r="M41" s="100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1"/>
    </row>
    <row r="42" spans="1:26" ht="23.25" customHeight="1" x14ac:dyDescent="0.2">
      <c r="A42" s="78" t="s">
        <v>31</v>
      </c>
      <c r="B42" s="82">
        <v>4427.3679000000002</v>
      </c>
      <c r="C42" s="25">
        <f t="shared" si="0"/>
        <v>0.27999999999974534</v>
      </c>
      <c r="D42" s="24">
        <f t="shared" si="1"/>
        <v>1343.9999999987776</v>
      </c>
      <c r="E42" s="81"/>
      <c r="F42" s="82">
        <v>1976.9174</v>
      </c>
      <c r="G42" s="51">
        <f t="shared" si="4"/>
        <v>0.1250999999999749</v>
      </c>
      <c r="H42" s="50">
        <f t="shared" si="2"/>
        <v>600.47999999987951</v>
      </c>
      <c r="I42" s="52">
        <f t="shared" si="3"/>
        <v>0.44678571428603098</v>
      </c>
      <c r="J42" s="39"/>
      <c r="K42" s="83">
        <v>6.3173979999999998</v>
      </c>
      <c r="L42" s="53"/>
      <c r="M42" s="95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90"/>
    </row>
    <row r="43" spans="1:26" ht="22.5" customHeight="1" x14ac:dyDescent="0.2">
      <c r="A43" s="178" t="s">
        <v>70</v>
      </c>
      <c r="B43" s="178"/>
      <c r="C43" s="178"/>
      <c r="D43" s="50">
        <f>SUM(D18:D42)</f>
        <v>33029.759999999078</v>
      </c>
      <c r="E43" s="78"/>
      <c r="F43" s="54"/>
      <c r="G43" s="60"/>
      <c r="H43" s="50">
        <f>SUM(H18:H42)</f>
        <v>14987.039999999979</v>
      </c>
      <c r="I43" s="52">
        <f>IF(AND(H43=0,D43=0),0,H43/D43)</f>
        <v>0.45374353310470306</v>
      </c>
      <c r="J43" s="39"/>
      <c r="K43" s="39"/>
      <c r="L43" s="53"/>
      <c r="M43" s="95" t="s">
        <v>80</v>
      </c>
      <c r="N43" s="89" t="s">
        <v>99</v>
      </c>
      <c r="O43" s="89"/>
      <c r="P43" s="89" t="s">
        <v>110</v>
      </c>
      <c r="Q43" s="89"/>
      <c r="R43" s="89"/>
      <c r="S43" s="89"/>
      <c r="T43" s="89"/>
      <c r="U43" s="89"/>
      <c r="V43" s="89"/>
      <c r="W43" s="89"/>
      <c r="X43" s="89" t="s">
        <v>110</v>
      </c>
      <c r="Y43" s="89"/>
      <c r="Z43" s="90"/>
    </row>
    <row r="44" spans="1:26" ht="22.5" customHeight="1" x14ac:dyDescent="0.2">
      <c r="A44" s="164" t="s">
        <v>71</v>
      </c>
      <c r="B44" s="164"/>
      <c r="C44" s="164"/>
      <c r="D44" s="61"/>
      <c r="E44" s="61"/>
      <c r="F44" s="62"/>
      <c r="G44" s="39"/>
      <c r="H44" s="39"/>
      <c r="I44" s="39"/>
      <c r="J44" s="39"/>
      <c r="K44" s="39"/>
      <c r="L44" s="53"/>
      <c r="M44" s="96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2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84"/>
      <c r="O45" s="85"/>
      <c r="P45" s="84"/>
      <c r="Q45" s="88"/>
      <c r="R45" s="85"/>
      <c r="S45" s="7"/>
      <c r="T45" s="84"/>
      <c r="U45" s="88"/>
      <c r="V45" s="88"/>
      <c r="W45" s="85"/>
      <c r="X45" s="84"/>
      <c r="Y45" s="88"/>
      <c r="Z45" s="88"/>
    </row>
    <row r="46" spans="1:26" ht="22.5" customHeight="1" x14ac:dyDescent="0.2">
      <c r="A46" s="155" t="s">
        <v>72</v>
      </c>
      <c r="B46" s="155"/>
      <c r="C46" s="155"/>
      <c r="D46" s="155"/>
      <c r="E46" s="155"/>
      <c r="F46" s="155"/>
      <c r="G46" s="177" t="s">
        <v>73</v>
      </c>
      <c r="H46" s="177"/>
      <c r="I46" s="177"/>
      <c r="J46" s="177"/>
      <c r="K46" s="177"/>
      <c r="L46" s="177"/>
      <c r="M46" s="9"/>
      <c r="N46" s="84"/>
      <c r="O46" s="85"/>
      <c r="P46" s="84"/>
      <c r="Q46" s="88"/>
      <c r="R46" s="85"/>
      <c r="S46" s="7"/>
      <c r="T46" s="84"/>
      <c r="U46" s="88"/>
      <c r="V46" s="88"/>
      <c r="W46" s="85"/>
      <c r="X46" s="84"/>
      <c r="Y46" s="88"/>
      <c r="Z46" s="88"/>
    </row>
    <row r="47" spans="1:26" ht="22.5" customHeight="1" x14ac:dyDescent="0.2">
      <c r="A47" s="117" t="s">
        <v>371</v>
      </c>
      <c r="B47" s="117"/>
      <c r="C47" s="117"/>
      <c r="D47" s="108" t="s">
        <v>74</v>
      </c>
      <c r="E47" s="108"/>
      <c r="F47" s="108"/>
      <c r="G47" s="56"/>
      <c r="H47" s="56"/>
      <c r="I47" s="56"/>
      <c r="J47" s="56"/>
      <c r="K47" s="56"/>
      <c r="L47" s="56"/>
      <c r="M47" s="9"/>
      <c r="N47" s="84"/>
      <c r="O47" s="85"/>
      <c r="P47" s="84"/>
      <c r="Q47" s="88"/>
      <c r="R47" s="85"/>
      <c r="S47" s="7"/>
      <c r="T47" s="84"/>
      <c r="U47" s="88"/>
      <c r="V47" s="88"/>
      <c r="W47" s="85"/>
      <c r="X47" s="84"/>
      <c r="Y47" s="88"/>
      <c r="Z47" s="88"/>
    </row>
    <row r="48" spans="1:26" ht="22.5" customHeight="1" x14ac:dyDescent="0.2">
      <c r="A48" s="148" t="s">
        <v>75</v>
      </c>
      <c r="B48" s="148"/>
      <c r="C48" s="148"/>
      <c r="D48" s="147" t="s">
        <v>76</v>
      </c>
      <c r="E48" s="147"/>
      <c r="F48" s="147"/>
      <c r="G48" s="58"/>
      <c r="H48" s="58"/>
      <c r="I48" s="55"/>
      <c r="J48" s="55"/>
      <c r="K48" s="55"/>
      <c r="L48" s="55"/>
    </row>
    <row r="49" spans="1:23" ht="22.5" customHeight="1" x14ac:dyDescent="0.2">
      <c r="A49" s="117" t="s">
        <v>372</v>
      </c>
      <c r="B49" s="117"/>
      <c r="C49" s="117"/>
      <c r="D49" s="108" t="s">
        <v>74</v>
      </c>
      <c r="E49" s="108"/>
      <c r="F49" s="108"/>
      <c r="G49" s="55"/>
      <c r="H49" s="155" t="s">
        <v>183</v>
      </c>
      <c r="I49" s="155"/>
      <c r="J49" s="155"/>
      <c r="K49" s="155" t="s">
        <v>77</v>
      </c>
      <c r="L49" s="155"/>
      <c r="N49" s="150" t="s">
        <v>150</v>
      </c>
      <c r="O49" s="150"/>
      <c r="P49" s="150"/>
      <c r="Q49" s="149" t="s">
        <v>370</v>
      </c>
      <c r="R49" s="149"/>
      <c r="S49" s="149"/>
      <c r="T49" s="149"/>
      <c r="U49" s="149"/>
      <c r="V49" s="149"/>
      <c r="W49" s="1"/>
    </row>
    <row r="50" spans="1:23" ht="22.5" customHeight="1" x14ac:dyDescent="0.2">
      <c r="A50" s="148" t="s">
        <v>75</v>
      </c>
      <c r="B50" s="148"/>
      <c r="C50" s="148"/>
      <c r="D50" s="147" t="s">
        <v>76</v>
      </c>
      <c r="E50" s="147"/>
      <c r="F50" s="147"/>
      <c r="G50" s="58"/>
      <c r="H50" s="148" t="s">
        <v>75</v>
      </c>
      <c r="I50" s="148"/>
      <c r="J50" s="148"/>
      <c r="K50" s="148" t="s">
        <v>76</v>
      </c>
      <c r="L50" s="148"/>
      <c r="S50" s="146" t="s">
        <v>76</v>
      </c>
      <c r="T50" s="146"/>
    </row>
    <row r="51" spans="1:23" ht="20.100000000000001" customHeight="1" x14ac:dyDescent="0.2">
      <c r="A51" s="117" t="s">
        <v>373</v>
      </c>
      <c r="B51" s="117"/>
      <c r="C51" s="117"/>
      <c r="D51" s="108" t="s">
        <v>74</v>
      </c>
      <c r="E51" s="108"/>
      <c r="F51" s="108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47" t="s">
        <v>75</v>
      </c>
      <c r="B52" s="147"/>
      <c r="C52" s="147"/>
      <c r="D52" s="146" t="s">
        <v>76</v>
      </c>
      <c r="E52" s="146"/>
      <c r="F52" s="146"/>
      <c r="G52" s="59"/>
      <c r="H52" s="59"/>
      <c r="I52" s="55"/>
      <c r="J52" s="55"/>
      <c r="K52" s="55"/>
      <c r="L52" s="55"/>
    </row>
  </sheetData>
  <sheetProtection sheet="1" objects="1" scenarios="1"/>
  <mergeCells count="258">
    <mergeCell ref="G1:H2"/>
    <mergeCell ref="J16:J17"/>
    <mergeCell ref="K16:K17"/>
    <mergeCell ref="A13:A17"/>
    <mergeCell ref="E16:E17"/>
    <mergeCell ref="B15:C15"/>
    <mergeCell ref="D15:E15"/>
    <mergeCell ref="B13:C13"/>
    <mergeCell ref="D13:E13"/>
    <mergeCell ref="F14:G14"/>
    <mergeCell ref="A9:L9"/>
    <mergeCell ref="A1:F1"/>
    <mergeCell ref="A2:F2"/>
    <mergeCell ref="G3:H4"/>
    <mergeCell ref="I3:L4"/>
    <mergeCell ref="A11:D11"/>
    <mergeCell ref="E11:H11"/>
    <mergeCell ref="A10:D10"/>
    <mergeCell ref="E10:G10"/>
    <mergeCell ref="D14:E14"/>
    <mergeCell ref="A8:L8"/>
    <mergeCell ref="A43:C43"/>
    <mergeCell ref="J13:K13"/>
    <mergeCell ref="A3:F3"/>
    <mergeCell ref="A4:F4"/>
    <mergeCell ref="A5:F5"/>
    <mergeCell ref="A6:F6"/>
    <mergeCell ref="A12:L12"/>
    <mergeCell ref="H50:J50"/>
    <mergeCell ref="K50:L50"/>
    <mergeCell ref="D49:F49"/>
    <mergeCell ref="A47:C47"/>
    <mergeCell ref="D47:F47"/>
    <mergeCell ref="A46:F46"/>
    <mergeCell ref="A44:C44"/>
    <mergeCell ref="I13:I17"/>
    <mergeCell ref="J14:K14"/>
    <mergeCell ref="J15:K15"/>
    <mergeCell ref="G46:L46"/>
    <mergeCell ref="H49:J49"/>
    <mergeCell ref="K49:L49"/>
    <mergeCell ref="A7:L7"/>
    <mergeCell ref="F13:G13"/>
    <mergeCell ref="I11:L11"/>
    <mergeCell ref="B14:C14"/>
    <mergeCell ref="M20:M21"/>
    <mergeCell ref="M31:M32"/>
    <mergeCell ref="N10:O10"/>
    <mergeCell ref="N11:O11"/>
    <mergeCell ref="D48:F48"/>
    <mergeCell ref="F15:G15"/>
    <mergeCell ref="M18:M19"/>
    <mergeCell ref="P11:Q11"/>
    <mergeCell ref="P12:Q12"/>
    <mergeCell ref="N14:O14"/>
    <mergeCell ref="N15:O15"/>
    <mergeCell ref="N36:O36"/>
    <mergeCell ref="P36:Q3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T14:U14"/>
    <mergeCell ref="N7:O7"/>
    <mergeCell ref="M17:Z17"/>
    <mergeCell ref="W18:Z21"/>
    <mergeCell ref="V11:W11"/>
    <mergeCell ref="V12:W12"/>
    <mergeCell ref="T7:U7"/>
    <mergeCell ref="V7:W7"/>
    <mergeCell ref="R11:S11"/>
    <mergeCell ref="R12:S12"/>
    <mergeCell ref="R13:S13"/>
    <mergeCell ref="R14:S14"/>
    <mergeCell ref="R15:S15"/>
    <mergeCell ref="R7:S7"/>
    <mergeCell ref="X7:Z7"/>
    <mergeCell ref="X8:Z8"/>
    <mergeCell ref="T11:U11"/>
    <mergeCell ref="T12:U12"/>
    <mergeCell ref="P13:Q13"/>
    <mergeCell ref="T13:U13"/>
    <mergeCell ref="N13:O13"/>
    <mergeCell ref="V8:W8"/>
    <mergeCell ref="V9:W9"/>
    <mergeCell ref="V10:W10"/>
    <mergeCell ref="N9:O9"/>
    <mergeCell ref="N3:O6"/>
    <mergeCell ref="T3:U3"/>
    <mergeCell ref="T10:U10"/>
    <mergeCell ref="T9:U9"/>
    <mergeCell ref="N8:O8"/>
    <mergeCell ref="M1:Z1"/>
    <mergeCell ref="M2:Z2"/>
    <mergeCell ref="X3:Z6"/>
    <mergeCell ref="M5:M6"/>
    <mergeCell ref="M3:M4"/>
    <mergeCell ref="R3:S3"/>
    <mergeCell ref="R4:S4"/>
    <mergeCell ref="R5:S5"/>
    <mergeCell ref="R6:S6"/>
    <mergeCell ref="T4:U4"/>
    <mergeCell ref="T5:U5"/>
    <mergeCell ref="P3:Q4"/>
    <mergeCell ref="V3:W3"/>
    <mergeCell ref="V4:W4"/>
    <mergeCell ref="V5:W5"/>
    <mergeCell ref="V6:W6"/>
    <mergeCell ref="T6:U6"/>
    <mergeCell ref="P5:Q6"/>
    <mergeCell ref="P7:Q7"/>
    <mergeCell ref="R8:S8"/>
    <mergeCell ref="R9:S9"/>
    <mergeCell ref="R10:S10"/>
    <mergeCell ref="T8:U8"/>
    <mergeCell ref="P8:Q8"/>
    <mergeCell ref="P9:Q9"/>
    <mergeCell ref="P10:Q10"/>
    <mergeCell ref="N12:O12"/>
    <mergeCell ref="N28:P28"/>
    <mergeCell ref="Q28:S28"/>
    <mergeCell ref="T28:V28"/>
    <mergeCell ref="Q26:S26"/>
    <mergeCell ref="Q25:S25"/>
    <mergeCell ref="Q22:S22"/>
    <mergeCell ref="N25:P25"/>
    <mergeCell ref="T26:V26"/>
    <mergeCell ref="T25:V25"/>
    <mergeCell ref="N27:P27"/>
    <mergeCell ref="Q27:S27"/>
    <mergeCell ref="T27:V27"/>
    <mergeCell ref="P14:Q14"/>
    <mergeCell ref="P15:Q15"/>
    <mergeCell ref="P16:Q16"/>
    <mergeCell ref="V13:W13"/>
    <mergeCell ref="N18:P19"/>
    <mergeCell ref="T20:V21"/>
    <mergeCell ref="Q21:S21"/>
    <mergeCell ref="N22:P22"/>
    <mergeCell ref="T23:V23"/>
    <mergeCell ref="N20:P21"/>
    <mergeCell ref="N16:O16"/>
    <mergeCell ref="Q20:S20"/>
    <mergeCell ref="R16:S16"/>
    <mergeCell ref="V16:W16"/>
    <mergeCell ref="T22:V22"/>
    <mergeCell ref="Q18:S18"/>
    <mergeCell ref="Q19:S19"/>
    <mergeCell ref="X9:Z9"/>
    <mergeCell ref="X10:Z10"/>
    <mergeCell ref="X11:Z11"/>
    <mergeCell ref="X12:Z12"/>
    <mergeCell ref="X13:Z13"/>
    <mergeCell ref="T33:U33"/>
    <mergeCell ref="R31:S31"/>
    <mergeCell ref="R32:S32"/>
    <mergeCell ref="T15:U15"/>
    <mergeCell ref="V15:W15"/>
    <mergeCell ref="X14:Z14"/>
    <mergeCell ref="X15:Z15"/>
    <mergeCell ref="X16:Z16"/>
    <mergeCell ref="W26:Z26"/>
    <mergeCell ref="W25:Z25"/>
    <mergeCell ref="W27:Z27"/>
    <mergeCell ref="W22:Z22"/>
    <mergeCell ref="V14:W14"/>
    <mergeCell ref="Q24:S24"/>
    <mergeCell ref="W24:Z24"/>
    <mergeCell ref="Q23:S23"/>
    <mergeCell ref="T24:V24"/>
    <mergeCell ref="T16:U16"/>
    <mergeCell ref="T18:V19"/>
    <mergeCell ref="V34:X34"/>
    <mergeCell ref="W28:Z28"/>
    <mergeCell ref="W23:Z23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Y35:Z35"/>
    <mergeCell ref="N31:O32"/>
    <mergeCell ref="N33:O34"/>
    <mergeCell ref="T34:U34"/>
    <mergeCell ref="P32:Q32"/>
    <mergeCell ref="P33:Q33"/>
    <mergeCell ref="P34:Q34"/>
    <mergeCell ref="P31:Q31"/>
    <mergeCell ref="R34:S34"/>
    <mergeCell ref="N24:P24"/>
    <mergeCell ref="N23:P23"/>
    <mergeCell ref="N26:P26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37:U37"/>
    <mergeCell ref="V37:X37"/>
    <mergeCell ref="Y37:Z37"/>
    <mergeCell ref="S50:T50"/>
    <mergeCell ref="X41:Z42"/>
    <mergeCell ref="X43:Z44"/>
    <mergeCell ref="R39:S39"/>
    <mergeCell ref="T39:U39"/>
    <mergeCell ref="V39:X39"/>
    <mergeCell ref="Y39:Z39"/>
    <mergeCell ref="S41:S44"/>
    <mergeCell ref="T41:W44"/>
    <mergeCell ref="T47:W47"/>
    <mergeCell ref="N49:P49"/>
    <mergeCell ref="P45:R45"/>
    <mergeCell ref="N43:O44"/>
    <mergeCell ref="P43:R44"/>
    <mergeCell ref="P46:R46"/>
    <mergeCell ref="P47:R47"/>
    <mergeCell ref="N45:O45"/>
    <mergeCell ref="X45:Z45"/>
    <mergeCell ref="X46:Z46"/>
    <mergeCell ref="X47:Z47"/>
    <mergeCell ref="A51:C51"/>
    <mergeCell ref="D51:F51"/>
    <mergeCell ref="N46:O46"/>
    <mergeCell ref="N47:O47"/>
    <mergeCell ref="T45:W45"/>
    <mergeCell ref="T46:W46"/>
    <mergeCell ref="A52:C52"/>
    <mergeCell ref="D52:F52"/>
    <mergeCell ref="I1:L2"/>
    <mergeCell ref="G5:H6"/>
    <mergeCell ref="I5:L6"/>
    <mergeCell ref="H10:L10"/>
    <mergeCell ref="A48:C48"/>
    <mergeCell ref="A49:C49"/>
    <mergeCell ref="A50:C50"/>
    <mergeCell ref="D50:F50"/>
    <mergeCell ref="N39:O39"/>
    <mergeCell ref="P39:Q39"/>
    <mergeCell ref="N41:O42"/>
    <mergeCell ref="P41:R42"/>
    <mergeCell ref="M40:Z40"/>
    <mergeCell ref="M43:M44"/>
    <mergeCell ref="M41:M42"/>
    <mergeCell ref="Q49:V49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Z52"/>
  <sheetViews>
    <sheetView view="pageBreakPreview" zoomScale="75" zoomScaleNormal="100" zoomScaleSheetLayoutView="75" workbookViewId="0">
      <selection activeCell="K19" sqref="K19:K42"/>
    </sheetView>
  </sheetViews>
  <sheetFormatPr defaultRowHeight="18.75" x14ac:dyDescent="0.2"/>
  <cols>
    <col min="1" max="1" width="11.140625" style="2" customWidth="1"/>
    <col min="2" max="2" width="15.140625" style="2" customWidth="1"/>
    <col min="3" max="3" width="13.570312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0" width="8.85546875" style="2" customWidth="1"/>
    <col min="11" max="11" width="9.2851562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4" t="s">
        <v>157</v>
      </c>
      <c r="B1" s="94"/>
      <c r="C1" s="94"/>
      <c r="D1" s="94"/>
      <c r="E1" s="94"/>
      <c r="F1" s="94"/>
      <c r="G1" s="123" t="s">
        <v>154</v>
      </c>
      <c r="H1" s="123"/>
      <c r="I1" s="94" t="s">
        <v>160</v>
      </c>
      <c r="J1" s="94"/>
      <c r="K1" s="94"/>
      <c r="L1" s="94"/>
      <c r="M1" s="99" t="s">
        <v>96</v>
      </c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ht="21.75" customHeight="1" x14ac:dyDescent="0.2">
      <c r="A2" s="119" t="s">
        <v>45</v>
      </c>
      <c r="B2" s="119"/>
      <c r="C2" s="119"/>
      <c r="D2" s="119"/>
      <c r="E2" s="119"/>
      <c r="F2" s="119"/>
      <c r="G2" s="123"/>
      <c r="H2" s="123"/>
      <c r="I2" s="94"/>
      <c r="J2" s="94"/>
      <c r="K2" s="94"/>
      <c r="L2" s="94"/>
      <c r="M2" s="99" t="s">
        <v>78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ht="21.75" customHeight="1" x14ac:dyDescent="0.2">
      <c r="A3" s="94" t="s">
        <v>158</v>
      </c>
      <c r="B3" s="120"/>
      <c r="C3" s="120"/>
      <c r="D3" s="120"/>
      <c r="E3" s="120"/>
      <c r="F3" s="120"/>
      <c r="G3" s="123" t="s">
        <v>155</v>
      </c>
      <c r="H3" s="123"/>
      <c r="I3" s="94" t="s">
        <v>203</v>
      </c>
      <c r="J3" s="94"/>
      <c r="K3" s="94"/>
      <c r="L3" s="94"/>
      <c r="M3" s="100" t="s">
        <v>79</v>
      </c>
      <c r="N3" s="101" t="s">
        <v>81</v>
      </c>
      <c r="O3" s="100"/>
      <c r="P3" s="101" t="s">
        <v>65</v>
      </c>
      <c r="Q3" s="100"/>
      <c r="R3" s="101" t="s">
        <v>82</v>
      </c>
      <c r="S3" s="100"/>
      <c r="T3" s="101" t="s">
        <v>85</v>
      </c>
      <c r="U3" s="100"/>
      <c r="V3" s="101" t="s">
        <v>87</v>
      </c>
      <c r="W3" s="100"/>
      <c r="X3" s="86" t="s">
        <v>91</v>
      </c>
      <c r="Y3" s="105"/>
      <c r="Z3" s="105"/>
    </row>
    <row r="4" spans="1:26" ht="29.25" customHeight="1" x14ac:dyDescent="0.2">
      <c r="A4" s="119" t="s">
        <v>46</v>
      </c>
      <c r="B4" s="119"/>
      <c r="C4" s="119"/>
      <c r="D4" s="119"/>
      <c r="E4" s="119"/>
      <c r="F4" s="119"/>
      <c r="G4" s="123"/>
      <c r="H4" s="123"/>
      <c r="I4" s="94"/>
      <c r="J4" s="94"/>
      <c r="K4" s="94"/>
      <c r="L4" s="94"/>
      <c r="M4" s="95"/>
      <c r="N4" s="90"/>
      <c r="O4" s="95"/>
      <c r="P4" s="90"/>
      <c r="Q4" s="95"/>
      <c r="R4" s="90" t="s">
        <v>83</v>
      </c>
      <c r="S4" s="95"/>
      <c r="T4" s="90" t="s">
        <v>86</v>
      </c>
      <c r="U4" s="95"/>
      <c r="V4" s="90" t="s">
        <v>88</v>
      </c>
      <c r="W4" s="95"/>
      <c r="X4" s="86"/>
      <c r="Y4" s="105"/>
      <c r="Z4" s="105"/>
    </row>
    <row r="5" spans="1:26" ht="21.75" customHeight="1" x14ac:dyDescent="0.2">
      <c r="A5" s="94" t="s">
        <v>177</v>
      </c>
      <c r="B5" s="120"/>
      <c r="C5" s="120"/>
      <c r="D5" s="120"/>
      <c r="E5" s="120"/>
      <c r="F5" s="120"/>
      <c r="G5" s="123" t="s">
        <v>156</v>
      </c>
      <c r="H5" s="123"/>
      <c r="I5" s="94" t="s">
        <v>256</v>
      </c>
      <c r="J5" s="94"/>
      <c r="K5" s="94"/>
      <c r="L5" s="94"/>
      <c r="M5" s="95" t="s">
        <v>80</v>
      </c>
      <c r="N5" s="90"/>
      <c r="O5" s="95"/>
      <c r="P5" s="90" t="s">
        <v>182</v>
      </c>
      <c r="Q5" s="95"/>
      <c r="R5" s="106" t="s">
        <v>84</v>
      </c>
      <c r="S5" s="107"/>
      <c r="T5" s="106" t="s">
        <v>84</v>
      </c>
      <c r="U5" s="107"/>
      <c r="V5" s="90" t="s">
        <v>89</v>
      </c>
      <c r="W5" s="95"/>
      <c r="X5" s="86"/>
      <c r="Y5" s="105"/>
      <c r="Z5" s="105"/>
    </row>
    <row r="6" spans="1:26" ht="21.75" customHeight="1" x14ac:dyDescent="0.2">
      <c r="A6" s="119" t="s">
        <v>47</v>
      </c>
      <c r="B6" s="119"/>
      <c r="C6" s="119"/>
      <c r="D6" s="119"/>
      <c r="E6" s="119"/>
      <c r="F6" s="119"/>
      <c r="G6" s="123"/>
      <c r="H6" s="123"/>
      <c r="I6" s="94"/>
      <c r="J6" s="94"/>
      <c r="K6" s="94"/>
      <c r="L6" s="94"/>
      <c r="M6" s="96"/>
      <c r="N6" s="92"/>
      <c r="O6" s="96"/>
      <c r="P6" s="92"/>
      <c r="Q6" s="96"/>
      <c r="R6" s="92"/>
      <c r="S6" s="96"/>
      <c r="T6" s="92"/>
      <c r="U6" s="96"/>
      <c r="V6" s="92" t="s">
        <v>90</v>
      </c>
      <c r="W6" s="96"/>
      <c r="X6" s="86"/>
      <c r="Y6" s="105"/>
      <c r="Z6" s="105"/>
    </row>
    <row r="7" spans="1:26" ht="21.75" customHeight="1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84"/>
      <c r="O7" s="85"/>
      <c r="P7" s="84"/>
      <c r="Q7" s="85"/>
      <c r="R7" s="84"/>
      <c r="S7" s="85"/>
      <c r="T7" s="84"/>
      <c r="U7" s="85"/>
      <c r="V7" s="84"/>
      <c r="W7" s="85"/>
      <c r="X7" s="84"/>
      <c r="Y7" s="88"/>
      <c r="Z7" s="88"/>
    </row>
    <row r="8" spans="1:26" ht="22.5" customHeight="1" x14ac:dyDescent="0.2">
      <c r="A8" s="116" t="s">
        <v>48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84"/>
      <c r="O8" s="85"/>
      <c r="P8" s="84"/>
      <c r="Q8" s="85"/>
      <c r="R8" s="84"/>
      <c r="S8" s="85"/>
      <c r="T8" s="84"/>
      <c r="U8" s="85"/>
      <c r="V8" s="84"/>
      <c r="W8" s="85"/>
      <c r="X8" s="84"/>
      <c r="Y8" s="88"/>
      <c r="Z8" s="88"/>
    </row>
    <row r="9" spans="1:26" ht="22.5" customHeight="1" x14ac:dyDescent="0.2">
      <c r="A9" s="129" t="s">
        <v>49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9"/>
      <c r="N9" s="84"/>
      <c r="O9" s="85"/>
      <c r="P9" s="84"/>
      <c r="Q9" s="85"/>
      <c r="R9" s="84"/>
      <c r="S9" s="85"/>
      <c r="T9" s="84"/>
      <c r="U9" s="85"/>
      <c r="V9" s="84"/>
      <c r="W9" s="85"/>
      <c r="X9" s="84"/>
      <c r="Y9" s="88"/>
      <c r="Z9" s="88"/>
    </row>
    <row r="10" spans="1:26" ht="22.5" customHeight="1" x14ac:dyDescent="0.2">
      <c r="A10" s="124" t="s">
        <v>112</v>
      </c>
      <c r="B10" s="124"/>
      <c r="C10" s="124"/>
      <c r="D10" s="124"/>
      <c r="E10" s="135" t="s">
        <v>375</v>
      </c>
      <c r="F10" s="136"/>
      <c r="G10" s="136"/>
      <c r="H10" s="111" t="s">
        <v>376</v>
      </c>
      <c r="I10" s="111"/>
      <c r="J10" s="111"/>
      <c r="K10" s="111"/>
      <c r="L10" s="111"/>
      <c r="M10" s="9"/>
      <c r="N10" s="84"/>
      <c r="O10" s="85"/>
      <c r="P10" s="84"/>
      <c r="Q10" s="85"/>
      <c r="R10" s="84"/>
      <c r="S10" s="85"/>
      <c r="T10" s="84"/>
      <c r="U10" s="85"/>
      <c r="V10" s="84"/>
      <c r="W10" s="85"/>
      <c r="X10" s="84"/>
      <c r="Y10" s="88"/>
      <c r="Z10" s="88"/>
    </row>
    <row r="11" spans="1:26" ht="22.5" customHeight="1" x14ac:dyDescent="0.2">
      <c r="A11" s="124" t="s">
        <v>113</v>
      </c>
      <c r="B11" s="124"/>
      <c r="C11" s="124"/>
      <c r="D11" s="124"/>
      <c r="E11" s="134" t="s">
        <v>232</v>
      </c>
      <c r="F11" s="134"/>
      <c r="G11" s="134"/>
      <c r="H11" s="134"/>
      <c r="I11" s="111" t="s">
        <v>114</v>
      </c>
      <c r="J11" s="111"/>
      <c r="K11" s="111"/>
      <c r="L11" s="111"/>
      <c r="M11" s="9"/>
      <c r="N11" s="84"/>
      <c r="O11" s="85"/>
      <c r="P11" s="84"/>
      <c r="Q11" s="85"/>
      <c r="R11" s="84"/>
      <c r="S11" s="85"/>
      <c r="T11" s="84"/>
      <c r="U11" s="85"/>
      <c r="V11" s="84"/>
      <c r="W11" s="85"/>
      <c r="X11" s="84"/>
      <c r="Y11" s="88"/>
      <c r="Z11" s="88"/>
    </row>
    <row r="12" spans="1:26" ht="21.75" customHeight="1" x14ac:dyDescent="0.2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9"/>
      <c r="N12" s="84"/>
      <c r="O12" s="85"/>
      <c r="P12" s="84"/>
      <c r="Q12" s="85"/>
      <c r="R12" s="84"/>
      <c r="S12" s="85"/>
      <c r="T12" s="84"/>
      <c r="U12" s="85"/>
      <c r="V12" s="84"/>
      <c r="W12" s="85"/>
      <c r="X12" s="84"/>
      <c r="Y12" s="88"/>
      <c r="Z12" s="88"/>
    </row>
    <row r="13" spans="1:26" ht="21.75" customHeight="1" x14ac:dyDescent="0.2">
      <c r="A13" s="171" t="s">
        <v>50</v>
      </c>
      <c r="B13" s="156" t="s">
        <v>56</v>
      </c>
      <c r="C13" s="157"/>
      <c r="D13" s="165" t="s">
        <v>190</v>
      </c>
      <c r="E13" s="166"/>
      <c r="F13" s="156" t="s">
        <v>59</v>
      </c>
      <c r="G13" s="157"/>
      <c r="H13" s="40" t="s">
        <v>190</v>
      </c>
      <c r="I13" s="168" t="s">
        <v>5</v>
      </c>
      <c r="J13" s="156" t="s">
        <v>60</v>
      </c>
      <c r="K13" s="171"/>
      <c r="L13" s="41" t="s">
        <v>65</v>
      </c>
      <c r="M13" s="9"/>
      <c r="N13" s="84"/>
      <c r="O13" s="85"/>
      <c r="P13" s="84"/>
      <c r="Q13" s="85"/>
      <c r="R13" s="84"/>
      <c r="S13" s="85"/>
      <c r="T13" s="84"/>
      <c r="U13" s="85"/>
      <c r="V13" s="84"/>
      <c r="W13" s="85"/>
      <c r="X13" s="84"/>
      <c r="Y13" s="88"/>
      <c r="Z13" s="88"/>
    </row>
    <row r="14" spans="1:26" ht="21.75" customHeight="1" x14ac:dyDescent="0.2">
      <c r="A14" s="172"/>
      <c r="B14" s="158" t="s">
        <v>57</v>
      </c>
      <c r="C14" s="159"/>
      <c r="D14" s="160" t="s">
        <v>260</v>
      </c>
      <c r="E14" s="161"/>
      <c r="F14" s="158" t="s">
        <v>57</v>
      </c>
      <c r="G14" s="159"/>
      <c r="H14" s="42" t="s">
        <v>261</v>
      </c>
      <c r="I14" s="169"/>
      <c r="J14" s="158" t="s">
        <v>61</v>
      </c>
      <c r="K14" s="172"/>
      <c r="L14" s="41" t="s">
        <v>66</v>
      </c>
      <c r="M14" s="9"/>
      <c r="N14" s="84"/>
      <c r="O14" s="85"/>
      <c r="P14" s="84"/>
      <c r="Q14" s="85"/>
      <c r="R14" s="84"/>
      <c r="S14" s="85"/>
      <c r="T14" s="84"/>
      <c r="U14" s="85"/>
      <c r="V14" s="84"/>
      <c r="W14" s="85"/>
      <c r="X14" s="84"/>
      <c r="Y14" s="88"/>
      <c r="Z14" s="88"/>
    </row>
    <row r="15" spans="1:26" ht="21.75" customHeight="1" x14ac:dyDescent="0.2">
      <c r="A15" s="172"/>
      <c r="B15" s="162" t="s">
        <v>58</v>
      </c>
      <c r="C15" s="163"/>
      <c r="D15" s="175">
        <v>4800</v>
      </c>
      <c r="E15" s="176"/>
      <c r="F15" s="162" t="s">
        <v>58</v>
      </c>
      <c r="G15" s="163"/>
      <c r="H15" s="43">
        <v>4800</v>
      </c>
      <c r="I15" s="169"/>
      <c r="J15" s="162" t="s">
        <v>62</v>
      </c>
      <c r="K15" s="173"/>
      <c r="L15" s="41" t="s">
        <v>67</v>
      </c>
      <c r="M15" s="9"/>
      <c r="N15" s="84"/>
      <c r="O15" s="85"/>
      <c r="P15" s="84"/>
      <c r="Q15" s="85"/>
      <c r="R15" s="84"/>
      <c r="S15" s="85"/>
      <c r="T15" s="84"/>
      <c r="U15" s="85"/>
      <c r="V15" s="84"/>
      <c r="W15" s="85"/>
      <c r="X15" s="84"/>
      <c r="Y15" s="88"/>
      <c r="Z15" s="88"/>
    </row>
    <row r="16" spans="1:26" ht="21.75" customHeight="1" x14ac:dyDescent="0.2">
      <c r="A16" s="172"/>
      <c r="B16" s="44" t="s">
        <v>51</v>
      </c>
      <c r="C16" s="44" t="s">
        <v>53</v>
      </c>
      <c r="D16" s="44" t="s">
        <v>54</v>
      </c>
      <c r="E16" s="127"/>
      <c r="F16" s="44" t="s">
        <v>51</v>
      </c>
      <c r="G16" s="44" t="s">
        <v>53</v>
      </c>
      <c r="H16" s="45" t="s">
        <v>54</v>
      </c>
      <c r="I16" s="169"/>
      <c r="J16" s="127" t="s">
        <v>63</v>
      </c>
      <c r="K16" s="127" t="s">
        <v>64</v>
      </c>
      <c r="L16" s="41" t="s">
        <v>68</v>
      </c>
      <c r="M16" s="9"/>
      <c r="N16" s="84"/>
      <c r="O16" s="85"/>
      <c r="P16" s="84"/>
      <c r="Q16" s="85"/>
      <c r="R16" s="84"/>
      <c r="S16" s="85"/>
      <c r="T16" s="84"/>
      <c r="U16" s="85"/>
      <c r="V16" s="84"/>
      <c r="W16" s="85"/>
      <c r="X16" s="84"/>
      <c r="Y16" s="88"/>
      <c r="Z16" s="88"/>
    </row>
    <row r="17" spans="1:26" ht="21.75" customHeight="1" x14ac:dyDescent="0.2">
      <c r="A17" s="173"/>
      <c r="B17" s="46" t="s">
        <v>52</v>
      </c>
      <c r="C17" s="46" t="s">
        <v>51</v>
      </c>
      <c r="D17" s="46" t="s">
        <v>55</v>
      </c>
      <c r="E17" s="174"/>
      <c r="F17" s="46" t="s">
        <v>52</v>
      </c>
      <c r="G17" s="47" t="s">
        <v>51</v>
      </c>
      <c r="H17" s="48" t="s">
        <v>55</v>
      </c>
      <c r="I17" s="170"/>
      <c r="J17" s="128"/>
      <c r="K17" s="128"/>
      <c r="L17" s="41" t="s">
        <v>69</v>
      </c>
      <c r="M17" s="103" t="s">
        <v>92</v>
      </c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spans="1:26" ht="23.25" customHeight="1" x14ac:dyDescent="0.2">
      <c r="A18" s="49" t="s">
        <v>7</v>
      </c>
      <c r="B18" s="82">
        <v>2977.0374000000002</v>
      </c>
      <c r="C18" s="25"/>
      <c r="D18" s="24"/>
      <c r="E18" s="81"/>
      <c r="F18" s="82">
        <v>349.66320000000002</v>
      </c>
      <c r="G18" s="51"/>
      <c r="H18" s="50"/>
      <c r="I18" s="52"/>
      <c r="J18" s="39"/>
      <c r="K18" s="79"/>
      <c r="L18" s="53"/>
      <c r="M18" s="100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1" t="s">
        <v>91</v>
      </c>
      <c r="X18" s="104"/>
      <c r="Y18" s="104"/>
      <c r="Z18" s="104"/>
    </row>
    <row r="19" spans="1:26" ht="23.25" customHeight="1" x14ac:dyDescent="0.2">
      <c r="A19" s="49" t="s">
        <v>8</v>
      </c>
      <c r="B19" s="82">
        <v>2977.0389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1.4999999998508429E-3</v>
      </c>
      <c r="D19" s="24">
        <f t="shared" ref="D19:D42" si="1">IF(C19="","",C19*$D$15)</f>
        <v>7.1999999992840458</v>
      </c>
      <c r="E19" s="81"/>
      <c r="F19" s="82">
        <v>349.66520000000003</v>
      </c>
      <c r="G19" s="51">
        <f>F19-ReportObject6_3</f>
        <v>2.0000000000095497E-3</v>
      </c>
      <c r="H19" s="50">
        <f t="shared" ref="H19:H42" si="2">IF(G19="","",G19*$H$15)</f>
        <v>9.6000000000458385</v>
      </c>
      <c r="I19" s="52">
        <f t="shared" ref="I19:I42" si="3">IF(H19="","",IF(D19="","",IF(AND(H19=0,D19=0),0,H19/D19)))</f>
        <v>1.3333333334722839</v>
      </c>
      <c r="J19" s="39"/>
      <c r="K19" s="83">
        <v>6.4377190000000004</v>
      </c>
      <c r="L19" s="53"/>
      <c r="M19" s="95"/>
      <c r="N19" s="89"/>
      <c r="O19" s="89"/>
      <c r="P19" s="89"/>
      <c r="Q19" s="89" t="s">
        <v>108</v>
      </c>
      <c r="R19" s="89"/>
      <c r="S19" s="89"/>
      <c r="T19" s="89"/>
      <c r="U19" s="89"/>
      <c r="V19" s="89"/>
      <c r="W19" s="90"/>
      <c r="X19" s="99"/>
      <c r="Y19" s="99"/>
      <c r="Z19" s="99"/>
    </row>
    <row r="20" spans="1:26" ht="23.25" customHeight="1" x14ac:dyDescent="0.2">
      <c r="A20" s="49" t="s">
        <v>9</v>
      </c>
      <c r="B20" s="82">
        <v>2977.0403999999999</v>
      </c>
      <c r="C20" s="25">
        <f t="shared" si="0"/>
        <v>1.4999999998508429E-3</v>
      </c>
      <c r="D20" s="24">
        <f t="shared" si="1"/>
        <v>7.1999999992840458</v>
      </c>
      <c r="E20" s="81"/>
      <c r="F20" s="82">
        <v>349.66739999999999</v>
      </c>
      <c r="G20" s="51">
        <f>F20-F19</f>
        <v>2.1999999999593456E-3</v>
      </c>
      <c r="H20" s="50">
        <f t="shared" si="2"/>
        <v>10.559999999804859</v>
      </c>
      <c r="I20" s="52">
        <f t="shared" si="3"/>
        <v>1.4666666667854062</v>
      </c>
      <c r="J20" s="39"/>
      <c r="K20" s="83">
        <v>6.4695110000000007</v>
      </c>
      <c r="L20" s="53"/>
      <c r="M20" s="95" t="s">
        <v>80</v>
      </c>
      <c r="N20" s="89" t="s">
        <v>99</v>
      </c>
      <c r="O20" s="89"/>
      <c r="P20" s="89"/>
      <c r="Q20" s="89" t="s">
        <v>181</v>
      </c>
      <c r="R20" s="89"/>
      <c r="S20" s="89"/>
      <c r="T20" s="89" t="s">
        <v>94</v>
      </c>
      <c r="U20" s="89"/>
      <c r="V20" s="89"/>
      <c r="W20" s="90"/>
      <c r="X20" s="99"/>
      <c r="Y20" s="99"/>
      <c r="Z20" s="99"/>
    </row>
    <row r="21" spans="1:26" ht="23.25" customHeight="1" x14ac:dyDescent="0.2">
      <c r="A21" s="49" t="s">
        <v>10</v>
      </c>
      <c r="B21" s="82">
        <v>2977.0419000000002</v>
      </c>
      <c r="C21" s="25">
        <f t="shared" si="0"/>
        <v>1.5000000003055902E-3</v>
      </c>
      <c r="D21" s="24">
        <f t="shared" si="1"/>
        <v>7.2000000014668331</v>
      </c>
      <c r="E21" s="81"/>
      <c r="F21" s="82">
        <v>349.66969999999998</v>
      </c>
      <c r="G21" s="51">
        <f t="shared" ref="G21:G42" si="4">F21-F20</f>
        <v>2.299999999991087E-3</v>
      </c>
      <c r="H21" s="50">
        <f t="shared" si="2"/>
        <v>11.039999999957217</v>
      </c>
      <c r="I21" s="52">
        <f t="shared" si="3"/>
        <v>1.5333333330150103</v>
      </c>
      <c r="J21" s="39"/>
      <c r="K21" s="83">
        <v>6.4735719999999999</v>
      </c>
      <c r="L21" s="53"/>
      <c r="M21" s="96"/>
      <c r="N21" s="91"/>
      <c r="O21" s="91"/>
      <c r="P21" s="91"/>
      <c r="Q21" s="91"/>
      <c r="R21" s="91"/>
      <c r="S21" s="91"/>
      <c r="T21" s="91"/>
      <c r="U21" s="91"/>
      <c r="V21" s="91"/>
      <c r="W21" s="92"/>
      <c r="X21" s="103"/>
      <c r="Y21" s="103"/>
      <c r="Z21" s="103"/>
    </row>
    <row r="22" spans="1:26" ht="23.25" customHeight="1" x14ac:dyDescent="0.2">
      <c r="A22" s="49" t="s">
        <v>11</v>
      </c>
      <c r="B22" s="82">
        <v>2977.0435000000002</v>
      </c>
      <c r="C22" s="25">
        <f t="shared" si="0"/>
        <v>1.6000000000531145E-3</v>
      </c>
      <c r="D22" s="24">
        <f t="shared" si="1"/>
        <v>7.6800000002549496</v>
      </c>
      <c r="E22" s="81"/>
      <c r="F22" s="82">
        <v>349.67219999999998</v>
      </c>
      <c r="G22" s="51">
        <f t="shared" si="4"/>
        <v>2.4999999999977263E-3</v>
      </c>
      <c r="H22" s="50">
        <f t="shared" si="2"/>
        <v>11.999999999989086</v>
      </c>
      <c r="I22" s="52">
        <f t="shared" si="3"/>
        <v>1.5624999999467093</v>
      </c>
      <c r="J22" s="39"/>
      <c r="K22" s="83">
        <v>6.5000469999999995</v>
      </c>
      <c r="L22" s="53"/>
      <c r="M22" s="9"/>
      <c r="N22" s="97"/>
      <c r="O22" s="97"/>
      <c r="P22" s="97"/>
      <c r="Q22" s="97"/>
      <c r="R22" s="97"/>
      <c r="S22" s="97"/>
      <c r="T22" s="97"/>
      <c r="U22" s="97"/>
      <c r="V22" s="97"/>
      <c r="W22" s="84"/>
      <c r="X22" s="88"/>
      <c r="Y22" s="88"/>
      <c r="Z22" s="88"/>
    </row>
    <row r="23" spans="1:26" ht="23.25" customHeight="1" x14ac:dyDescent="0.2">
      <c r="A23" s="49" t="s">
        <v>12</v>
      </c>
      <c r="B23" s="82">
        <v>2977.0450000000001</v>
      </c>
      <c r="C23" s="25">
        <f t="shared" si="0"/>
        <v>1.4999999998508429E-3</v>
      </c>
      <c r="D23" s="24">
        <f t="shared" si="1"/>
        <v>7.1999999992840458</v>
      </c>
      <c r="E23" s="81"/>
      <c r="F23" s="82">
        <v>349.6748</v>
      </c>
      <c r="G23" s="51">
        <f t="shared" si="4"/>
        <v>2.6000000000294676E-3</v>
      </c>
      <c r="H23" s="50">
        <f t="shared" si="2"/>
        <v>12.480000000141445</v>
      </c>
      <c r="I23" s="52">
        <f t="shared" si="3"/>
        <v>1.7333333335253378</v>
      </c>
      <c r="J23" s="39"/>
      <c r="K23" s="83">
        <v>6.424461</v>
      </c>
      <c r="L23" s="53"/>
      <c r="M23" s="9"/>
      <c r="N23" s="97"/>
      <c r="O23" s="97"/>
      <c r="P23" s="97"/>
      <c r="Q23" s="97"/>
      <c r="R23" s="97"/>
      <c r="S23" s="97"/>
      <c r="T23" s="97"/>
      <c r="U23" s="97"/>
      <c r="V23" s="97"/>
      <c r="W23" s="84"/>
      <c r="X23" s="88"/>
      <c r="Y23" s="88"/>
      <c r="Z23" s="88"/>
    </row>
    <row r="24" spans="1:26" ht="23.25" customHeight="1" x14ac:dyDescent="0.2">
      <c r="A24" s="49" t="s">
        <v>13</v>
      </c>
      <c r="B24" s="82">
        <v>2977.0466999999999</v>
      </c>
      <c r="C24" s="25">
        <f t="shared" si="0"/>
        <v>1.6999999998006388E-3</v>
      </c>
      <c r="D24" s="24">
        <f t="shared" si="1"/>
        <v>8.1599999990430661</v>
      </c>
      <c r="E24" s="81"/>
      <c r="F24" s="82">
        <v>349.67750000000001</v>
      </c>
      <c r="G24" s="51">
        <f t="shared" si="4"/>
        <v>2.7000000000043656E-3</v>
      </c>
      <c r="H24" s="50">
        <f t="shared" si="2"/>
        <v>12.960000000020955</v>
      </c>
      <c r="I24" s="52">
        <f t="shared" si="3"/>
        <v>1.5882352943064695</v>
      </c>
      <c r="J24" s="39"/>
      <c r="K24" s="83">
        <v>6.4086239999999997</v>
      </c>
      <c r="L24" s="53"/>
      <c r="M24" s="9"/>
      <c r="N24" s="97"/>
      <c r="O24" s="97"/>
      <c r="P24" s="97"/>
      <c r="Q24" s="97"/>
      <c r="R24" s="97"/>
      <c r="S24" s="97"/>
      <c r="T24" s="97"/>
      <c r="U24" s="97"/>
      <c r="V24" s="97"/>
      <c r="W24" s="84"/>
      <c r="X24" s="88"/>
      <c r="Y24" s="88"/>
      <c r="Z24" s="88"/>
    </row>
    <row r="25" spans="1:26" ht="23.25" customHeight="1" x14ac:dyDescent="0.2">
      <c r="A25" s="49" t="s">
        <v>14</v>
      </c>
      <c r="B25" s="82">
        <v>2977.0482000000002</v>
      </c>
      <c r="C25" s="25">
        <f t="shared" si="0"/>
        <v>1.5000000003055902E-3</v>
      </c>
      <c r="D25" s="24">
        <f t="shared" si="1"/>
        <v>7.2000000014668331</v>
      </c>
      <c r="E25" s="81"/>
      <c r="F25" s="82">
        <v>349.68</v>
      </c>
      <c r="G25" s="51">
        <f t="shared" si="4"/>
        <v>2.4999999999977263E-3</v>
      </c>
      <c r="H25" s="50">
        <f t="shared" si="2"/>
        <v>11.999999999989086</v>
      </c>
      <c r="I25" s="52">
        <f t="shared" si="3"/>
        <v>1.6666666663256062</v>
      </c>
      <c r="J25" s="39"/>
      <c r="K25" s="83">
        <v>6.4937389999999997</v>
      </c>
      <c r="L25" s="53"/>
      <c r="M25" s="9"/>
      <c r="N25" s="97"/>
      <c r="O25" s="97"/>
      <c r="P25" s="97"/>
      <c r="Q25" s="97"/>
      <c r="R25" s="97"/>
      <c r="S25" s="97"/>
      <c r="T25" s="97"/>
      <c r="U25" s="97"/>
      <c r="V25" s="97"/>
      <c r="W25" s="84"/>
      <c r="X25" s="88"/>
      <c r="Y25" s="88"/>
      <c r="Z25" s="88"/>
    </row>
    <row r="26" spans="1:26" ht="23.25" customHeight="1" x14ac:dyDescent="0.2">
      <c r="A26" s="49" t="s">
        <v>15</v>
      </c>
      <c r="B26" s="82">
        <v>2977.0495999999998</v>
      </c>
      <c r="C26" s="25">
        <f t="shared" si="0"/>
        <v>1.3999999996485712E-3</v>
      </c>
      <c r="D26" s="24">
        <f t="shared" si="1"/>
        <v>6.719999998313142</v>
      </c>
      <c r="E26" s="81"/>
      <c r="F26" s="82">
        <v>349.68189999999998</v>
      </c>
      <c r="G26" s="51">
        <f t="shared" si="4"/>
        <v>1.8999999999778083E-3</v>
      </c>
      <c r="H26" s="50">
        <f t="shared" si="2"/>
        <v>9.11999999989348</v>
      </c>
      <c r="I26" s="52">
        <f t="shared" si="3"/>
        <v>1.3571428574676767</v>
      </c>
      <c r="J26" s="39"/>
      <c r="K26" s="83">
        <v>6.3477290000000002</v>
      </c>
      <c r="L26" s="53"/>
      <c r="M26" s="9"/>
      <c r="N26" s="97"/>
      <c r="O26" s="97"/>
      <c r="P26" s="97"/>
      <c r="Q26" s="97"/>
      <c r="R26" s="97"/>
      <c r="S26" s="97"/>
      <c r="T26" s="97"/>
      <c r="U26" s="97"/>
      <c r="V26" s="97"/>
      <c r="W26" s="84"/>
      <c r="X26" s="88"/>
      <c r="Y26" s="88"/>
      <c r="Z26" s="88"/>
    </row>
    <row r="27" spans="1:26" ht="23.25" customHeight="1" x14ac:dyDescent="0.2">
      <c r="A27" s="49" t="s">
        <v>16</v>
      </c>
      <c r="B27" s="82">
        <v>2977.0509000000002</v>
      </c>
      <c r="C27" s="25">
        <f t="shared" si="0"/>
        <v>1.3000000003557943E-3</v>
      </c>
      <c r="D27" s="24">
        <f t="shared" si="1"/>
        <v>6.2400000017078128</v>
      </c>
      <c r="E27" s="81"/>
      <c r="F27" s="82">
        <v>349.68329999999997</v>
      </c>
      <c r="G27" s="51">
        <f t="shared" si="4"/>
        <v>1.3999999999896318E-3</v>
      </c>
      <c r="H27" s="50">
        <f t="shared" si="2"/>
        <v>6.7199999999502324</v>
      </c>
      <c r="I27" s="52">
        <f t="shared" si="3"/>
        <v>1.0769230766203606</v>
      </c>
      <c r="J27" s="39"/>
      <c r="K27" s="83">
        <v>6.2874140000000001</v>
      </c>
      <c r="L27" s="53"/>
      <c r="M27" s="9"/>
      <c r="N27" s="97"/>
      <c r="O27" s="97"/>
      <c r="P27" s="97"/>
      <c r="Q27" s="97"/>
      <c r="R27" s="97"/>
      <c r="S27" s="97"/>
      <c r="T27" s="97"/>
      <c r="U27" s="97"/>
      <c r="V27" s="97"/>
      <c r="W27" s="84"/>
      <c r="X27" s="88"/>
      <c r="Y27" s="88"/>
      <c r="Z27" s="88"/>
    </row>
    <row r="28" spans="1:26" ht="23.25" customHeight="1" x14ac:dyDescent="0.2">
      <c r="A28" s="49" t="s">
        <v>17</v>
      </c>
      <c r="B28" s="82">
        <v>2977.0520999999999</v>
      </c>
      <c r="C28" s="25">
        <f t="shared" si="0"/>
        <v>1.1999999996987754E-3</v>
      </c>
      <c r="D28" s="24">
        <f t="shared" si="1"/>
        <v>5.7599999985541217</v>
      </c>
      <c r="E28" s="81"/>
      <c r="F28" s="82">
        <v>349.68439999999998</v>
      </c>
      <c r="G28" s="51">
        <f t="shared" si="4"/>
        <v>1.1000000000080945E-3</v>
      </c>
      <c r="H28" s="50">
        <f t="shared" si="2"/>
        <v>5.2800000000388536</v>
      </c>
      <c r="I28" s="52">
        <f t="shared" si="3"/>
        <v>0.91666666690351428</v>
      </c>
      <c r="J28" s="39"/>
      <c r="K28" s="83">
        <v>6.216361</v>
      </c>
      <c r="L28" s="53"/>
      <c r="M28" s="9"/>
      <c r="N28" s="97"/>
      <c r="O28" s="97"/>
      <c r="P28" s="97"/>
      <c r="Q28" s="97"/>
      <c r="R28" s="97"/>
      <c r="S28" s="97"/>
      <c r="T28" s="97"/>
      <c r="U28" s="97"/>
      <c r="V28" s="97"/>
      <c r="W28" s="84"/>
      <c r="X28" s="88"/>
      <c r="Y28" s="88"/>
      <c r="Z28" s="88"/>
    </row>
    <row r="29" spans="1:26" ht="23.25" customHeight="1" x14ac:dyDescent="0.2">
      <c r="A29" s="49" t="s">
        <v>18</v>
      </c>
      <c r="B29" s="82">
        <v>2977.0531999999998</v>
      </c>
      <c r="C29" s="25">
        <f t="shared" si="0"/>
        <v>1.0999999999512511E-3</v>
      </c>
      <c r="D29" s="24">
        <f t="shared" si="1"/>
        <v>5.2799999997660052</v>
      </c>
      <c r="E29" s="81"/>
      <c r="F29" s="82">
        <v>349.68529999999998</v>
      </c>
      <c r="G29" s="51">
        <f t="shared" si="4"/>
        <v>9.0000000000145519E-4</v>
      </c>
      <c r="H29" s="50">
        <f t="shared" si="2"/>
        <v>4.3200000000069849</v>
      </c>
      <c r="I29" s="52">
        <f t="shared" si="3"/>
        <v>0.81818181821940061</v>
      </c>
      <c r="J29" s="39"/>
      <c r="K29" s="83">
        <v>6.2099729999999997</v>
      </c>
      <c r="L29" s="53"/>
      <c r="M29" s="118" t="s">
        <v>95</v>
      </c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23.25" customHeight="1" x14ac:dyDescent="0.2">
      <c r="A30" s="49" t="s">
        <v>19</v>
      </c>
      <c r="B30" s="82">
        <v>2977.0544</v>
      </c>
      <c r="C30" s="25">
        <f t="shared" si="0"/>
        <v>1.2000000001535227E-3</v>
      </c>
      <c r="D30" s="24">
        <f t="shared" si="1"/>
        <v>5.760000000736909</v>
      </c>
      <c r="E30" s="81"/>
      <c r="F30" s="82">
        <v>349.68639999999999</v>
      </c>
      <c r="G30" s="51">
        <f t="shared" si="4"/>
        <v>1.1000000000080945E-3</v>
      </c>
      <c r="H30" s="50">
        <f t="shared" si="2"/>
        <v>5.2800000000388536</v>
      </c>
      <c r="I30" s="52">
        <f t="shared" si="3"/>
        <v>0.91666666655613782</v>
      </c>
      <c r="J30" s="39"/>
      <c r="K30" s="83">
        <v>6.1507820000000004</v>
      </c>
      <c r="L30" s="53"/>
      <c r="M30" s="99" t="s">
        <v>97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23.25" customHeight="1" x14ac:dyDescent="0.2">
      <c r="A31" s="49" t="s">
        <v>20</v>
      </c>
      <c r="B31" s="82">
        <v>2977.0556999999999</v>
      </c>
      <c r="C31" s="25">
        <f t="shared" si="0"/>
        <v>1.299999999901047E-3</v>
      </c>
      <c r="D31" s="24">
        <f t="shared" si="1"/>
        <v>6.2399999995250255</v>
      </c>
      <c r="E31" s="81"/>
      <c r="F31" s="82">
        <v>349.68770000000001</v>
      </c>
      <c r="G31" s="51">
        <f t="shared" si="4"/>
        <v>1.3000000000147338E-3</v>
      </c>
      <c r="H31" s="50">
        <f t="shared" si="2"/>
        <v>6.2400000000707223</v>
      </c>
      <c r="I31" s="52">
        <f t="shared" si="3"/>
        <v>1.0000000000874514</v>
      </c>
      <c r="J31" s="39"/>
      <c r="K31" s="83">
        <v>6.2650510000000006</v>
      </c>
      <c r="L31" s="53"/>
      <c r="M31" s="100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179</v>
      </c>
      <c r="W31" s="98"/>
      <c r="X31" s="98"/>
      <c r="Y31" s="98" t="s">
        <v>91</v>
      </c>
      <c r="Z31" s="101"/>
    </row>
    <row r="32" spans="1:26" ht="23.25" customHeight="1" x14ac:dyDescent="0.2">
      <c r="A32" s="49" t="s">
        <v>21</v>
      </c>
      <c r="B32" s="82">
        <v>2977.0567999999998</v>
      </c>
      <c r="C32" s="25">
        <f t="shared" si="0"/>
        <v>1.0999999999512511E-3</v>
      </c>
      <c r="D32" s="24">
        <f t="shared" si="1"/>
        <v>5.2799999997660052</v>
      </c>
      <c r="E32" s="81"/>
      <c r="F32" s="82">
        <v>349.68849999999998</v>
      </c>
      <c r="G32" s="51">
        <f t="shared" si="4"/>
        <v>7.9999999996971383E-4</v>
      </c>
      <c r="H32" s="50">
        <f t="shared" si="2"/>
        <v>3.8399999998546264</v>
      </c>
      <c r="I32" s="52">
        <f t="shared" si="3"/>
        <v>0.72727272727742509</v>
      </c>
      <c r="J32" s="39"/>
      <c r="K32" s="83">
        <v>5.9499840000000006</v>
      </c>
      <c r="L32" s="53"/>
      <c r="M32" s="95"/>
      <c r="N32" s="89"/>
      <c r="O32" s="89"/>
      <c r="P32" s="89" t="s">
        <v>83</v>
      </c>
      <c r="Q32" s="89"/>
      <c r="R32" s="89" t="s">
        <v>102</v>
      </c>
      <c r="S32" s="89"/>
      <c r="T32" s="89" t="s">
        <v>104</v>
      </c>
      <c r="U32" s="89"/>
      <c r="V32" s="89" t="s">
        <v>105</v>
      </c>
      <c r="W32" s="89"/>
      <c r="X32" s="89"/>
      <c r="Y32" s="89"/>
      <c r="Z32" s="90"/>
    </row>
    <row r="33" spans="1:26" ht="23.25" customHeight="1" x14ac:dyDescent="0.2">
      <c r="A33" s="49" t="s">
        <v>22</v>
      </c>
      <c r="B33" s="82">
        <v>2977.058</v>
      </c>
      <c r="C33" s="25">
        <f t="shared" si="0"/>
        <v>1.2000000001535227E-3</v>
      </c>
      <c r="D33" s="24">
        <f t="shared" si="1"/>
        <v>5.760000000736909</v>
      </c>
      <c r="E33" s="81"/>
      <c r="F33" s="82">
        <v>349.68920000000003</v>
      </c>
      <c r="G33" s="51">
        <f t="shared" si="4"/>
        <v>7.000000000516593E-4</v>
      </c>
      <c r="H33" s="50">
        <f t="shared" si="2"/>
        <v>3.3600000002479646</v>
      </c>
      <c r="I33" s="52">
        <f t="shared" si="3"/>
        <v>0.58333333330175363</v>
      </c>
      <c r="J33" s="39"/>
      <c r="K33" s="83">
        <v>6.2095280000000006</v>
      </c>
      <c r="L33" s="53"/>
      <c r="M33" s="95" t="s">
        <v>80</v>
      </c>
      <c r="N33" s="89" t="s">
        <v>99</v>
      </c>
      <c r="O33" s="89"/>
      <c r="P33" s="89" t="s">
        <v>101</v>
      </c>
      <c r="Q33" s="89"/>
      <c r="R33" s="89" t="s">
        <v>69</v>
      </c>
      <c r="S33" s="89"/>
      <c r="T33" s="89" t="s">
        <v>69</v>
      </c>
      <c r="U33" s="89"/>
      <c r="V33" s="89" t="s">
        <v>106</v>
      </c>
      <c r="W33" s="89"/>
      <c r="X33" s="89"/>
      <c r="Y33" s="89"/>
      <c r="Z33" s="90"/>
    </row>
    <row r="34" spans="1:26" ht="23.25" customHeight="1" x14ac:dyDescent="0.2">
      <c r="A34" s="49" t="s">
        <v>23</v>
      </c>
      <c r="B34" s="82">
        <v>2977.0592000000001</v>
      </c>
      <c r="C34" s="25">
        <f t="shared" si="0"/>
        <v>1.2000000001535227E-3</v>
      </c>
      <c r="D34" s="24">
        <f t="shared" si="1"/>
        <v>5.760000000736909</v>
      </c>
      <c r="E34" s="81"/>
      <c r="F34" s="82">
        <v>349.6902</v>
      </c>
      <c r="G34" s="51">
        <f t="shared" si="4"/>
        <v>9.9999999997635314E-4</v>
      </c>
      <c r="H34" s="50">
        <f t="shared" si="2"/>
        <v>4.7999999998864951</v>
      </c>
      <c r="I34" s="52">
        <f t="shared" si="3"/>
        <v>0.83333333320701464</v>
      </c>
      <c r="J34" s="39"/>
      <c r="K34" s="83">
        <v>6.1356469999999996</v>
      </c>
      <c r="L34" s="53"/>
      <c r="M34" s="96"/>
      <c r="N34" s="91"/>
      <c r="O34" s="91"/>
      <c r="P34" s="91"/>
      <c r="Q34" s="91"/>
      <c r="R34" s="92"/>
      <c r="S34" s="96"/>
      <c r="T34" s="92"/>
      <c r="U34" s="96"/>
      <c r="V34" s="92"/>
      <c r="W34" s="103"/>
      <c r="X34" s="96"/>
      <c r="Y34" s="91"/>
      <c r="Z34" s="92"/>
    </row>
    <row r="35" spans="1:26" ht="23.25" customHeight="1" x14ac:dyDescent="0.2">
      <c r="A35" s="49" t="s">
        <v>24</v>
      </c>
      <c r="B35" s="82">
        <v>2977.0603999999998</v>
      </c>
      <c r="C35" s="25">
        <f t="shared" si="0"/>
        <v>1.1999999996987754E-3</v>
      </c>
      <c r="D35" s="24">
        <f t="shared" si="1"/>
        <v>5.7599999985541217</v>
      </c>
      <c r="E35" s="81"/>
      <c r="F35" s="82">
        <v>349.69150000000002</v>
      </c>
      <c r="G35" s="51">
        <f t="shared" si="4"/>
        <v>1.3000000000147338E-3</v>
      </c>
      <c r="H35" s="50">
        <f t="shared" si="2"/>
        <v>6.2400000000707223</v>
      </c>
      <c r="I35" s="52">
        <f t="shared" si="3"/>
        <v>1.0833333336175504</v>
      </c>
      <c r="J35" s="39"/>
      <c r="K35" s="83">
        <v>6.1581909999999995</v>
      </c>
      <c r="L35" s="53"/>
      <c r="M35" s="9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84"/>
    </row>
    <row r="36" spans="1:26" ht="23.25" customHeight="1" x14ac:dyDescent="0.2">
      <c r="A36" s="49" t="s">
        <v>25</v>
      </c>
      <c r="B36" s="82">
        <v>2977.0617000000002</v>
      </c>
      <c r="C36" s="25">
        <f t="shared" si="0"/>
        <v>1.3000000003557943E-3</v>
      </c>
      <c r="D36" s="24">
        <f t="shared" si="1"/>
        <v>6.2400000017078128</v>
      </c>
      <c r="E36" s="81"/>
      <c r="F36" s="82">
        <v>349.69279999999998</v>
      </c>
      <c r="G36" s="51">
        <f t="shared" si="4"/>
        <v>1.2999999999578904E-3</v>
      </c>
      <c r="H36" s="50">
        <f t="shared" si="2"/>
        <v>6.2399999997978739</v>
      </c>
      <c r="I36" s="52">
        <f t="shared" si="3"/>
        <v>0.99999999969392006</v>
      </c>
      <c r="J36" s="39"/>
      <c r="K36" s="83">
        <v>6.2177410000000002</v>
      </c>
      <c r="L36" s="53"/>
      <c r="M36" s="9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84"/>
    </row>
    <row r="37" spans="1:26" ht="23.25" customHeight="1" x14ac:dyDescent="0.2">
      <c r="A37" s="49" t="s">
        <v>26</v>
      </c>
      <c r="B37" s="82">
        <v>2977.0630000000001</v>
      </c>
      <c r="C37" s="25">
        <f t="shared" si="0"/>
        <v>1.299999999901047E-3</v>
      </c>
      <c r="D37" s="24">
        <f t="shared" si="1"/>
        <v>6.2399999995250255</v>
      </c>
      <c r="E37" s="81"/>
      <c r="F37" s="82">
        <v>349.6943</v>
      </c>
      <c r="G37" s="51">
        <f t="shared" si="4"/>
        <v>1.5000000000213731E-3</v>
      </c>
      <c r="H37" s="50">
        <f t="shared" si="2"/>
        <v>7.200000000102591</v>
      </c>
      <c r="I37" s="52">
        <f t="shared" si="3"/>
        <v>1.1538461539504228</v>
      </c>
      <c r="J37" s="39"/>
      <c r="K37" s="83">
        <v>6.2260020000000003</v>
      </c>
      <c r="L37" s="53"/>
      <c r="M37" s="9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84"/>
    </row>
    <row r="38" spans="1:26" ht="23.25" customHeight="1" x14ac:dyDescent="0.2">
      <c r="A38" s="49" t="s">
        <v>27</v>
      </c>
      <c r="B38" s="82">
        <v>2977.0643</v>
      </c>
      <c r="C38" s="25">
        <f t="shared" si="0"/>
        <v>1.299999999901047E-3</v>
      </c>
      <c r="D38" s="24">
        <f t="shared" si="1"/>
        <v>6.2399999995250255</v>
      </c>
      <c r="E38" s="81"/>
      <c r="F38" s="82">
        <v>349.69589999999999</v>
      </c>
      <c r="G38" s="51">
        <f t="shared" si="4"/>
        <v>1.5999999999962711E-3</v>
      </c>
      <c r="H38" s="50">
        <f t="shared" si="2"/>
        <v>7.6799999999821011</v>
      </c>
      <c r="I38" s="52">
        <f t="shared" si="3"/>
        <v>1.2307692308600457</v>
      </c>
      <c r="J38" s="39"/>
      <c r="K38" s="83">
        <v>6.3765320000000001</v>
      </c>
      <c r="L38" s="53"/>
      <c r="M38" s="9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84"/>
    </row>
    <row r="39" spans="1:26" ht="23.25" customHeight="1" x14ac:dyDescent="0.2">
      <c r="A39" s="49" t="s">
        <v>28</v>
      </c>
      <c r="B39" s="82">
        <v>2977.0657000000001</v>
      </c>
      <c r="C39" s="25">
        <f t="shared" si="0"/>
        <v>1.4000000001033186E-3</v>
      </c>
      <c r="D39" s="24">
        <f t="shared" si="1"/>
        <v>6.7200000004959293</v>
      </c>
      <c r="E39" s="81"/>
      <c r="F39" s="82">
        <v>349.6977</v>
      </c>
      <c r="G39" s="51">
        <f t="shared" si="4"/>
        <v>1.8000000000029104E-3</v>
      </c>
      <c r="H39" s="50">
        <f t="shared" si="2"/>
        <v>8.6400000000139698</v>
      </c>
      <c r="I39" s="52">
        <f t="shared" si="3"/>
        <v>1.28571428562148</v>
      </c>
      <c r="J39" s="39"/>
      <c r="K39" s="83">
        <v>6.3854059999999997</v>
      </c>
      <c r="L39" s="53"/>
      <c r="M39" s="9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84"/>
    </row>
    <row r="40" spans="1:26" ht="23.25" customHeight="1" x14ac:dyDescent="0.2">
      <c r="A40" s="49" t="s">
        <v>29</v>
      </c>
      <c r="B40" s="82">
        <v>2977.067</v>
      </c>
      <c r="C40" s="25">
        <f t="shared" si="0"/>
        <v>1.299999999901047E-3</v>
      </c>
      <c r="D40" s="24">
        <f t="shared" si="1"/>
        <v>6.2399999995250255</v>
      </c>
      <c r="E40" s="81"/>
      <c r="F40" s="82">
        <v>349.69920000000002</v>
      </c>
      <c r="G40" s="51">
        <f t="shared" si="4"/>
        <v>1.5000000000213731E-3</v>
      </c>
      <c r="H40" s="50">
        <f t="shared" si="2"/>
        <v>7.200000000102591</v>
      </c>
      <c r="I40" s="52">
        <f t="shared" si="3"/>
        <v>1.1538461539504228</v>
      </c>
      <c r="J40" s="39"/>
      <c r="K40" s="83">
        <v>6.3486139999999995</v>
      </c>
      <c r="L40" s="53"/>
      <c r="M40" s="99" t="s">
        <v>109</v>
      </c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ht="23.25" customHeight="1" x14ac:dyDescent="0.2">
      <c r="A41" s="49" t="s">
        <v>30</v>
      </c>
      <c r="B41" s="82">
        <v>2977.0682999999999</v>
      </c>
      <c r="C41" s="25">
        <f t="shared" si="0"/>
        <v>1.299999999901047E-3</v>
      </c>
      <c r="D41" s="24">
        <f t="shared" si="1"/>
        <v>6.2399999995250255</v>
      </c>
      <c r="E41" s="81"/>
      <c r="F41" s="82">
        <v>349.70069999999998</v>
      </c>
      <c r="G41" s="51">
        <f t="shared" si="4"/>
        <v>1.4999999999645297E-3</v>
      </c>
      <c r="H41" s="50">
        <f t="shared" si="2"/>
        <v>7.1999999998297426</v>
      </c>
      <c r="I41" s="52">
        <f t="shared" si="3"/>
        <v>1.1538461539066971</v>
      </c>
      <c r="J41" s="39"/>
      <c r="K41" s="83">
        <v>6.2787009999999999</v>
      </c>
      <c r="L41" s="53"/>
      <c r="M41" s="100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1"/>
    </row>
    <row r="42" spans="1:26" ht="23.25" customHeight="1" x14ac:dyDescent="0.2">
      <c r="A42" s="49" t="s">
        <v>31</v>
      </c>
      <c r="B42" s="82">
        <v>2977.0697</v>
      </c>
      <c r="C42" s="25">
        <f t="shared" si="0"/>
        <v>1.4000000001033186E-3</v>
      </c>
      <c r="D42" s="24">
        <f t="shared" si="1"/>
        <v>6.7200000004959293</v>
      </c>
      <c r="E42" s="81"/>
      <c r="F42" s="82">
        <v>349.70240000000001</v>
      </c>
      <c r="G42" s="51">
        <f t="shared" si="4"/>
        <v>1.7000000000280124E-3</v>
      </c>
      <c r="H42" s="50">
        <f t="shared" si="2"/>
        <v>8.1600000001344597</v>
      </c>
      <c r="I42" s="52">
        <f t="shared" si="3"/>
        <v>1.2142857142161101</v>
      </c>
      <c r="J42" s="39"/>
      <c r="K42" s="83">
        <v>6.3697479999999995</v>
      </c>
      <c r="L42" s="53"/>
      <c r="M42" s="95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90"/>
    </row>
    <row r="43" spans="1:26" ht="22.5" customHeight="1" x14ac:dyDescent="0.2">
      <c r="A43" s="167" t="s">
        <v>70</v>
      </c>
      <c r="B43" s="167"/>
      <c r="C43" s="167"/>
      <c r="D43" s="50">
        <f>SUM(D18:D42)</f>
        <v>155.03999999928055</v>
      </c>
      <c r="E43" s="39"/>
      <c r="F43" s="54"/>
      <c r="G43" s="39"/>
      <c r="H43" s="50">
        <f>SUM(H18:H42)</f>
        <v>188.15999999997075</v>
      </c>
      <c r="I43" s="52">
        <f>IF(AND(H43=0,D43=0),0,H43/D43)</f>
        <v>1.2136222910271148</v>
      </c>
      <c r="J43" s="39"/>
      <c r="K43" s="39"/>
      <c r="L43" s="53"/>
      <c r="M43" s="95" t="s">
        <v>80</v>
      </c>
      <c r="N43" s="89" t="s">
        <v>99</v>
      </c>
      <c r="O43" s="89"/>
      <c r="P43" s="89" t="s">
        <v>110</v>
      </c>
      <c r="Q43" s="89"/>
      <c r="R43" s="89"/>
      <c r="S43" s="89"/>
      <c r="T43" s="89"/>
      <c r="U43" s="89"/>
      <c r="V43" s="89"/>
      <c r="W43" s="89"/>
      <c r="X43" s="89" t="s">
        <v>110</v>
      </c>
      <c r="Y43" s="89"/>
      <c r="Z43" s="90"/>
    </row>
    <row r="44" spans="1:26" ht="22.5" customHeight="1" x14ac:dyDescent="0.2">
      <c r="A44" s="164" t="s">
        <v>71</v>
      </c>
      <c r="B44" s="164"/>
      <c r="C44" s="164"/>
      <c r="D44" s="39"/>
      <c r="E44" s="39"/>
      <c r="F44" s="54"/>
      <c r="G44" s="39"/>
      <c r="H44" s="39"/>
      <c r="I44" s="39"/>
      <c r="J44" s="39"/>
      <c r="K44" s="39"/>
      <c r="L44" s="53"/>
      <c r="M44" s="96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2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84"/>
      <c r="O45" s="85"/>
      <c r="P45" s="84"/>
      <c r="Q45" s="88"/>
      <c r="R45" s="85"/>
      <c r="S45" s="7"/>
      <c r="T45" s="84"/>
      <c r="U45" s="88"/>
      <c r="V45" s="88"/>
      <c r="W45" s="85"/>
      <c r="X45" s="84"/>
      <c r="Y45" s="88"/>
      <c r="Z45" s="88"/>
    </row>
    <row r="46" spans="1:26" ht="22.5" customHeight="1" x14ac:dyDescent="0.2">
      <c r="A46" s="155" t="s">
        <v>72</v>
      </c>
      <c r="B46" s="155"/>
      <c r="C46" s="155"/>
      <c r="D46" s="155"/>
      <c r="E46" s="155"/>
      <c r="F46" s="155"/>
      <c r="G46" s="177" t="s">
        <v>73</v>
      </c>
      <c r="H46" s="177"/>
      <c r="I46" s="177"/>
      <c r="J46" s="177"/>
      <c r="K46" s="177"/>
      <c r="L46" s="177"/>
      <c r="M46" s="9"/>
      <c r="N46" s="84"/>
      <c r="O46" s="85"/>
      <c r="P46" s="84"/>
      <c r="Q46" s="88"/>
      <c r="R46" s="85"/>
      <c r="S46" s="7"/>
      <c r="T46" s="84"/>
      <c r="U46" s="88"/>
      <c r="V46" s="88"/>
      <c r="W46" s="85"/>
      <c r="X46" s="84"/>
      <c r="Y46" s="88"/>
      <c r="Z46" s="88"/>
    </row>
    <row r="47" spans="1:26" ht="22.5" customHeight="1" x14ac:dyDescent="0.2">
      <c r="A47" s="117" t="s">
        <v>371</v>
      </c>
      <c r="B47" s="117"/>
      <c r="C47" s="117"/>
      <c r="D47" s="108" t="s">
        <v>74</v>
      </c>
      <c r="E47" s="108"/>
      <c r="F47" s="108"/>
      <c r="G47" s="56"/>
      <c r="H47" s="56"/>
      <c r="I47" s="56"/>
      <c r="J47" s="56"/>
      <c r="K47" s="56"/>
      <c r="L47" s="56"/>
      <c r="M47" s="9"/>
      <c r="N47" s="84"/>
      <c r="O47" s="85"/>
      <c r="P47" s="84"/>
      <c r="Q47" s="88"/>
      <c r="R47" s="85"/>
      <c r="S47" s="7"/>
      <c r="T47" s="84"/>
      <c r="U47" s="88"/>
      <c r="V47" s="88"/>
      <c r="W47" s="85"/>
      <c r="X47" s="84"/>
      <c r="Y47" s="88"/>
      <c r="Z47" s="88"/>
    </row>
    <row r="48" spans="1:26" ht="22.5" customHeight="1" x14ac:dyDescent="0.2">
      <c r="A48" s="148" t="s">
        <v>75</v>
      </c>
      <c r="B48" s="148"/>
      <c r="C48" s="148"/>
      <c r="D48" s="147" t="s">
        <v>76</v>
      </c>
      <c r="E48" s="147"/>
      <c r="F48" s="147"/>
      <c r="G48" s="55"/>
      <c r="H48" s="55"/>
      <c r="I48" s="55"/>
      <c r="J48" s="55"/>
      <c r="K48" s="55"/>
      <c r="L48" s="55"/>
    </row>
    <row r="49" spans="1:23" ht="22.5" customHeight="1" x14ac:dyDescent="0.2">
      <c r="A49" s="117" t="s">
        <v>372</v>
      </c>
      <c r="B49" s="117"/>
      <c r="C49" s="117"/>
      <c r="D49" s="108" t="s">
        <v>74</v>
      </c>
      <c r="E49" s="108"/>
      <c r="F49" s="108"/>
      <c r="G49" s="55"/>
      <c r="H49" s="155" t="s">
        <v>183</v>
      </c>
      <c r="I49" s="155"/>
      <c r="J49" s="155"/>
      <c r="K49" s="155" t="s">
        <v>77</v>
      </c>
      <c r="L49" s="155"/>
      <c r="N49" s="150" t="s">
        <v>150</v>
      </c>
      <c r="O49" s="150"/>
      <c r="P49" s="150"/>
      <c r="Q49" s="149" t="s">
        <v>370</v>
      </c>
      <c r="R49" s="149"/>
      <c r="S49" s="149"/>
      <c r="T49" s="149"/>
      <c r="U49" s="149"/>
      <c r="V49" s="149"/>
      <c r="W49" s="1"/>
    </row>
    <row r="50" spans="1:23" ht="22.5" customHeight="1" x14ac:dyDescent="0.2">
      <c r="A50" s="148" t="s">
        <v>75</v>
      </c>
      <c r="B50" s="148"/>
      <c r="C50" s="148"/>
      <c r="D50" s="147" t="s">
        <v>76</v>
      </c>
      <c r="E50" s="147"/>
      <c r="F50" s="147"/>
      <c r="G50" s="58"/>
      <c r="H50" s="148" t="s">
        <v>75</v>
      </c>
      <c r="I50" s="148"/>
      <c r="J50" s="148"/>
      <c r="K50" s="148" t="s">
        <v>76</v>
      </c>
      <c r="L50" s="148"/>
      <c r="S50" s="146" t="s">
        <v>76</v>
      </c>
      <c r="T50" s="146"/>
    </row>
    <row r="51" spans="1:23" ht="20.100000000000001" customHeight="1" x14ac:dyDescent="0.2">
      <c r="A51" s="117" t="s">
        <v>373</v>
      </c>
      <c r="B51" s="117"/>
      <c r="C51" s="117"/>
      <c r="D51" s="108" t="s">
        <v>74</v>
      </c>
      <c r="E51" s="108"/>
      <c r="F51" s="108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47" t="s">
        <v>75</v>
      </c>
      <c r="B52" s="147"/>
      <c r="C52" s="147"/>
      <c r="D52" s="146" t="s">
        <v>76</v>
      </c>
      <c r="E52" s="146"/>
      <c r="F52" s="146"/>
      <c r="G52" s="63"/>
      <c r="H52" s="63"/>
      <c r="I52" s="64"/>
      <c r="J52" s="64"/>
      <c r="K52" s="64"/>
      <c r="L52" s="64"/>
    </row>
  </sheetData>
  <sheetProtection sheet="1" objects="1" scenarios="1"/>
  <mergeCells count="258"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14:O14"/>
    <mergeCell ref="N15:O15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Z52"/>
  <sheetViews>
    <sheetView view="pageBreakPreview" topLeftCell="A15" zoomScale="75" zoomScaleNormal="100" zoomScaleSheetLayoutView="75" workbookViewId="0">
      <selection activeCell="N36" sqref="N36:O36"/>
    </sheetView>
  </sheetViews>
  <sheetFormatPr defaultRowHeight="18.75" x14ac:dyDescent="0.2"/>
  <cols>
    <col min="1" max="1" width="11.140625" style="2" customWidth="1"/>
    <col min="2" max="2" width="14.140625" style="2" customWidth="1"/>
    <col min="3" max="3" width="12.140625" style="2" customWidth="1"/>
    <col min="4" max="4" width="13.42578125" style="2" customWidth="1"/>
    <col min="5" max="5" width="5.42578125" style="2" customWidth="1"/>
    <col min="6" max="6" width="13.7109375" style="2" customWidth="1"/>
    <col min="7" max="7" width="13.425781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855468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4" t="s">
        <v>157</v>
      </c>
      <c r="B1" s="94"/>
      <c r="C1" s="94"/>
      <c r="D1" s="94"/>
      <c r="E1" s="94"/>
      <c r="F1" s="94"/>
      <c r="G1" s="123" t="s">
        <v>154</v>
      </c>
      <c r="H1" s="123"/>
      <c r="I1" s="94" t="s">
        <v>160</v>
      </c>
      <c r="J1" s="94"/>
      <c r="K1" s="94"/>
      <c r="L1" s="94"/>
      <c r="M1" s="99" t="s">
        <v>96</v>
      </c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ht="21.75" customHeight="1" x14ac:dyDescent="0.2">
      <c r="A2" s="119" t="s">
        <v>45</v>
      </c>
      <c r="B2" s="119"/>
      <c r="C2" s="119"/>
      <c r="D2" s="119"/>
      <c r="E2" s="119"/>
      <c r="F2" s="119"/>
      <c r="G2" s="123"/>
      <c r="H2" s="123"/>
      <c r="I2" s="94"/>
      <c r="J2" s="94"/>
      <c r="K2" s="94"/>
      <c r="L2" s="94"/>
      <c r="M2" s="99" t="s">
        <v>78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ht="21.75" customHeight="1" x14ac:dyDescent="0.2">
      <c r="A3" s="94" t="s">
        <v>158</v>
      </c>
      <c r="B3" s="120"/>
      <c r="C3" s="120"/>
      <c r="D3" s="120"/>
      <c r="E3" s="120"/>
      <c r="F3" s="120"/>
      <c r="G3" s="123" t="s">
        <v>155</v>
      </c>
      <c r="H3" s="123"/>
      <c r="I3" s="94" t="s">
        <v>200</v>
      </c>
      <c r="J3" s="94"/>
      <c r="K3" s="94"/>
      <c r="L3" s="94"/>
      <c r="M3" s="100" t="s">
        <v>79</v>
      </c>
      <c r="N3" s="101" t="s">
        <v>81</v>
      </c>
      <c r="O3" s="100"/>
      <c r="P3" s="101" t="s">
        <v>65</v>
      </c>
      <c r="Q3" s="100"/>
      <c r="R3" s="101" t="s">
        <v>82</v>
      </c>
      <c r="S3" s="100"/>
      <c r="T3" s="101" t="s">
        <v>85</v>
      </c>
      <c r="U3" s="100"/>
      <c r="V3" s="101" t="s">
        <v>87</v>
      </c>
      <c r="W3" s="100"/>
      <c r="X3" s="86" t="s">
        <v>91</v>
      </c>
      <c r="Y3" s="105"/>
      <c r="Z3" s="105"/>
    </row>
    <row r="4" spans="1:26" ht="29.25" customHeight="1" x14ac:dyDescent="0.2">
      <c r="A4" s="119" t="s">
        <v>46</v>
      </c>
      <c r="B4" s="119"/>
      <c r="C4" s="119"/>
      <c r="D4" s="119"/>
      <c r="E4" s="119"/>
      <c r="F4" s="119"/>
      <c r="G4" s="123"/>
      <c r="H4" s="123"/>
      <c r="I4" s="94"/>
      <c r="J4" s="94"/>
      <c r="K4" s="94"/>
      <c r="L4" s="94"/>
      <c r="M4" s="95"/>
      <c r="N4" s="90"/>
      <c r="O4" s="95"/>
      <c r="P4" s="90"/>
      <c r="Q4" s="95"/>
      <c r="R4" s="90" t="s">
        <v>83</v>
      </c>
      <c r="S4" s="95"/>
      <c r="T4" s="90" t="s">
        <v>86</v>
      </c>
      <c r="U4" s="95"/>
      <c r="V4" s="90" t="s">
        <v>88</v>
      </c>
      <c r="W4" s="95"/>
      <c r="X4" s="86"/>
      <c r="Y4" s="105"/>
      <c r="Z4" s="105"/>
    </row>
    <row r="5" spans="1:26" ht="21.75" customHeight="1" x14ac:dyDescent="0.2">
      <c r="A5" s="94" t="s">
        <v>178</v>
      </c>
      <c r="B5" s="120"/>
      <c r="C5" s="120"/>
      <c r="D5" s="120"/>
      <c r="E5" s="120"/>
      <c r="F5" s="120"/>
      <c r="G5" s="123" t="s">
        <v>156</v>
      </c>
      <c r="H5" s="123"/>
      <c r="I5" s="94" t="s">
        <v>201</v>
      </c>
      <c r="J5" s="94"/>
      <c r="K5" s="94"/>
      <c r="L5" s="94"/>
      <c r="M5" s="95" t="s">
        <v>80</v>
      </c>
      <c r="N5" s="90"/>
      <c r="O5" s="95"/>
      <c r="P5" s="90" t="s">
        <v>182</v>
      </c>
      <c r="Q5" s="95"/>
      <c r="R5" s="106" t="s">
        <v>84</v>
      </c>
      <c r="S5" s="107"/>
      <c r="T5" s="106" t="s">
        <v>84</v>
      </c>
      <c r="U5" s="107"/>
      <c r="V5" s="90" t="s">
        <v>89</v>
      </c>
      <c r="W5" s="95"/>
      <c r="X5" s="86"/>
      <c r="Y5" s="105"/>
      <c r="Z5" s="105"/>
    </row>
    <row r="6" spans="1:26" ht="21.75" customHeight="1" x14ac:dyDescent="0.2">
      <c r="A6" s="119" t="s">
        <v>47</v>
      </c>
      <c r="B6" s="119"/>
      <c r="C6" s="119"/>
      <c r="D6" s="119"/>
      <c r="E6" s="119"/>
      <c r="F6" s="119"/>
      <c r="G6" s="123"/>
      <c r="H6" s="123"/>
      <c r="I6" s="94"/>
      <c r="J6" s="94"/>
      <c r="K6" s="94"/>
      <c r="L6" s="94"/>
      <c r="M6" s="96"/>
      <c r="N6" s="92"/>
      <c r="O6" s="96"/>
      <c r="P6" s="92"/>
      <c r="Q6" s="96"/>
      <c r="R6" s="92"/>
      <c r="S6" s="96"/>
      <c r="T6" s="92"/>
      <c r="U6" s="96"/>
      <c r="V6" s="92" t="s">
        <v>90</v>
      </c>
      <c r="W6" s="96"/>
      <c r="X6" s="86"/>
      <c r="Y6" s="105"/>
      <c r="Z6" s="105"/>
    </row>
    <row r="7" spans="1:26" ht="21.75" customHeight="1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84"/>
      <c r="O7" s="85"/>
      <c r="P7" s="84"/>
      <c r="Q7" s="85"/>
      <c r="R7" s="84"/>
      <c r="S7" s="85"/>
      <c r="T7" s="84"/>
      <c r="U7" s="85"/>
      <c r="V7" s="84"/>
      <c r="W7" s="85"/>
      <c r="X7" s="84"/>
      <c r="Y7" s="88"/>
      <c r="Z7" s="88"/>
    </row>
    <row r="8" spans="1:26" ht="22.5" customHeight="1" x14ac:dyDescent="0.2">
      <c r="A8" s="116" t="s">
        <v>48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84"/>
      <c r="O8" s="85"/>
      <c r="P8" s="84"/>
      <c r="Q8" s="85"/>
      <c r="R8" s="84"/>
      <c r="S8" s="85"/>
      <c r="T8" s="84"/>
      <c r="U8" s="85"/>
      <c r="V8" s="84"/>
      <c r="W8" s="85"/>
      <c r="X8" s="84"/>
      <c r="Y8" s="88"/>
      <c r="Z8" s="88"/>
    </row>
    <row r="9" spans="1:26" ht="22.5" customHeight="1" x14ac:dyDescent="0.2">
      <c r="A9" s="129" t="s">
        <v>49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9"/>
      <c r="N9" s="84"/>
      <c r="O9" s="85"/>
      <c r="P9" s="84"/>
      <c r="Q9" s="85"/>
      <c r="R9" s="84"/>
      <c r="S9" s="85"/>
      <c r="T9" s="84"/>
      <c r="U9" s="85"/>
      <c r="V9" s="84"/>
      <c r="W9" s="85"/>
      <c r="X9" s="84"/>
      <c r="Y9" s="88"/>
      <c r="Z9" s="88"/>
    </row>
    <row r="10" spans="1:26" ht="22.5" customHeight="1" x14ac:dyDescent="0.2">
      <c r="A10" s="124" t="s">
        <v>112</v>
      </c>
      <c r="B10" s="124"/>
      <c r="C10" s="124"/>
      <c r="D10" s="124"/>
      <c r="E10" s="135" t="s">
        <v>375</v>
      </c>
      <c r="F10" s="136"/>
      <c r="G10" s="136"/>
      <c r="H10" s="111" t="s">
        <v>376</v>
      </c>
      <c r="I10" s="111"/>
      <c r="J10" s="111"/>
      <c r="K10" s="111"/>
      <c r="L10" s="111"/>
      <c r="M10" s="9"/>
      <c r="N10" s="84"/>
      <c r="O10" s="85"/>
      <c r="P10" s="84"/>
      <c r="Q10" s="85"/>
      <c r="R10" s="84"/>
      <c r="S10" s="85"/>
      <c r="T10" s="84"/>
      <c r="U10" s="85"/>
      <c r="V10" s="84"/>
      <c r="W10" s="85"/>
      <c r="X10" s="84"/>
      <c r="Y10" s="88"/>
      <c r="Z10" s="88"/>
    </row>
    <row r="11" spans="1:26" ht="22.5" customHeight="1" x14ac:dyDescent="0.2">
      <c r="A11" s="124" t="s">
        <v>113</v>
      </c>
      <c r="B11" s="124"/>
      <c r="C11" s="124"/>
      <c r="D11" s="124"/>
      <c r="E11" s="134" t="s">
        <v>233</v>
      </c>
      <c r="F11" s="134"/>
      <c r="G11" s="134"/>
      <c r="H11" s="134"/>
      <c r="I11" s="111" t="s">
        <v>114</v>
      </c>
      <c r="J11" s="111"/>
      <c r="K11" s="111"/>
      <c r="L11" s="111"/>
      <c r="M11" s="9"/>
      <c r="N11" s="84"/>
      <c r="O11" s="85"/>
      <c r="P11" s="84"/>
      <c r="Q11" s="85"/>
      <c r="R11" s="84"/>
      <c r="S11" s="85"/>
      <c r="T11" s="84"/>
      <c r="U11" s="85"/>
      <c r="V11" s="84"/>
      <c r="W11" s="85"/>
      <c r="X11" s="84"/>
      <c r="Y11" s="88"/>
      <c r="Z11" s="88"/>
    </row>
    <row r="12" spans="1:26" ht="21.75" customHeight="1" x14ac:dyDescent="0.2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9"/>
      <c r="N12" s="84"/>
      <c r="O12" s="85"/>
      <c r="P12" s="84"/>
      <c r="Q12" s="85"/>
      <c r="R12" s="84"/>
      <c r="S12" s="85"/>
      <c r="T12" s="84"/>
      <c r="U12" s="85"/>
      <c r="V12" s="84"/>
      <c r="W12" s="85"/>
      <c r="X12" s="84"/>
      <c r="Y12" s="88"/>
      <c r="Z12" s="88"/>
    </row>
    <row r="13" spans="1:26" ht="21.75" customHeight="1" x14ac:dyDescent="0.2">
      <c r="A13" s="171" t="s">
        <v>50</v>
      </c>
      <c r="B13" s="156" t="s">
        <v>56</v>
      </c>
      <c r="C13" s="157"/>
      <c r="D13" s="165" t="s">
        <v>190</v>
      </c>
      <c r="E13" s="166"/>
      <c r="F13" s="156" t="s">
        <v>59</v>
      </c>
      <c r="G13" s="157"/>
      <c r="H13" s="40" t="s">
        <v>190</v>
      </c>
      <c r="I13" s="168" t="s">
        <v>5</v>
      </c>
      <c r="J13" s="156" t="s">
        <v>60</v>
      </c>
      <c r="K13" s="171"/>
      <c r="L13" s="41" t="s">
        <v>65</v>
      </c>
      <c r="M13" s="9"/>
      <c r="N13" s="84"/>
      <c r="O13" s="85"/>
      <c r="P13" s="84"/>
      <c r="Q13" s="85"/>
      <c r="R13" s="84"/>
      <c r="S13" s="85"/>
      <c r="T13" s="84"/>
      <c r="U13" s="85"/>
      <c r="V13" s="84"/>
      <c r="W13" s="85"/>
      <c r="X13" s="84"/>
      <c r="Y13" s="88"/>
      <c r="Z13" s="88"/>
    </row>
    <row r="14" spans="1:26" ht="21.75" customHeight="1" x14ac:dyDescent="0.2">
      <c r="A14" s="172"/>
      <c r="B14" s="158" t="s">
        <v>57</v>
      </c>
      <c r="C14" s="159"/>
      <c r="D14" s="160" t="s">
        <v>192</v>
      </c>
      <c r="E14" s="161"/>
      <c r="F14" s="158" t="s">
        <v>57</v>
      </c>
      <c r="G14" s="159"/>
      <c r="H14" s="42" t="s">
        <v>192</v>
      </c>
      <c r="I14" s="169"/>
      <c r="J14" s="158" t="s">
        <v>61</v>
      </c>
      <c r="K14" s="172"/>
      <c r="L14" s="41" t="s">
        <v>66</v>
      </c>
      <c r="M14" s="9"/>
      <c r="N14" s="84"/>
      <c r="O14" s="85"/>
      <c r="P14" s="84"/>
      <c r="Q14" s="85"/>
      <c r="R14" s="84"/>
      <c r="S14" s="85"/>
      <c r="T14" s="84"/>
      <c r="U14" s="85"/>
      <c r="V14" s="84"/>
      <c r="W14" s="85"/>
      <c r="X14" s="84"/>
      <c r="Y14" s="88"/>
      <c r="Z14" s="88"/>
    </row>
    <row r="15" spans="1:26" ht="21.75" customHeight="1" x14ac:dyDescent="0.2">
      <c r="A15" s="172"/>
      <c r="B15" s="162" t="s">
        <v>58</v>
      </c>
      <c r="C15" s="163"/>
      <c r="D15" s="175">
        <v>36000</v>
      </c>
      <c r="E15" s="176"/>
      <c r="F15" s="162" t="s">
        <v>58</v>
      </c>
      <c r="G15" s="163"/>
      <c r="H15" s="43">
        <v>36000</v>
      </c>
      <c r="I15" s="169"/>
      <c r="J15" s="162" t="s">
        <v>62</v>
      </c>
      <c r="K15" s="173"/>
      <c r="L15" s="41" t="s">
        <v>67</v>
      </c>
      <c r="M15" s="9"/>
      <c r="N15" s="84"/>
      <c r="O15" s="85"/>
      <c r="P15" s="84"/>
      <c r="Q15" s="85"/>
      <c r="R15" s="84"/>
      <c r="S15" s="85"/>
      <c r="T15" s="84"/>
      <c r="U15" s="85"/>
      <c r="V15" s="84"/>
      <c r="W15" s="85"/>
      <c r="X15" s="84"/>
      <c r="Y15" s="88"/>
      <c r="Z15" s="88"/>
    </row>
    <row r="16" spans="1:26" ht="21.75" customHeight="1" x14ac:dyDescent="0.2">
      <c r="A16" s="172"/>
      <c r="B16" s="44" t="s">
        <v>51</v>
      </c>
      <c r="C16" s="44" t="s">
        <v>53</v>
      </c>
      <c r="D16" s="44" t="s">
        <v>54</v>
      </c>
      <c r="E16" s="127"/>
      <c r="F16" s="44" t="s">
        <v>51</v>
      </c>
      <c r="G16" s="44" t="s">
        <v>53</v>
      </c>
      <c r="H16" s="45" t="s">
        <v>54</v>
      </c>
      <c r="I16" s="169"/>
      <c r="J16" s="127" t="s">
        <v>63</v>
      </c>
      <c r="K16" s="127" t="s">
        <v>64</v>
      </c>
      <c r="L16" s="41" t="s">
        <v>68</v>
      </c>
      <c r="M16" s="9"/>
      <c r="N16" s="84"/>
      <c r="O16" s="85"/>
      <c r="P16" s="84"/>
      <c r="Q16" s="85"/>
      <c r="R16" s="84"/>
      <c r="S16" s="85"/>
      <c r="T16" s="84"/>
      <c r="U16" s="85"/>
      <c r="V16" s="84"/>
      <c r="W16" s="85"/>
      <c r="X16" s="84"/>
      <c r="Y16" s="88"/>
      <c r="Z16" s="88"/>
    </row>
    <row r="17" spans="1:26" ht="21.75" customHeight="1" x14ac:dyDescent="0.2">
      <c r="A17" s="173"/>
      <c r="B17" s="44" t="s">
        <v>52</v>
      </c>
      <c r="C17" s="46" t="s">
        <v>51</v>
      </c>
      <c r="D17" s="46" t="s">
        <v>55</v>
      </c>
      <c r="E17" s="174"/>
      <c r="F17" s="46" t="s">
        <v>52</v>
      </c>
      <c r="G17" s="47" t="s">
        <v>51</v>
      </c>
      <c r="H17" s="48" t="s">
        <v>55</v>
      </c>
      <c r="I17" s="170"/>
      <c r="J17" s="128"/>
      <c r="K17" s="128"/>
      <c r="L17" s="41" t="s">
        <v>69</v>
      </c>
      <c r="M17" s="103" t="s">
        <v>92</v>
      </c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spans="1:26" ht="23.25" customHeight="1" x14ac:dyDescent="0.2">
      <c r="A18" s="49" t="s">
        <v>7</v>
      </c>
      <c r="B18" s="82">
        <v>3442.2633000000001</v>
      </c>
      <c r="C18" s="25"/>
      <c r="D18" s="24"/>
      <c r="E18" s="81"/>
      <c r="F18" s="82">
        <v>2326.4340999999999</v>
      </c>
      <c r="G18" s="51"/>
      <c r="H18" s="50"/>
      <c r="I18" s="52"/>
      <c r="J18" s="39"/>
      <c r="K18" s="79"/>
      <c r="L18" s="53"/>
      <c r="M18" s="100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1" t="s">
        <v>91</v>
      </c>
      <c r="X18" s="104"/>
      <c r="Y18" s="104"/>
      <c r="Z18" s="104"/>
    </row>
    <row r="19" spans="1:26" ht="23.25" customHeight="1" x14ac:dyDescent="0.2">
      <c r="A19" s="49" t="s">
        <v>8</v>
      </c>
      <c r="B19" s="82">
        <v>3442.2995999999998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3.6299999999755528E-2</v>
      </c>
      <c r="D19" s="24">
        <f t="shared" ref="D19:D42" si="1">IF(C19="","",C19*$D$15)</f>
        <v>1306.799999991199</v>
      </c>
      <c r="E19" s="81"/>
      <c r="F19" s="82">
        <v>2326.4659000000001</v>
      </c>
      <c r="G19" s="51">
        <f>F19-ReportObject9_3</f>
        <v>3.1800000000202999E-2</v>
      </c>
      <c r="H19" s="50">
        <f t="shared" ref="H19:H42" si="2">IF(G19="","",G19*$H$15)</f>
        <v>1144.800000007308</v>
      </c>
      <c r="I19" s="52">
        <f t="shared" ref="I19:I42" si="3">IF(H19="","",IF(D19="","",IF(AND(H19=0,D19=0),0,H19/D19)))</f>
        <v>0.87603305786273178</v>
      </c>
      <c r="J19" s="53"/>
      <c r="K19" s="83">
        <v>6.2661639999999998</v>
      </c>
      <c r="L19" s="53"/>
      <c r="M19" s="95"/>
      <c r="N19" s="89"/>
      <c r="O19" s="89"/>
      <c r="P19" s="89"/>
      <c r="Q19" s="89" t="s">
        <v>108</v>
      </c>
      <c r="R19" s="89"/>
      <c r="S19" s="89"/>
      <c r="T19" s="89"/>
      <c r="U19" s="89"/>
      <c r="V19" s="89"/>
      <c r="W19" s="90"/>
      <c r="X19" s="99"/>
      <c r="Y19" s="99"/>
      <c r="Z19" s="99"/>
    </row>
    <row r="20" spans="1:26" ht="23.25" customHeight="1" x14ac:dyDescent="0.2">
      <c r="A20" s="49" t="s">
        <v>9</v>
      </c>
      <c r="B20" s="82">
        <v>3442.3357999999998</v>
      </c>
      <c r="C20" s="25">
        <f t="shared" si="0"/>
        <v>3.6200000000008004E-2</v>
      </c>
      <c r="D20" s="24">
        <f t="shared" si="1"/>
        <v>1303.2000000002881</v>
      </c>
      <c r="E20" s="81"/>
      <c r="F20" s="82">
        <v>2326.4976999999999</v>
      </c>
      <c r="G20" s="51">
        <f>F20-F19</f>
        <v>3.1799999999748252E-2</v>
      </c>
      <c r="H20" s="50">
        <f t="shared" si="2"/>
        <v>1144.7999999909371</v>
      </c>
      <c r="I20" s="52">
        <f t="shared" si="3"/>
        <v>0.87845303866688451</v>
      </c>
      <c r="J20" s="53"/>
      <c r="K20" s="83">
        <v>6.3821530000000006</v>
      </c>
      <c r="L20" s="53"/>
      <c r="M20" s="95" t="s">
        <v>80</v>
      </c>
      <c r="N20" s="89" t="s">
        <v>99</v>
      </c>
      <c r="O20" s="89"/>
      <c r="P20" s="89"/>
      <c r="Q20" s="89" t="s">
        <v>181</v>
      </c>
      <c r="R20" s="89"/>
      <c r="S20" s="89"/>
      <c r="T20" s="89" t="s">
        <v>94</v>
      </c>
      <c r="U20" s="89"/>
      <c r="V20" s="89"/>
      <c r="W20" s="90"/>
      <c r="X20" s="99"/>
      <c r="Y20" s="99"/>
      <c r="Z20" s="99"/>
    </row>
    <row r="21" spans="1:26" ht="23.25" customHeight="1" x14ac:dyDescent="0.2">
      <c r="A21" s="49" t="s">
        <v>10</v>
      </c>
      <c r="B21" s="82">
        <v>3442.3723</v>
      </c>
      <c r="C21" s="25">
        <f t="shared" si="0"/>
        <v>3.6500000000160071E-2</v>
      </c>
      <c r="D21" s="24">
        <f t="shared" si="1"/>
        <v>1314.0000000057626</v>
      </c>
      <c r="E21" s="81"/>
      <c r="F21" s="82">
        <v>2326.5297</v>
      </c>
      <c r="G21" s="51">
        <f t="shared" ref="G21:G42" si="4">F21-F20</f>
        <v>3.2000000000152795E-2</v>
      </c>
      <c r="H21" s="50">
        <f t="shared" si="2"/>
        <v>1152.0000000055006</v>
      </c>
      <c r="I21" s="52">
        <f t="shared" si="3"/>
        <v>0.87671232876746463</v>
      </c>
      <c r="J21" s="53"/>
      <c r="K21" s="83">
        <v>6.3859530000000007</v>
      </c>
      <c r="L21" s="53"/>
      <c r="M21" s="96"/>
      <c r="N21" s="91"/>
      <c r="O21" s="91"/>
      <c r="P21" s="91"/>
      <c r="Q21" s="91"/>
      <c r="R21" s="91"/>
      <c r="S21" s="91"/>
      <c r="T21" s="91"/>
      <c r="U21" s="91"/>
      <c r="V21" s="91"/>
      <c r="W21" s="92"/>
      <c r="X21" s="103"/>
      <c r="Y21" s="103"/>
      <c r="Z21" s="103"/>
    </row>
    <row r="22" spans="1:26" ht="23.25" customHeight="1" x14ac:dyDescent="0.2">
      <c r="A22" s="49" t="s">
        <v>11</v>
      </c>
      <c r="B22" s="82">
        <v>3442.4090999999999</v>
      </c>
      <c r="C22" s="25">
        <f t="shared" si="0"/>
        <v>3.6799999999857391E-2</v>
      </c>
      <c r="D22" s="24">
        <f t="shared" si="1"/>
        <v>1324.7999999948661</v>
      </c>
      <c r="E22" s="81"/>
      <c r="F22" s="82">
        <v>2326.5623999999998</v>
      </c>
      <c r="G22" s="51">
        <f t="shared" si="4"/>
        <v>3.2699999999749707E-2</v>
      </c>
      <c r="H22" s="50">
        <f t="shared" si="2"/>
        <v>1177.1999999909895</v>
      </c>
      <c r="I22" s="52">
        <f t="shared" si="3"/>
        <v>0.88858695651838115</v>
      </c>
      <c r="J22" s="53"/>
      <c r="K22" s="83">
        <v>6.4104320000000001</v>
      </c>
      <c r="L22" s="53"/>
      <c r="M22" s="9"/>
      <c r="N22" s="97"/>
      <c r="O22" s="97"/>
      <c r="P22" s="97"/>
      <c r="Q22" s="97"/>
      <c r="R22" s="97"/>
      <c r="S22" s="97"/>
      <c r="T22" s="97"/>
      <c r="U22" s="97"/>
      <c r="V22" s="97"/>
      <c r="W22" s="84"/>
      <c r="X22" s="88"/>
      <c r="Y22" s="88"/>
      <c r="Z22" s="88"/>
    </row>
    <row r="23" spans="1:26" ht="23.25" customHeight="1" x14ac:dyDescent="0.2">
      <c r="A23" s="49" t="s">
        <v>12</v>
      </c>
      <c r="B23" s="82">
        <v>3442.4461000000001</v>
      </c>
      <c r="C23" s="25">
        <f t="shared" si="0"/>
        <v>3.7000000000261934E-2</v>
      </c>
      <c r="D23" s="24">
        <f t="shared" si="1"/>
        <v>1332.0000000094296</v>
      </c>
      <c r="E23" s="81"/>
      <c r="F23" s="82">
        <v>2326.5953</v>
      </c>
      <c r="G23" s="51">
        <f t="shared" si="4"/>
        <v>3.290000000015425E-2</v>
      </c>
      <c r="H23" s="50">
        <f t="shared" si="2"/>
        <v>1184.400000005553</v>
      </c>
      <c r="I23" s="52">
        <f t="shared" si="3"/>
        <v>0.88918918918706324</v>
      </c>
      <c r="J23" s="53"/>
      <c r="K23" s="83">
        <v>6.4258649999999999</v>
      </c>
      <c r="L23" s="53"/>
      <c r="M23" s="9"/>
      <c r="N23" s="97"/>
      <c r="O23" s="97"/>
      <c r="P23" s="97"/>
      <c r="Q23" s="97"/>
      <c r="R23" s="97"/>
      <c r="S23" s="97"/>
      <c r="T23" s="97"/>
      <c r="U23" s="97"/>
      <c r="V23" s="97"/>
      <c r="W23" s="84"/>
      <c r="X23" s="88"/>
      <c r="Y23" s="88"/>
      <c r="Z23" s="88"/>
    </row>
    <row r="24" spans="1:26" ht="23.25" customHeight="1" x14ac:dyDescent="0.2">
      <c r="A24" s="49" t="s">
        <v>13</v>
      </c>
      <c r="B24" s="82">
        <v>3442.4821999999999</v>
      </c>
      <c r="C24" s="25">
        <f t="shared" si="0"/>
        <v>3.6099999999805732E-2</v>
      </c>
      <c r="D24" s="24">
        <f t="shared" si="1"/>
        <v>1299.5999999930063</v>
      </c>
      <c r="E24" s="81"/>
      <c r="F24" s="82">
        <v>2326.6278000000002</v>
      </c>
      <c r="G24" s="51">
        <f t="shared" si="4"/>
        <v>3.2500000000254659E-2</v>
      </c>
      <c r="H24" s="50">
        <f t="shared" si="2"/>
        <v>1170.0000000091677</v>
      </c>
      <c r="I24" s="52">
        <f t="shared" si="3"/>
        <v>0.9002770083221483</v>
      </c>
      <c r="J24" s="53"/>
      <c r="K24" s="83">
        <v>6.4372769999999999</v>
      </c>
      <c r="L24" s="53"/>
      <c r="M24" s="9"/>
      <c r="N24" s="97"/>
      <c r="O24" s="97"/>
      <c r="P24" s="97"/>
      <c r="Q24" s="97"/>
      <c r="R24" s="97"/>
      <c r="S24" s="97"/>
      <c r="T24" s="97"/>
      <c r="U24" s="97"/>
      <c r="V24" s="97"/>
      <c r="W24" s="84"/>
      <c r="X24" s="88"/>
      <c r="Y24" s="88"/>
      <c r="Z24" s="88"/>
    </row>
    <row r="25" spans="1:26" ht="23.25" customHeight="1" x14ac:dyDescent="0.2">
      <c r="A25" s="49" t="s">
        <v>14</v>
      </c>
      <c r="B25" s="82">
        <v>3442.5167000000001</v>
      </c>
      <c r="C25" s="25">
        <f t="shared" si="0"/>
        <v>3.4500000000207365E-2</v>
      </c>
      <c r="D25" s="24">
        <f t="shared" si="1"/>
        <v>1242.0000000074651</v>
      </c>
      <c r="E25" s="81"/>
      <c r="F25" s="82">
        <v>2326.6588000000002</v>
      </c>
      <c r="G25" s="51">
        <f t="shared" si="4"/>
        <v>3.0999999999949068E-2</v>
      </c>
      <c r="H25" s="50">
        <f t="shared" si="2"/>
        <v>1115.9999999981665</v>
      </c>
      <c r="I25" s="52">
        <f t="shared" si="3"/>
        <v>0.8985507246308041</v>
      </c>
      <c r="J25" s="53"/>
      <c r="K25" s="83">
        <v>6.4047809999999998</v>
      </c>
      <c r="L25" s="53"/>
      <c r="M25" s="9"/>
      <c r="N25" s="97"/>
      <c r="O25" s="97"/>
      <c r="P25" s="97"/>
      <c r="Q25" s="97"/>
      <c r="R25" s="97"/>
      <c r="S25" s="97"/>
      <c r="T25" s="97"/>
      <c r="U25" s="97"/>
      <c r="V25" s="97"/>
      <c r="W25" s="84"/>
      <c r="X25" s="88"/>
      <c r="Y25" s="88"/>
      <c r="Z25" s="88"/>
    </row>
    <row r="26" spans="1:26" ht="23.25" customHeight="1" x14ac:dyDescent="0.2">
      <c r="A26" s="49" t="s">
        <v>15</v>
      </c>
      <c r="B26" s="82">
        <v>3442.5538999999999</v>
      </c>
      <c r="C26" s="25">
        <f t="shared" si="0"/>
        <v>3.7199999999756983E-2</v>
      </c>
      <c r="D26" s="24">
        <f t="shared" si="1"/>
        <v>1339.1999999912514</v>
      </c>
      <c r="E26" s="81"/>
      <c r="F26" s="82">
        <v>2326.6903000000002</v>
      </c>
      <c r="G26" s="51">
        <f t="shared" si="4"/>
        <v>3.1500000000050932E-2</v>
      </c>
      <c r="H26" s="50">
        <f t="shared" si="2"/>
        <v>1134.0000000018335</v>
      </c>
      <c r="I26" s="52">
        <f t="shared" si="3"/>
        <v>0.84677419355528794</v>
      </c>
      <c r="J26" s="53"/>
      <c r="K26" s="83">
        <v>6.3255319999999999</v>
      </c>
      <c r="L26" s="53"/>
      <c r="M26" s="9"/>
      <c r="N26" s="97"/>
      <c r="O26" s="97"/>
      <c r="P26" s="97"/>
      <c r="Q26" s="97"/>
      <c r="R26" s="97"/>
      <c r="S26" s="97"/>
      <c r="T26" s="97"/>
      <c r="U26" s="97"/>
      <c r="V26" s="97"/>
      <c r="W26" s="84"/>
      <c r="X26" s="88"/>
      <c r="Y26" s="88"/>
      <c r="Z26" s="88"/>
    </row>
    <row r="27" spans="1:26" ht="23.25" customHeight="1" x14ac:dyDescent="0.2">
      <c r="A27" s="49" t="s">
        <v>16</v>
      </c>
      <c r="B27" s="82">
        <v>3442.5906</v>
      </c>
      <c r="C27" s="25">
        <f t="shared" si="0"/>
        <v>3.6700000000109867E-2</v>
      </c>
      <c r="D27" s="24">
        <f t="shared" si="1"/>
        <v>1321.2000000039552</v>
      </c>
      <c r="E27" s="81"/>
      <c r="F27" s="82">
        <v>2326.7206999999999</v>
      </c>
      <c r="G27" s="51">
        <f t="shared" si="4"/>
        <v>3.0399999999644933E-2</v>
      </c>
      <c r="H27" s="50">
        <f t="shared" si="2"/>
        <v>1094.3999999872176</v>
      </c>
      <c r="I27" s="52">
        <f t="shared" si="3"/>
        <v>0.82833787464724595</v>
      </c>
      <c r="J27" s="53"/>
      <c r="K27" s="83">
        <v>6.202051</v>
      </c>
      <c r="L27" s="53"/>
      <c r="M27" s="9"/>
      <c r="N27" s="97"/>
      <c r="O27" s="97"/>
      <c r="P27" s="97"/>
      <c r="Q27" s="97"/>
      <c r="R27" s="97"/>
      <c r="S27" s="97"/>
      <c r="T27" s="97"/>
      <c r="U27" s="97"/>
      <c r="V27" s="97"/>
      <c r="W27" s="84"/>
      <c r="X27" s="88"/>
      <c r="Y27" s="88"/>
      <c r="Z27" s="88"/>
    </row>
    <row r="28" spans="1:26" ht="23.25" customHeight="1" x14ac:dyDescent="0.2">
      <c r="A28" s="49" t="s">
        <v>17</v>
      </c>
      <c r="B28" s="82">
        <v>3442.6273000000001</v>
      </c>
      <c r="C28" s="25">
        <f t="shared" si="0"/>
        <v>3.6700000000109867E-2</v>
      </c>
      <c r="D28" s="24">
        <f t="shared" si="1"/>
        <v>1321.2000000039552</v>
      </c>
      <c r="E28" s="81"/>
      <c r="F28" s="82">
        <v>2326.7507000000001</v>
      </c>
      <c r="G28" s="51">
        <f t="shared" si="4"/>
        <v>3.0000000000200089E-2</v>
      </c>
      <c r="H28" s="50">
        <f t="shared" si="2"/>
        <v>1080.0000000072032</v>
      </c>
      <c r="I28" s="52">
        <f t="shared" si="3"/>
        <v>0.81743869210109754</v>
      </c>
      <c r="J28" s="53"/>
      <c r="K28" s="83">
        <v>6.1435919999999999</v>
      </c>
      <c r="L28" s="53"/>
      <c r="M28" s="9"/>
      <c r="N28" s="97"/>
      <c r="O28" s="97"/>
      <c r="P28" s="97"/>
      <c r="Q28" s="97"/>
      <c r="R28" s="97"/>
      <c r="S28" s="97"/>
      <c r="T28" s="97"/>
      <c r="U28" s="97"/>
      <c r="V28" s="97"/>
      <c r="W28" s="84"/>
      <c r="X28" s="88"/>
      <c r="Y28" s="88"/>
      <c r="Z28" s="88"/>
    </row>
    <row r="29" spans="1:26" ht="23.25" customHeight="1" x14ac:dyDescent="0.2">
      <c r="A29" s="49" t="s">
        <v>18</v>
      </c>
      <c r="B29" s="82">
        <v>3442.6646000000001</v>
      </c>
      <c r="C29" s="25">
        <f t="shared" si="0"/>
        <v>3.7299999999959255E-2</v>
      </c>
      <c r="D29" s="24">
        <f t="shared" si="1"/>
        <v>1342.7999999985332</v>
      </c>
      <c r="E29" s="81"/>
      <c r="F29" s="82">
        <v>2326.7809000000002</v>
      </c>
      <c r="G29" s="51">
        <f t="shared" si="4"/>
        <v>3.0200000000149885E-2</v>
      </c>
      <c r="H29" s="50">
        <f t="shared" si="2"/>
        <v>1087.2000000053959</v>
      </c>
      <c r="I29" s="52">
        <f t="shared" si="3"/>
        <v>0.80965147453573394</v>
      </c>
      <c r="J29" s="53"/>
      <c r="K29" s="83">
        <v>6.1259250000000005</v>
      </c>
      <c r="L29" s="53"/>
      <c r="M29" s="118" t="s">
        <v>95</v>
      </c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23.25" customHeight="1" x14ac:dyDescent="0.2">
      <c r="A30" s="49" t="s">
        <v>19</v>
      </c>
      <c r="B30" s="82">
        <v>3442.7011000000002</v>
      </c>
      <c r="C30" s="25">
        <f t="shared" si="0"/>
        <v>3.6500000000160071E-2</v>
      </c>
      <c r="D30" s="24">
        <f t="shared" si="1"/>
        <v>1314.0000000057626</v>
      </c>
      <c r="E30" s="81"/>
      <c r="F30" s="82">
        <v>2326.8108000000002</v>
      </c>
      <c r="G30" s="51">
        <f t="shared" si="4"/>
        <v>2.9899999999997817E-2</v>
      </c>
      <c r="H30" s="50">
        <f t="shared" si="2"/>
        <v>1076.3999999999214</v>
      </c>
      <c r="I30" s="52">
        <f t="shared" si="3"/>
        <v>0.81917808218812849</v>
      </c>
      <c r="J30" s="53"/>
      <c r="K30" s="83">
        <v>6.1467109999999998</v>
      </c>
      <c r="L30" s="53"/>
      <c r="M30" s="99" t="s">
        <v>97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23.25" customHeight="1" x14ac:dyDescent="0.2">
      <c r="A31" s="49" t="s">
        <v>20</v>
      </c>
      <c r="B31" s="82">
        <v>3442.7383</v>
      </c>
      <c r="C31" s="25">
        <f t="shared" si="0"/>
        <v>3.7199999999756983E-2</v>
      </c>
      <c r="D31" s="24">
        <f t="shared" si="1"/>
        <v>1339.1999999912514</v>
      </c>
      <c r="E31" s="81"/>
      <c r="F31" s="82">
        <v>2326.8411999999998</v>
      </c>
      <c r="G31" s="51">
        <f t="shared" si="4"/>
        <v>3.0399999999644933E-2</v>
      </c>
      <c r="H31" s="50">
        <f t="shared" si="2"/>
        <v>1094.3999999872176</v>
      </c>
      <c r="I31" s="52">
        <f t="shared" si="3"/>
        <v>0.81720430107106257</v>
      </c>
      <c r="J31" s="53"/>
      <c r="K31" s="83">
        <v>6.175325</v>
      </c>
      <c r="L31" s="53"/>
      <c r="M31" s="100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179</v>
      </c>
      <c r="W31" s="98"/>
      <c r="X31" s="98"/>
      <c r="Y31" s="98" t="s">
        <v>91</v>
      </c>
      <c r="Z31" s="101"/>
    </row>
    <row r="32" spans="1:26" ht="23.25" customHeight="1" x14ac:dyDescent="0.2">
      <c r="A32" s="49" t="s">
        <v>21</v>
      </c>
      <c r="B32" s="82">
        <v>3442.777</v>
      </c>
      <c r="C32" s="25">
        <f t="shared" si="0"/>
        <v>3.8700000000062573E-2</v>
      </c>
      <c r="D32" s="24">
        <f t="shared" si="1"/>
        <v>1393.2000000022526</v>
      </c>
      <c r="E32" s="81"/>
      <c r="F32" s="82">
        <v>2326.8715999999999</v>
      </c>
      <c r="G32" s="51">
        <f t="shared" si="4"/>
        <v>3.0400000000099681E-2</v>
      </c>
      <c r="H32" s="50">
        <f t="shared" si="2"/>
        <v>1094.4000000035885</v>
      </c>
      <c r="I32" s="52">
        <f t="shared" si="3"/>
        <v>0.78552971576357955</v>
      </c>
      <c r="J32" s="53"/>
      <c r="K32" s="83">
        <v>6.1301839999999999</v>
      </c>
      <c r="L32" s="53"/>
      <c r="M32" s="95"/>
      <c r="N32" s="89"/>
      <c r="O32" s="89"/>
      <c r="P32" s="89" t="s">
        <v>83</v>
      </c>
      <c r="Q32" s="89"/>
      <c r="R32" s="89" t="s">
        <v>102</v>
      </c>
      <c r="S32" s="89"/>
      <c r="T32" s="89" t="s">
        <v>104</v>
      </c>
      <c r="U32" s="89"/>
      <c r="V32" s="89" t="s">
        <v>105</v>
      </c>
      <c r="W32" s="89"/>
      <c r="X32" s="89"/>
      <c r="Y32" s="89"/>
      <c r="Z32" s="90"/>
    </row>
    <row r="33" spans="1:26" ht="23.25" customHeight="1" x14ac:dyDescent="0.2">
      <c r="A33" s="49" t="s">
        <v>22</v>
      </c>
      <c r="B33" s="82">
        <v>3442.8175999999999</v>
      </c>
      <c r="C33" s="25">
        <f t="shared" si="0"/>
        <v>4.0599999999813008E-2</v>
      </c>
      <c r="D33" s="24">
        <f t="shared" si="1"/>
        <v>1461.5999999932683</v>
      </c>
      <c r="E33" s="81"/>
      <c r="F33" s="82">
        <v>2326.9022</v>
      </c>
      <c r="G33" s="51">
        <f t="shared" si="4"/>
        <v>3.0600000000049477E-2</v>
      </c>
      <c r="H33" s="50">
        <f t="shared" si="2"/>
        <v>1101.6000000017812</v>
      </c>
      <c r="I33" s="52">
        <f t="shared" si="3"/>
        <v>0.75369458128547806</v>
      </c>
      <c r="J33" s="53"/>
      <c r="K33" s="83">
        <v>6.1212900000000001</v>
      </c>
      <c r="L33" s="53"/>
      <c r="M33" s="95" t="s">
        <v>80</v>
      </c>
      <c r="N33" s="89" t="s">
        <v>99</v>
      </c>
      <c r="O33" s="89"/>
      <c r="P33" s="89" t="s">
        <v>101</v>
      </c>
      <c r="Q33" s="89"/>
      <c r="R33" s="89" t="s">
        <v>69</v>
      </c>
      <c r="S33" s="89"/>
      <c r="T33" s="89" t="s">
        <v>69</v>
      </c>
      <c r="U33" s="89"/>
      <c r="V33" s="89" t="s">
        <v>106</v>
      </c>
      <c r="W33" s="89"/>
      <c r="X33" s="89"/>
      <c r="Y33" s="89"/>
      <c r="Z33" s="90"/>
    </row>
    <row r="34" spans="1:26" ht="23.25" customHeight="1" x14ac:dyDescent="0.2">
      <c r="A34" s="49" t="s">
        <v>23</v>
      </c>
      <c r="B34" s="82">
        <v>3442.8577</v>
      </c>
      <c r="C34" s="25">
        <f t="shared" si="0"/>
        <v>4.0100000000165892E-2</v>
      </c>
      <c r="D34" s="24">
        <f t="shared" si="1"/>
        <v>1443.6000000059721</v>
      </c>
      <c r="E34" s="81"/>
      <c r="F34" s="82">
        <v>2326.9326999999998</v>
      </c>
      <c r="G34" s="51">
        <f t="shared" si="4"/>
        <v>3.0499999999847205E-2</v>
      </c>
      <c r="H34" s="50">
        <f t="shared" si="2"/>
        <v>1097.9999999944994</v>
      </c>
      <c r="I34" s="52">
        <f t="shared" si="3"/>
        <v>0.76059850373369142</v>
      </c>
      <c r="J34" s="53"/>
      <c r="K34" s="83">
        <v>6.1444620000000008</v>
      </c>
      <c r="L34" s="53"/>
      <c r="M34" s="96"/>
      <c r="N34" s="91"/>
      <c r="O34" s="91"/>
      <c r="P34" s="91"/>
      <c r="Q34" s="91"/>
      <c r="R34" s="92"/>
      <c r="S34" s="96"/>
      <c r="T34" s="92"/>
      <c r="U34" s="96"/>
      <c r="V34" s="92"/>
      <c r="W34" s="103"/>
      <c r="X34" s="96"/>
      <c r="Y34" s="91"/>
      <c r="Z34" s="92"/>
    </row>
    <row r="35" spans="1:26" ht="23.25" customHeight="1" x14ac:dyDescent="0.2">
      <c r="A35" s="49" t="s">
        <v>24</v>
      </c>
      <c r="B35" s="82">
        <v>3442.9047999999998</v>
      </c>
      <c r="C35" s="25">
        <f t="shared" si="0"/>
        <v>4.709999999977299E-2</v>
      </c>
      <c r="D35" s="24">
        <f t="shared" si="1"/>
        <v>1695.5999999918276</v>
      </c>
      <c r="E35" s="81"/>
      <c r="F35" s="82">
        <v>2326.9659000000001</v>
      </c>
      <c r="G35" s="51">
        <f t="shared" si="4"/>
        <v>3.3200000000306318E-2</v>
      </c>
      <c r="H35" s="50">
        <f t="shared" si="2"/>
        <v>1195.2000000110274</v>
      </c>
      <c r="I35" s="52">
        <f t="shared" si="3"/>
        <v>0.70488322718612173</v>
      </c>
      <c r="J35" s="53"/>
      <c r="K35" s="83">
        <v>6.1800810000000004</v>
      </c>
      <c r="L35" s="53"/>
      <c r="M35" s="9"/>
      <c r="N35" s="97" t="s">
        <v>377</v>
      </c>
      <c r="O35" s="97"/>
      <c r="P35" s="97">
        <v>0.4</v>
      </c>
      <c r="Q35" s="97"/>
      <c r="R35" s="97">
        <v>80</v>
      </c>
      <c r="S35" s="97"/>
      <c r="T35" s="97"/>
      <c r="U35" s="97"/>
      <c r="V35" s="97"/>
      <c r="W35" s="97"/>
      <c r="X35" s="97"/>
      <c r="Y35" s="97"/>
      <c r="Z35" s="84"/>
    </row>
    <row r="36" spans="1:26" ht="23.25" customHeight="1" x14ac:dyDescent="0.2">
      <c r="A36" s="49" t="s">
        <v>25</v>
      </c>
      <c r="B36" s="82">
        <v>3442.9533999999999</v>
      </c>
      <c r="C36" s="25">
        <f t="shared" si="0"/>
        <v>4.860000000007858E-2</v>
      </c>
      <c r="D36" s="24">
        <f t="shared" si="1"/>
        <v>1749.6000000028289</v>
      </c>
      <c r="E36" s="81"/>
      <c r="F36" s="82">
        <v>2326.9998000000001</v>
      </c>
      <c r="G36" s="51">
        <f t="shared" si="4"/>
        <v>3.389999999990323E-2</v>
      </c>
      <c r="H36" s="50">
        <f t="shared" si="2"/>
        <v>1220.3999999965163</v>
      </c>
      <c r="I36" s="52">
        <f t="shared" si="3"/>
        <v>0.6975308641944119</v>
      </c>
      <c r="J36" s="53"/>
      <c r="K36" s="83">
        <v>6.2023720000000004</v>
      </c>
      <c r="L36" s="53"/>
      <c r="M36" s="9"/>
      <c r="N36" s="97"/>
      <c r="O36" s="97"/>
      <c r="P36" s="102"/>
      <c r="Q36" s="102"/>
      <c r="R36" s="97"/>
      <c r="S36" s="97"/>
      <c r="T36" s="97"/>
      <c r="U36" s="97"/>
      <c r="V36" s="97"/>
      <c r="W36" s="97"/>
      <c r="X36" s="97"/>
      <c r="Y36" s="97"/>
      <c r="Z36" s="84"/>
    </row>
    <row r="37" spans="1:26" ht="23.25" customHeight="1" x14ac:dyDescent="0.2">
      <c r="A37" s="49" t="s">
        <v>26</v>
      </c>
      <c r="B37" s="82">
        <v>3443.0001000000002</v>
      </c>
      <c r="C37" s="25">
        <f t="shared" si="0"/>
        <v>4.6700000000328146E-2</v>
      </c>
      <c r="D37" s="24">
        <f t="shared" si="1"/>
        <v>1681.2000000118132</v>
      </c>
      <c r="E37" s="81"/>
      <c r="F37" s="82">
        <v>2327.0335</v>
      </c>
      <c r="G37" s="51">
        <f t="shared" si="4"/>
        <v>3.3699999999953434E-2</v>
      </c>
      <c r="H37" s="50">
        <f t="shared" si="2"/>
        <v>1213.1999999983236</v>
      </c>
      <c r="I37" s="52">
        <f t="shared" si="3"/>
        <v>0.72162740898750821</v>
      </c>
      <c r="J37" s="53"/>
      <c r="K37" s="83">
        <v>6.2349579999999998</v>
      </c>
      <c r="L37" s="53"/>
      <c r="M37" s="9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84"/>
    </row>
    <row r="38" spans="1:26" ht="23.25" customHeight="1" x14ac:dyDescent="0.2">
      <c r="A38" s="49" t="s">
        <v>27</v>
      </c>
      <c r="B38" s="82">
        <v>3443.0461</v>
      </c>
      <c r="C38" s="25">
        <f t="shared" si="0"/>
        <v>4.5999999999821739E-2</v>
      </c>
      <c r="D38" s="24">
        <f t="shared" si="1"/>
        <v>1655.9999999935826</v>
      </c>
      <c r="E38" s="81"/>
      <c r="F38" s="82">
        <v>2327.0675000000001</v>
      </c>
      <c r="G38" s="51">
        <f t="shared" si="4"/>
        <v>3.4000000000105501E-2</v>
      </c>
      <c r="H38" s="50">
        <f t="shared" si="2"/>
        <v>1224.000000003798</v>
      </c>
      <c r="I38" s="52">
        <f t="shared" si="3"/>
        <v>0.73913043478776652</v>
      </c>
      <c r="J38" s="53"/>
      <c r="K38" s="83">
        <v>6.2789610000000007</v>
      </c>
      <c r="L38" s="53"/>
      <c r="M38" s="9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84"/>
    </row>
    <row r="39" spans="1:26" ht="23.25" customHeight="1" x14ac:dyDescent="0.2">
      <c r="A39" s="49" t="s">
        <v>28</v>
      </c>
      <c r="B39" s="82">
        <v>3443.09</v>
      </c>
      <c r="C39" s="25">
        <f t="shared" si="0"/>
        <v>4.3900000000121508E-2</v>
      </c>
      <c r="D39" s="24">
        <f t="shared" si="1"/>
        <v>1580.4000000043743</v>
      </c>
      <c r="E39" s="81"/>
      <c r="F39" s="82">
        <v>2327.1012000000001</v>
      </c>
      <c r="G39" s="51">
        <f t="shared" si="4"/>
        <v>3.3699999999953434E-2</v>
      </c>
      <c r="H39" s="50">
        <f t="shared" si="2"/>
        <v>1213.1999999983236</v>
      </c>
      <c r="I39" s="52">
        <f t="shared" si="3"/>
        <v>0.76765375853895579</v>
      </c>
      <c r="J39" s="53"/>
      <c r="K39" s="83">
        <v>6.2927580000000001</v>
      </c>
      <c r="L39" s="53"/>
      <c r="M39" s="9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84"/>
    </row>
    <row r="40" spans="1:26" ht="23.25" customHeight="1" x14ac:dyDescent="0.2">
      <c r="A40" s="49" t="s">
        <v>29</v>
      </c>
      <c r="B40" s="82">
        <v>3443.1343999999999</v>
      </c>
      <c r="C40" s="25">
        <f t="shared" si="0"/>
        <v>4.4399999999768625E-2</v>
      </c>
      <c r="D40" s="24">
        <f t="shared" si="1"/>
        <v>1598.3999999916705</v>
      </c>
      <c r="E40" s="81"/>
      <c r="F40" s="82">
        <v>2327.1343000000002</v>
      </c>
      <c r="G40" s="51">
        <f t="shared" si="4"/>
        <v>3.3100000000104046E-2</v>
      </c>
      <c r="H40" s="50">
        <f t="shared" si="2"/>
        <v>1191.6000000037457</v>
      </c>
      <c r="I40" s="52">
        <f t="shared" si="3"/>
        <v>0.74549549550172378</v>
      </c>
      <c r="J40" s="53"/>
      <c r="K40" s="83">
        <v>6.0592759999999997</v>
      </c>
      <c r="L40" s="53"/>
      <c r="M40" s="99" t="s">
        <v>109</v>
      </c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ht="23.25" customHeight="1" x14ac:dyDescent="0.2">
      <c r="A41" s="49" t="s">
        <v>30</v>
      </c>
      <c r="B41" s="82">
        <v>3443.1779000000001</v>
      </c>
      <c r="C41" s="25">
        <f t="shared" si="0"/>
        <v>4.3500000000221917E-2</v>
      </c>
      <c r="D41" s="24">
        <f t="shared" si="1"/>
        <v>1566.000000007989</v>
      </c>
      <c r="E41" s="81"/>
      <c r="F41" s="82">
        <v>2327.1668</v>
      </c>
      <c r="G41" s="51">
        <f t="shared" si="4"/>
        <v>3.2499999999799911E-2</v>
      </c>
      <c r="H41" s="50">
        <f t="shared" si="2"/>
        <v>1169.9999999927968</v>
      </c>
      <c r="I41" s="52">
        <f t="shared" si="3"/>
        <v>0.74712643677319801</v>
      </c>
      <c r="J41" s="53"/>
      <c r="K41" s="83">
        <v>6.2419750000000001</v>
      </c>
      <c r="L41" s="53"/>
      <c r="M41" s="100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1"/>
    </row>
    <row r="42" spans="1:26" ht="23.25" customHeight="1" x14ac:dyDescent="0.2">
      <c r="A42" s="49" t="s">
        <v>31</v>
      </c>
      <c r="B42" s="82">
        <v>3443.2211000000002</v>
      </c>
      <c r="C42" s="25">
        <f t="shared" si="0"/>
        <v>4.3200000000069849E-2</v>
      </c>
      <c r="D42" s="24">
        <f t="shared" si="1"/>
        <v>1555.2000000025146</v>
      </c>
      <c r="E42" s="81"/>
      <c r="F42" s="82">
        <v>2327.1993000000002</v>
      </c>
      <c r="G42" s="51">
        <f t="shared" si="4"/>
        <v>3.2500000000254659E-2</v>
      </c>
      <c r="H42" s="50">
        <f t="shared" si="2"/>
        <v>1170.0000000091677</v>
      </c>
      <c r="I42" s="52">
        <f t="shared" si="3"/>
        <v>0.75231481481949325</v>
      </c>
      <c r="J42" s="53"/>
      <c r="K42" s="83">
        <v>6.2821350000000002</v>
      </c>
      <c r="L42" s="53"/>
      <c r="M42" s="95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90"/>
    </row>
    <row r="43" spans="1:26" ht="22.5" customHeight="1" x14ac:dyDescent="0.2">
      <c r="A43" s="167" t="s">
        <v>187</v>
      </c>
      <c r="B43" s="167"/>
      <c r="C43" s="167"/>
      <c r="D43" s="50">
        <f>SUM(D18:D42)</f>
        <v>34480.80000000482</v>
      </c>
      <c r="E43" s="39"/>
      <c r="F43" s="65"/>
      <c r="G43" s="39"/>
      <c r="H43" s="50">
        <f>SUM(H18:H42)</f>
        <v>27547.20000000998</v>
      </c>
      <c r="I43" s="52">
        <f>IF(AND(H43=0,D43=0),0,H43/D43)</f>
        <v>0.7989141783255066</v>
      </c>
      <c r="J43" s="39"/>
      <c r="K43" s="39"/>
      <c r="L43" s="53"/>
      <c r="M43" s="95" t="s">
        <v>80</v>
      </c>
      <c r="N43" s="89" t="s">
        <v>99</v>
      </c>
      <c r="O43" s="89"/>
      <c r="P43" s="89" t="s">
        <v>110</v>
      </c>
      <c r="Q43" s="89"/>
      <c r="R43" s="89"/>
      <c r="S43" s="89"/>
      <c r="T43" s="89"/>
      <c r="U43" s="89"/>
      <c r="V43" s="89"/>
      <c r="W43" s="89"/>
      <c r="X43" s="89" t="s">
        <v>110</v>
      </c>
      <c r="Y43" s="89"/>
      <c r="Z43" s="90"/>
    </row>
    <row r="44" spans="1:26" ht="22.5" customHeight="1" x14ac:dyDescent="0.2">
      <c r="A44" s="164" t="s">
        <v>71</v>
      </c>
      <c r="B44" s="164"/>
      <c r="C44" s="164"/>
      <c r="D44" s="39"/>
      <c r="E44" s="39"/>
      <c r="F44" s="65"/>
      <c r="G44" s="39"/>
      <c r="H44" s="39"/>
      <c r="I44" s="39"/>
      <c r="J44" s="39"/>
      <c r="K44" s="39"/>
      <c r="L44" s="53"/>
      <c r="M44" s="96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2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84"/>
      <c r="O45" s="85"/>
      <c r="P45" s="84"/>
      <c r="Q45" s="88"/>
      <c r="R45" s="85"/>
      <c r="S45" s="7"/>
      <c r="T45" s="84"/>
      <c r="U45" s="88"/>
      <c r="V45" s="88"/>
      <c r="W45" s="85"/>
      <c r="X45" s="84"/>
      <c r="Y45" s="88"/>
      <c r="Z45" s="88"/>
    </row>
    <row r="46" spans="1:26" ht="22.5" customHeight="1" x14ac:dyDescent="0.2">
      <c r="A46" s="155" t="s">
        <v>72</v>
      </c>
      <c r="B46" s="155"/>
      <c r="C46" s="155"/>
      <c r="D46" s="155"/>
      <c r="E46" s="155"/>
      <c r="F46" s="155"/>
      <c r="G46" s="177" t="s">
        <v>73</v>
      </c>
      <c r="H46" s="177"/>
      <c r="I46" s="177"/>
      <c r="J46" s="177"/>
      <c r="K46" s="177"/>
      <c r="L46" s="177"/>
      <c r="M46" s="9"/>
      <c r="N46" s="84"/>
      <c r="O46" s="85"/>
      <c r="P46" s="84"/>
      <c r="Q46" s="88"/>
      <c r="R46" s="85"/>
      <c r="S46" s="7"/>
      <c r="T46" s="84"/>
      <c r="U46" s="88"/>
      <c r="V46" s="88"/>
      <c r="W46" s="85"/>
      <c r="X46" s="84"/>
      <c r="Y46" s="88"/>
      <c r="Z46" s="88"/>
    </row>
    <row r="47" spans="1:26" ht="22.5" customHeight="1" x14ac:dyDescent="0.2">
      <c r="A47" s="117" t="s">
        <v>371</v>
      </c>
      <c r="B47" s="117"/>
      <c r="C47" s="117"/>
      <c r="D47" s="108" t="s">
        <v>74</v>
      </c>
      <c r="E47" s="108"/>
      <c r="F47" s="108"/>
      <c r="G47" s="56"/>
      <c r="H47" s="56"/>
      <c r="I47" s="56"/>
      <c r="J47" s="56"/>
      <c r="K47" s="56"/>
      <c r="L47" s="56"/>
      <c r="M47" s="9"/>
      <c r="N47" s="84"/>
      <c r="O47" s="85"/>
      <c r="P47" s="84"/>
      <c r="Q47" s="88"/>
      <c r="R47" s="85"/>
      <c r="S47" s="7"/>
      <c r="T47" s="84"/>
      <c r="U47" s="88"/>
      <c r="V47" s="88"/>
      <c r="W47" s="85"/>
      <c r="X47" s="84"/>
      <c r="Y47" s="88"/>
      <c r="Z47" s="88"/>
    </row>
    <row r="48" spans="1:26" ht="22.5" customHeight="1" x14ac:dyDescent="0.2">
      <c r="A48" s="148" t="s">
        <v>75</v>
      </c>
      <c r="B48" s="148"/>
      <c r="C48" s="148"/>
      <c r="D48" s="147" t="s">
        <v>76</v>
      </c>
      <c r="E48" s="147"/>
      <c r="F48" s="147"/>
      <c r="G48" s="55"/>
      <c r="H48" s="55"/>
      <c r="I48" s="55"/>
      <c r="J48" s="55"/>
      <c r="K48" s="55"/>
      <c r="L48" s="55"/>
    </row>
    <row r="49" spans="1:23" ht="22.5" customHeight="1" x14ac:dyDescent="0.2">
      <c r="A49" s="117" t="s">
        <v>372</v>
      </c>
      <c r="B49" s="117"/>
      <c r="C49" s="117"/>
      <c r="D49" s="108" t="s">
        <v>74</v>
      </c>
      <c r="E49" s="108"/>
      <c r="F49" s="108"/>
      <c r="G49" s="55"/>
      <c r="H49" s="155" t="s">
        <v>183</v>
      </c>
      <c r="I49" s="155"/>
      <c r="J49" s="155"/>
      <c r="K49" s="155" t="s">
        <v>77</v>
      </c>
      <c r="L49" s="155"/>
      <c r="N49" s="150" t="s">
        <v>150</v>
      </c>
      <c r="O49" s="150"/>
      <c r="P49" s="150"/>
      <c r="Q49" s="149" t="s">
        <v>370</v>
      </c>
      <c r="R49" s="149"/>
      <c r="S49" s="149"/>
      <c r="T49" s="149"/>
      <c r="U49" s="149"/>
      <c r="V49" s="149"/>
      <c r="W49" s="1"/>
    </row>
    <row r="50" spans="1:23" ht="22.5" customHeight="1" x14ac:dyDescent="0.2">
      <c r="A50" s="148" t="s">
        <v>75</v>
      </c>
      <c r="B50" s="148"/>
      <c r="C50" s="148"/>
      <c r="D50" s="147" t="s">
        <v>76</v>
      </c>
      <c r="E50" s="147"/>
      <c r="F50" s="147"/>
      <c r="G50" s="58"/>
      <c r="H50" s="148" t="s">
        <v>75</v>
      </c>
      <c r="I50" s="148"/>
      <c r="J50" s="148"/>
      <c r="K50" s="148" t="s">
        <v>76</v>
      </c>
      <c r="L50" s="148"/>
      <c r="S50" s="146" t="s">
        <v>76</v>
      </c>
      <c r="T50" s="146"/>
    </row>
    <row r="51" spans="1:23" ht="20.100000000000001" customHeight="1" x14ac:dyDescent="0.2">
      <c r="A51" s="117" t="s">
        <v>373</v>
      </c>
      <c r="B51" s="117"/>
      <c r="C51" s="117"/>
      <c r="D51" s="108" t="s">
        <v>74</v>
      </c>
      <c r="E51" s="108"/>
      <c r="F51" s="108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47" t="s">
        <v>75</v>
      </c>
      <c r="B52" s="147"/>
      <c r="C52" s="147"/>
      <c r="D52" s="146" t="s">
        <v>76</v>
      </c>
      <c r="E52" s="146"/>
      <c r="F52" s="146"/>
      <c r="G52" s="59"/>
      <c r="H52" s="59"/>
      <c r="I52" s="55"/>
      <c r="J52" s="55"/>
      <c r="K52" s="55"/>
      <c r="L52" s="55"/>
    </row>
  </sheetData>
  <sheetProtection sheet="1" objects="1" scenarios="1"/>
  <mergeCells count="258"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A9:L9"/>
    <mergeCell ref="G3:H4"/>
    <mergeCell ref="I11:L11"/>
    <mergeCell ref="A2:F2"/>
    <mergeCell ref="A3:F3"/>
    <mergeCell ref="A4:F4"/>
    <mergeCell ref="A5:F5"/>
    <mergeCell ref="A6:F6"/>
    <mergeCell ref="A8:L8"/>
    <mergeCell ref="I3:L4"/>
    <mergeCell ref="A11:D11"/>
    <mergeCell ref="E11:H11"/>
    <mergeCell ref="A10:D10"/>
    <mergeCell ref="N49:P49"/>
    <mergeCell ref="P45:R45"/>
    <mergeCell ref="A51:C51"/>
    <mergeCell ref="D51:F51"/>
    <mergeCell ref="N46:O46"/>
    <mergeCell ref="N47:O47"/>
    <mergeCell ref="T45:W45"/>
    <mergeCell ref="T46:W46"/>
    <mergeCell ref="A50:C50"/>
    <mergeCell ref="D50:F50"/>
    <mergeCell ref="D48:F48"/>
    <mergeCell ref="A49:C49"/>
    <mergeCell ref="H49:J49"/>
    <mergeCell ref="K49:L49"/>
    <mergeCell ref="D47:F47"/>
    <mergeCell ref="G46:L46"/>
    <mergeCell ref="A48:C48"/>
    <mergeCell ref="A47:C47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14:O14"/>
    <mergeCell ref="N15:O15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F14:G14"/>
    <mergeCell ref="B14:C14"/>
    <mergeCell ref="D14:E14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E10:G10"/>
    <mergeCell ref="A1:F1"/>
    <mergeCell ref="A46:F46"/>
    <mergeCell ref="A44:C44"/>
    <mergeCell ref="G1:H2"/>
    <mergeCell ref="A43:C43"/>
    <mergeCell ref="D13:E13"/>
    <mergeCell ref="J16:J17"/>
    <mergeCell ref="K16:K17"/>
    <mergeCell ref="A13:A17"/>
    <mergeCell ref="E16:E17"/>
    <mergeCell ref="B15:C15"/>
    <mergeCell ref="D15:E15"/>
    <mergeCell ref="B13:C1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Z52"/>
  <sheetViews>
    <sheetView view="pageBreakPreview" topLeftCell="A13" zoomScale="75" zoomScaleNormal="75" zoomScaleSheetLayoutView="50" workbookViewId="0">
      <selection activeCell="R37" sqref="R37:S37"/>
    </sheetView>
  </sheetViews>
  <sheetFormatPr defaultRowHeight="18.75" x14ac:dyDescent="0.2"/>
  <cols>
    <col min="1" max="1" width="11.140625" style="2" customWidth="1"/>
    <col min="2" max="2" width="14.7109375" style="2" customWidth="1"/>
    <col min="3" max="3" width="12.140625" style="2" customWidth="1"/>
    <col min="4" max="4" width="13.140625" style="2" customWidth="1"/>
    <col min="5" max="5" width="5.42578125" style="2" customWidth="1"/>
    <col min="6" max="6" width="13.5703125" style="2" customWidth="1"/>
    <col min="7" max="7" width="12.28515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6.855468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4" t="s">
        <v>157</v>
      </c>
      <c r="B1" s="94"/>
      <c r="C1" s="94"/>
      <c r="D1" s="94"/>
      <c r="E1" s="94"/>
      <c r="F1" s="94"/>
      <c r="G1" s="123" t="s">
        <v>154</v>
      </c>
      <c r="H1" s="123"/>
      <c r="I1" s="94" t="s">
        <v>160</v>
      </c>
      <c r="J1" s="94"/>
      <c r="K1" s="94"/>
      <c r="L1" s="94"/>
      <c r="M1" s="99" t="s">
        <v>96</v>
      </c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ht="21.75" customHeight="1" x14ac:dyDescent="0.2">
      <c r="A2" s="119" t="s">
        <v>45</v>
      </c>
      <c r="B2" s="119"/>
      <c r="C2" s="119"/>
      <c r="D2" s="119"/>
      <c r="E2" s="119"/>
      <c r="F2" s="119"/>
      <c r="G2" s="123"/>
      <c r="H2" s="123"/>
      <c r="I2" s="94"/>
      <c r="J2" s="94"/>
      <c r="K2" s="94"/>
      <c r="L2" s="94"/>
      <c r="M2" s="99" t="s">
        <v>78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ht="21.75" customHeight="1" x14ac:dyDescent="0.2">
      <c r="A3" s="94" t="s">
        <v>158</v>
      </c>
      <c r="B3" s="120"/>
      <c r="C3" s="120"/>
      <c r="D3" s="120"/>
      <c r="E3" s="120"/>
      <c r="F3" s="120"/>
      <c r="G3" s="123" t="s">
        <v>155</v>
      </c>
      <c r="H3" s="123"/>
      <c r="I3" s="94" t="s">
        <v>205</v>
      </c>
      <c r="J3" s="94"/>
      <c r="K3" s="94"/>
      <c r="L3" s="94"/>
      <c r="M3" s="100" t="s">
        <v>79</v>
      </c>
      <c r="N3" s="101" t="s">
        <v>81</v>
      </c>
      <c r="O3" s="100"/>
      <c r="P3" s="101" t="s">
        <v>65</v>
      </c>
      <c r="Q3" s="100"/>
      <c r="R3" s="101" t="s">
        <v>82</v>
      </c>
      <c r="S3" s="100"/>
      <c r="T3" s="101" t="s">
        <v>85</v>
      </c>
      <c r="U3" s="100"/>
      <c r="V3" s="101" t="s">
        <v>87</v>
      </c>
      <c r="W3" s="100"/>
      <c r="X3" s="86" t="s">
        <v>91</v>
      </c>
      <c r="Y3" s="105"/>
      <c r="Z3" s="105"/>
    </row>
    <row r="4" spans="1:26" ht="29.25" customHeight="1" x14ac:dyDescent="0.2">
      <c r="A4" s="119" t="s">
        <v>46</v>
      </c>
      <c r="B4" s="119"/>
      <c r="C4" s="119"/>
      <c r="D4" s="119"/>
      <c r="E4" s="119"/>
      <c r="F4" s="119"/>
      <c r="G4" s="123"/>
      <c r="H4" s="123"/>
      <c r="I4" s="94"/>
      <c r="J4" s="94"/>
      <c r="K4" s="94"/>
      <c r="L4" s="94"/>
      <c r="M4" s="95"/>
      <c r="N4" s="90"/>
      <c r="O4" s="95"/>
      <c r="P4" s="90"/>
      <c r="Q4" s="95"/>
      <c r="R4" s="90" t="s">
        <v>83</v>
      </c>
      <c r="S4" s="95"/>
      <c r="T4" s="90" t="s">
        <v>86</v>
      </c>
      <c r="U4" s="95"/>
      <c r="V4" s="90" t="s">
        <v>88</v>
      </c>
      <c r="W4" s="95"/>
      <c r="X4" s="86"/>
      <c r="Y4" s="105"/>
      <c r="Z4" s="105"/>
    </row>
    <row r="5" spans="1:26" ht="21.75" customHeight="1" x14ac:dyDescent="0.2">
      <c r="A5" s="94" t="s">
        <v>177</v>
      </c>
      <c r="B5" s="120"/>
      <c r="C5" s="120"/>
      <c r="D5" s="120"/>
      <c r="E5" s="120"/>
      <c r="F5" s="120"/>
      <c r="G5" s="123" t="s">
        <v>156</v>
      </c>
      <c r="H5" s="123"/>
      <c r="I5" s="94" t="s">
        <v>206</v>
      </c>
      <c r="J5" s="94"/>
      <c r="K5" s="94"/>
      <c r="L5" s="94"/>
      <c r="M5" s="95" t="s">
        <v>80</v>
      </c>
      <c r="N5" s="90"/>
      <c r="O5" s="95"/>
      <c r="P5" s="90" t="s">
        <v>182</v>
      </c>
      <c r="Q5" s="95"/>
      <c r="R5" s="106" t="s">
        <v>84</v>
      </c>
      <c r="S5" s="107"/>
      <c r="T5" s="106" t="s">
        <v>84</v>
      </c>
      <c r="U5" s="107"/>
      <c r="V5" s="90" t="s">
        <v>89</v>
      </c>
      <c r="W5" s="95"/>
      <c r="X5" s="86"/>
      <c r="Y5" s="105"/>
      <c r="Z5" s="105"/>
    </row>
    <row r="6" spans="1:26" ht="21.75" customHeight="1" x14ac:dyDescent="0.2">
      <c r="A6" s="119" t="s">
        <v>47</v>
      </c>
      <c r="B6" s="119"/>
      <c r="C6" s="119"/>
      <c r="D6" s="119"/>
      <c r="E6" s="119"/>
      <c r="F6" s="119"/>
      <c r="G6" s="123"/>
      <c r="H6" s="123"/>
      <c r="I6" s="94"/>
      <c r="J6" s="94"/>
      <c r="K6" s="94"/>
      <c r="L6" s="94"/>
      <c r="M6" s="96"/>
      <c r="N6" s="92"/>
      <c r="O6" s="96"/>
      <c r="P6" s="92"/>
      <c r="Q6" s="96"/>
      <c r="R6" s="92"/>
      <c r="S6" s="96"/>
      <c r="T6" s="92"/>
      <c r="U6" s="96"/>
      <c r="V6" s="92" t="s">
        <v>90</v>
      </c>
      <c r="W6" s="96"/>
      <c r="X6" s="86"/>
      <c r="Y6" s="105"/>
      <c r="Z6" s="105"/>
    </row>
    <row r="7" spans="1:26" ht="21.75" customHeight="1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84"/>
      <c r="O7" s="85"/>
      <c r="P7" s="84"/>
      <c r="Q7" s="85"/>
      <c r="R7" s="84"/>
      <c r="S7" s="85"/>
      <c r="T7" s="84"/>
      <c r="U7" s="85"/>
      <c r="V7" s="84"/>
      <c r="W7" s="85"/>
      <c r="X7" s="84"/>
      <c r="Y7" s="88"/>
      <c r="Z7" s="88"/>
    </row>
    <row r="8" spans="1:26" ht="22.5" customHeight="1" x14ac:dyDescent="0.2">
      <c r="A8" s="116" t="s">
        <v>48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84"/>
      <c r="O8" s="85"/>
      <c r="P8" s="84"/>
      <c r="Q8" s="85"/>
      <c r="R8" s="84"/>
      <c r="S8" s="85"/>
      <c r="T8" s="84"/>
      <c r="U8" s="85"/>
      <c r="V8" s="84"/>
      <c r="W8" s="85"/>
      <c r="X8" s="84"/>
      <c r="Y8" s="88"/>
      <c r="Z8" s="88"/>
    </row>
    <row r="9" spans="1:26" ht="22.5" customHeight="1" x14ac:dyDescent="0.2">
      <c r="A9" s="129" t="s">
        <v>49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9"/>
      <c r="N9" s="84"/>
      <c r="O9" s="85"/>
      <c r="P9" s="84"/>
      <c r="Q9" s="85"/>
      <c r="R9" s="84"/>
      <c r="S9" s="85"/>
      <c r="T9" s="84"/>
      <c r="U9" s="85"/>
      <c r="V9" s="84"/>
      <c r="W9" s="85"/>
      <c r="X9" s="84"/>
      <c r="Y9" s="88"/>
      <c r="Z9" s="88"/>
    </row>
    <row r="10" spans="1:26" ht="22.5" customHeight="1" x14ac:dyDescent="0.2">
      <c r="A10" s="124" t="s">
        <v>112</v>
      </c>
      <c r="B10" s="124"/>
      <c r="C10" s="124"/>
      <c r="D10" s="124"/>
      <c r="E10" s="135" t="s">
        <v>375</v>
      </c>
      <c r="F10" s="136"/>
      <c r="G10" s="136"/>
      <c r="H10" s="111" t="s">
        <v>376</v>
      </c>
      <c r="I10" s="111"/>
      <c r="J10" s="111"/>
      <c r="K10" s="111"/>
      <c r="L10" s="111"/>
      <c r="M10" s="9"/>
      <c r="N10" s="84"/>
      <c r="O10" s="85"/>
      <c r="P10" s="84"/>
      <c r="Q10" s="85"/>
      <c r="R10" s="84"/>
      <c r="S10" s="85"/>
      <c r="T10" s="84"/>
      <c r="U10" s="85"/>
      <c r="V10" s="84"/>
      <c r="W10" s="85"/>
      <c r="X10" s="84"/>
      <c r="Y10" s="88"/>
      <c r="Z10" s="88"/>
    </row>
    <row r="11" spans="1:26" ht="22.5" customHeight="1" x14ac:dyDescent="0.2">
      <c r="A11" s="124" t="s">
        <v>113</v>
      </c>
      <c r="B11" s="124"/>
      <c r="C11" s="124"/>
      <c r="D11" s="124"/>
      <c r="E11" s="134" t="s">
        <v>219</v>
      </c>
      <c r="F11" s="134"/>
      <c r="G11" s="134"/>
      <c r="H11" s="134"/>
      <c r="I11" s="111" t="s">
        <v>114</v>
      </c>
      <c r="J11" s="111"/>
      <c r="K11" s="111"/>
      <c r="L11" s="111"/>
      <c r="M11" s="9"/>
      <c r="N11" s="84"/>
      <c r="O11" s="85"/>
      <c r="P11" s="84"/>
      <c r="Q11" s="85"/>
      <c r="R11" s="84"/>
      <c r="S11" s="85"/>
      <c r="T11" s="84"/>
      <c r="U11" s="85"/>
      <c r="V11" s="84"/>
      <c r="W11" s="85"/>
      <c r="X11" s="84"/>
      <c r="Y11" s="88"/>
      <c r="Z11" s="88"/>
    </row>
    <row r="12" spans="1:26" ht="21.75" customHeight="1" x14ac:dyDescent="0.2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9"/>
      <c r="N12" s="84"/>
      <c r="O12" s="85"/>
      <c r="P12" s="84"/>
      <c r="Q12" s="85"/>
      <c r="R12" s="84"/>
      <c r="S12" s="85"/>
      <c r="T12" s="84"/>
      <c r="U12" s="85"/>
      <c r="V12" s="84"/>
      <c r="W12" s="85"/>
      <c r="X12" s="84"/>
      <c r="Y12" s="88"/>
      <c r="Z12" s="88"/>
    </row>
    <row r="13" spans="1:26" ht="21.75" customHeight="1" x14ac:dyDescent="0.2">
      <c r="A13" s="171" t="s">
        <v>50</v>
      </c>
      <c r="B13" s="156" t="s">
        <v>56</v>
      </c>
      <c r="C13" s="157"/>
      <c r="D13" s="165" t="s">
        <v>190</v>
      </c>
      <c r="E13" s="166"/>
      <c r="F13" s="156" t="s">
        <v>59</v>
      </c>
      <c r="G13" s="157"/>
      <c r="H13" s="40" t="s">
        <v>190</v>
      </c>
      <c r="I13" s="168" t="s">
        <v>5</v>
      </c>
      <c r="J13" s="156" t="s">
        <v>60</v>
      </c>
      <c r="K13" s="171"/>
      <c r="L13" s="41" t="s">
        <v>65</v>
      </c>
      <c r="M13" s="9"/>
      <c r="N13" s="84"/>
      <c r="O13" s="85"/>
      <c r="P13" s="84"/>
      <c r="Q13" s="85"/>
      <c r="R13" s="84"/>
      <c r="S13" s="85"/>
      <c r="T13" s="84"/>
      <c r="U13" s="85"/>
      <c r="V13" s="84"/>
      <c r="W13" s="85"/>
      <c r="X13" s="84"/>
      <c r="Y13" s="88"/>
      <c r="Z13" s="88"/>
    </row>
    <row r="14" spans="1:26" ht="21.75" customHeight="1" x14ac:dyDescent="0.2">
      <c r="A14" s="172"/>
      <c r="B14" s="158" t="s">
        <v>57</v>
      </c>
      <c r="C14" s="159"/>
      <c r="D14" s="160" t="s">
        <v>193</v>
      </c>
      <c r="E14" s="161"/>
      <c r="F14" s="158" t="s">
        <v>57</v>
      </c>
      <c r="G14" s="159"/>
      <c r="H14" s="42" t="s">
        <v>193</v>
      </c>
      <c r="I14" s="169"/>
      <c r="J14" s="158" t="s">
        <v>61</v>
      </c>
      <c r="K14" s="172"/>
      <c r="L14" s="41" t="s">
        <v>66</v>
      </c>
      <c r="M14" s="9"/>
      <c r="N14" s="84"/>
      <c r="O14" s="85"/>
      <c r="P14" s="84"/>
      <c r="Q14" s="85"/>
      <c r="R14" s="84"/>
      <c r="S14" s="85"/>
      <c r="T14" s="84"/>
      <c r="U14" s="85"/>
      <c r="V14" s="84"/>
      <c r="W14" s="85"/>
      <c r="X14" s="84"/>
      <c r="Y14" s="88"/>
      <c r="Z14" s="88"/>
    </row>
    <row r="15" spans="1:26" ht="21.75" customHeight="1" x14ac:dyDescent="0.2">
      <c r="A15" s="172"/>
      <c r="B15" s="162" t="s">
        <v>58</v>
      </c>
      <c r="C15" s="163"/>
      <c r="D15" s="175">
        <v>36000</v>
      </c>
      <c r="E15" s="176"/>
      <c r="F15" s="162" t="s">
        <v>58</v>
      </c>
      <c r="G15" s="163"/>
      <c r="H15" s="43">
        <v>36000</v>
      </c>
      <c r="I15" s="169"/>
      <c r="J15" s="162" t="s">
        <v>62</v>
      </c>
      <c r="K15" s="173"/>
      <c r="L15" s="41" t="s">
        <v>67</v>
      </c>
      <c r="M15" s="9"/>
      <c r="N15" s="84"/>
      <c r="O15" s="85"/>
      <c r="P15" s="84"/>
      <c r="Q15" s="85"/>
      <c r="R15" s="84"/>
      <c r="S15" s="85"/>
      <c r="T15" s="84"/>
      <c r="U15" s="85"/>
      <c r="V15" s="84"/>
      <c r="W15" s="85"/>
      <c r="X15" s="84"/>
      <c r="Y15" s="88"/>
      <c r="Z15" s="88"/>
    </row>
    <row r="16" spans="1:26" ht="21.75" customHeight="1" x14ac:dyDescent="0.2">
      <c r="A16" s="172"/>
      <c r="B16" s="44" t="s">
        <v>51</v>
      </c>
      <c r="C16" s="44" t="s">
        <v>53</v>
      </c>
      <c r="D16" s="44" t="s">
        <v>54</v>
      </c>
      <c r="E16" s="127"/>
      <c r="F16" s="44" t="s">
        <v>51</v>
      </c>
      <c r="G16" s="44" t="s">
        <v>53</v>
      </c>
      <c r="H16" s="45" t="s">
        <v>54</v>
      </c>
      <c r="I16" s="169"/>
      <c r="J16" s="127" t="s">
        <v>63</v>
      </c>
      <c r="K16" s="127" t="s">
        <v>64</v>
      </c>
      <c r="L16" s="41" t="s">
        <v>68</v>
      </c>
      <c r="M16" s="9"/>
      <c r="N16" s="84"/>
      <c r="O16" s="85"/>
      <c r="P16" s="84"/>
      <c r="Q16" s="85"/>
      <c r="R16" s="84"/>
      <c r="S16" s="85"/>
      <c r="T16" s="84"/>
      <c r="U16" s="85"/>
      <c r="V16" s="84"/>
      <c r="W16" s="85"/>
      <c r="X16" s="84"/>
      <c r="Y16" s="88"/>
      <c r="Z16" s="88"/>
    </row>
    <row r="17" spans="1:26" ht="21.75" customHeight="1" x14ac:dyDescent="0.2">
      <c r="A17" s="173"/>
      <c r="B17" s="44" t="s">
        <v>52</v>
      </c>
      <c r="C17" s="46" t="s">
        <v>51</v>
      </c>
      <c r="D17" s="46" t="s">
        <v>55</v>
      </c>
      <c r="E17" s="174"/>
      <c r="F17" s="46" t="s">
        <v>52</v>
      </c>
      <c r="G17" s="47" t="s">
        <v>51</v>
      </c>
      <c r="H17" s="48" t="s">
        <v>55</v>
      </c>
      <c r="I17" s="170"/>
      <c r="J17" s="128"/>
      <c r="K17" s="128"/>
      <c r="L17" s="41" t="s">
        <v>69</v>
      </c>
      <c r="M17" s="103" t="s">
        <v>92</v>
      </c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spans="1:26" ht="23.25" customHeight="1" x14ac:dyDescent="0.2">
      <c r="A18" s="49" t="s">
        <v>7</v>
      </c>
      <c r="B18" s="82">
        <v>5755.7833000000001</v>
      </c>
      <c r="C18" s="25"/>
      <c r="D18" s="24"/>
      <c r="E18" s="81"/>
      <c r="F18" s="82">
        <v>3703.4771999999998</v>
      </c>
      <c r="G18" s="51"/>
      <c r="H18" s="50"/>
      <c r="I18" s="52"/>
      <c r="J18" s="39"/>
      <c r="K18" s="79"/>
      <c r="L18" s="53"/>
      <c r="M18" s="100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1" t="s">
        <v>91</v>
      </c>
      <c r="X18" s="104"/>
      <c r="Y18" s="104"/>
      <c r="Z18" s="104"/>
    </row>
    <row r="19" spans="1:26" ht="23.25" customHeight="1" x14ac:dyDescent="0.2">
      <c r="A19" s="49" t="s">
        <v>8</v>
      </c>
      <c r="B19" s="82">
        <v>5755.8302000000003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4.6900000000277942E-2</v>
      </c>
      <c r="D19" s="24">
        <f t="shared" ref="D19:D42" si="1">IF(C19="","",C19*$D$15)</f>
        <v>1688.4000000100059</v>
      </c>
      <c r="E19" s="81"/>
      <c r="F19" s="82">
        <v>3703.5160999999998</v>
      </c>
      <c r="G19" s="51">
        <f>F19-ReportObject10_3</f>
        <v>3.8900000000012369E-2</v>
      </c>
      <c r="H19" s="50">
        <f t="shared" ref="H19:H42" si="2">IF(G19="","",G19*$H$15)</f>
        <v>1400.4000000004453</v>
      </c>
      <c r="I19" s="52">
        <f t="shared" ref="I19:I42" si="3">IF(H19="","",IF(D19="","",IF(AND(H19=0,D19=0),0,H19/D19)))</f>
        <v>0.82942430703159564</v>
      </c>
      <c r="J19" s="39"/>
      <c r="K19" s="83">
        <v>6.3345370000000001</v>
      </c>
      <c r="L19" s="53"/>
      <c r="M19" s="95"/>
      <c r="N19" s="89"/>
      <c r="O19" s="89"/>
      <c r="P19" s="89"/>
      <c r="Q19" s="89" t="s">
        <v>108</v>
      </c>
      <c r="R19" s="89"/>
      <c r="S19" s="89"/>
      <c r="T19" s="89"/>
      <c r="U19" s="89"/>
      <c r="V19" s="89"/>
      <c r="W19" s="90"/>
      <c r="X19" s="99"/>
      <c r="Y19" s="99"/>
      <c r="Z19" s="99"/>
    </row>
    <row r="20" spans="1:26" ht="23.25" customHeight="1" x14ac:dyDescent="0.2">
      <c r="A20" s="49" t="s">
        <v>9</v>
      </c>
      <c r="B20" s="82">
        <v>5755.8774999999996</v>
      </c>
      <c r="C20" s="25">
        <f t="shared" si="0"/>
        <v>4.7299999999268039E-2</v>
      </c>
      <c r="D20" s="24">
        <f t="shared" si="1"/>
        <v>1702.7999999736494</v>
      </c>
      <c r="E20" s="81"/>
      <c r="F20" s="82">
        <v>3703.5562</v>
      </c>
      <c r="G20" s="51">
        <f>F20-F19</f>
        <v>4.0100000000165892E-2</v>
      </c>
      <c r="H20" s="50">
        <f t="shared" si="2"/>
        <v>1443.6000000059721</v>
      </c>
      <c r="I20" s="52">
        <f t="shared" si="3"/>
        <v>0.84778012686652082</v>
      </c>
      <c r="J20" s="39"/>
      <c r="K20" s="83">
        <v>6.2260789999999995</v>
      </c>
      <c r="L20" s="53"/>
      <c r="M20" s="95" t="s">
        <v>80</v>
      </c>
      <c r="N20" s="89" t="s">
        <v>99</v>
      </c>
      <c r="O20" s="89"/>
      <c r="P20" s="89"/>
      <c r="Q20" s="89" t="s">
        <v>181</v>
      </c>
      <c r="R20" s="89"/>
      <c r="S20" s="89"/>
      <c r="T20" s="89" t="s">
        <v>94</v>
      </c>
      <c r="U20" s="89"/>
      <c r="V20" s="89"/>
      <c r="W20" s="90"/>
      <c r="X20" s="99"/>
      <c r="Y20" s="99"/>
      <c r="Z20" s="99"/>
    </row>
    <row r="21" spans="1:26" ht="23.25" customHeight="1" x14ac:dyDescent="0.2">
      <c r="A21" s="49" t="s">
        <v>10</v>
      </c>
      <c r="B21" s="82">
        <v>5755.9243999999999</v>
      </c>
      <c r="C21" s="25">
        <f t="shared" si="0"/>
        <v>4.6900000000277942E-2</v>
      </c>
      <c r="D21" s="24">
        <f t="shared" si="1"/>
        <v>1688.4000000100059</v>
      </c>
      <c r="E21" s="81"/>
      <c r="F21" s="82">
        <v>3703.5963999999999</v>
      </c>
      <c r="G21" s="51">
        <f t="shared" ref="G21:G42" si="4">F21-F20</f>
        <v>4.0199999999913416E-2</v>
      </c>
      <c r="H21" s="50">
        <f t="shared" si="2"/>
        <v>1447.199999996883</v>
      </c>
      <c r="I21" s="52">
        <f t="shared" si="3"/>
        <v>0.8571428571359313</v>
      </c>
      <c r="J21" s="39"/>
      <c r="K21" s="83">
        <v>6.3688130000000003</v>
      </c>
      <c r="L21" s="53"/>
      <c r="M21" s="96"/>
      <c r="N21" s="91"/>
      <c r="O21" s="91"/>
      <c r="P21" s="91"/>
      <c r="Q21" s="91"/>
      <c r="R21" s="91"/>
      <c r="S21" s="91"/>
      <c r="T21" s="91"/>
      <c r="U21" s="91"/>
      <c r="V21" s="91"/>
      <c r="W21" s="92"/>
      <c r="X21" s="103"/>
      <c r="Y21" s="103"/>
      <c r="Z21" s="103"/>
    </row>
    <row r="22" spans="1:26" ht="23.25" customHeight="1" x14ac:dyDescent="0.2">
      <c r="A22" s="49" t="s">
        <v>11</v>
      </c>
      <c r="B22" s="82">
        <v>5755.9712</v>
      </c>
      <c r="C22" s="25">
        <f t="shared" si="0"/>
        <v>4.680000000007567E-2</v>
      </c>
      <c r="D22" s="24">
        <f t="shared" si="1"/>
        <v>1684.8000000027241</v>
      </c>
      <c r="E22" s="81"/>
      <c r="F22" s="82">
        <v>3703.6372999999999</v>
      </c>
      <c r="G22" s="51">
        <f t="shared" si="4"/>
        <v>4.0899999999965075E-2</v>
      </c>
      <c r="H22" s="50">
        <f t="shared" si="2"/>
        <v>1472.3999999987427</v>
      </c>
      <c r="I22" s="52">
        <f t="shared" si="3"/>
        <v>0.87393162392946466</v>
      </c>
      <c r="J22" s="39"/>
      <c r="K22" s="83">
        <v>6.2517160000000001</v>
      </c>
      <c r="L22" s="53"/>
      <c r="M22" s="9"/>
      <c r="N22" s="97"/>
      <c r="O22" s="97"/>
      <c r="P22" s="97"/>
      <c r="Q22" s="97"/>
      <c r="R22" s="97"/>
      <c r="S22" s="97"/>
      <c r="T22" s="97"/>
      <c r="U22" s="97"/>
      <c r="V22" s="97"/>
      <c r="W22" s="84"/>
      <c r="X22" s="88"/>
      <c r="Y22" s="88"/>
      <c r="Z22" s="88"/>
    </row>
    <row r="23" spans="1:26" ht="23.25" customHeight="1" x14ac:dyDescent="0.2">
      <c r="A23" s="49" t="s">
        <v>12</v>
      </c>
      <c r="B23" s="82">
        <v>5756.0159999999996</v>
      </c>
      <c r="C23" s="25">
        <f t="shared" si="0"/>
        <v>4.4799999999668216E-2</v>
      </c>
      <c r="D23" s="24">
        <f t="shared" si="1"/>
        <v>1612.7999999880558</v>
      </c>
      <c r="E23" s="81"/>
      <c r="F23" s="82">
        <v>3703.6772999999998</v>
      </c>
      <c r="G23" s="51">
        <f t="shared" si="4"/>
        <v>3.999999999996362E-2</v>
      </c>
      <c r="H23" s="50">
        <f t="shared" si="2"/>
        <v>1439.9999999986903</v>
      </c>
      <c r="I23" s="52">
        <f t="shared" si="3"/>
        <v>0.89285714286294315</v>
      </c>
      <c r="J23" s="39"/>
      <c r="K23" s="83">
        <v>6.2927340000000003</v>
      </c>
      <c r="L23" s="53"/>
      <c r="M23" s="9"/>
      <c r="N23" s="97"/>
      <c r="O23" s="97"/>
      <c r="P23" s="97"/>
      <c r="Q23" s="97"/>
      <c r="R23" s="97"/>
      <c r="S23" s="97"/>
      <c r="T23" s="97"/>
      <c r="U23" s="97"/>
      <c r="V23" s="97"/>
      <c r="W23" s="84"/>
      <c r="X23" s="88"/>
      <c r="Y23" s="88"/>
      <c r="Z23" s="88"/>
    </row>
    <row r="24" spans="1:26" ht="23.25" customHeight="1" x14ac:dyDescent="0.2">
      <c r="A24" s="49" t="s">
        <v>13</v>
      </c>
      <c r="B24" s="82">
        <v>5756.0582999999997</v>
      </c>
      <c r="C24" s="25">
        <f t="shared" si="0"/>
        <v>4.2300000000068394E-2</v>
      </c>
      <c r="D24" s="24">
        <f t="shared" si="1"/>
        <v>1522.8000000024622</v>
      </c>
      <c r="E24" s="81"/>
      <c r="F24" s="82">
        <v>3703.7154999999998</v>
      </c>
      <c r="G24" s="51">
        <f t="shared" si="4"/>
        <v>3.819999999996071E-2</v>
      </c>
      <c r="H24" s="50">
        <f t="shared" si="2"/>
        <v>1375.1999999985856</v>
      </c>
      <c r="I24" s="52">
        <f t="shared" si="3"/>
        <v>0.90307328604962045</v>
      </c>
      <c r="J24" s="39"/>
      <c r="K24" s="83">
        <v>6.4238670000000004</v>
      </c>
      <c r="L24" s="53"/>
      <c r="M24" s="9"/>
      <c r="N24" s="97"/>
      <c r="O24" s="97"/>
      <c r="P24" s="97"/>
      <c r="Q24" s="97"/>
      <c r="R24" s="97"/>
      <c r="S24" s="97"/>
      <c r="T24" s="97"/>
      <c r="U24" s="97"/>
      <c r="V24" s="97"/>
      <c r="W24" s="84"/>
      <c r="X24" s="88"/>
      <c r="Y24" s="88"/>
      <c r="Z24" s="88"/>
    </row>
    <row r="25" spans="1:26" ht="23.25" customHeight="1" x14ac:dyDescent="0.2">
      <c r="A25" s="49" t="s">
        <v>14</v>
      </c>
      <c r="B25" s="82">
        <v>5756.0936000000002</v>
      </c>
      <c r="C25" s="25">
        <f t="shared" si="0"/>
        <v>3.5300000000461296E-2</v>
      </c>
      <c r="D25" s="24">
        <f t="shared" si="1"/>
        <v>1270.8000000166066</v>
      </c>
      <c r="E25" s="81"/>
      <c r="F25" s="82">
        <v>3703.7480999999998</v>
      </c>
      <c r="G25" s="51">
        <f t="shared" si="4"/>
        <v>3.2600000000002183E-2</v>
      </c>
      <c r="H25" s="50">
        <f t="shared" si="2"/>
        <v>1173.6000000000786</v>
      </c>
      <c r="I25" s="52">
        <f t="shared" si="3"/>
        <v>0.92351274786334758</v>
      </c>
      <c r="J25" s="39"/>
      <c r="K25" s="83">
        <v>6.3953100000000003</v>
      </c>
      <c r="L25" s="53"/>
      <c r="M25" s="9"/>
      <c r="N25" s="97"/>
      <c r="O25" s="97"/>
      <c r="P25" s="97"/>
      <c r="Q25" s="97"/>
      <c r="R25" s="97"/>
      <c r="S25" s="97"/>
      <c r="T25" s="97"/>
      <c r="U25" s="97"/>
      <c r="V25" s="97"/>
      <c r="W25" s="84"/>
      <c r="X25" s="88"/>
      <c r="Y25" s="88"/>
      <c r="Z25" s="88"/>
    </row>
    <row r="26" spans="1:26" ht="23.25" customHeight="1" x14ac:dyDescent="0.2">
      <c r="A26" s="49" t="s">
        <v>15</v>
      </c>
      <c r="B26" s="82">
        <v>5756.1264000000001</v>
      </c>
      <c r="C26" s="25">
        <f t="shared" si="0"/>
        <v>3.2799999999951979E-2</v>
      </c>
      <c r="D26" s="24">
        <f t="shared" si="1"/>
        <v>1180.7999999982712</v>
      </c>
      <c r="E26" s="81"/>
      <c r="F26" s="82">
        <v>3703.7777999999998</v>
      </c>
      <c r="G26" s="51">
        <f t="shared" si="4"/>
        <v>2.9700000000048021E-2</v>
      </c>
      <c r="H26" s="50">
        <f t="shared" si="2"/>
        <v>1069.2000000017288</v>
      </c>
      <c r="I26" s="52">
        <f t="shared" si="3"/>
        <v>0.90548780488083858</v>
      </c>
      <c r="J26" s="39"/>
      <c r="K26" s="83">
        <v>6.3200500000000002</v>
      </c>
      <c r="L26" s="53"/>
      <c r="M26" s="9"/>
      <c r="N26" s="97"/>
      <c r="O26" s="97"/>
      <c r="P26" s="97"/>
      <c r="Q26" s="97"/>
      <c r="R26" s="97"/>
      <c r="S26" s="97"/>
      <c r="T26" s="97"/>
      <c r="U26" s="97"/>
      <c r="V26" s="97"/>
      <c r="W26" s="84"/>
      <c r="X26" s="88"/>
      <c r="Y26" s="88"/>
      <c r="Z26" s="88"/>
    </row>
    <row r="27" spans="1:26" ht="23.25" customHeight="1" x14ac:dyDescent="0.2">
      <c r="A27" s="49" t="s">
        <v>16</v>
      </c>
      <c r="B27" s="82">
        <v>5756.1576999999997</v>
      </c>
      <c r="C27" s="25">
        <f t="shared" si="0"/>
        <v>3.1299999999646388E-2</v>
      </c>
      <c r="D27" s="24">
        <f t="shared" si="1"/>
        <v>1126.79999998727</v>
      </c>
      <c r="E27" s="81"/>
      <c r="F27" s="82">
        <v>3703.8053</v>
      </c>
      <c r="G27" s="51">
        <f t="shared" si="4"/>
        <v>2.7500000000145519E-2</v>
      </c>
      <c r="H27" s="50">
        <f t="shared" si="2"/>
        <v>990.00000000523869</v>
      </c>
      <c r="I27" s="52">
        <f t="shared" si="3"/>
        <v>0.87859424921585305</v>
      </c>
      <c r="J27" s="39"/>
      <c r="K27" s="83">
        <v>6.1971729999999994</v>
      </c>
      <c r="L27" s="53"/>
      <c r="M27" s="9"/>
      <c r="N27" s="97"/>
      <c r="O27" s="97"/>
      <c r="P27" s="97"/>
      <c r="Q27" s="97"/>
      <c r="R27" s="97"/>
      <c r="S27" s="97"/>
      <c r="T27" s="97"/>
      <c r="U27" s="97"/>
      <c r="V27" s="97"/>
      <c r="W27" s="84"/>
      <c r="X27" s="88"/>
      <c r="Y27" s="88"/>
      <c r="Z27" s="88"/>
    </row>
    <row r="28" spans="1:26" ht="23.25" customHeight="1" x14ac:dyDescent="0.2">
      <c r="A28" s="49" t="s">
        <v>17</v>
      </c>
      <c r="B28" s="82">
        <v>5756.1992</v>
      </c>
      <c r="C28" s="25">
        <f t="shared" si="0"/>
        <v>4.150000000026921E-2</v>
      </c>
      <c r="D28" s="24">
        <f t="shared" si="1"/>
        <v>1494.0000000096916</v>
      </c>
      <c r="E28" s="81"/>
      <c r="F28" s="82">
        <v>3703.8366000000001</v>
      </c>
      <c r="G28" s="51">
        <f t="shared" si="4"/>
        <v>3.1300000000101136E-2</v>
      </c>
      <c r="H28" s="50">
        <f t="shared" si="2"/>
        <v>1126.8000000036409</v>
      </c>
      <c r="I28" s="52">
        <f t="shared" si="3"/>
        <v>0.75421686746742389</v>
      </c>
      <c r="J28" s="39"/>
      <c r="K28" s="83">
        <v>6.1342319999999999</v>
      </c>
      <c r="L28" s="53"/>
      <c r="M28" s="9"/>
      <c r="N28" s="97"/>
      <c r="O28" s="97"/>
      <c r="P28" s="97"/>
      <c r="Q28" s="97"/>
      <c r="R28" s="97"/>
      <c r="S28" s="97"/>
      <c r="T28" s="97"/>
      <c r="U28" s="97"/>
      <c r="V28" s="97"/>
      <c r="W28" s="84"/>
      <c r="X28" s="88"/>
      <c r="Y28" s="88"/>
      <c r="Z28" s="88"/>
    </row>
    <row r="29" spans="1:26" ht="23.25" customHeight="1" x14ac:dyDescent="0.2">
      <c r="A29" s="49" t="s">
        <v>18</v>
      </c>
      <c r="B29" s="82">
        <v>5756.2421000000004</v>
      </c>
      <c r="C29" s="25">
        <f t="shared" si="0"/>
        <v>4.2900000000372529E-2</v>
      </c>
      <c r="D29" s="24">
        <f t="shared" si="1"/>
        <v>1544.400000013411</v>
      </c>
      <c r="E29" s="81"/>
      <c r="F29" s="82">
        <v>3703.8681000000001</v>
      </c>
      <c r="G29" s="51">
        <f t="shared" si="4"/>
        <v>3.1500000000050932E-2</v>
      </c>
      <c r="H29" s="50">
        <f t="shared" si="2"/>
        <v>1134.0000000018335</v>
      </c>
      <c r="I29" s="52">
        <f t="shared" si="3"/>
        <v>0.73426573426054542</v>
      </c>
      <c r="J29" s="39"/>
      <c r="K29" s="83">
        <v>6.1171099999999994</v>
      </c>
      <c r="L29" s="53"/>
      <c r="M29" s="118" t="s">
        <v>95</v>
      </c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23.25" customHeight="1" x14ac:dyDescent="0.2">
      <c r="A30" s="49" t="s">
        <v>19</v>
      </c>
      <c r="B30" s="82">
        <v>5756.2858999999999</v>
      </c>
      <c r="C30" s="25">
        <f t="shared" si="0"/>
        <v>4.379999999946449E-2</v>
      </c>
      <c r="D30" s="24">
        <f t="shared" si="1"/>
        <v>1576.7999999807216</v>
      </c>
      <c r="E30" s="81"/>
      <c r="F30" s="82">
        <v>3703.9005000000002</v>
      </c>
      <c r="G30" s="51">
        <f t="shared" si="4"/>
        <v>3.2400000000052387E-2</v>
      </c>
      <c r="H30" s="50">
        <f t="shared" si="2"/>
        <v>1166.4000000018859</v>
      </c>
      <c r="I30" s="52">
        <f t="shared" si="3"/>
        <v>0.73972602740750037</v>
      </c>
      <c r="J30" s="39"/>
      <c r="K30" s="83">
        <v>6.1368540000000005</v>
      </c>
      <c r="L30" s="53"/>
      <c r="M30" s="99" t="s">
        <v>97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23.25" customHeight="1" x14ac:dyDescent="0.2">
      <c r="A31" s="49" t="s">
        <v>20</v>
      </c>
      <c r="B31" s="82">
        <v>5756.3292000000001</v>
      </c>
      <c r="C31" s="25">
        <f t="shared" si="0"/>
        <v>4.3300000000272121E-2</v>
      </c>
      <c r="D31" s="24">
        <f t="shared" si="1"/>
        <v>1558.8000000097963</v>
      </c>
      <c r="E31" s="81"/>
      <c r="F31" s="82">
        <v>3703.9328999999998</v>
      </c>
      <c r="G31" s="51">
        <f t="shared" si="4"/>
        <v>3.239999999959764E-2</v>
      </c>
      <c r="H31" s="50">
        <f t="shared" si="2"/>
        <v>1166.399999985515</v>
      </c>
      <c r="I31" s="52">
        <f t="shared" si="3"/>
        <v>0.7482678983693769</v>
      </c>
      <c r="J31" s="39"/>
      <c r="K31" s="83">
        <v>6.1650510000000001</v>
      </c>
      <c r="L31" s="53"/>
      <c r="M31" s="100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179</v>
      </c>
      <c r="W31" s="98"/>
      <c r="X31" s="98"/>
      <c r="Y31" s="98" t="s">
        <v>91</v>
      </c>
      <c r="Z31" s="101"/>
    </row>
    <row r="32" spans="1:26" ht="23.25" customHeight="1" x14ac:dyDescent="0.2">
      <c r="A32" s="49" t="s">
        <v>21</v>
      </c>
      <c r="B32" s="82">
        <v>5756.3729999999996</v>
      </c>
      <c r="C32" s="25">
        <f t="shared" si="0"/>
        <v>4.379999999946449E-2</v>
      </c>
      <c r="D32" s="24">
        <f t="shared" si="1"/>
        <v>1576.7999999807216</v>
      </c>
      <c r="E32" s="81"/>
      <c r="F32" s="82">
        <v>3703.9657000000002</v>
      </c>
      <c r="G32" s="51">
        <f t="shared" si="4"/>
        <v>3.2800000000406726E-2</v>
      </c>
      <c r="H32" s="50">
        <f t="shared" si="2"/>
        <v>1180.8000000146421</v>
      </c>
      <c r="I32" s="52">
        <f t="shared" si="3"/>
        <v>0.74885844750702624</v>
      </c>
      <c r="J32" s="39"/>
      <c r="K32" s="83">
        <v>6.1198370000000004</v>
      </c>
      <c r="L32" s="53"/>
      <c r="M32" s="95"/>
      <c r="N32" s="89"/>
      <c r="O32" s="89"/>
      <c r="P32" s="89" t="s">
        <v>83</v>
      </c>
      <c r="Q32" s="89"/>
      <c r="R32" s="89" t="s">
        <v>102</v>
      </c>
      <c r="S32" s="89"/>
      <c r="T32" s="89" t="s">
        <v>104</v>
      </c>
      <c r="U32" s="89"/>
      <c r="V32" s="89" t="s">
        <v>105</v>
      </c>
      <c r="W32" s="89"/>
      <c r="X32" s="89"/>
      <c r="Y32" s="89"/>
      <c r="Z32" s="90"/>
    </row>
    <row r="33" spans="1:26" ht="23.25" customHeight="1" x14ac:dyDescent="0.2">
      <c r="A33" s="49" t="s">
        <v>22</v>
      </c>
      <c r="B33" s="82">
        <v>5756.4162999999999</v>
      </c>
      <c r="C33" s="25">
        <f t="shared" si="0"/>
        <v>4.3300000000272121E-2</v>
      </c>
      <c r="D33" s="24">
        <f t="shared" si="1"/>
        <v>1558.8000000097963</v>
      </c>
      <c r="E33" s="81"/>
      <c r="F33" s="82">
        <v>3703.9978000000001</v>
      </c>
      <c r="G33" s="51">
        <f t="shared" si="4"/>
        <v>3.2099999999900319E-2</v>
      </c>
      <c r="H33" s="50">
        <f t="shared" si="2"/>
        <v>1155.5999999964115</v>
      </c>
      <c r="I33" s="52">
        <f t="shared" si="3"/>
        <v>0.74133949190989801</v>
      </c>
      <c r="J33" s="39"/>
      <c r="K33" s="83">
        <v>6.1123270000000005</v>
      </c>
      <c r="L33" s="53"/>
      <c r="M33" s="95" t="s">
        <v>80</v>
      </c>
      <c r="N33" s="89" t="s">
        <v>99</v>
      </c>
      <c r="O33" s="89"/>
      <c r="P33" s="89" t="s">
        <v>101</v>
      </c>
      <c r="Q33" s="89"/>
      <c r="R33" s="89" t="s">
        <v>69</v>
      </c>
      <c r="S33" s="89"/>
      <c r="T33" s="89" t="s">
        <v>69</v>
      </c>
      <c r="U33" s="89"/>
      <c r="V33" s="89" t="s">
        <v>106</v>
      </c>
      <c r="W33" s="89"/>
      <c r="X33" s="89"/>
      <c r="Y33" s="89"/>
      <c r="Z33" s="90"/>
    </row>
    <row r="34" spans="1:26" ht="23.25" customHeight="1" x14ac:dyDescent="0.2">
      <c r="A34" s="49" t="s">
        <v>23</v>
      </c>
      <c r="B34" s="82">
        <v>5756.4611999999997</v>
      </c>
      <c r="C34" s="25">
        <f t="shared" si="0"/>
        <v>4.4899999999870488E-2</v>
      </c>
      <c r="D34" s="24">
        <f t="shared" si="1"/>
        <v>1616.3999999953376</v>
      </c>
      <c r="E34" s="81"/>
      <c r="F34" s="82">
        <v>3704.0313000000001</v>
      </c>
      <c r="G34" s="51">
        <f t="shared" si="4"/>
        <v>3.3500000000003638E-2</v>
      </c>
      <c r="H34" s="50">
        <f t="shared" si="2"/>
        <v>1206.000000000131</v>
      </c>
      <c r="I34" s="52">
        <f t="shared" si="3"/>
        <v>0.7461024498908746</v>
      </c>
      <c r="J34" s="39"/>
      <c r="K34" s="83">
        <v>6.1338109999999997</v>
      </c>
      <c r="L34" s="53"/>
      <c r="M34" s="96"/>
      <c r="N34" s="91"/>
      <c r="O34" s="91"/>
      <c r="P34" s="91"/>
      <c r="Q34" s="91"/>
      <c r="R34" s="92"/>
      <c r="S34" s="96"/>
      <c r="T34" s="92"/>
      <c r="U34" s="96"/>
      <c r="V34" s="92"/>
      <c r="W34" s="103"/>
      <c r="X34" s="96"/>
      <c r="Y34" s="91"/>
      <c r="Z34" s="92"/>
    </row>
    <row r="35" spans="1:26" ht="23.25" customHeight="1" x14ac:dyDescent="0.2">
      <c r="A35" s="49" t="s">
        <v>24</v>
      </c>
      <c r="B35" s="82">
        <v>5756.5045</v>
      </c>
      <c r="C35" s="25">
        <f t="shared" si="0"/>
        <v>4.3300000000272121E-2</v>
      </c>
      <c r="D35" s="24">
        <f t="shared" si="1"/>
        <v>1558.8000000097963</v>
      </c>
      <c r="E35" s="81"/>
      <c r="F35" s="82">
        <v>3704.0648000000001</v>
      </c>
      <c r="G35" s="51">
        <f t="shared" si="4"/>
        <v>3.3500000000003638E-2</v>
      </c>
      <c r="H35" s="50">
        <f t="shared" si="2"/>
        <v>1206.000000000131</v>
      </c>
      <c r="I35" s="52">
        <f t="shared" si="3"/>
        <v>0.77367205542247353</v>
      </c>
      <c r="J35" s="39"/>
      <c r="K35" s="83">
        <v>6.1711490000000007</v>
      </c>
      <c r="L35" s="53"/>
      <c r="M35" s="9"/>
      <c r="N35" s="97" t="s">
        <v>169</v>
      </c>
      <c r="O35" s="97"/>
      <c r="P35" s="179">
        <v>0.4</v>
      </c>
      <c r="Q35" s="180"/>
      <c r="R35" s="179">
        <v>590</v>
      </c>
      <c r="S35" s="180"/>
      <c r="T35" s="97"/>
      <c r="U35" s="97"/>
      <c r="V35" s="97"/>
      <c r="W35" s="97"/>
      <c r="X35" s="97"/>
      <c r="Y35" s="97"/>
      <c r="Z35" s="84"/>
    </row>
    <row r="36" spans="1:26" ht="23.25" customHeight="1" x14ac:dyDescent="0.2">
      <c r="A36" s="49" t="s">
        <v>25</v>
      </c>
      <c r="B36" s="82">
        <v>5756.5456000000004</v>
      </c>
      <c r="C36" s="25">
        <f t="shared" si="0"/>
        <v>4.1100000000369619E-2</v>
      </c>
      <c r="D36" s="24">
        <f t="shared" si="1"/>
        <v>1479.6000000133063</v>
      </c>
      <c r="E36" s="81"/>
      <c r="F36" s="82">
        <v>3704.0976999999998</v>
      </c>
      <c r="G36" s="51">
        <f t="shared" si="4"/>
        <v>3.2899999999699503E-2</v>
      </c>
      <c r="H36" s="50">
        <f t="shared" si="2"/>
        <v>1184.3999999891821</v>
      </c>
      <c r="I36" s="52">
        <f t="shared" si="3"/>
        <v>0.80048661799035592</v>
      </c>
      <c r="J36" s="39"/>
      <c r="K36" s="83">
        <v>6.1955339999999994</v>
      </c>
      <c r="L36" s="53"/>
      <c r="M36" s="9"/>
      <c r="N36" s="97" t="s">
        <v>378</v>
      </c>
      <c r="O36" s="97"/>
      <c r="P36" s="181"/>
      <c r="Q36" s="182"/>
      <c r="R36" s="181"/>
      <c r="S36" s="182"/>
      <c r="T36" s="97"/>
      <c r="U36" s="97"/>
      <c r="V36" s="97"/>
      <c r="W36" s="97"/>
      <c r="X36" s="97"/>
      <c r="Y36" s="97"/>
      <c r="Z36" s="84"/>
    </row>
    <row r="37" spans="1:26" ht="23.25" customHeight="1" x14ac:dyDescent="0.2">
      <c r="A37" s="49" t="s">
        <v>26</v>
      </c>
      <c r="B37" s="82">
        <v>5756.5865999999996</v>
      </c>
      <c r="C37" s="25">
        <f t="shared" si="0"/>
        <v>4.0999999999257852E-2</v>
      </c>
      <c r="D37" s="24">
        <f t="shared" si="1"/>
        <v>1475.9999999732827</v>
      </c>
      <c r="E37" s="81"/>
      <c r="F37" s="82">
        <v>3704.1306</v>
      </c>
      <c r="G37" s="51">
        <f t="shared" si="4"/>
        <v>3.290000000015425E-2</v>
      </c>
      <c r="H37" s="50">
        <f t="shared" si="2"/>
        <v>1184.400000005553</v>
      </c>
      <c r="I37" s="52">
        <f t="shared" si="3"/>
        <v>0.80243902440853121</v>
      </c>
      <c r="J37" s="39"/>
      <c r="K37" s="83">
        <v>6.2271409999999996</v>
      </c>
      <c r="L37" s="53"/>
      <c r="M37" s="9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84"/>
    </row>
    <row r="38" spans="1:26" ht="23.25" customHeight="1" x14ac:dyDescent="0.2">
      <c r="A38" s="49" t="s">
        <v>27</v>
      </c>
      <c r="B38" s="82">
        <v>5756.6282000000001</v>
      </c>
      <c r="C38" s="25">
        <f t="shared" si="0"/>
        <v>4.1600000000471482E-2</v>
      </c>
      <c r="D38" s="24">
        <f t="shared" si="1"/>
        <v>1497.6000000169734</v>
      </c>
      <c r="E38" s="81"/>
      <c r="F38" s="82">
        <v>3704.1649000000002</v>
      </c>
      <c r="G38" s="51">
        <f t="shared" si="4"/>
        <v>3.4300000000257569E-2</v>
      </c>
      <c r="H38" s="50">
        <f t="shared" si="2"/>
        <v>1234.8000000092725</v>
      </c>
      <c r="I38" s="52">
        <f t="shared" si="3"/>
        <v>0.82451923076607747</v>
      </c>
      <c r="J38" s="39"/>
      <c r="K38" s="83">
        <v>6.0468779999999995</v>
      </c>
      <c r="L38" s="53"/>
      <c r="M38" s="9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84"/>
    </row>
    <row r="39" spans="1:26" ht="23.25" customHeight="1" x14ac:dyDescent="0.2">
      <c r="A39" s="49" t="s">
        <v>28</v>
      </c>
      <c r="B39" s="82">
        <v>5756.6678000000002</v>
      </c>
      <c r="C39" s="25">
        <f t="shared" si="0"/>
        <v>3.9600000000064028E-2</v>
      </c>
      <c r="D39" s="24">
        <f t="shared" si="1"/>
        <v>1425.600000002305</v>
      </c>
      <c r="E39" s="81"/>
      <c r="F39" s="82">
        <v>3704.1983</v>
      </c>
      <c r="G39" s="51">
        <f t="shared" si="4"/>
        <v>3.3399999999801366E-2</v>
      </c>
      <c r="H39" s="50">
        <f t="shared" si="2"/>
        <v>1202.3999999928492</v>
      </c>
      <c r="I39" s="52">
        <f t="shared" si="3"/>
        <v>0.84343434342796375</v>
      </c>
      <c r="J39" s="39"/>
      <c r="K39" s="83">
        <v>6.2840749999999996</v>
      </c>
      <c r="L39" s="53"/>
      <c r="M39" s="9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84"/>
    </row>
    <row r="40" spans="1:26" ht="23.25" customHeight="1" x14ac:dyDescent="0.2">
      <c r="A40" s="49" t="s">
        <v>29</v>
      </c>
      <c r="B40" s="82">
        <v>5756.7082</v>
      </c>
      <c r="C40" s="25">
        <f t="shared" si="0"/>
        <v>4.0399999999863212E-2</v>
      </c>
      <c r="D40" s="24">
        <f t="shared" si="1"/>
        <v>1454.3999999950756</v>
      </c>
      <c r="E40" s="81"/>
      <c r="F40" s="82">
        <v>3704.2316000000001</v>
      </c>
      <c r="G40" s="51">
        <f t="shared" si="4"/>
        <v>3.3300000000053842E-2</v>
      </c>
      <c r="H40" s="50">
        <f t="shared" si="2"/>
        <v>1198.8000000019383</v>
      </c>
      <c r="I40" s="52">
        <f t="shared" si="3"/>
        <v>0.8242574257466978</v>
      </c>
      <c r="J40" s="39"/>
      <c r="K40" s="83">
        <v>6.0729410000000001</v>
      </c>
      <c r="L40" s="53"/>
      <c r="M40" s="99" t="s">
        <v>109</v>
      </c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ht="23.25" customHeight="1" x14ac:dyDescent="0.2">
      <c r="A41" s="49" t="s">
        <v>30</v>
      </c>
      <c r="B41" s="82">
        <v>5756.7494999999999</v>
      </c>
      <c r="C41" s="25">
        <f t="shared" si="0"/>
        <v>4.1299999999864667E-2</v>
      </c>
      <c r="D41" s="24">
        <f t="shared" si="1"/>
        <v>1486.799999995128</v>
      </c>
      <c r="E41" s="81"/>
      <c r="F41" s="82">
        <v>3704.2656000000002</v>
      </c>
      <c r="G41" s="51">
        <f t="shared" si="4"/>
        <v>3.4000000000105501E-2</v>
      </c>
      <c r="H41" s="50">
        <f t="shared" si="2"/>
        <v>1224.000000003798</v>
      </c>
      <c r="I41" s="52">
        <f t="shared" si="3"/>
        <v>0.82324455206336355</v>
      </c>
      <c r="J41" s="39"/>
      <c r="K41" s="83">
        <v>6.2317580000000001</v>
      </c>
      <c r="L41" s="53"/>
      <c r="M41" s="100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1"/>
    </row>
    <row r="42" spans="1:26" ht="23.25" customHeight="1" x14ac:dyDescent="0.2">
      <c r="A42" s="49" t="s">
        <v>31</v>
      </c>
      <c r="B42" s="82">
        <v>5756.7902999999997</v>
      </c>
      <c r="C42" s="25">
        <f t="shared" si="0"/>
        <v>4.0799999999762804E-2</v>
      </c>
      <c r="D42" s="24">
        <f t="shared" si="1"/>
        <v>1468.7999999914609</v>
      </c>
      <c r="E42" s="81"/>
      <c r="F42" s="82">
        <v>3704.3</v>
      </c>
      <c r="G42" s="51">
        <f t="shared" si="4"/>
        <v>3.4400000000005093E-2</v>
      </c>
      <c r="H42" s="50">
        <f t="shared" si="2"/>
        <v>1238.4000000001834</v>
      </c>
      <c r="I42" s="52">
        <f t="shared" si="3"/>
        <v>0.84313725490698732</v>
      </c>
      <c r="J42" s="39"/>
      <c r="K42" s="83">
        <v>6.0808919999999995</v>
      </c>
      <c r="L42" s="53"/>
      <c r="M42" s="95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90"/>
    </row>
    <row r="43" spans="1:26" ht="22.5" customHeight="1" x14ac:dyDescent="0.2">
      <c r="A43" s="167" t="s">
        <v>70</v>
      </c>
      <c r="B43" s="167"/>
      <c r="C43" s="167"/>
      <c r="D43" s="50">
        <f>SUM(D18:D42)</f>
        <v>36251.999999985856</v>
      </c>
      <c r="E43" s="39"/>
      <c r="F43" s="54" t="s">
        <v>188</v>
      </c>
      <c r="G43" s="39" t="s">
        <v>189</v>
      </c>
      <c r="H43" s="50">
        <f>SUM(H18:H42)</f>
        <v>29620.800000013332</v>
      </c>
      <c r="I43" s="52">
        <f>IF(AND(H43=0,D43=0),0,H43/D43)</f>
        <v>0.81708043694209676</v>
      </c>
      <c r="J43" s="39"/>
      <c r="K43" s="39"/>
      <c r="L43" s="53"/>
      <c r="M43" s="95" t="s">
        <v>80</v>
      </c>
      <c r="N43" s="89" t="s">
        <v>99</v>
      </c>
      <c r="O43" s="89"/>
      <c r="P43" s="89" t="s">
        <v>110</v>
      </c>
      <c r="Q43" s="89"/>
      <c r="R43" s="89"/>
      <c r="S43" s="89"/>
      <c r="T43" s="89"/>
      <c r="U43" s="89"/>
      <c r="V43" s="89"/>
      <c r="W43" s="89"/>
      <c r="X43" s="89" t="s">
        <v>110</v>
      </c>
      <c r="Y43" s="89"/>
      <c r="Z43" s="90"/>
    </row>
    <row r="44" spans="1:26" ht="22.5" customHeight="1" x14ac:dyDescent="0.2">
      <c r="A44" s="164" t="s">
        <v>71</v>
      </c>
      <c r="B44" s="164"/>
      <c r="C44" s="164"/>
      <c r="D44" s="39"/>
      <c r="E44" s="39"/>
      <c r="F44" s="54"/>
      <c r="G44" s="39"/>
      <c r="H44" s="39"/>
      <c r="I44" s="39"/>
      <c r="J44" s="39"/>
      <c r="K44" s="39"/>
      <c r="L44" s="53"/>
      <c r="M44" s="96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2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84"/>
      <c r="O45" s="85"/>
      <c r="P45" s="84"/>
      <c r="Q45" s="88"/>
      <c r="R45" s="85"/>
      <c r="S45" s="7"/>
      <c r="T45" s="84"/>
      <c r="U45" s="88"/>
      <c r="V45" s="88"/>
      <c r="W45" s="85"/>
      <c r="X45" s="84"/>
      <c r="Y45" s="88"/>
      <c r="Z45" s="88"/>
    </row>
    <row r="46" spans="1:26" ht="22.5" customHeight="1" x14ac:dyDescent="0.2">
      <c r="A46" s="155" t="s">
        <v>72</v>
      </c>
      <c r="B46" s="155"/>
      <c r="C46" s="155"/>
      <c r="D46" s="155"/>
      <c r="E46" s="155"/>
      <c r="F46" s="155"/>
      <c r="G46" s="177" t="s">
        <v>73</v>
      </c>
      <c r="H46" s="177"/>
      <c r="I46" s="177"/>
      <c r="J46" s="177"/>
      <c r="K46" s="177"/>
      <c r="L46" s="177"/>
      <c r="M46" s="9"/>
      <c r="N46" s="84"/>
      <c r="O46" s="85"/>
      <c r="P46" s="84"/>
      <c r="Q46" s="88"/>
      <c r="R46" s="85"/>
      <c r="S46" s="7"/>
      <c r="T46" s="84"/>
      <c r="U46" s="88"/>
      <c r="V46" s="88"/>
      <c r="W46" s="85"/>
      <c r="X46" s="84"/>
      <c r="Y46" s="88"/>
      <c r="Z46" s="88"/>
    </row>
    <row r="47" spans="1:26" ht="22.5" customHeight="1" x14ac:dyDescent="0.2">
      <c r="A47" s="117" t="s">
        <v>371</v>
      </c>
      <c r="B47" s="117"/>
      <c r="C47" s="117"/>
      <c r="D47" s="108" t="s">
        <v>74</v>
      </c>
      <c r="E47" s="108"/>
      <c r="F47" s="108"/>
      <c r="G47" s="56"/>
      <c r="H47" s="56"/>
      <c r="I47" s="56"/>
      <c r="J47" s="56"/>
      <c r="K47" s="56"/>
      <c r="L47" s="56"/>
      <c r="M47" s="9"/>
      <c r="N47" s="84"/>
      <c r="O47" s="85"/>
      <c r="P47" s="84"/>
      <c r="Q47" s="88"/>
      <c r="R47" s="85"/>
      <c r="S47" s="7"/>
      <c r="T47" s="84"/>
      <c r="U47" s="88"/>
      <c r="V47" s="88"/>
      <c r="W47" s="85"/>
      <c r="X47" s="84"/>
      <c r="Y47" s="88"/>
      <c r="Z47" s="88"/>
    </row>
    <row r="48" spans="1:26" ht="22.5" customHeight="1" x14ac:dyDescent="0.2">
      <c r="A48" s="148" t="s">
        <v>75</v>
      </c>
      <c r="B48" s="148"/>
      <c r="C48" s="148"/>
      <c r="D48" s="147" t="s">
        <v>76</v>
      </c>
      <c r="E48" s="147"/>
      <c r="F48" s="147"/>
      <c r="G48" s="55"/>
      <c r="H48" s="55"/>
      <c r="I48" s="55"/>
      <c r="J48" s="55"/>
      <c r="K48" s="55"/>
      <c r="L48" s="55"/>
    </row>
    <row r="49" spans="1:23" ht="22.5" customHeight="1" x14ac:dyDescent="0.2">
      <c r="A49" s="117" t="s">
        <v>372</v>
      </c>
      <c r="B49" s="117"/>
      <c r="C49" s="117"/>
      <c r="D49" s="108" t="s">
        <v>74</v>
      </c>
      <c r="E49" s="108"/>
      <c r="F49" s="108"/>
      <c r="G49" s="55"/>
      <c r="H49" s="155" t="s">
        <v>183</v>
      </c>
      <c r="I49" s="155"/>
      <c r="J49" s="155"/>
      <c r="K49" s="155" t="s">
        <v>77</v>
      </c>
      <c r="L49" s="155"/>
      <c r="N49" s="150" t="s">
        <v>150</v>
      </c>
      <c r="O49" s="150"/>
      <c r="P49" s="150"/>
      <c r="Q49" s="149" t="s">
        <v>370</v>
      </c>
      <c r="R49" s="149"/>
      <c r="S49" s="149"/>
      <c r="T49" s="149"/>
      <c r="U49" s="149"/>
      <c r="V49" s="149"/>
      <c r="W49" s="1"/>
    </row>
    <row r="50" spans="1:23" ht="22.5" customHeight="1" x14ac:dyDescent="0.2">
      <c r="A50" s="148" t="s">
        <v>75</v>
      </c>
      <c r="B50" s="148"/>
      <c r="C50" s="148"/>
      <c r="D50" s="147" t="s">
        <v>76</v>
      </c>
      <c r="E50" s="147"/>
      <c r="F50" s="147"/>
      <c r="G50" s="58"/>
      <c r="H50" s="148" t="s">
        <v>75</v>
      </c>
      <c r="I50" s="148"/>
      <c r="J50" s="148"/>
      <c r="K50" s="148" t="s">
        <v>76</v>
      </c>
      <c r="L50" s="148"/>
      <c r="S50" s="146" t="s">
        <v>76</v>
      </c>
      <c r="T50" s="146"/>
    </row>
    <row r="51" spans="1:23" ht="20.100000000000001" customHeight="1" x14ac:dyDescent="0.2">
      <c r="A51" s="117" t="s">
        <v>373</v>
      </c>
      <c r="B51" s="117"/>
      <c r="C51" s="117"/>
      <c r="D51" s="108" t="s">
        <v>74</v>
      </c>
      <c r="E51" s="108"/>
      <c r="F51" s="108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47" t="s">
        <v>75</v>
      </c>
      <c r="B52" s="147"/>
      <c r="C52" s="147"/>
      <c r="D52" s="146" t="s">
        <v>76</v>
      </c>
      <c r="E52" s="146"/>
      <c r="F52" s="146"/>
      <c r="G52" s="63"/>
      <c r="H52" s="63"/>
      <c r="I52" s="64"/>
      <c r="J52" s="64"/>
      <c r="K52" s="64"/>
      <c r="L52" s="64"/>
    </row>
  </sheetData>
  <sheetProtection sheet="1" objects="1" scenarios="1"/>
  <mergeCells count="256"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D49:F49"/>
    <mergeCell ref="A47:C47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H10:L10"/>
    <mergeCell ref="D13:E13"/>
    <mergeCell ref="E10:G10"/>
    <mergeCell ref="A43:C43"/>
    <mergeCell ref="I13:I17"/>
    <mergeCell ref="J13:K13"/>
    <mergeCell ref="J14:K14"/>
    <mergeCell ref="J15:K15"/>
    <mergeCell ref="I3:L4"/>
    <mergeCell ref="A11:D11"/>
    <mergeCell ref="E11:H11"/>
    <mergeCell ref="A10:D10"/>
    <mergeCell ref="H50:J50"/>
    <mergeCell ref="K50:L50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G5:H6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8:Z8"/>
    <mergeCell ref="N23:P23"/>
    <mergeCell ref="V14:W14"/>
    <mergeCell ref="N10:O10"/>
    <mergeCell ref="N11:O11"/>
    <mergeCell ref="P7:Q7"/>
    <mergeCell ref="P8:Q8"/>
    <mergeCell ref="A12:L12"/>
    <mergeCell ref="M31:M32"/>
    <mergeCell ref="N16:O16"/>
    <mergeCell ref="N12:O12"/>
    <mergeCell ref="N13:O13"/>
    <mergeCell ref="M18:M19"/>
    <mergeCell ref="N20:P21"/>
    <mergeCell ref="P13:Q13"/>
    <mergeCell ref="P14:Q14"/>
    <mergeCell ref="Q22:S22"/>
    <mergeCell ref="M20:M21"/>
    <mergeCell ref="N28:P28"/>
    <mergeCell ref="Q28:S28"/>
    <mergeCell ref="P16:Q16"/>
    <mergeCell ref="M17:Z17"/>
    <mergeCell ref="W18:Z21"/>
    <mergeCell ref="N14:O14"/>
    <mergeCell ref="M1:Z1"/>
    <mergeCell ref="M2:Z2"/>
    <mergeCell ref="X3:Z6"/>
    <mergeCell ref="M5:M6"/>
    <mergeCell ref="M3:M4"/>
    <mergeCell ref="T6:U6"/>
    <mergeCell ref="N7:O7"/>
    <mergeCell ref="P3:Q4"/>
    <mergeCell ref="R3:S3"/>
    <mergeCell ref="R4:S4"/>
    <mergeCell ref="R5:S5"/>
    <mergeCell ref="R6:S6"/>
    <mergeCell ref="R7:S7"/>
    <mergeCell ref="X7:Z7"/>
    <mergeCell ref="N8:O8"/>
    <mergeCell ref="N9:O9"/>
    <mergeCell ref="P5:Q6"/>
    <mergeCell ref="N3:O6"/>
    <mergeCell ref="T3:U3"/>
    <mergeCell ref="T4:U4"/>
    <mergeCell ref="T5:U5"/>
    <mergeCell ref="T7:U7"/>
    <mergeCell ref="V12:W12"/>
    <mergeCell ref="T8:U8"/>
    <mergeCell ref="V8:W8"/>
    <mergeCell ref="V3:W3"/>
    <mergeCell ref="V4:W4"/>
    <mergeCell ref="V5:W5"/>
    <mergeCell ref="V6:W6"/>
    <mergeCell ref="V7:W7"/>
    <mergeCell ref="P12:Q12"/>
    <mergeCell ref="R8:S8"/>
    <mergeCell ref="R9:S9"/>
    <mergeCell ref="R10:S10"/>
    <mergeCell ref="P9:Q9"/>
    <mergeCell ref="P10:Q10"/>
    <mergeCell ref="P11:Q11"/>
    <mergeCell ref="T9:U9"/>
    <mergeCell ref="X9:Z9"/>
    <mergeCell ref="X10:Z10"/>
    <mergeCell ref="X11:Z11"/>
    <mergeCell ref="X12:Z12"/>
    <mergeCell ref="X13:Z13"/>
    <mergeCell ref="X14:Z14"/>
    <mergeCell ref="Q20:S20"/>
    <mergeCell ref="T16:U16"/>
    <mergeCell ref="T20:V21"/>
    <mergeCell ref="Q21:S21"/>
    <mergeCell ref="T18:V19"/>
    <mergeCell ref="Q18:S18"/>
    <mergeCell ref="V9:W9"/>
    <mergeCell ref="Q19:S19"/>
    <mergeCell ref="V16:W16"/>
    <mergeCell ref="T10:U10"/>
    <mergeCell ref="V13:W13"/>
    <mergeCell ref="T13:U13"/>
    <mergeCell ref="R16:S16"/>
    <mergeCell ref="V15:W15"/>
    <mergeCell ref="T15:U15"/>
    <mergeCell ref="X15:Z15"/>
    <mergeCell ref="X16:Z16"/>
    <mergeCell ref="R11:S11"/>
    <mergeCell ref="R12:S12"/>
    <mergeCell ref="R13:S13"/>
    <mergeCell ref="T11:U11"/>
    <mergeCell ref="V11:W11"/>
    <mergeCell ref="T12:U12"/>
    <mergeCell ref="V10:W10"/>
    <mergeCell ref="W27:Z27"/>
    <mergeCell ref="N26:P26"/>
    <mergeCell ref="W24:Z24"/>
    <mergeCell ref="W22:Z22"/>
    <mergeCell ref="T14:U14"/>
    <mergeCell ref="R14:S14"/>
    <mergeCell ref="R15:S15"/>
    <mergeCell ref="P15:Q15"/>
    <mergeCell ref="N22:P22"/>
    <mergeCell ref="T22:V22"/>
    <mergeCell ref="T27:V27"/>
    <mergeCell ref="N18:P19"/>
    <mergeCell ref="N15:O15"/>
    <mergeCell ref="Q25:S25"/>
    <mergeCell ref="T36:U36"/>
    <mergeCell ref="V36:X36"/>
    <mergeCell ref="Y36:Z36"/>
    <mergeCell ref="P35:Q36"/>
    <mergeCell ref="W23:Z23"/>
    <mergeCell ref="Q23:S23"/>
    <mergeCell ref="W28:Z28"/>
    <mergeCell ref="V34:X34"/>
    <mergeCell ref="N25:P25"/>
    <mergeCell ref="W25:Z25"/>
    <mergeCell ref="T25:V25"/>
    <mergeCell ref="N24:P24"/>
    <mergeCell ref="T33:U33"/>
    <mergeCell ref="R31:S31"/>
    <mergeCell ref="R32:S32"/>
    <mergeCell ref="N31:O32"/>
    <mergeCell ref="N33:O34"/>
    <mergeCell ref="P31:Q31"/>
    <mergeCell ref="T24:V24"/>
    <mergeCell ref="Q24:S24"/>
    <mergeCell ref="Q27:S27"/>
    <mergeCell ref="Y38:Z38"/>
    <mergeCell ref="N38:O38"/>
    <mergeCell ref="P38:Q38"/>
    <mergeCell ref="R38:S38"/>
    <mergeCell ref="T38:U38"/>
    <mergeCell ref="W26:Z26"/>
    <mergeCell ref="N27:P27"/>
    <mergeCell ref="T37:U37"/>
    <mergeCell ref="Y35:Z35"/>
    <mergeCell ref="N36:O36"/>
    <mergeCell ref="P37:Q37"/>
    <mergeCell ref="R37:S37"/>
    <mergeCell ref="P32:Q32"/>
    <mergeCell ref="P33:Q33"/>
    <mergeCell ref="N35:O35"/>
    <mergeCell ref="T35:U35"/>
    <mergeCell ref="V35:X35"/>
    <mergeCell ref="R35:S36"/>
    <mergeCell ref="P34:Q34"/>
    <mergeCell ref="T28:V28"/>
    <mergeCell ref="Q26:S26"/>
    <mergeCell ref="T26:V26"/>
    <mergeCell ref="R34:S34"/>
    <mergeCell ref="T34:U34"/>
    <mergeCell ref="I1:L2"/>
    <mergeCell ref="I5:L6"/>
    <mergeCell ref="X45:Z45"/>
    <mergeCell ref="X46:Z46"/>
    <mergeCell ref="X47:Z47"/>
    <mergeCell ref="M43:M44"/>
    <mergeCell ref="N47:O47"/>
    <mergeCell ref="T45:W45"/>
    <mergeCell ref="T46:W46"/>
    <mergeCell ref="T47:W47"/>
    <mergeCell ref="N37:O37"/>
    <mergeCell ref="N43:O44"/>
    <mergeCell ref="P43:R44"/>
    <mergeCell ref="X41:Z42"/>
    <mergeCell ref="X43:Z44"/>
    <mergeCell ref="R39:S39"/>
    <mergeCell ref="T39:U39"/>
    <mergeCell ref="V39:X39"/>
    <mergeCell ref="Y39:Z39"/>
    <mergeCell ref="S41:S44"/>
    <mergeCell ref="V38:X38"/>
    <mergeCell ref="V37:X37"/>
    <mergeCell ref="Y37:Z37"/>
    <mergeCell ref="T23:V23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T41:W44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Z52"/>
  <sheetViews>
    <sheetView view="pageBreakPreview" topLeftCell="A13" zoomScale="75" zoomScaleNormal="75" zoomScaleSheetLayoutView="50" workbookViewId="0">
      <selection activeCell="R38" sqref="R38:S38"/>
    </sheetView>
  </sheetViews>
  <sheetFormatPr defaultRowHeight="18.75" x14ac:dyDescent="0.2"/>
  <cols>
    <col min="1" max="1" width="11.140625" style="2" customWidth="1"/>
    <col min="2" max="2" width="14.140625" style="2" customWidth="1"/>
    <col min="3" max="3" width="12.140625" style="2" customWidth="1"/>
    <col min="4" max="4" width="14.28515625" style="2" customWidth="1"/>
    <col min="5" max="5" width="5.42578125" style="2" customWidth="1"/>
    <col min="6" max="6" width="13.42578125" style="2" customWidth="1"/>
    <col min="7" max="7" width="14.140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7109375" style="2" customWidth="1"/>
    <col min="13" max="20" width="10.28515625" style="2" customWidth="1"/>
    <col min="21" max="21" width="12.7109375" style="2" customWidth="1"/>
    <col min="22" max="26" width="10.28515625" style="2" customWidth="1"/>
    <col min="27" max="16384" width="9.140625" style="2"/>
  </cols>
  <sheetData>
    <row r="1" spans="1:26" ht="21.75" customHeight="1" x14ac:dyDescent="0.2">
      <c r="A1" s="94" t="s">
        <v>157</v>
      </c>
      <c r="B1" s="94"/>
      <c r="C1" s="94"/>
      <c r="D1" s="94"/>
      <c r="E1" s="94"/>
      <c r="F1" s="94"/>
      <c r="G1" s="123" t="s">
        <v>154</v>
      </c>
      <c r="H1" s="123"/>
      <c r="I1" s="94" t="s">
        <v>160</v>
      </c>
      <c r="J1" s="94"/>
      <c r="K1" s="94"/>
      <c r="L1" s="94"/>
      <c r="M1" s="99" t="s">
        <v>96</v>
      </c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ht="21.75" customHeight="1" x14ac:dyDescent="0.2">
      <c r="A2" s="119" t="s">
        <v>45</v>
      </c>
      <c r="B2" s="119"/>
      <c r="C2" s="119"/>
      <c r="D2" s="119"/>
      <c r="E2" s="119"/>
      <c r="F2" s="119"/>
      <c r="G2" s="123"/>
      <c r="H2" s="123"/>
      <c r="I2" s="94"/>
      <c r="J2" s="94"/>
      <c r="K2" s="94"/>
      <c r="L2" s="94"/>
      <c r="M2" s="99" t="s">
        <v>78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ht="21.75" customHeight="1" x14ac:dyDescent="0.2">
      <c r="A3" s="94" t="s">
        <v>158</v>
      </c>
      <c r="B3" s="120"/>
      <c r="C3" s="120"/>
      <c r="D3" s="120"/>
      <c r="E3" s="120"/>
      <c r="F3" s="120"/>
      <c r="G3" s="123" t="s">
        <v>155</v>
      </c>
      <c r="H3" s="123"/>
      <c r="I3" s="94" t="s">
        <v>205</v>
      </c>
      <c r="J3" s="94"/>
      <c r="K3" s="94"/>
      <c r="L3" s="94"/>
      <c r="M3" s="100" t="s">
        <v>79</v>
      </c>
      <c r="N3" s="101" t="s">
        <v>81</v>
      </c>
      <c r="O3" s="100"/>
      <c r="P3" s="101" t="s">
        <v>65</v>
      </c>
      <c r="Q3" s="100"/>
      <c r="R3" s="101" t="s">
        <v>82</v>
      </c>
      <c r="S3" s="100"/>
      <c r="T3" s="101" t="s">
        <v>85</v>
      </c>
      <c r="U3" s="100"/>
      <c r="V3" s="101" t="s">
        <v>87</v>
      </c>
      <c r="W3" s="100"/>
      <c r="X3" s="86" t="s">
        <v>91</v>
      </c>
      <c r="Y3" s="105"/>
      <c r="Z3" s="105"/>
    </row>
    <row r="4" spans="1:26" ht="29.25" customHeight="1" x14ac:dyDescent="0.2">
      <c r="A4" s="119" t="s">
        <v>46</v>
      </c>
      <c r="B4" s="119"/>
      <c r="C4" s="119"/>
      <c r="D4" s="119"/>
      <c r="E4" s="119"/>
      <c r="F4" s="119"/>
      <c r="G4" s="123"/>
      <c r="H4" s="123"/>
      <c r="I4" s="94"/>
      <c r="J4" s="94"/>
      <c r="K4" s="94"/>
      <c r="L4" s="94"/>
      <c r="M4" s="95"/>
      <c r="N4" s="90"/>
      <c r="O4" s="95"/>
      <c r="P4" s="90"/>
      <c r="Q4" s="95"/>
      <c r="R4" s="90" t="s">
        <v>83</v>
      </c>
      <c r="S4" s="95"/>
      <c r="T4" s="90" t="s">
        <v>86</v>
      </c>
      <c r="U4" s="95"/>
      <c r="V4" s="90" t="s">
        <v>88</v>
      </c>
      <c r="W4" s="95"/>
      <c r="X4" s="86"/>
      <c r="Y4" s="105"/>
      <c r="Z4" s="105"/>
    </row>
    <row r="5" spans="1:26" ht="21.75" customHeight="1" x14ac:dyDescent="0.2">
      <c r="A5" s="94" t="s">
        <v>177</v>
      </c>
      <c r="B5" s="120"/>
      <c r="C5" s="120"/>
      <c r="D5" s="120"/>
      <c r="E5" s="120"/>
      <c r="F5" s="120"/>
      <c r="G5" s="123" t="s">
        <v>156</v>
      </c>
      <c r="H5" s="123"/>
      <c r="I5" s="94" t="s">
        <v>207</v>
      </c>
      <c r="J5" s="94"/>
      <c r="K5" s="94"/>
      <c r="L5" s="94"/>
      <c r="M5" s="95" t="s">
        <v>80</v>
      </c>
      <c r="N5" s="90"/>
      <c r="O5" s="95"/>
      <c r="P5" s="90" t="s">
        <v>182</v>
      </c>
      <c r="Q5" s="95"/>
      <c r="R5" s="106" t="s">
        <v>84</v>
      </c>
      <c r="S5" s="107"/>
      <c r="T5" s="106" t="s">
        <v>84</v>
      </c>
      <c r="U5" s="107"/>
      <c r="V5" s="90" t="s">
        <v>89</v>
      </c>
      <c r="W5" s="95"/>
      <c r="X5" s="86"/>
      <c r="Y5" s="105"/>
      <c r="Z5" s="105"/>
    </row>
    <row r="6" spans="1:26" ht="21.75" customHeight="1" x14ac:dyDescent="0.2">
      <c r="A6" s="119" t="s">
        <v>47</v>
      </c>
      <c r="B6" s="119"/>
      <c r="C6" s="119"/>
      <c r="D6" s="119"/>
      <c r="E6" s="119"/>
      <c r="F6" s="119"/>
      <c r="G6" s="123"/>
      <c r="H6" s="123"/>
      <c r="I6" s="94"/>
      <c r="J6" s="94"/>
      <c r="K6" s="94"/>
      <c r="L6" s="94"/>
      <c r="M6" s="96"/>
      <c r="N6" s="92"/>
      <c r="O6" s="96"/>
      <c r="P6" s="92"/>
      <c r="Q6" s="96"/>
      <c r="R6" s="92"/>
      <c r="S6" s="96"/>
      <c r="T6" s="92"/>
      <c r="U6" s="96"/>
      <c r="V6" s="92" t="s">
        <v>90</v>
      </c>
      <c r="W6" s="96"/>
      <c r="X6" s="86"/>
      <c r="Y6" s="105"/>
      <c r="Z6" s="105"/>
    </row>
    <row r="7" spans="1:26" ht="21.75" customHeight="1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84"/>
      <c r="O7" s="85"/>
      <c r="P7" s="84"/>
      <c r="Q7" s="85"/>
      <c r="R7" s="84"/>
      <c r="S7" s="85"/>
      <c r="T7" s="84"/>
      <c r="U7" s="85"/>
      <c r="V7" s="84"/>
      <c r="W7" s="85"/>
      <c r="X7" s="84"/>
      <c r="Y7" s="88"/>
      <c r="Z7" s="88"/>
    </row>
    <row r="8" spans="1:26" ht="22.5" customHeight="1" x14ac:dyDescent="0.2">
      <c r="A8" s="116" t="s">
        <v>48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84"/>
      <c r="O8" s="85"/>
      <c r="P8" s="84"/>
      <c r="Q8" s="85"/>
      <c r="R8" s="84"/>
      <c r="S8" s="85"/>
      <c r="T8" s="84"/>
      <c r="U8" s="85"/>
      <c r="V8" s="84"/>
      <c r="W8" s="85"/>
      <c r="X8" s="84"/>
      <c r="Y8" s="88"/>
      <c r="Z8" s="88"/>
    </row>
    <row r="9" spans="1:26" ht="22.5" customHeight="1" x14ac:dyDescent="0.2">
      <c r="A9" s="129" t="s">
        <v>49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9"/>
      <c r="N9" s="84"/>
      <c r="O9" s="85"/>
      <c r="P9" s="84"/>
      <c r="Q9" s="85"/>
      <c r="R9" s="84"/>
      <c r="S9" s="85"/>
      <c r="T9" s="84"/>
      <c r="U9" s="85"/>
      <c r="V9" s="84"/>
      <c r="W9" s="85"/>
      <c r="X9" s="84"/>
      <c r="Y9" s="88"/>
      <c r="Z9" s="88"/>
    </row>
    <row r="10" spans="1:26" ht="22.5" customHeight="1" x14ac:dyDescent="0.2">
      <c r="A10" s="124" t="s">
        <v>112</v>
      </c>
      <c r="B10" s="124"/>
      <c r="C10" s="124"/>
      <c r="D10" s="124"/>
      <c r="E10" s="135" t="s">
        <v>375</v>
      </c>
      <c r="F10" s="136"/>
      <c r="G10" s="136"/>
      <c r="H10" s="111" t="s">
        <v>376</v>
      </c>
      <c r="I10" s="111"/>
      <c r="J10" s="111"/>
      <c r="K10" s="111"/>
      <c r="L10" s="111"/>
      <c r="M10" s="9"/>
      <c r="N10" s="84"/>
      <c r="O10" s="85"/>
      <c r="P10" s="84"/>
      <c r="Q10" s="85"/>
      <c r="R10" s="84"/>
      <c r="S10" s="85"/>
      <c r="T10" s="84"/>
      <c r="U10" s="85"/>
      <c r="V10" s="84"/>
      <c r="W10" s="85"/>
      <c r="X10" s="84"/>
      <c r="Y10" s="88"/>
      <c r="Z10" s="88"/>
    </row>
    <row r="11" spans="1:26" ht="22.5" customHeight="1" x14ac:dyDescent="0.2">
      <c r="A11" s="124" t="s">
        <v>113</v>
      </c>
      <c r="B11" s="124"/>
      <c r="C11" s="124"/>
      <c r="D11" s="124"/>
      <c r="E11" s="134" t="s">
        <v>220</v>
      </c>
      <c r="F11" s="134"/>
      <c r="G11" s="134"/>
      <c r="H11" s="134"/>
      <c r="I11" s="111" t="s">
        <v>114</v>
      </c>
      <c r="J11" s="111"/>
      <c r="K11" s="111"/>
      <c r="L11" s="111"/>
      <c r="M11" s="9"/>
      <c r="N11" s="84"/>
      <c r="O11" s="85"/>
      <c r="P11" s="84"/>
      <c r="Q11" s="85"/>
      <c r="R11" s="84"/>
      <c r="S11" s="85"/>
      <c r="T11" s="84"/>
      <c r="U11" s="85"/>
      <c r="V11" s="84"/>
      <c r="W11" s="85"/>
      <c r="X11" s="84"/>
      <c r="Y11" s="88"/>
      <c r="Z11" s="88"/>
    </row>
    <row r="12" spans="1:26" ht="21.75" customHeight="1" x14ac:dyDescent="0.2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9"/>
      <c r="N12" s="84"/>
      <c r="O12" s="85"/>
      <c r="P12" s="84"/>
      <c r="Q12" s="85"/>
      <c r="R12" s="84"/>
      <c r="S12" s="85"/>
      <c r="T12" s="84"/>
      <c r="U12" s="85"/>
      <c r="V12" s="84"/>
      <c r="W12" s="85"/>
      <c r="X12" s="84"/>
      <c r="Y12" s="88"/>
      <c r="Z12" s="88"/>
    </row>
    <row r="13" spans="1:26" ht="21.75" customHeight="1" x14ac:dyDescent="0.2">
      <c r="A13" s="171" t="s">
        <v>50</v>
      </c>
      <c r="B13" s="156" t="s">
        <v>56</v>
      </c>
      <c r="C13" s="157"/>
      <c r="D13" s="165" t="s">
        <v>190</v>
      </c>
      <c r="E13" s="166"/>
      <c r="F13" s="156" t="s">
        <v>59</v>
      </c>
      <c r="G13" s="157"/>
      <c r="H13" s="40" t="s">
        <v>190</v>
      </c>
      <c r="I13" s="168" t="s">
        <v>5</v>
      </c>
      <c r="J13" s="156" t="s">
        <v>60</v>
      </c>
      <c r="K13" s="171"/>
      <c r="L13" s="41" t="s">
        <v>65</v>
      </c>
      <c r="M13" s="9"/>
      <c r="N13" s="84"/>
      <c r="O13" s="85"/>
      <c r="P13" s="84"/>
      <c r="Q13" s="85"/>
      <c r="R13" s="84"/>
      <c r="S13" s="85"/>
      <c r="T13" s="84"/>
      <c r="U13" s="85"/>
      <c r="V13" s="84"/>
      <c r="W13" s="85"/>
      <c r="X13" s="84"/>
      <c r="Y13" s="88"/>
      <c r="Z13" s="88"/>
    </row>
    <row r="14" spans="1:26" ht="21.75" customHeight="1" x14ac:dyDescent="0.2">
      <c r="A14" s="172"/>
      <c r="B14" s="158" t="s">
        <v>57</v>
      </c>
      <c r="C14" s="159"/>
      <c r="D14" s="160" t="s">
        <v>194</v>
      </c>
      <c r="E14" s="161"/>
      <c r="F14" s="158" t="s">
        <v>57</v>
      </c>
      <c r="G14" s="159"/>
      <c r="H14" s="42" t="s">
        <v>194</v>
      </c>
      <c r="I14" s="169"/>
      <c r="J14" s="158" t="s">
        <v>61</v>
      </c>
      <c r="K14" s="172"/>
      <c r="L14" s="41" t="s">
        <v>66</v>
      </c>
      <c r="M14" s="9"/>
      <c r="N14" s="84"/>
      <c r="O14" s="85"/>
      <c r="P14" s="84"/>
      <c r="Q14" s="85"/>
      <c r="R14" s="84"/>
      <c r="S14" s="85"/>
      <c r="T14" s="84"/>
      <c r="U14" s="85"/>
      <c r="V14" s="84"/>
      <c r="W14" s="85"/>
      <c r="X14" s="84"/>
      <c r="Y14" s="88"/>
      <c r="Z14" s="88"/>
    </row>
    <row r="15" spans="1:26" ht="21.75" customHeight="1" x14ac:dyDescent="0.2">
      <c r="A15" s="172"/>
      <c r="B15" s="162" t="s">
        <v>58</v>
      </c>
      <c r="C15" s="163"/>
      <c r="D15" s="175">
        <v>36000</v>
      </c>
      <c r="E15" s="176"/>
      <c r="F15" s="162" t="s">
        <v>58</v>
      </c>
      <c r="G15" s="163"/>
      <c r="H15" s="43">
        <v>36000</v>
      </c>
      <c r="I15" s="169"/>
      <c r="J15" s="162" t="s">
        <v>62</v>
      </c>
      <c r="K15" s="173"/>
      <c r="L15" s="41" t="s">
        <v>67</v>
      </c>
      <c r="M15" s="9"/>
      <c r="N15" s="84"/>
      <c r="O15" s="85"/>
      <c r="P15" s="84"/>
      <c r="Q15" s="85"/>
      <c r="R15" s="84"/>
      <c r="S15" s="85"/>
      <c r="T15" s="84"/>
      <c r="U15" s="85"/>
      <c r="V15" s="84"/>
      <c r="W15" s="85"/>
      <c r="X15" s="84"/>
      <c r="Y15" s="88"/>
      <c r="Z15" s="88"/>
    </row>
    <row r="16" spans="1:26" ht="21.75" customHeight="1" x14ac:dyDescent="0.2">
      <c r="A16" s="172"/>
      <c r="B16" s="44" t="s">
        <v>51</v>
      </c>
      <c r="C16" s="44" t="s">
        <v>53</v>
      </c>
      <c r="D16" s="44" t="s">
        <v>54</v>
      </c>
      <c r="E16" s="127"/>
      <c r="F16" s="44" t="s">
        <v>51</v>
      </c>
      <c r="G16" s="44" t="s">
        <v>53</v>
      </c>
      <c r="H16" s="45" t="s">
        <v>54</v>
      </c>
      <c r="I16" s="169"/>
      <c r="J16" s="127" t="s">
        <v>63</v>
      </c>
      <c r="K16" s="127" t="s">
        <v>64</v>
      </c>
      <c r="L16" s="41" t="s">
        <v>68</v>
      </c>
      <c r="M16" s="9"/>
      <c r="N16" s="84"/>
      <c r="O16" s="85"/>
      <c r="P16" s="84"/>
      <c r="Q16" s="85"/>
      <c r="R16" s="84"/>
      <c r="S16" s="85"/>
      <c r="T16" s="84"/>
      <c r="U16" s="85"/>
      <c r="V16" s="84"/>
      <c r="W16" s="85"/>
      <c r="X16" s="84"/>
      <c r="Y16" s="88"/>
      <c r="Z16" s="88"/>
    </row>
    <row r="17" spans="1:26" ht="21.75" customHeight="1" x14ac:dyDescent="0.2">
      <c r="A17" s="173"/>
      <c r="B17" s="44" t="s">
        <v>52</v>
      </c>
      <c r="C17" s="46" t="s">
        <v>51</v>
      </c>
      <c r="D17" s="46" t="s">
        <v>55</v>
      </c>
      <c r="E17" s="174"/>
      <c r="F17" s="46" t="s">
        <v>52</v>
      </c>
      <c r="G17" s="46" t="s">
        <v>51</v>
      </c>
      <c r="H17" s="48" t="s">
        <v>55</v>
      </c>
      <c r="I17" s="170"/>
      <c r="J17" s="128"/>
      <c r="K17" s="128"/>
      <c r="L17" s="41" t="s">
        <v>69</v>
      </c>
      <c r="M17" s="103" t="s">
        <v>92</v>
      </c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spans="1:26" ht="23.25" customHeight="1" x14ac:dyDescent="0.2">
      <c r="A18" s="49" t="s">
        <v>7</v>
      </c>
      <c r="B18" s="82">
        <v>3351.4645</v>
      </c>
      <c r="C18" s="25"/>
      <c r="D18" s="24"/>
      <c r="E18" s="81"/>
      <c r="F18" s="82">
        <v>1873.8686</v>
      </c>
      <c r="G18" s="51"/>
      <c r="H18" s="50"/>
      <c r="I18" s="52"/>
      <c r="J18" s="39"/>
      <c r="K18" s="79"/>
      <c r="L18" s="66"/>
      <c r="M18" s="100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1" t="s">
        <v>91</v>
      </c>
      <c r="X18" s="104"/>
      <c r="Y18" s="104"/>
      <c r="Z18" s="104"/>
    </row>
    <row r="19" spans="1:26" ht="23.25" customHeight="1" x14ac:dyDescent="0.2">
      <c r="A19" s="49" t="s">
        <v>8</v>
      </c>
      <c r="B19" s="82">
        <v>3351.4794000000002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1.4900000000125146E-2</v>
      </c>
      <c r="D19" s="24">
        <f t="shared" ref="D19:D42" si="1">IF(C19="","",C19*$D$15)</f>
        <v>536.40000000450527</v>
      </c>
      <c r="E19" s="81"/>
      <c r="F19" s="82">
        <v>1873.8821</v>
      </c>
      <c r="G19" s="51">
        <f>F19-ReportObject11_3</f>
        <v>1.3500000000021828E-2</v>
      </c>
      <c r="H19" s="50">
        <f t="shared" ref="H19:H42" si="2">IF(G19="","",G19*$H$15)</f>
        <v>486.0000000007858</v>
      </c>
      <c r="I19" s="52">
        <f t="shared" ref="I19:I42" si="3">IF(H19="","",IF(D19="","",IF(AND(H19=0,D19=0),0,H19/D19)))</f>
        <v>0.90604026845023089</v>
      </c>
      <c r="J19" s="39"/>
      <c r="K19" s="83">
        <v>6.3400780000000001</v>
      </c>
      <c r="L19" s="66"/>
      <c r="M19" s="95"/>
      <c r="N19" s="89"/>
      <c r="O19" s="89"/>
      <c r="P19" s="89"/>
      <c r="Q19" s="89" t="s">
        <v>108</v>
      </c>
      <c r="R19" s="89"/>
      <c r="S19" s="89"/>
      <c r="T19" s="89"/>
      <c r="U19" s="89"/>
      <c r="V19" s="89"/>
      <c r="W19" s="90"/>
      <c r="X19" s="99"/>
      <c r="Y19" s="99"/>
      <c r="Z19" s="99"/>
    </row>
    <row r="20" spans="1:26" ht="23.25" customHeight="1" x14ac:dyDescent="0.2">
      <c r="A20" s="49" t="s">
        <v>9</v>
      </c>
      <c r="B20" s="82">
        <v>3351.4942000000001</v>
      </c>
      <c r="C20" s="25">
        <f t="shared" si="0"/>
        <v>1.4799999999922875E-2</v>
      </c>
      <c r="D20" s="24">
        <f t="shared" si="1"/>
        <v>532.79999999722349</v>
      </c>
      <c r="E20" s="81"/>
      <c r="F20" s="82">
        <v>1873.8958</v>
      </c>
      <c r="G20" s="51">
        <f>F20-F19</f>
        <v>1.3699999999971624E-2</v>
      </c>
      <c r="H20" s="50">
        <f t="shared" si="2"/>
        <v>493.19999999897846</v>
      </c>
      <c r="I20" s="52">
        <f t="shared" si="3"/>
        <v>0.92567567567858222</v>
      </c>
      <c r="J20" s="39"/>
      <c r="K20" s="83">
        <v>6.3716559999999998</v>
      </c>
      <c r="L20" s="66"/>
      <c r="M20" s="95" t="s">
        <v>80</v>
      </c>
      <c r="N20" s="89" t="s">
        <v>99</v>
      </c>
      <c r="O20" s="89"/>
      <c r="P20" s="89"/>
      <c r="Q20" s="89" t="s">
        <v>181</v>
      </c>
      <c r="R20" s="89"/>
      <c r="S20" s="89"/>
      <c r="T20" s="89" t="s">
        <v>94</v>
      </c>
      <c r="U20" s="89"/>
      <c r="V20" s="89"/>
      <c r="W20" s="90"/>
      <c r="X20" s="99"/>
      <c r="Y20" s="99"/>
      <c r="Z20" s="99"/>
    </row>
    <row r="21" spans="1:26" ht="23.25" customHeight="1" x14ac:dyDescent="0.2">
      <c r="A21" s="49" t="s">
        <v>10</v>
      </c>
      <c r="B21" s="82">
        <v>3351.5092</v>
      </c>
      <c r="C21" s="25">
        <f t="shared" si="0"/>
        <v>1.4999999999872671E-2</v>
      </c>
      <c r="D21" s="24">
        <f t="shared" si="1"/>
        <v>539.99999999541615</v>
      </c>
      <c r="E21" s="81"/>
      <c r="F21" s="82">
        <v>1873.9096</v>
      </c>
      <c r="G21" s="51">
        <f t="shared" ref="G21:G42" si="4">F21-F20</f>
        <v>1.3799999999946522E-2</v>
      </c>
      <c r="H21" s="50">
        <f t="shared" si="2"/>
        <v>496.79999999807478</v>
      </c>
      <c r="I21" s="52">
        <f t="shared" si="3"/>
        <v>0.92000000000424431</v>
      </c>
      <c r="J21" s="39"/>
      <c r="K21" s="83">
        <v>6.3763909999999999</v>
      </c>
      <c r="L21" s="66"/>
      <c r="M21" s="96"/>
      <c r="N21" s="91"/>
      <c r="O21" s="91"/>
      <c r="P21" s="91"/>
      <c r="Q21" s="91"/>
      <c r="R21" s="91"/>
      <c r="S21" s="91"/>
      <c r="T21" s="91"/>
      <c r="U21" s="91"/>
      <c r="V21" s="91"/>
      <c r="W21" s="92"/>
      <c r="X21" s="103"/>
      <c r="Y21" s="103"/>
      <c r="Z21" s="103"/>
    </row>
    <row r="22" spans="1:26" ht="23.25" customHeight="1" x14ac:dyDescent="0.2">
      <c r="A22" s="49" t="s">
        <v>11</v>
      </c>
      <c r="B22" s="82">
        <v>3351.5239000000001</v>
      </c>
      <c r="C22" s="25">
        <f t="shared" si="0"/>
        <v>1.4700000000175351E-2</v>
      </c>
      <c r="D22" s="24">
        <f t="shared" si="1"/>
        <v>529.20000000631262</v>
      </c>
      <c r="E22" s="81"/>
      <c r="F22" s="82">
        <v>1873.9235000000001</v>
      </c>
      <c r="G22" s="51">
        <f t="shared" si="4"/>
        <v>1.3900000000148793E-2</v>
      </c>
      <c r="H22" s="50">
        <f t="shared" si="2"/>
        <v>500.40000000535656</v>
      </c>
      <c r="I22" s="52">
        <f t="shared" si="3"/>
        <v>0.94557823129135954</v>
      </c>
      <c r="J22" s="39"/>
      <c r="K22" s="83">
        <v>6.4022110000000003</v>
      </c>
      <c r="L22" s="66"/>
      <c r="M22" s="9"/>
      <c r="N22" s="97" t="s">
        <v>170</v>
      </c>
      <c r="O22" s="97"/>
      <c r="P22" s="97"/>
      <c r="Q22" s="97" t="s">
        <v>171</v>
      </c>
      <c r="R22" s="97"/>
      <c r="S22" s="97"/>
      <c r="T22" s="97" t="s">
        <v>172</v>
      </c>
      <c r="U22" s="97"/>
      <c r="V22" s="97"/>
      <c r="W22" s="84"/>
      <c r="X22" s="88"/>
      <c r="Y22" s="88"/>
      <c r="Z22" s="88"/>
    </row>
    <row r="23" spans="1:26" ht="23.25" customHeight="1" x14ac:dyDescent="0.2">
      <c r="A23" s="49" t="s">
        <v>12</v>
      </c>
      <c r="B23" s="82">
        <v>3351.5385000000001</v>
      </c>
      <c r="C23" s="25">
        <f t="shared" si="0"/>
        <v>1.4599999999973079E-2</v>
      </c>
      <c r="D23" s="24">
        <f t="shared" si="1"/>
        <v>525.59999999903084</v>
      </c>
      <c r="E23" s="81"/>
      <c r="F23" s="82">
        <v>1873.9374</v>
      </c>
      <c r="G23" s="51">
        <f t="shared" si="4"/>
        <v>1.389999999992142E-2</v>
      </c>
      <c r="H23" s="50">
        <f t="shared" si="2"/>
        <v>500.39999999717111</v>
      </c>
      <c r="I23" s="52">
        <f t="shared" si="3"/>
        <v>0.95205479451692121</v>
      </c>
      <c r="J23" s="39"/>
      <c r="K23" s="83">
        <v>6.1113980000000003</v>
      </c>
      <c r="L23" s="66"/>
      <c r="M23" s="9"/>
      <c r="N23" s="97"/>
      <c r="O23" s="97"/>
      <c r="P23" s="97"/>
      <c r="Q23" s="102"/>
      <c r="R23" s="102"/>
      <c r="S23" s="102"/>
      <c r="T23" s="97"/>
      <c r="U23" s="97"/>
      <c r="V23" s="97"/>
      <c r="W23" s="84"/>
      <c r="X23" s="88"/>
      <c r="Y23" s="88"/>
      <c r="Z23" s="88"/>
    </row>
    <row r="24" spans="1:26" ht="23.25" customHeight="1" x14ac:dyDescent="0.2">
      <c r="A24" s="49" t="s">
        <v>13</v>
      </c>
      <c r="B24" s="82">
        <v>3351.5545000000002</v>
      </c>
      <c r="C24" s="25">
        <f t="shared" si="0"/>
        <v>1.6000000000076398E-2</v>
      </c>
      <c r="D24" s="24">
        <f t="shared" si="1"/>
        <v>576.00000000275031</v>
      </c>
      <c r="E24" s="81"/>
      <c r="F24" s="82">
        <v>1873.9521999999999</v>
      </c>
      <c r="G24" s="51">
        <f t="shared" si="4"/>
        <v>1.4799999999922875E-2</v>
      </c>
      <c r="H24" s="50">
        <f t="shared" si="2"/>
        <v>532.79999999722349</v>
      </c>
      <c r="I24" s="52">
        <f t="shared" si="3"/>
        <v>0.92499999999076299</v>
      </c>
      <c r="J24" s="39"/>
      <c r="K24" s="83">
        <v>6.4212359999999995</v>
      </c>
      <c r="L24" s="66"/>
      <c r="M24" s="9"/>
      <c r="N24" s="97"/>
      <c r="O24" s="97"/>
      <c r="P24" s="97"/>
      <c r="Q24" s="97"/>
      <c r="R24" s="97"/>
      <c r="S24" s="97"/>
      <c r="T24" s="97"/>
      <c r="U24" s="97"/>
      <c r="V24" s="97"/>
      <c r="W24" s="84"/>
      <c r="X24" s="88"/>
      <c r="Y24" s="88"/>
      <c r="Z24" s="88"/>
    </row>
    <row r="25" spans="1:26" ht="23.25" customHeight="1" x14ac:dyDescent="0.2">
      <c r="A25" s="49" t="s">
        <v>14</v>
      </c>
      <c r="B25" s="82">
        <v>3351.5722000000001</v>
      </c>
      <c r="C25" s="25">
        <f t="shared" si="0"/>
        <v>1.7699999999877036E-2</v>
      </c>
      <c r="D25" s="24">
        <f t="shared" si="1"/>
        <v>637.19999999557331</v>
      </c>
      <c r="E25" s="81"/>
      <c r="F25" s="82">
        <v>1873.9679000000001</v>
      </c>
      <c r="G25" s="51">
        <f t="shared" si="4"/>
        <v>1.5700000000151704E-2</v>
      </c>
      <c r="H25" s="50">
        <f t="shared" si="2"/>
        <v>565.20000000546133</v>
      </c>
      <c r="I25" s="52">
        <f t="shared" si="3"/>
        <v>0.88700564973224705</v>
      </c>
      <c r="J25" s="39"/>
      <c r="K25" s="83">
        <v>6.3835290000000002</v>
      </c>
      <c r="L25" s="66"/>
      <c r="M25" s="9"/>
      <c r="N25" s="97"/>
      <c r="O25" s="97"/>
      <c r="P25" s="97"/>
      <c r="Q25" s="97"/>
      <c r="R25" s="97"/>
      <c r="S25" s="97"/>
      <c r="T25" s="97"/>
      <c r="U25" s="97"/>
      <c r="V25" s="97"/>
      <c r="W25" s="84"/>
      <c r="X25" s="88"/>
      <c r="Y25" s="88"/>
      <c r="Z25" s="88"/>
    </row>
    <row r="26" spans="1:26" ht="23.25" customHeight="1" x14ac:dyDescent="0.2">
      <c r="A26" s="49" t="s">
        <v>15</v>
      </c>
      <c r="B26" s="82">
        <v>3351.5898000000002</v>
      </c>
      <c r="C26" s="25">
        <f t="shared" si="0"/>
        <v>1.7600000000129512E-2</v>
      </c>
      <c r="D26" s="24">
        <f t="shared" si="1"/>
        <v>633.60000000466243</v>
      </c>
      <c r="E26" s="81"/>
      <c r="F26" s="82">
        <v>1873.9828</v>
      </c>
      <c r="G26" s="51">
        <f t="shared" si="4"/>
        <v>1.4899999999897773E-2</v>
      </c>
      <c r="H26" s="50">
        <f t="shared" si="2"/>
        <v>536.39999999631982</v>
      </c>
      <c r="I26" s="52">
        <f t="shared" si="3"/>
        <v>0.84659090907887102</v>
      </c>
      <c r="J26" s="39"/>
      <c r="K26" s="83">
        <v>6.307372</v>
      </c>
      <c r="L26" s="66"/>
      <c r="M26" s="9"/>
      <c r="N26" s="97"/>
      <c r="O26" s="97"/>
      <c r="P26" s="97"/>
      <c r="Q26" s="97"/>
      <c r="R26" s="97"/>
      <c r="S26" s="97"/>
      <c r="T26" s="97"/>
      <c r="U26" s="97"/>
      <c r="V26" s="97"/>
      <c r="W26" s="84"/>
      <c r="X26" s="88"/>
      <c r="Y26" s="88"/>
      <c r="Z26" s="88"/>
    </row>
    <row r="27" spans="1:26" ht="23.25" customHeight="1" x14ac:dyDescent="0.2">
      <c r="A27" s="49" t="s">
        <v>16</v>
      </c>
      <c r="B27" s="82">
        <v>3351.6069000000002</v>
      </c>
      <c r="C27" s="25">
        <f t="shared" si="0"/>
        <v>1.7100000000027649E-2</v>
      </c>
      <c r="D27" s="24">
        <f t="shared" si="1"/>
        <v>615.60000000099535</v>
      </c>
      <c r="E27" s="81"/>
      <c r="F27" s="82">
        <v>1873.9965</v>
      </c>
      <c r="G27" s="51">
        <f t="shared" si="4"/>
        <v>1.3699999999971624E-2</v>
      </c>
      <c r="H27" s="50">
        <f t="shared" si="2"/>
        <v>493.19999999897846</v>
      </c>
      <c r="I27" s="52">
        <f t="shared" si="3"/>
        <v>0.80116959064032001</v>
      </c>
      <c r="J27" s="39"/>
      <c r="K27" s="83">
        <v>6.1862539999999999</v>
      </c>
      <c r="L27" s="66"/>
      <c r="M27" s="9"/>
      <c r="N27" s="97"/>
      <c r="O27" s="97"/>
      <c r="P27" s="97"/>
      <c r="Q27" s="97"/>
      <c r="R27" s="97"/>
      <c r="S27" s="97"/>
      <c r="T27" s="97"/>
      <c r="U27" s="97"/>
      <c r="V27" s="97"/>
      <c r="W27" s="84"/>
      <c r="X27" s="88"/>
      <c r="Y27" s="88"/>
      <c r="Z27" s="88"/>
    </row>
    <row r="28" spans="1:26" ht="23.25" customHeight="1" x14ac:dyDescent="0.2">
      <c r="A28" s="49" t="s">
        <v>17</v>
      </c>
      <c r="B28" s="82">
        <v>3351.6239999999998</v>
      </c>
      <c r="C28" s="25">
        <f t="shared" si="0"/>
        <v>1.7099999999572901E-2</v>
      </c>
      <c r="D28" s="24">
        <f t="shared" si="1"/>
        <v>615.59999998462445</v>
      </c>
      <c r="E28" s="81"/>
      <c r="F28" s="82">
        <v>1874.0099</v>
      </c>
      <c r="G28" s="51">
        <f t="shared" si="4"/>
        <v>1.340000000004693E-2</v>
      </c>
      <c r="H28" s="50">
        <f t="shared" si="2"/>
        <v>482.40000000168948</v>
      </c>
      <c r="I28" s="52">
        <f t="shared" si="3"/>
        <v>0.78362573101646871</v>
      </c>
      <c r="J28" s="39"/>
      <c r="K28" s="83">
        <v>6.1304610000000004</v>
      </c>
      <c r="L28" s="66"/>
      <c r="M28" s="9"/>
      <c r="N28" s="97"/>
      <c r="O28" s="97"/>
      <c r="P28" s="97"/>
      <c r="Q28" s="97"/>
      <c r="R28" s="97"/>
      <c r="S28" s="97"/>
      <c r="T28" s="97"/>
      <c r="U28" s="97"/>
      <c r="V28" s="97"/>
      <c r="W28" s="84"/>
      <c r="X28" s="88"/>
      <c r="Y28" s="88"/>
      <c r="Z28" s="88"/>
    </row>
    <row r="29" spans="1:26" ht="23.25" customHeight="1" x14ac:dyDescent="0.2">
      <c r="A29" s="49" t="s">
        <v>18</v>
      </c>
      <c r="B29" s="82">
        <v>3351.6410000000001</v>
      </c>
      <c r="C29" s="25">
        <f t="shared" si="0"/>
        <v>1.7000000000280124E-2</v>
      </c>
      <c r="D29" s="24">
        <f t="shared" si="1"/>
        <v>612.00000001008448</v>
      </c>
      <c r="E29" s="81"/>
      <c r="F29" s="82">
        <v>1874.0231000000001</v>
      </c>
      <c r="G29" s="51">
        <f t="shared" si="4"/>
        <v>1.3200000000097134E-2</v>
      </c>
      <c r="H29" s="50">
        <f t="shared" si="2"/>
        <v>475.20000000349683</v>
      </c>
      <c r="I29" s="52">
        <f t="shared" si="3"/>
        <v>0.77647058822821324</v>
      </c>
      <c r="J29" s="39"/>
      <c r="K29" s="83">
        <v>6.1134260000000005</v>
      </c>
      <c r="L29" s="66"/>
      <c r="M29" s="118" t="s">
        <v>95</v>
      </c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23.25" customHeight="1" x14ac:dyDescent="0.2">
      <c r="A30" s="49" t="s">
        <v>19</v>
      </c>
      <c r="B30" s="82">
        <v>3351.6581000000001</v>
      </c>
      <c r="C30" s="25">
        <f t="shared" si="0"/>
        <v>1.7100000000027649E-2</v>
      </c>
      <c r="D30" s="24">
        <f t="shared" si="1"/>
        <v>615.60000000099535</v>
      </c>
      <c r="E30" s="81"/>
      <c r="F30" s="82">
        <v>1874.0364999999999</v>
      </c>
      <c r="G30" s="51">
        <f t="shared" si="4"/>
        <v>1.3399999999819556E-2</v>
      </c>
      <c r="H30" s="50">
        <f t="shared" si="2"/>
        <v>482.39999999350403</v>
      </c>
      <c r="I30" s="52">
        <f t="shared" si="3"/>
        <v>0.78362573098233279</v>
      </c>
      <c r="J30" s="39"/>
      <c r="K30" s="83">
        <v>6.0534160000000004</v>
      </c>
      <c r="L30" s="66"/>
      <c r="M30" s="99" t="s">
        <v>97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23.25" customHeight="1" x14ac:dyDescent="0.2">
      <c r="A31" s="49" t="s">
        <v>20</v>
      </c>
      <c r="B31" s="82">
        <v>3351.6749</v>
      </c>
      <c r="C31" s="25">
        <f t="shared" si="0"/>
        <v>1.6799999999875581E-2</v>
      </c>
      <c r="D31" s="24">
        <f t="shared" si="1"/>
        <v>604.79999999552092</v>
      </c>
      <c r="E31" s="81"/>
      <c r="F31" s="82">
        <v>1874.0499</v>
      </c>
      <c r="G31" s="51">
        <f t="shared" si="4"/>
        <v>1.340000000004693E-2</v>
      </c>
      <c r="H31" s="50">
        <f t="shared" si="2"/>
        <v>482.40000000168948</v>
      </c>
      <c r="I31" s="52">
        <f t="shared" si="3"/>
        <v>0.79761904762774816</v>
      </c>
      <c r="J31" s="39"/>
      <c r="K31" s="83">
        <v>6.1639430000000006</v>
      </c>
      <c r="L31" s="66"/>
      <c r="M31" s="100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179</v>
      </c>
      <c r="W31" s="98"/>
      <c r="X31" s="98"/>
      <c r="Y31" s="98" t="s">
        <v>91</v>
      </c>
      <c r="Z31" s="101"/>
    </row>
    <row r="32" spans="1:26" ht="23.25" customHeight="1" x14ac:dyDescent="0.2">
      <c r="A32" s="49" t="s">
        <v>21</v>
      </c>
      <c r="B32" s="82">
        <v>3351.6894000000002</v>
      </c>
      <c r="C32" s="25">
        <f t="shared" si="0"/>
        <v>1.4500000000225555E-2</v>
      </c>
      <c r="D32" s="24">
        <f t="shared" si="1"/>
        <v>522.00000000811997</v>
      </c>
      <c r="E32" s="81"/>
      <c r="F32" s="82">
        <v>1874.0618999999999</v>
      </c>
      <c r="G32" s="51">
        <f t="shared" si="4"/>
        <v>1.1999999999943611E-2</v>
      </c>
      <c r="H32" s="50">
        <f t="shared" si="2"/>
        <v>431.99999999797001</v>
      </c>
      <c r="I32" s="52">
        <f t="shared" si="3"/>
        <v>0.82758620687978934</v>
      </c>
      <c r="J32" s="39"/>
      <c r="K32" s="83">
        <v>6.1232240000000004</v>
      </c>
      <c r="L32" s="66"/>
      <c r="M32" s="95"/>
      <c r="N32" s="89"/>
      <c r="O32" s="89"/>
      <c r="P32" s="89" t="s">
        <v>83</v>
      </c>
      <c r="Q32" s="89"/>
      <c r="R32" s="89" t="s">
        <v>102</v>
      </c>
      <c r="S32" s="89"/>
      <c r="T32" s="89" t="s">
        <v>104</v>
      </c>
      <c r="U32" s="89"/>
      <c r="V32" s="89" t="s">
        <v>105</v>
      </c>
      <c r="W32" s="89"/>
      <c r="X32" s="89"/>
      <c r="Y32" s="89"/>
      <c r="Z32" s="90"/>
    </row>
    <row r="33" spans="1:26" ht="23.25" customHeight="1" x14ac:dyDescent="0.2">
      <c r="A33" s="49" t="s">
        <v>22</v>
      </c>
      <c r="B33" s="82">
        <v>3351.7033999999999</v>
      </c>
      <c r="C33" s="25">
        <f t="shared" si="0"/>
        <v>1.3999999999668944E-2</v>
      </c>
      <c r="D33" s="24">
        <f t="shared" si="1"/>
        <v>503.99999998808198</v>
      </c>
      <c r="E33" s="81"/>
      <c r="F33" s="82">
        <v>1874.0735</v>
      </c>
      <c r="G33" s="51">
        <f t="shared" si="4"/>
        <v>1.160000000004402E-2</v>
      </c>
      <c r="H33" s="50">
        <f t="shared" si="2"/>
        <v>417.6000000015847</v>
      </c>
      <c r="I33" s="52">
        <f t="shared" si="3"/>
        <v>0.82857142859416599</v>
      </c>
      <c r="J33" s="39"/>
      <c r="K33" s="83">
        <v>6.1162150000000004</v>
      </c>
      <c r="L33" s="66"/>
      <c r="M33" s="95" t="s">
        <v>80</v>
      </c>
      <c r="N33" s="89" t="s">
        <v>99</v>
      </c>
      <c r="O33" s="89"/>
      <c r="P33" s="89" t="s">
        <v>101</v>
      </c>
      <c r="Q33" s="89"/>
      <c r="R33" s="89" t="s">
        <v>69</v>
      </c>
      <c r="S33" s="89"/>
      <c r="T33" s="89" t="s">
        <v>69</v>
      </c>
      <c r="U33" s="89"/>
      <c r="V33" s="89" t="s">
        <v>106</v>
      </c>
      <c r="W33" s="89"/>
      <c r="X33" s="89"/>
      <c r="Y33" s="89"/>
      <c r="Z33" s="90"/>
    </row>
    <row r="34" spans="1:26" ht="23.25" customHeight="1" x14ac:dyDescent="0.2">
      <c r="A34" s="49" t="s">
        <v>23</v>
      </c>
      <c r="B34" s="82">
        <v>3351.7172999999998</v>
      </c>
      <c r="C34" s="25">
        <f t="shared" si="0"/>
        <v>1.389999999992142E-2</v>
      </c>
      <c r="D34" s="24">
        <f t="shared" si="1"/>
        <v>500.39999999717111</v>
      </c>
      <c r="E34" s="81"/>
      <c r="F34" s="82">
        <v>1874.0852</v>
      </c>
      <c r="G34" s="51">
        <f t="shared" si="4"/>
        <v>1.1700000000018917E-2</v>
      </c>
      <c r="H34" s="50">
        <f t="shared" si="2"/>
        <v>421.20000000068103</v>
      </c>
      <c r="I34" s="52">
        <f t="shared" si="3"/>
        <v>0.84172661871115539</v>
      </c>
      <c r="J34" s="39"/>
      <c r="K34" s="83">
        <v>6.1379340000000004</v>
      </c>
      <c r="L34" s="66"/>
      <c r="M34" s="96"/>
      <c r="N34" s="91"/>
      <c r="O34" s="91"/>
      <c r="P34" s="91"/>
      <c r="Q34" s="91"/>
      <c r="R34" s="92"/>
      <c r="S34" s="96"/>
      <c r="T34" s="92"/>
      <c r="U34" s="96"/>
      <c r="V34" s="92"/>
      <c r="W34" s="103"/>
      <c r="X34" s="96"/>
      <c r="Y34" s="91"/>
      <c r="Z34" s="92"/>
    </row>
    <row r="35" spans="1:26" ht="23.25" customHeight="1" x14ac:dyDescent="0.2">
      <c r="A35" s="49" t="s">
        <v>24</v>
      </c>
      <c r="B35" s="82">
        <v>3351.7312999999999</v>
      </c>
      <c r="C35" s="25">
        <f t="shared" si="0"/>
        <v>1.4000000000123691E-2</v>
      </c>
      <c r="D35" s="24">
        <f t="shared" si="1"/>
        <v>504.00000000445289</v>
      </c>
      <c r="E35" s="81"/>
      <c r="F35" s="82">
        <v>1874.0971</v>
      </c>
      <c r="G35" s="51">
        <f t="shared" si="4"/>
        <v>1.1899999999968713E-2</v>
      </c>
      <c r="H35" s="50">
        <f t="shared" si="2"/>
        <v>428.39999999887368</v>
      </c>
      <c r="I35" s="52">
        <f t="shared" si="3"/>
        <v>0.84999999999025544</v>
      </c>
      <c r="J35" s="39"/>
      <c r="K35" s="83">
        <v>6.1765949999999998</v>
      </c>
      <c r="L35" s="66"/>
      <c r="M35" s="9"/>
      <c r="N35" s="97" t="s">
        <v>377</v>
      </c>
      <c r="O35" s="97"/>
      <c r="P35" s="97">
        <v>0.4</v>
      </c>
      <c r="Q35" s="97"/>
      <c r="R35" s="97">
        <v>80</v>
      </c>
      <c r="S35" s="97"/>
      <c r="T35" s="97"/>
      <c r="U35" s="97"/>
      <c r="V35" s="97"/>
      <c r="W35" s="97"/>
      <c r="X35" s="97"/>
      <c r="Y35" s="97"/>
      <c r="Z35" s="84"/>
    </row>
    <row r="36" spans="1:26" ht="23.25" customHeight="1" x14ac:dyDescent="0.2">
      <c r="A36" s="49" t="s">
        <v>25</v>
      </c>
      <c r="B36" s="82">
        <v>3351.7449000000001</v>
      </c>
      <c r="C36" s="25">
        <f t="shared" si="0"/>
        <v>1.3600000000224099E-2</v>
      </c>
      <c r="D36" s="24">
        <f t="shared" si="1"/>
        <v>489.60000000806758</v>
      </c>
      <c r="E36" s="81"/>
      <c r="F36" s="82">
        <v>1874.1088999999999</v>
      </c>
      <c r="G36" s="51">
        <f t="shared" si="4"/>
        <v>1.1799999999993815E-2</v>
      </c>
      <c r="H36" s="50">
        <f t="shared" si="2"/>
        <v>424.79999999977736</v>
      </c>
      <c r="I36" s="52">
        <f t="shared" si="3"/>
        <v>0.86764705880877768</v>
      </c>
      <c r="J36" s="39"/>
      <c r="K36" s="83">
        <v>6.1998490000000004</v>
      </c>
      <c r="L36" s="66"/>
      <c r="M36" s="9"/>
      <c r="N36" s="97"/>
      <c r="O36" s="97"/>
      <c r="P36" s="102"/>
      <c r="Q36" s="102"/>
      <c r="R36" s="97"/>
      <c r="S36" s="97"/>
      <c r="T36" s="97"/>
      <c r="U36" s="97"/>
      <c r="V36" s="97"/>
      <c r="W36" s="97"/>
      <c r="X36" s="97"/>
      <c r="Y36" s="97"/>
      <c r="Z36" s="84"/>
    </row>
    <row r="37" spans="1:26" ht="23.25" customHeight="1" x14ac:dyDescent="0.2">
      <c r="A37" s="49" t="s">
        <v>26</v>
      </c>
      <c r="B37" s="82">
        <v>3351.7592</v>
      </c>
      <c r="C37" s="25">
        <f t="shared" si="0"/>
        <v>1.4299999999821011E-2</v>
      </c>
      <c r="D37" s="24">
        <f t="shared" si="1"/>
        <v>514.79999999355641</v>
      </c>
      <c r="E37" s="81"/>
      <c r="F37" s="82">
        <v>1874.1213</v>
      </c>
      <c r="G37" s="51">
        <f t="shared" si="4"/>
        <v>1.2400000000070577E-2</v>
      </c>
      <c r="H37" s="50">
        <f t="shared" si="2"/>
        <v>446.40000000254076</v>
      </c>
      <c r="I37" s="52">
        <f t="shared" si="3"/>
        <v>0.86713286714865623</v>
      </c>
      <c r="J37" s="39"/>
      <c r="K37" s="83">
        <v>6.2264219999999995</v>
      </c>
      <c r="L37" s="66"/>
      <c r="M37" s="9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84"/>
    </row>
    <row r="38" spans="1:26" ht="23.25" customHeight="1" x14ac:dyDescent="0.2">
      <c r="A38" s="49" t="s">
        <v>27</v>
      </c>
      <c r="B38" s="82">
        <v>3351.7741000000001</v>
      </c>
      <c r="C38" s="25">
        <f t="shared" si="0"/>
        <v>1.4900000000125146E-2</v>
      </c>
      <c r="D38" s="24">
        <f t="shared" si="1"/>
        <v>536.40000000450527</v>
      </c>
      <c r="E38" s="81"/>
      <c r="F38" s="82">
        <v>1874.1343999999999</v>
      </c>
      <c r="G38" s="51">
        <f t="shared" si="4"/>
        <v>1.3099999999894862E-2</v>
      </c>
      <c r="H38" s="50">
        <f t="shared" si="2"/>
        <v>471.59999999621505</v>
      </c>
      <c r="I38" s="52">
        <f t="shared" si="3"/>
        <v>0.87919463085804261</v>
      </c>
      <c r="J38" s="39"/>
      <c r="K38" s="83">
        <v>6.1197910000000002</v>
      </c>
      <c r="L38" s="66"/>
      <c r="M38" s="9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84"/>
    </row>
    <row r="39" spans="1:26" ht="23.25" customHeight="1" x14ac:dyDescent="0.2">
      <c r="A39" s="49" t="s">
        <v>28</v>
      </c>
      <c r="B39" s="82">
        <v>3351.7887000000001</v>
      </c>
      <c r="C39" s="25">
        <f t="shared" si="0"/>
        <v>1.4599999999973079E-2</v>
      </c>
      <c r="D39" s="24">
        <f t="shared" si="1"/>
        <v>525.59999999903084</v>
      </c>
      <c r="E39" s="81"/>
      <c r="F39" s="82">
        <v>1874.1474000000001</v>
      </c>
      <c r="G39" s="51">
        <f t="shared" si="4"/>
        <v>1.3000000000147338E-2</v>
      </c>
      <c r="H39" s="50">
        <f t="shared" si="2"/>
        <v>468.00000000530417</v>
      </c>
      <c r="I39" s="52">
        <f t="shared" si="3"/>
        <v>0.8904109589158431</v>
      </c>
      <c r="J39" s="39"/>
      <c r="K39" s="83">
        <v>6.2799110000000002</v>
      </c>
      <c r="L39" s="66"/>
      <c r="M39" s="9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84"/>
    </row>
    <row r="40" spans="1:26" ht="23.25" customHeight="1" x14ac:dyDescent="0.2">
      <c r="A40" s="49" t="s">
        <v>29</v>
      </c>
      <c r="B40" s="82">
        <v>3351.8033999999998</v>
      </c>
      <c r="C40" s="25">
        <f t="shared" si="0"/>
        <v>1.4699999999720603E-2</v>
      </c>
      <c r="D40" s="24">
        <f t="shared" si="1"/>
        <v>529.19999998994172</v>
      </c>
      <c r="E40" s="81"/>
      <c r="F40" s="82">
        <v>1874.1603</v>
      </c>
      <c r="G40" s="51">
        <f t="shared" si="4"/>
        <v>1.2899999999945067E-2</v>
      </c>
      <c r="H40" s="50">
        <f t="shared" si="2"/>
        <v>464.39999999802239</v>
      </c>
      <c r="I40" s="52">
        <f t="shared" si="3"/>
        <v>0.87755102042110555</v>
      </c>
      <c r="J40" s="39"/>
      <c r="K40" s="83">
        <v>6.2458980000000004</v>
      </c>
      <c r="L40" s="66"/>
      <c r="M40" s="99" t="s">
        <v>109</v>
      </c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ht="23.25" customHeight="1" x14ac:dyDescent="0.2">
      <c r="A41" s="49" t="s">
        <v>30</v>
      </c>
      <c r="B41" s="82">
        <v>3351.8184999999999</v>
      </c>
      <c r="C41" s="25">
        <f t="shared" si="0"/>
        <v>1.5100000000074942E-2</v>
      </c>
      <c r="D41" s="24">
        <f t="shared" si="1"/>
        <v>543.60000000269793</v>
      </c>
      <c r="E41" s="81"/>
      <c r="F41" s="82">
        <v>1874.1732</v>
      </c>
      <c r="G41" s="51">
        <f t="shared" si="4"/>
        <v>1.2899999999945067E-2</v>
      </c>
      <c r="H41" s="50">
        <f t="shared" si="2"/>
        <v>464.39999999802239</v>
      </c>
      <c r="I41" s="52">
        <f t="shared" si="3"/>
        <v>0.85430463575371141</v>
      </c>
      <c r="J41" s="39"/>
      <c r="K41" s="83">
        <v>6.2302209999999993</v>
      </c>
      <c r="L41" s="66"/>
      <c r="M41" s="100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1"/>
    </row>
    <row r="42" spans="1:26" ht="23.25" customHeight="1" x14ac:dyDescent="0.2">
      <c r="A42" s="49" t="s">
        <v>31</v>
      </c>
      <c r="B42" s="82">
        <v>3351.8332</v>
      </c>
      <c r="C42" s="25">
        <f t="shared" si="0"/>
        <v>1.4700000000175351E-2</v>
      </c>
      <c r="D42" s="24">
        <f t="shared" si="1"/>
        <v>529.20000000631262</v>
      </c>
      <c r="E42" s="81"/>
      <c r="F42" s="82">
        <v>1874.1864</v>
      </c>
      <c r="G42" s="51">
        <f t="shared" si="4"/>
        <v>1.3200000000097134E-2</v>
      </c>
      <c r="H42" s="50">
        <f t="shared" si="2"/>
        <v>475.20000000349683</v>
      </c>
      <c r="I42" s="52">
        <f t="shared" si="3"/>
        <v>0.89795918366936578</v>
      </c>
      <c r="J42" s="39"/>
      <c r="K42" s="83">
        <v>6.2690010000000003</v>
      </c>
      <c r="L42" s="66"/>
      <c r="M42" s="95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90"/>
    </row>
    <row r="43" spans="1:26" ht="22.5" customHeight="1" x14ac:dyDescent="0.2">
      <c r="A43" s="167" t="s">
        <v>70</v>
      </c>
      <c r="B43" s="167"/>
      <c r="C43" s="167"/>
      <c r="D43" s="50">
        <f>SUM(D18:D42)</f>
        <v>13273.199999999633</v>
      </c>
      <c r="E43" s="39"/>
      <c r="F43" s="54"/>
      <c r="G43" s="60"/>
      <c r="H43" s="50">
        <f>SUM(H18:H42)</f>
        <v>11440.800000001218</v>
      </c>
      <c r="I43" s="52">
        <f>IF(AND(H43=0,D43=0),0,H43/D43)</f>
        <v>0.8619473826960744</v>
      </c>
      <c r="J43" s="39"/>
      <c r="K43" s="39"/>
      <c r="L43" s="66"/>
      <c r="M43" s="95" t="s">
        <v>80</v>
      </c>
      <c r="N43" s="89" t="s">
        <v>99</v>
      </c>
      <c r="O43" s="89"/>
      <c r="P43" s="89" t="s">
        <v>110</v>
      </c>
      <c r="Q43" s="89"/>
      <c r="R43" s="89"/>
      <c r="S43" s="89"/>
      <c r="T43" s="89"/>
      <c r="U43" s="89"/>
      <c r="V43" s="89"/>
      <c r="W43" s="89"/>
      <c r="X43" s="89" t="s">
        <v>110</v>
      </c>
      <c r="Y43" s="89"/>
      <c r="Z43" s="90"/>
    </row>
    <row r="44" spans="1:26" ht="22.5" customHeight="1" x14ac:dyDescent="0.2">
      <c r="A44" s="164" t="s">
        <v>71</v>
      </c>
      <c r="B44" s="164"/>
      <c r="C44" s="164"/>
      <c r="D44" s="39"/>
      <c r="E44" s="39"/>
      <c r="F44" s="54"/>
      <c r="G44" s="39"/>
      <c r="H44" s="39"/>
      <c r="I44" s="39"/>
      <c r="J44" s="39"/>
      <c r="K44" s="39"/>
      <c r="L44" s="66"/>
      <c r="M44" s="96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2"/>
    </row>
    <row r="45" spans="1:26" ht="22.5" customHeight="1" x14ac:dyDescent="0.2">
      <c r="A45" s="64"/>
      <c r="B45" s="67"/>
      <c r="C45" s="67"/>
      <c r="D45" s="67"/>
      <c r="E45" s="67"/>
      <c r="F45" s="67"/>
      <c r="G45" s="67"/>
      <c r="H45" s="67"/>
      <c r="I45" s="67"/>
      <c r="J45" s="68"/>
      <c r="K45" s="68"/>
      <c r="L45" s="68"/>
      <c r="M45" s="9"/>
      <c r="N45" s="84"/>
      <c r="O45" s="85"/>
      <c r="P45" s="84"/>
      <c r="Q45" s="88"/>
      <c r="R45" s="85"/>
      <c r="S45" s="7"/>
      <c r="T45" s="84"/>
      <c r="U45" s="88"/>
      <c r="V45" s="88"/>
      <c r="W45" s="85"/>
      <c r="X45" s="84"/>
      <c r="Y45" s="88"/>
      <c r="Z45" s="88"/>
    </row>
    <row r="46" spans="1:26" ht="22.5" customHeight="1" x14ac:dyDescent="0.2">
      <c r="A46" s="183" t="s">
        <v>72</v>
      </c>
      <c r="B46" s="183"/>
      <c r="C46" s="183"/>
      <c r="D46" s="183"/>
      <c r="E46" s="183"/>
      <c r="F46" s="183"/>
      <c r="G46" s="184" t="s">
        <v>73</v>
      </c>
      <c r="H46" s="184"/>
      <c r="I46" s="184"/>
      <c r="J46" s="184"/>
      <c r="K46" s="184"/>
      <c r="L46" s="184"/>
      <c r="M46" s="9"/>
      <c r="N46" s="84"/>
      <c r="O46" s="85"/>
      <c r="P46" s="84"/>
      <c r="Q46" s="88"/>
      <c r="R46" s="85"/>
      <c r="S46" s="7"/>
      <c r="T46" s="84"/>
      <c r="U46" s="88"/>
      <c r="V46" s="88"/>
      <c r="W46" s="85"/>
      <c r="X46" s="84"/>
      <c r="Y46" s="88"/>
      <c r="Z46" s="88"/>
    </row>
    <row r="47" spans="1:26" ht="22.5" customHeight="1" x14ac:dyDescent="0.2">
      <c r="A47" s="117" t="s">
        <v>371</v>
      </c>
      <c r="B47" s="117"/>
      <c r="C47" s="117"/>
      <c r="D47" s="108" t="s">
        <v>74</v>
      </c>
      <c r="E47" s="108"/>
      <c r="F47" s="108"/>
      <c r="G47" s="67"/>
      <c r="H47" s="67"/>
      <c r="I47" s="67"/>
      <c r="J47" s="67"/>
      <c r="K47" s="67"/>
      <c r="L47" s="67"/>
      <c r="M47" s="9"/>
      <c r="N47" s="84"/>
      <c r="O47" s="85"/>
      <c r="P47" s="84"/>
      <c r="Q47" s="88"/>
      <c r="R47" s="85"/>
      <c r="S47" s="7"/>
      <c r="T47" s="84"/>
      <c r="U47" s="88"/>
      <c r="V47" s="88"/>
      <c r="W47" s="85"/>
      <c r="X47" s="84"/>
      <c r="Y47" s="88"/>
      <c r="Z47" s="88"/>
    </row>
    <row r="48" spans="1:26" ht="22.5" customHeight="1" x14ac:dyDescent="0.2">
      <c r="A48" s="148" t="s">
        <v>75</v>
      </c>
      <c r="B48" s="148"/>
      <c r="C48" s="148"/>
      <c r="D48" s="147" t="s">
        <v>76</v>
      </c>
      <c r="E48" s="147"/>
      <c r="F48" s="147"/>
      <c r="G48" s="64"/>
      <c r="H48" s="64"/>
      <c r="I48" s="64"/>
      <c r="J48" s="64"/>
      <c r="K48" s="64"/>
      <c r="L48" s="64"/>
    </row>
    <row r="49" spans="1:23" ht="22.5" customHeight="1" x14ac:dyDescent="0.2">
      <c r="A49" s="117" t="s">
        <v>372</v>
      </c>
      <c r="B49" s="117"/>
      <c r="C49" s="117"/>
      <c r="D49" s="108" t="s">
        <v>74</v>
      </c>
      <c r="E49" s="108"/>
      <c r="F49" s="108"/>
      <c r="G49" s="64"/>
      <c r="H49" s="155" t="s">
        <v>183</v>
      </c>
      <c r="I49" s="155"/>
      <c r="J49" s="155"/>
      <c r="K49" s="183" t="s">
        <v>77</v>
      </c>
      <c r="L49" s="183"/>
      <c r="N49" s="150" t="s">
        <v>150</v>
      </c>
      <c r="O49" s="150"/>
      <c r="P49" s="150"/>
      <c r="Q49" s="149" t="s">
        <v>370</v>
      </c>
      <c r="R49" s="149"/>
      <c r="S49" s="149"/>
      <c r="T49" s="149"/>
      <c r="U49" s="149"/>
      <c r="V49" s="149"/>
      <c r="W49" s="1"/>
    </row>
    <row r="50" spans="1:23" ht="22.5" customHeight="1" x14ac:dyDescent="0.2">
      <c r="A50" s="148" t="s">
        <v>75</v>
      </c>
      <c r="B50" s="148"/>
      <c r="C50" s="148"/>
      <c r="D50" s="147" t="s">
        <v>76</v>
      </c>
      <c r="E50" s="147"/>
      <c r="F50" s="147"/>
      <c r="G50" s="64"/>
      <c r="H50" s="185" t="s">
        <v>75</v>
      </c>
      <c r="I50" s="185"/>
      <c r="J50" s="185"/>
      <c r="K50" s="185" t="s">
        <v>76</v>
      </c>
      <c r="L50" s="185"/>
      <c r="S50" s="146" t="s">
        <v>76</v>
      </c>
      <c r="T50" s="146"/>
    </row>
    <row r="51" spans="1:23" ht="20.100000000000001" customHeight="1" x14ac:dyDescent="0.2">
      <c r="A51" s="117" t="s">
        <v>373</v>
      </c>
      <c r="B51" s="117"/>
      <c r="C51" s="117"/>
      <c r="D51" s="108" t="s">
        <v>74</v>
      </c>
      <c r="E51" s="108"/>
      <c r="F51" s="108"/>
      <c r="G51" s="64"/>
      <c r="H51" s="64"/>
      <c r="I51" s="64"/>
      <c r="J51" s="64"/>
      <c r="K51" s="64"/>
      <c r="L51" s="64"/>
    </row>
    <row r="52" spans="1:23" ht="20.100000000000001" customHeight="1" x14ac:dyDescent="0.2">
      <c r="A52" s="147" t="s">
        <v>75</v>
      </c>
      <c r="B52" s="147"/>
      <c r="C52" s="147"/>
      <c r="D52" s="146" t="s">
        <v>76</v>
      </c>
      <c r="E52" s="146"/>
      <c r="F52" s="146"/>
      <c r="G52" s="63"/>
      <c r="H52" s="63"/>
      <c r="I52" s="64"/>
      <c r="J52" s="64"/>
      <c r="K52" s="64"/>
      <c r="L52" s="64"/>
    </row>
  </sheetData>
  <sheetProtection sheet="1" objects="1" scenarios="1"/>
  <mergeCells count="258"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14:O14"/>
    <mergeCell ref="N15:O15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Z52"/>
  <sheetViews>
    <sheetView view="pageBreakPreview" topLeftCell="A7" zoomScale="75" zoomScaleNormal="50" zoomScaleSheetLayoutView="75" workbookViewId="0">
      <selection activeCell="V37" sqref="V37:X37"/>
    </sheetView>
  </sheetViews>
  <sheetFormatPr defaultRowHeight="18.75" x14ac:dyDescent="0.2"/>
  <cols>
    <col min="1" max="1" width="11.140625" style="2" customWidth="1"/>
    <col min="2" max="2" width="13.7109375" style="2" customWidth="1"/>
    <col min="3" max="3" width="12.140625" style="2" customWidth="1"/>
    <col min="4" max="4" width="13.85546875" style="2" customWidth="1"/>
    <col min="5" max="5" width="5.42578125" style="2" customWidth="1"/>
    <col min="6" max="6" width="12.5703125" style="2" customWidth="1"/>
    <col min="7" max="7" width="13.425781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6.4257812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4" t="s">
        <v>157</v>
      </c>
      <c r="B1" s="94"/>
      <c r="C1" s="94"/>
      <c r="D1" s="94"/>
      <c r="E1" s="94"/>
      <c r="F1" s="94"/>
      <c r="G1" s="123" t="s">
        <v>154</v>
      </c>
      <c r="H1" s="123"/>
      <c r="I1" s="94" t="s">
        <v>160</v>
      </c>
      <c r="J1" s="94"/>
      <c r="K1" s="94"/>
      <c r="L1" s="94"/>
      <c r="M1" s="99" t="s">
        <v>96</v>
      </c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ht="21.75" customHeight="1" x14ac:dyDescent="0.2">
      <c r="A2" s="119" t="s">
        <v>45</v>
      </c>
      <c r="B2" s="119"/>
      <c r="C2" s="119"/>
      <c r="D2" s="119"/>
      <c r="E2" s="119"/>
      <c r="F2" s="119"/>
      <c r="G2" s="123"/>
      <c r="H2" s="123"/>
      <c r="I2" s="94"/>
      <c r="J2" s="94"/>
      <c r="K2" s="94"/>
      <c r="L2" s="94"/>
      <c r="M2" s="99" t="s">
        <v>78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ht="21.75" customHeight="1" x14ac:dyDescent="0.2">
      <c r="A3" s="94" t="s">
        <v>158</v>
      </c>
      <c r="B3" s="120"/>
      <c r="C3" s="120"/>
      <c r="D3" s="120"/>
      <c r="E3" s="120"/>
      <c r="F3" s="120"/>
      <c r="G3" s="123" t="s">
        <v>155</v>
      </c>
      <c r="H3" s="123"/>
      <c r="I3" s="94" t="s">
        <v>208</v>
      </c>
      <c r="J3" s="94"/>
      <c r="K3" s="94"/>
      <c r="L3" s="94"/>
      <c r="M3" s="100" t="s">
        <v>79</v>
      </c>
      <c r="N3" s="101" t="s">
        <v>81</v>
      </c>
      <c r="O3" s="100"/>
      <c r="P3" s="101" t="s">
        <v>65</v>
      </c>
      <c r="Q3" s="100"/>
      <c r="R3" s="101" t="s">
        <v>82</v>
      </c>
      <c r="S3" s="100"/>
      <c r="T3" s="101" t="s">
        <v>85</v>
      </c>
      <c r="U3" s="100"/>
      <c r="V3" s="101" t="s">
        <v>87</v>
      </c>
      <c r="W3" s="100"/>
      <c r="X3" s="86" t="s">
        <v>91</v>
      </c>
      <c r="Y3" s="105"/>
      <c r="Z3" s="105"/>
    </row>
    <row r="4" spans="1:26" ht="29.25" customHeight="1" x14ac:dyDescent="0.2">
      <c r="A4" s="119" t="s">
        <v>46</v>
      </c>
      <c r="B4" s="119"/>
      <c r="C4" s="119"/>
      <c r="D4" s="119"/>
      <c r="E4" s="119"/>
      <c r="F4" s="119"/>
      <c r="G4" s="123"/>
      <c r="H4" s="123"/>
      <c r="I4" s="94"/>
      <c r="J4" s="94"/>
      <c r="K4" s="94"/>
      <c r="L4" s="94"/>
      <c r="M4" s="95"/>
      <c r="N4" s="90"/>
      <c r="O4" s="95"/>
      <c r="P4" s="90"/>
      <c r="Q4" s="95"/>
      <c r="R4" s="90" t="s">
        <v>83</v>
      </c>
      <c r="S4" s="95"/>
      <c r="T4" s="90" t="s">
        <v>86</v>
      </c>
      <c r="U4" s="95"/>
      <c r="V4" s="90" t="s">
        <v>88</v>
      </c>
      <c r="W4" s="95"/>
      <c r="X4" s="86"/>
      <c r="Y4" s="105"/>
      <c r="Z4" s="105"/>
    </row>
    <row r="5" spans="1:26" ht="21.75" customHeight="1" x14ac:dyDescent="0.2">
      <c r="A5" s="94" t="s">
        <v>178</v>
      </c>
      <c r="B5" s="120"/>
      <c r="C5" s="120"/>
      <c r="D5" s="120"/>
      <c r="E5" s="120"/>
      <c r="F5" s="120"/>
      <c r="G5" s="123" t="s">
        <v>156</v>
      </c>
      <c r="H5" s="123"/>
      <c r="I5" s="94" t="s">
        <v>209</v>
      </c>
      <c r="J5" s="94"/>
      <c r="K5" s="94"/>
      <c r="L5" s="94"/>
      <c r="M5" s="95" t="s">
        <v>80</v>
      </c>
      <c r="N5" s="90"/>
      <c r="O5" s="95"/>
      <c r="P5" s="90" t="s">
        <v>182</v>
      </c>
      <c r="Q5" s="95"/>
      <c r="R5" s="106" t="s">
        <v>84</v>
      </c>
      <c r="S5" s="107"/>
      <c r="T5" s="106" t="s">
        <v>84</v>
      </c>
      <c r="U5" s="107"/>
      <c r="V5" s="90" t="s">
        <v>89</v>
      </c>
      <c r="W5" s="95"/>
      <c r="X5" s="86"/>
      <c r="Y5" s="105"/>
      <c r="Z5" s="105"/>
    </row>
    <row r="6" spans="1:26" ht="21.75" customHeight="1" x14ac:dyDescent="0.2">
      <c r="A6" s="119" t="s">
        <v>47</v>
      </c>
      <c r="B6" s="119"/>
      <c r="C6" s="119"/>
      <c r="D6" s="119"/>
      <c r="E6" s="119"/>
      <c r="F6" s="119"/>
      <c r="G6" s="123"/>
      <c r="H6" s="123"/>
      <c r="I6" s="94"/>
      <c r="J6" s="94"/>
      <c r="K6" s="94"/>
      <c r="L6" s="94"/>
      <c r="M6" s="96"/>
      <c r="N6" s="92"/>
      <c r="O6" s="96"/>
      <c r="P6" s="92"/>
      <c r="Q6" s="96"/>
      <c r="R6" s="92"/>
      <c r="S6" s="96"/>
      <c r="T6" s="92"/>
      <c r="U6" s="96"/>
      <c r="V6" s="92" t="s">
        <v>90</v>
      </c>
      <c r="W6" s="96"/>
      <c r="X6" s="86"/>
      <c r="Y6" s="105"/>
      <c r="Z6" s="105"/>
    </row>
    <row r="7" spans="1:26" ht="21.75" customHeight="1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84"/>
      <c r="O7" s="85"/>
      <c r="P7" s="84"/>
      <c r="Q7" s="85"/>
      <c r="R7" s="84"/>
      <c r="S7" s="85"/>
      <c r="T7" s="84"/>
      <c r="U7" s="85"/>
      <c r="V7" s="84"/>
      <c r="W7" s="85"/>
      <c r="X7" s="84"/>
      <c r="Y7" s="88"/>
      <c r="Z7" s="88"/>
    </row>
    <row r="8" spans="1:26" ht="22.5" customHeight="1" x14ac:dyDescent="0.2">
      <c r="A8" s="116" t="s">
        <v>48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84"/>
      <c r="O8" s="85"/>
      <c r="P8" s="84"/>
      <c r="Q8" s="85"/>
      <c r="R8" s="84"/>
      <c r="S8" s="85"/>
      <c r="T8" s="84"/>
      <c r="U8" s="85"/>
      <c r="V8" s="84"/>
      <c r="W8" s="85"/>
      <c r="X8" s="84"/>
      <c r="Y8" s="88"/>
      <c r="Z8" s="88"/>
    </row>
    <row r="9" spans="1:26" ht="22.5" customHeight="1" x14ac:dyDescent="0.2">
      <c r="A9" s="129" t="s">
        <v>49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9"/>
      <c r="N9" s="84"/>
      <c r="O9" s="85"/>
      <c r="P9" s="84"/>
      <c r="Q9" s="85"/>
      <c r="R9" s="84"/>
      <c r="S9" s="85"/>
      <c r="T9" s="84"/>
      <c r="U9" s="85"/>
      <c r="V9" s="84"/>
      <c r="W9" s="85"/>
      <c r="X9" s="84"/>
      <c r="Y9" s="88"/>
      <c r="Z9" s="88"/>
    </row>
    <row r="10" spans="1:26" ht="22.5" customHeight="1" x14ac:dyDescent="0.2">
      <c r="A10" s="124" t="s">
        <v>112</v>
      </c>
      <c r="B10" s="124"/>
      <c r="C10" s="124"/>
      <c r="D10" s="124"/>
      <c r="E10" s="135" t="s">
        <v>375</v>
      </c>
      <c r="F10" s="136"/>
      <c r="G10" s="136"/>
      <c r="H10" s="111" t="s">
        <v>376</v>
      </c>
      <c r="I10" s="111"/>
      <c r="J10" s="111"/>
      <c r="K10" s="111"/>
      <c r="L10" s="111"/>
      <c r="M10" s="9"/>
      <c r="N10" s="84"/>
      <c r="O10" s="85"/>
      <c r="P10" s="84"/>
      <c r="Q10" s="85"/>
      <c r="R10" s="84"/>
      <c r="S10" s="85"/>
      <c r="T10" s="84"/>
      <c r="U10" s="85"/>
      <c r="V10" s="84"/>
      <c r="W10" s="85"/>
      <c r="X10" s="84"/>
      <c r="Y10" s="88"/>
      <c r="Z10" s="88"/>
    </row>
    <row r="11" spans="1:26" ht="22.5" customHeight="1" x14ac:dyDescent="0.2">
      <c r="A11" s="124" t="s">
        <v>113</v>
      </c>
      <c r="B11" s="124"/>
      <c r="C11" s="124"/>
      <c r="D11" s="124"/>
      <c r="E11" s="134" t="s">
        <v>221</v>
      </c>
      <c r="F11" s="134"/>
      <c r="G11" s="134"/>
      <c r="H11" s="134"/>
      <c r="I11" s="111" t="s">
        <v>114</v>
      </c>
      <c r="J11" s="111"/>
      <c r="K11" s="111"/>
      <c r="L11" s="111"/>
      <c r="M11" s="9"/>
      <c r="N11" s="84"/>
      <c r="O11" s="85"/>
      <c r="P11" s="84"/>
      <c r="Q11" s="85"/>
      <c r="R11" s="84"/>
      <c r="S11" s="85"/>
      <c r="T11" s="84"/>
      <c r="U11" s="85"/>
      <c r="V11" s="84"/>
      <c r="W11" s="85"/>
      <c r="X11" s="84"/>
      <c r="Y11" s="88"/>
      <c r="Z11" s="88"/>
    </row>
    <row r="12" spans="1:26" ht="21.75" customHeight="1" x14ac:dyDescent="0.2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9"/>
      <c r="N12" s="84"/>
      <c r="O12" s="85"/>
      <c r="P12" s="84"/>
      <c r="Q12" s="85"/>
      <c r="R12" s="84"/>
      <c r="S12" s="85"/>
      <c r="T12" s="84"/>
      <c r="U12" s="85"/>
      <c r="V12" s="84"/>
      <c r="W12" s="85"/>
      <c r="X12" s="84"/>
      <c r="Y12" s="88"/>
      <c r="Z12" s="88"/>
    </row>
    <row r="13" spans="1:26" ht="21.75" customHeight="1" x14ac:dyDescent="0.2">
      <c r="A13" s="171" t="s">
        <v>50</v>
      </c>
      <c r="B13" s="156" t="s">
        <v>56</v>
      </c>
      <c r="C13" s="157"/>
      <c r="D13" s="165" t="s">
        <v>190</v>
      </c>
      <c r="E13" s="166"/>
      <c r="F13" s="156" t="s">
        <v>59</v>
      </c>
      <c r="G13" s="157"/>
      <c r="H13" s="40" t="s">
        <v>190</v>
      </c>
      <c r="I13" s="168" t="s">
        <v>5</v>
      </c>
      <c r="J13" s="156" t="s">
        <v>60</v>
      </c>
      <c r="K13" s="171"/>
      <c r="L13" s="41" t="s">
        <v>65</v>
      </c>
      <c r="M13" s="9"/>
      <c r="N13" s="84"/>
      <c r="O13" s="85"/>
      <c r="P13" s="84"/>
      <c r="Q13" s="85"/>
      <c r="R13" s="84"/>
      <c r="S13" s="85"/>
      <c r="T13" s="84"/>
      <c r="U13" s="85"/>
      <c r="V13" s="84"/>
      <c r="W13" s="85"/>
      <c r="X13" s="84"/>
      <c r="Y13" s="88"/>
      <c r="Z13" s="88"/>
    </row>
    <row r="14" spans="1:26" ht="21.75" customHeight="1" x14ac:dyDescent="0.2">
      <c r="A14" s="172"/>
      <c r="B14" s="158" t="s">
        <v>57</v>
      </c>
      <c r="C14" s="159"/>
      <c r="D14" s="160" t="s">
        <v>195</v>
      </c>
      <c r="E14" s="161"/>
      <c r="F14" s="158" t="s">
        <v>57</v>
      </c>
      <c r="G14" s="159"/>
      <c r="H14" s="42" t="s">
        <v>195</v>
      </c>
      <c r="I14" s="169"/>
      <c r="J14" s="158" t="s">
        <v>61</v>
      </c>
      <c r="K14" s="172"/>
      <c r="L14" s="41" t="s">
        <v>66</v>
      </c>
      <c r="M14" s="9"/>
      <c r="N14" s="84"/>
      <c r="O14" s="85"/>
      <c r="P14" s="84"/>
      <c r="Q14" s="85"/>
      <c r="R14" s="84"/>
      <c r="S14" s="85"/>
      <c r="T14" s="84"/>
      <c r="U14" s="85"/>
      <c r="V14" s="84"/>
      <c r="W14" s="85"/>
      <c r="X14" s="84"/>
      <c r="Y14" s="88"/>
      <c r="Z14" s="88"/>
    </row>
    <row r="15" spans="1:26" ht="21.75" customHeight="1" x14ac:dyDescent="0.2">
      <c r="A15" s="172"/>
      <c r="B15" s="162" t="s">
        <v>58</v>
      </c>
      <c r="C15" s="163"/>
      <c r="D15" s="175">
        <v>36000</v>
      </c>
      <c r="E15" s="176"/>
      <c r="F15" s="162" t="s">
        <v>58</v>
      </c>
      <c r="G15" s="163"/>
      <c r="H15" s="43">
        <v>36000</v>
      </c>
      <c r="I15" s="169"/>
      <c r="J15" s="162" t="s">
        <v>62</v>
      </c>
      <c r="K15" s="173"/>
      <c r="L15" s="41" t="s">
        <v>67</v>
      </c>
      <c r="M15" s="9"/>
      <c r="N15" s="84"/>
      <c r="O15" s="85"/>
      <c r="P15" s="84"/>
      <c r="Q15" s="85"/>
      <c r="R15" s="84"/>
      <c r="S15" s="85"/>
      <c r="T15" s="84"/>
      <c r="U15" s="85"/>
      <c r="V15" s="84"/>
      <c r="W15" s="85"/>
      <c r="X15" s="84"/>
      <c r="Y15" s="88"/>
      <c r="Z15" s="88"/>
    </row>
    <row r="16" spans="1:26" ht="21.75" customHeight="1" x14ac:dyDescent="0.2">
      <c r="A16" s="172"/>
      <c r="B16" s="69" t="s">
        <v>51</v>
      </c>
      <c r="C16" s="69" t="s">
        <v>53</v>
      </c>
      <c r="D16" s="69" t="s">
        <v>54</v>
      </c>
      <c r="E16" s="186"/>
      <c r="F16" s="69" t="s">
        <v>51</v>
      </c>
      <c r="G16" s="69" t="s">
        <v>53</v>
      </c>
      <c r="H16" s="45" t="s">
        <v>54</v>
      </c>
      <c r="I16" s="169"/>
      <c r="J16" s="127" t="s">
        <v>63</v>
      </c>
      <c r="K16" s="127" t="s">
        <v>64</v>
      </c>
      <c r="L16" s="41" t="s">
        <v>68</v>
      </c>
      <c r="M16" s="9"/>
      <c r="N16" s="84"/>
      <c r="O16" s="85"/>
      <c r="P16" s="84"/>
      <c r="Q16" s="85"/>
      <c r="R16" s="84"/>
      <c r="S16" s="85"/>
      <c r="T16" s="84"/>
      <c r="U16" s="85"/>
      <c r="V16" s="84"/>
      <c r="W16" s="85"/>
      <c r="X16" s="84"/>
      <c r="Y16" s="88"/>
      <c r="Z16" s="88"/>
    </row>
    <row r="17" spans="1:26" ht="21.75" customHeight="1" x14ac:dyDescent="0.2">
      <c r="A17" s="173"/>
      <c r="B17" s="70" t="s">
        <v>52</v>
      </c>
      <c r="C17" s="70" t="s">
        <v>51</v>
      </c>
      <c r="D17" s="70" t="s">
        <v>55</v>
      </c>
      <c r="E17" s="187"/>
      <c r="F17" s="70" t="s">
        <v>52</v>
      </c>
      <c r="G17" s="69" t="s">
        <v>51</v>
      </c>
      <c r="H17" s="48" t="s">
        <v>55</v>
      </c>
      <c r="I17" s="170"/>
      <c r="J17" s="128"/>
      <c r="K17" s="128"/>
      <c r="L17" s="41" t="s">
        <v>69</v>
      </c>
      <c r="M17" s="103" t="s">
        <v>92</v>
      </c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spans="1:26" ht="23.25" customHeight="1" x14ac:dyDescent="0.2">
      <c r="A18" s="49" t="s">
        <v>7</v>
      </c>
      <c r="B18" s="82">
        <v>3805.0608000000002</v>
      </c>
      <c r="C18" s="25"/>
      <c r="D18" s="24"/>
      <c r="E18" s="81"/>
      <c r="F18" s="82">
        <v>2499.9996999999998</v>
      </c>
      <c r="G18" s="51"/>
      <c r="H18" s="50"/>
      <c r="I18" s="52"/>
      <c r="J18" s="39"/>
      <c r="K18" s="79"/>
      <c r="L18" s="53"/>
      <c r="M18" s="100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1" t="s">
        <v>91</v>
      </c>
      <c r="X18" s="104"/>
      <c r="Y18" s="104"/>
      <c r="Z18" s="104"/>
    </row>
    <row r="19" spans="1:26" ht="23.25" customHeight="1" x14ac:dyDescent="0.2">
      <c r="A19" s="49" t="s">
        <v>8</v>
      </c>
      <c r="B19" s="82">
        <v>3805.1122999999998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5.1499999999577994E-2</v>
      </c>
      <c r="D19" s="24">
        <f t="shared" ref="D19:D42" si="1">IF(C19="","",C19*$D$15)</f>
        <v>1853.9999999848078</v>
      </c>
      <c r="E19" s="81"/>
      <c r="F19" s="82">
        <v>2500.0405999999998</v>
      </c>
      <c r="G19" s="51">
        <f>F19-ReportObject12_3</f>
        <v>4.0899999999965075E-2</v>
      </c>
      <c r="H19" s="50">
        <f t="shared" ref="H19:H42" si="2">IF(G19="","",G19*$H$15)</f>
        <v>1472.3999999987427</v>
      </c>
      <c r="I19" s="52">
        <f t="shared" ref="I19:I42" si="3">IF(H19="","",IF(D19="","",IF(AND(H19=0,D19=0),0,H19/D19)))</f>
        <v>0.79417475728738296</v>
      </c>
      <c r="J19" s="39"/>
      <c r="K19" s="83">
        <v>6.1047349999999998</v>
      </c>
      <c r="L19" s="53"/>
      <c r="M19" s="95"/>
      <c r="N19" s="89"/>
      <c r="O19" s="89"/>
      <c r="P19" s="89"/>
      <c r="Q19" s="89" t="s">
        <v>108</v>
      </c>
      <c r="R19" s="89"/>
      <c r="S19" s="89"/>
      <c r="T19" s="89"/>
      <c r="U19" s="89"/>
      <c r="V19" s="89"/>
      <c r="W19" s="90"/>
      <c r="X19" s="99"/>
      <c r="Y19" s="99"/>
      <c r="Z19" s="99"/>
    </row>
    <row r="20" spans="1:26" ht="23.25" customHeight="1" x14ac:dyDescent="0.2">
      <c r="A20" s="49" t="s">
        <v>9</v>
      </c>
      <c r="B20" s="82">
        <v>3805.1633999999999</v>
      </c>
      <c r="C20" s="25">
        <f t="shared" si="0"/>
        <v>5.110000000013315E-2</v>
      </c>
      <c r="D20" s="24">
        <f t="shared" si="1"/>
        <v>1839.6000000047934</v>
      </c>
      <c r="E20" s="81"/>
      <c r="F20" s="82">
        <v>2500.0817999999999</v>
      </c>
      <c r="G20" s="51">
        <f>F20-F19</f>
        <v>4.1200000000117143E-2</v>
      </c>
      <c r="H20" s="50">
        <f t="shared" si="2"/>
        <v>1483.2000000042171</v>
      </c>
      <c r="I20" s="52">
        <f t="shared" si="3"/>
        <v>0.80626223091995675</v>
      </c>
      <c r="J20" s="39"/>
      <c r="K20" s="83">
        <v>6.3293100000000004</v>
      </c>
      <c r="L20" s="53"/>
      <c r="M20" s="95" t="s">
        <v>80</v>
      </c>
      <c r="N20" s="89" t="s">
        <v>99</v>
      </c>
      <c r="O20" s="89"/>
      <c r="P20" s="89"/>
      <c r="Q20" s="89" t="s">
        <v>181</v>
      </c>
      <c r="R20" s="89"/>
      <c r="S20" s="89"/>
      <c r="T20" s="89" t="s">
        <v>94</v>
      </c>
      <c r="U20" s="89"/>
      <c r="V20" s="89"/>
      <c r="W20" s="90"/>
      <c r="X20" s="99"/>
      <c r="Y20" s="99"/>
      <c r="Z20" s="99"/>
    </row>
    <row r="21" spans="1:26" ht="23.25" customHeight="1" x14ac:dyDescent="0.2">
      <c r="A21" s="49" t="s">
        <v>10</v>
      </c>
      <c r="B21" s="82">
        <v>3805.2141000000001</v>
      </c>
      <c r="C21" s="25">
        <f t="shared" si="0"/>
        <v>5.0700000000233558E-2</v>
      </c>
      <c r="D21" s="24">
        <f t="shared" si="1"/>
        <v>1825.2000000084081</v>
      </c>
      <c r="E21" s="81"/>
      <c r="F21" s="82">
        <v>2500.123</v>
      </c>
      <c r="G21" s="51">
        <f t="shared" ref="G21:G42" si="4">F21-F20</f>
        <v>4.1200000000117143E-2</v>
      </c>
      <c r="H21" s="50">
        <f t="shared" si="2"/>
        <v>1483.2000000042171</v>
      </c>
      <c r="I21" s="52">
        <f t="shared" si="3"/>
        <v>0.81262327416030278</v>
      </c>
      <c r="J21" s="39"/>
      <c r="K21" s="83">
        <v>6.2096360000000006</v>
      </c>
      <c r="L21" s="53"/>
      <c r="M21" s="96"/>
      <c r="N21" s="91"/>
      <c r="O21" s="91"/>
      <c r="P21" s="91"/>
      <c r="Q21" s="91"/>
      <c r="R21" s="91"/>
      <c r="S21" s="91"/>
      <c r="T21" s="91"/>
      <c r="U21" s="91"/>
      <c r="V21" s="91"/>
      <c r="W21" s="92"/>
      <c r="X21" s="103"/>
      <c r="Y21" s="103"/>
      <c r="Z21" s="103"/>
    </row>
    <row r="22" spans="1:26" ht="23.25" customHeight="1" x14ac:dyDescent="0.2">
      <c r="A22" s="49" t="s">
        <v>11</v>
      </c>
      <c r="B22" s="82">
        <v>3805.2644</v>
      </c>
      <c r="C22" s="25">
        <f t="shared" si="0"/>
        <v>5.0299999999879219E-2</v>
      </c>
      <c r="D22" s="24">
        <f t="shared" si="1"/>
        <v>1810.7999999956519</v>
      </c>
      <c r="E22" s="81"/>
      <c r="F22" s="82">
        <v>2500.1644000000001</v>
      </c>
      <c r="G22" s="51">
        <f t="shared" si="4"/>
        <v>4.1400000000066939E-2</v>
      </c>
      <c r="H22" s="50">
        <f t="shared" si="2"/>
        <v>1490.4000000024098</v>
      </c>
      <c r="I22" s="52">
        <f t="shared" si="3"/>
        <v>0.82306163022199497</v>
      </c>
      <c r="J22" s="39"/>
      <c r="K22" s="83">
        <v>6.359686</v>
      </c>
      <c r="L22" s="53"/>
      <c r="M22" s="9"/>
      <c r="N22" s="97"/>
      <c r="O22" s="97"/>
      <c r="P22" s="97"/>
      <c r="Q22" s="97"/>
      <c r="R22" s="97"/>
      <c r="S22" s="97"/>
      <c r="T22" s="97"/>
      <c r="U22" s="97"/>
      <c r="V22" s="97"/>
      <c r="W22" s="84"/>
      <c r="X22" s="88"/>
      <c r="Y22" s="88"/>
      <c r="Z22" s="88"/>
    </row>
    <row r="23" spans="1:26" ht="23.25" customHeight="1" x14ac:dyDescent="0.2">
      <c r="A23" s="49" t="s">
        <v>12</v>
      </c>
      <c r="B23" s="82">
        <v>3805.3145</v>
      </c>
      <c r="C23" s="25">
        <f t="shared" si="0"/>
        <v>5.0099999999929423E-2</v>
      </c>
      <c r="D23" s="24">
        <f t="shared" si="1"/>
        <v>1803.5999999974592</v>
      </c>
      <c r="E23" s="81"/>
      <c r="F23" s="82">
        <v>2500.2060000000001</v>
      </c>
      <c r="G23" s="51">
        <f t="shared" si="4"/>
        <v>4.1600000000016735E-2</v>
      </c>
      <c r="H23" s="50">
        <f t="shared" si="2"/>
        <v>1497.6000000006024</v>
      </c>
      <c r="I23" s="52">
        <f t="shared" si="3"/>
        <v>0.83033932135878918</v>
      </c>
      <c r="J23" s="39"/>
      <c r="K23" s="83">
        <v>6.3745510000000003</v>
      </c>
      <c r="L23" s="53"/>
      <c r="M23" s="9"/>
      <c r="N23" s="97"/>
      <c r="O23" s="97"/>
      <c r="P23" s="97"/>
      <c r="Q23" s="97"/>
      <c r="R23" s="97"/>
      <c r="S23" s="97"/>
      <c r="T23" s="97"/>
      <c r="U23" s="97"/>
      <c r="V23" s="97"/>
      <c r="W23" s="84"/>
      <c r="X23" s="88"/>
      <c r="Y23" s="88"/>
      <c r="Z23" s="88"/>
    </row>
    <row r="24" spans="1:26" ht="23.25" customHeight="1" x14ac:dyDescent="0.2">
      <c r="A24" s="49" t="s">
        <v>13</v>
      </c>
      <c r="B24" s="82">
        <v>3805.3645000000001</v>
      </c>
      <c r="C24" s="25">
        <f t="shared" si="0"/>
        <v>5.0000000000181899E-2</v>
      </c>
      <c r="D24" s="24">
        <f t="shared" si="1"/>
        <v>1800.0000000065484</v>
      </c>
      <c r="E24" s="81"/>
      <c r="F24" s="82">
        <v>2500.2476000000001</v>
      </c>
      <c r="G24" s="51">
        <f t="shared" si="4"/>
        <v>4.1600000000016735E-2</v>
      </c>
      <c r="H24" s="50">
        <f t="shared" si="2"/>
        <v>1497.6000000006024</v>
      </c>
      <c r="I24" s="52">
        <f t="shared" si="3"/>
        <v>0.83199999999730789</v>
      </c>
      <c r="J24" s="39"/>
      <c r="K24" s="83">
        <v>6.3800499999999998</v>
      </c>
      <c r="L24" s="53"/>
      <c r="M24" s="9"/>
      <c r="N24" s="97"/>
      <c r="O24" s="97"/>
      <c r="P24" s="97"/>
      <c r="Q24" s="97"/>
      <c r="R24" s="97"/>
      <c r="S24" s="97"/>
      <c r="T24" s="97"/>
      <c r="U24" s="97"/>
      <c r="V24" s="97"/>
      <c r="W24" s="84"/>
      <c r="X24" s="88"/>
      <c r="Y24" s="88"/>
      <c r="Z24" s="88"/>
    </row>
    <row r="25" spans="1:26" ht="23.25" customHeight="1" x14ac:dyDescent="0.2">
      <c r="A25" s="49" t="s">
        <v>14</v>
      </c>
      <c r="B25" s="82">
        <v>3805.4146000000001</v>
      </c>
      <c r="C25" s="25">
        <f t="shared" si="0"/>
        <v>5.0099999999929423E-2</v>
      </c>
      <c r="D25" s="24">
        <f t="shared" si="1"/>
        <v>1803.5999999974592</v>
      </c>
      <c r="E25" s="81"/>
      <c r="F25" s="82">
        <v>2500.2885000000001</v>
      </c>
      <c r="G25" s="51">
        <f t="shared" si="4"/>
        <v>4.0899999999965075E-2</v>
      </c>
      <c r="H25" s="50">
        <f t="shared" si="2"/>
        <v>1472.3999999987427</v>
      </c>
      <c r="I25" s="52">
        <f t="shared" si="3"/>
        <v>0.81636726546951477</v>
      </c>
      <c r="J25" s="39"/>
      <c r="K25" s="83">
        <v>6.2063869999999994</v>
      </c>
      <c r="L25" s="53"/>
      <c r="M25" s="9"/>
      <c r="N25" s="97"/>
      <c r="O25" s="97"/>
      <c r="P25" s="97"/>
      <c r="Q25" s="97"/>
      <c r="R25" s="97"/>
      <c r="S25" s="97"/>
      <c r="T25" s="97"/>
      <c r="U25" s="97"/>
      <c r="V25" s="97"/>
      <c r="W25" s="84"/>
      <c r="X25" s="88"/>
      <c r="Y25" s="88"/>
      <c r="Z25" s="88"/>
    </row>
    <row r="26" spans="1:26" ht="23.25" customHeight="1" x14ac:dyDescent="0.2">
      <c r="A26" s="49" t="s">
        <v>15</v>
      </c>
      <c r="B26" s="82">
        <v>3805.4657000000002</v>
      </c>
      <c r="C26" s="25">
        <f t="shared" si="0"/>
        <v>5.110000000013315E-2</v>
      </c>
      <c r="D26" s="24">
        <f t="shared" si="1"/>
        <v>1839.6000000047934</v>
      </c>
      <c r="E26" s="81"/>
      <c r="F26" s="82">
        <v>2500.3274000000001</v>
      </c>
      <c r="G26" s="51">
        <f t="shared" si="4"/>
        <v>3.8900000000012369E-2</v>
      </c>
      <c r="H26" s="50">
        <f t="shared" si="2"/>
        <v>1400.4000000004453</v>
      </c>
      <c r="I26" s="52">
        <f t="shared" si="3"/>
        <v>0.76125244618221155</v>
      </c>
      <c r="J26" s="39"/>
      <c r="K26" s="83">
        <v>6.2681779999999998</v>
      </c>
      <c r="L26" s="53"/>
      <c r="M26" s="9"/>
      <c r="N26" s="97"/>
      <c r="O26" s="97"/>
      <c r="P26" s="97"/>
      <c r="Q26" s="97"/>
      <c r="R26" s="97"/>
      <c r="S26" s="97"/>
      <c r="T26" s="97"/>
      <c r="U26" s="97"/>
      <c r="V26" s="97"/>
      <c r="W26" s="84"/>
      <c r="X26" s="88"/>
      <c r="Y26" s="88"/>
      <c r="Z26" s="88"/>
    </row>
    <row r="27" spans="1:26" ht="23.25" customHeight="1" x14ac:dyDescent="0.2">
      <c r="A27" s="49" t="s">
        <v>16</v>
      </c>
      <c r="B27" s="82">
        <v>3805.5147000000002</v>
      </c>
      <c r="C27" s="25">
        <f t="shared" si="0"/>
        <v>4.8999999999978172E-2</v>
      </c>
      <c r="D27" s="24">
        <f t="shared" si="1"/>
        <v>1763.9999999992142</v>
      </c>
      <c r="E27" s="81"/>
      <c r="F27" s="82">
        <v>2500.364</v>
      </c>
      <c r="G27" s="51">
        <f t="shared" si="4"/>
        <v>3.6599999999907595E-2</v>
      </c>
      <c r="H27" s="50">
        <f t="shared" si="2"/>
        <v>1317.5999999966734</v>
      </c>
      <c r="I27" s="52">
        <f t="shared" si="3"/>
        <v>0.74693877550865095</v>
      </c>
      <c r="J27" s="39"/>
      <c r="K27" s="83">
        <v>6.1478770000000003</v>
      </c>
      <c r="L27" s="53"/>
      <c r="M27" s="9"/>
      <c r="N27" s="97"/>
      <c r="O27" s="97"/>
      <c r="P27" s="97"/>
      <c r="Q27" s="97"/>
      <c r="R27" s="97"/>
      <c r="S27" s="97"/>
      <c r="T27" s="97"/>
      <c r="U27" s="97"/>
      <c r="V27" s="97"/>
      <c r="W27" s="84"/>
      <c r="X27" s="88"/>
      <c r="Y27" s="88"/>
      <c r="Z27" s="88"/>
    </row>
    <row r="28" spans="1:26" ht="23.25" customHeight="1" x14ac:dyDescent="0.2">
      <c r="A28" s="49" t="s">
        <v>17</v>
      </c>
      <c r="B28" s="82">
        <v>3805.5639000000001</v>
      </c>
      <c r="C28" s="25">
        <f t="shared" si="0"/>
        <v>4.9199999999927968E-2</v>
      </c>
      <c r="D28" s="24">
        <f t="shared" si="1"/>
        <v>1771.1999999974068</v>
      </c>
      <c r="E28" s="81"/>
      <c r="F28" s="82">
        <v>2500.3998999999999</v>
      </c>
      <c r="G28" s="51">
        <f t="shared" si="4"/>
        <v>3.5899999999855936E-2</v>
      </c>
      <c r="H28" s="50">
        <f t="shared" si="2"/>
        <v>1292.3999999948137</v>
      </c>
      <c r="I28" s="52">
        <f t="shared" si="3"/>
        <v>0.72967479674610769</v>
      </c>
      <c r="J28" s="39"/>
      <c r="K28" s="83">
        <v>6.0924849999999999</v>
      </c>
      <c r="L28" s="53"/>
      <c r="M28" s="9"/>
      <c r="N28" s="97"/>
      <c r="O28" s="97"/>
      <c r="P28" s="97"/>
      <c r="Q28" s="97"/>
      <c r="R28" s="97"/>
      <c r="S28" s="97"/>
      <c r="T28" s="97"/>
      <c r="U28" s="97"/>
      <c r="V28" s="97"/>
      <c r="W28" s="84"/>
      <c r="X28" s="88"/>
      <c r="Y28" s="88"/>
      <c r="Z28" s="88"/>
    </row>
    <row r="29" spans="1:26" ht="23.25" customHeight="1" x14ac:dyDescent="0.2">
      <c r="A29" s="49" t="s">
        <v>18</v>
      </c>
      <c r="B29" s="82">
        <v>3805.6131999999998</v>
      </c>
      <c r="C29" s="25">
        <f t="shared" si="0"/>
        <v>4.9299999999675492E-2</v>
      </c>
      <c r="D29" s="24">
        <f t="shared" si="1"/>
        <v>1774.7999999883177</v>
      </c>
      <c r="E29" s="81"/>
      <c r="F29" s="82">
        <v>2500.4373000000001</v>
      </c>
      <c r="G29" s="51">
        <f t="shared" si="4"/>
        <v>3.7400000000161526E-2</v>
      </c>
      <c r="H29" s="50">
        <f t="shared" si="2"/>
        <v>1346.4000000058149</v>
      </c>
      <c r="I29" s="52">
        <f t="shared" si="3"/>
        <v>0.75862068966344232</v>
      </c>
      <c r="J29" s="39"/>
      <c r="K29" s="83">
        <v>6.0742060000000002</v>
      </c>
      <c r="L29" s="53"/>
      <c r="M29" s="118" t="s">
        <v>95</v>
      </c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23.25" customHeight="1" x14ac:dyDescent="0.2">
      <c r="A30" s="49" t="s">
        <v>19</v>
      </c>
      <c r="B30" s="82">
        <v>3805.6623</v>
      </c>
      <c r="C30" s="25">
        <f t="shared" si="0"/>
        <v>4.9100000000180444E-2</v>
      </c>
      <c r="D30" s="24">
        <f t="shared" si="1"/>
        <v>1767.600000006496</v>
      </c>
      <c r="E30" s="81"/>
      <c r="F30" s="82">
        <v>2500.4744999999998</v>
      </c>
      <c r="G30" s="51">
        <f t="shared" si="4"/>
        <v>3.7199999999756983E-2</v>
      </c>
      <c r="H30" s="50">
        <f t="shared" si="2"/>
        <v>1339.1999999912514</v>
      </c>
      <c r="I30" s="52">
        <f t="shared" si="3"/>
        <v>0.75763747453401775</v>
      </c>
      <c r="J30" s="39"/>
      <c r="K30" s="83">
        <v>6.0951629999999994</v>
      </c>
      <c r="L30" s="53"/>
      <c r="M30" s="99" t="s">
        <v>97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23.25" customHeight="1" x14ac:dyDescent="0.2">
      <c r="A31" s="49" t="s">
        <v>20</v>
      </c>
      <c r="B31" s="82">
        <v>3805.7116000000001</v>
      </c>
      <c r="C31" s="25">
        <f t="shared" si="0"/>
        <v>4.930000000013024E-2</v>
      </c>
      <c r="D31" s="24">
        <f t="shared" si="1"/>
        <v>1774.8000000046886</v>
      </c>
      <c r="E31" s="81"/>
      <c r="F31" s="82">
        <v>2500.5120000000002</v>
      </c>
      <c r="G31" s="51">
        <f t="shared" si="4"/>
        <v>3.7500000000363798E-2</v>
      </c>
      <c r="H31" s="50">
        <f t="shared" si="2"/>
        <v>1350.0000000130967</v>
      </c>
      <c r="I31" s="52">
        <f t="shared" si="3"/>
        <v>0.76064908722646518</v>
      </c>
      <c r="J31" s="39"/>
      <c r="K31" s="83">
        <v>6.1240600000000001</v>
      </c>
      <c r="L31" s="53"/>
      <c r="M31" s="100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179</v>
      </c>
      <c r="W31" s="98"/>
      <c r="X31" s="98"/>
      <c r="Y31" s="98" t="s">
        <v>91</v>
      </c>
      <c r="Z31" s="101"/>
    </row>
    <row r="32" spans="1:26" ht="23.25" customHeight="1" x14ac:dyDescent="0.2">
      <c r="A32" s="49" t="s">
        <v>21</v>
      </c>
      <c r="B32" s="82">
        <v>3805.761</v>
      </c>
      <c r="C32" s="25">
        <f t="shared" si="0"/>
        <v>4.9399999999877764E-2</v>
      </c>
      <c r="D32" s="24">
        <f t="shared" si="1"/>
        <v>1778.3999999955995</v>
      </c>
      <c r="E32" s="81"/>
      <c r="F32" s="82">
        <v>2500.5493999999999</v>
      </c>
      <c r="G32" s="51">
        <f t="shared" si="4"/>
        <v>3.7399999999706779E-2</v>
      </c>
      <c r="H32" s="50">
        <f t="shared" si="2"/>
        <v>1346.399999989444</v>
      </c>
      <c r="I32" s="52">
        <f t="shared" si="3"/>
        <v>0.75708502023885271</v>
      </c>
      <c r="J32" s="39"/>
      <c r="K32" s="83">
        <v>6.082033</v>
      </c>
      <c r="L32" s="53"/>
      <c r="M32" s="95"/>
      <c r="N32" s="89"/>
      <c r="O32" s="89"/>
      <c r="P32" s="89" t="s">
        <v>83</v>
      </c>
      <c r="Q32" s="89"/>
      <c r="R32" s="89" t="s">
        <v>102</v>
      </c>
      <c r="S32" s="89"/>
      <c r="T32" s="89" t="s">
        <v>104</v>
      </c>
      <c r="U32" s="89"/>
      <c r="V32" s="89" t="s">
        <v>105</v>
      </c>
      <c r="W32" s="89"/>
      <c r="X32" s="89"/>
      <c r="Y32" s="89"/>
      <c r="Z32" s="90"/>
    </row>
    <row r="33" spans="1:26" ht="23.25" customHeight="1" x14ac:dyDescent="0.2">
      <c r="A33" s="49" t="s">
        <v>22</v>
      </c>
      <c r="B33" s="82">
        <v>3805.8096</v>
      </c>
      <c r="C33" s="25">
        <f t="shared" si="0"/>
        <v>4.860000000007858E-2</v>
      </c>
      <c r="D33" s="24">
        <f t="shared" si="1"/>
        <v>1749.6000000028289</v>
      </c>
      <c r="E33" s="81"/>
      <c r="F33" s="82">
        <v>2500.5839999999998</v>
      </c>
      <c r="G33" s="51">
        <f t="shared" si="4"/>
        <v>3.4599999999954889E-2</v>
      </c>
      <c r="H33" s="50">
        <f t="shared" si="2"/>
        <v>1245.599999998376</v>
      </c>
      <c r="I33" s="52">
        <f t="shared" si="3"/>
        <v>0.71193415637652147</v>
      </c>
      <c r="J33" s="39"/>
      <c r="K33" s="83">
        <v>6.077966</v>
      </c>
      <c r="L33" s="53"/>
      <c r="M33" s="95" t="s">
        <v>80</v>
      </c>
      <c r="N33" s="89" t="s">
        <v>99</v>
      </c>
      <c r="O33" s="89"/>
      <c r="P33" s="89" t="s">
        <v>101</v>
      </c>
      <c r="Q33" s="89"/>
      <c r="R33" s="89" t="s">
        <v>69</v>
      </c>
      <c r="S33" s="89"/>
      <c r="T33" s="89" t="s">
        <v>69</v>
      </c>
      <c r="U33" s="89"/>
      <c r="V33" s="89" t="s">
        <v>106</v>
      </c>
      <c r="W33" s="89"/>
      <c r="X33" s="89"/>
      <c r="Y33" s="89"/>
      <c r="Z33" s="90"/>
    </row>
    <row r="34" spans="1:26" ht="23.25" customHeight="1" x14ac:dyDescent="0.2">
      <c r="A34" s="49" t="s">
        <v>23</v>
      </c>
      <c r="B34" s="82">
        <v>3805.8598000000002</v>
      </c>
      <c r="C34" s="25">
        <f t="shared" si="0"/>
        <v>5.0200000000131695E-2</v>
      </c>
      <c r="D34" s="24">
        <f t="shared" si="1"/>
        <v>1807.200000004741</v>
      </c>
      <c r="E34" s="81"/>
      <c r="F34" s="82">
        <v>2500.6192000000001</v>
      </c>
      <c r="G34" s="51">
        <f t="shared" si="4"/>
        <v>3.5200000000259024E-2</v>
      </c>
      <c r="H34" s="50">
        <f t="shared" si="2"/>
        <v>1267.2000000093249</v>
      </c>
      <c r="I34" s="52">
        <f t="shared" si="3"/>
        <v>0.70119521912682625</v>
      </c>
      <c r="J34" s="39"/>
      <c r="K34" s="83">
        <v>6.0986360000000008</v>
      </c>
      <c r="L34" s="53"/>
      <c r="M34" s="96"/>
      <c r="N34" s="91"/>
      <c r="O34" s="91"/>
      <c r="P34" s="91"/>
      <c r="Q34" s="91"/>
      <c r="R34" s="92"/>
      <c r="S34" s="96"/>
      <c r="T34" s="92"/>
      <c r="U34" s="96"/>
      <c r="V34" s="92"/>
      <c r="W34" s="103"/>
      <c r="X34" s="96"/>
      <c r="Y34" s="91"/>
      <c r="Z34" s="92"/>
    </row>
    <row r="35" spans="1:26" ht="23.25" customHeight="1" x14ac:dyDescent="0.2">
      <c r="A35" s="49" t="s">
        <v>24</v>
      </c>
      <c r="B35" s="82">
        <v>3805.9106000000002</v>
      </c>
      <c r="C35" s="25">
        <f t="shared" si="0"/>
        <v>5.0799999999981083E-2</v>
      </c>
      <c r="D35" s="24">
        <f t="shared" si="1"/>
        <v>1828.799999999319</v>
      </c>
      <c r="E35" s="81"/>
      <c r="F35" s="82">
        <v>2500.6550000000002</v>
      </c>
      <c r="G35" s="51">
        <f t="shared" si="4"/>
        <v>3.5800000000108412E-2</v>
      </c>
      <c r="H35" s="50">
        <f t="shared" si="2"/>
        <v>1288.8000000039028</v>
      </c>
      <c r="I35" s="52">
        <f t="shared" si="3"/>
        <v>0.70472440945121539</v>
      </c>
      <c r="J35" s="39"/>
      <c r="K35" s="83">
        <v>6.0826789999999997</v>
      </c>
      <c r="L35" s="53"/>
      <c r="M35" s="9"/>
      <c r="N35" s="97" t="s">
        <v>169</v>
      </c>
      <c r="O35" s="97"/>
      <c r="P35" s="179">
        <v>0.4</v>
      </c>
      <c r="Q35" s="180"/>
      <c r="R35" s="179">
        <v>590</v>
      </c>
      <c r="S35" s="180"/>
      <c r="T35" s="97"/>
      <c r="U35" s="97"/>
      <c r="V35" s="97"/>
      <c r="W35" s="97"/>
      <c r="X35" s="97"/>
      <c r="Y35" s="97"/>
      <c r="Z35" s="84"/>
    </row>
    <row r="36" spans="1:26" ht="23.25" customHeight="1" x14ac:dyDescent="0.2">
      <c r="A36" s="49" t="s">
        <v>25</v>
      </c>
      <c r="B36" s="82">
        <v>3805.9587000000001</v>
      </c>
      <c r="C36" s="25">
        <f t="shared" si="0"/>
        <v>4.8099999999976717E-2</v>
      </c>
      <c r="D36" s="24">
        <f t="shared" si="1"/>
        <v>1731.5999999991618</v>
      </c>
      <c r="E36" s="81"/>
      <c r="F36" s="82">
        <v>2500.6907000000001</v>
      </c>
      <c r="G36" s="51">
        <f t="shared" si="4"/>
        <v>3.569999999990614E-2</v>
      </c>
      <c r="H36" s="50">
        <f t="shared" si="2"/>
        <v>1285.199999996621</v>
      </c>
      <c r="I36" s="52">
        <f t="shared" si="3"/>
        <v>0.74220374220215013</v>
      </c>
      <c r="J36" s="39"/>
      <c r="K36" s="83">
        <v>6.1604429999999999</v>
      </c>
      <c r="L36" s="53"/>
      <c r="M36" s="9"/>
      <c r="N36" s="97" t="s">
        <v>378</v>
      </c>
      <c r="O36" s="97"/>
      <c r="P36" s="181"/>
      <c r="Q36" s="182"/>
      <c r="R36" s="181"/>
      <c r="S36" s="182"/>
      <c r="T36" s="97"/>
      <c r="U36" s="97"/>
      <c r="V36" s="97"/>
      <c r="W36" s="97"/>
      <c r="X36" s="97"/>
      <c r="Y36" s="97"/>
      <c r="Z36" s="84"/>
    </row>
    <row r="37" spans="1:26" ht="23.25" customHeight="1" x14ac:dyDescent="0.2">
      <c r="A37" s="49" t="s">
        <v>26</v>
      </c>
      <c r="B37" s="82">
        <v>3806.0083</v>
      </c>
      <c r="C37" s="25">
        <f t="shared" si="0"/>
        <v>4.959999999982756E-2</v>
      </c>
      <c r="D37" s="24">
        <f t="shared" si="1"/>
        <v>1785.5999999937922</v>
      </c>
      <c r="E37" s="81"/>
      <c r="F37" s="82">
        <v>2500.7267000000002</v>
      </c>
      <c r="G37" s="51">
        <f t="shared" si="4"/>
        <v>3.6000000000058208E-2</v>
      </c>
      <c r="H37" s="50">
        <f t="shared" si="2"/>
        <v>1296.0000000020955</v>
      </c>
      <c r="I37" s="52">
        <f t="shared" si="3"/>
        <v>0.72580645161660007</v>
      </c>
      <c r="J37" s="39"/>
      <c r="K37" s="83">
        <v>5.9476300000000002</v>
      </c>
      <c r="L37" s="53"/>
      <c r="M37" s="9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84"/>
    </row>
    <row r="38" spans="1:26" ht="23.25" customHeight="1" x14ac:dyDescent="0.2">
      <c r="A38" s="49" t="s">
        <v>27</v>
      </c>
      <c r="B38" s="82">
        <v>3806.0587</v>
      </c>
      <c r="C38" s="25">
        <f t="shared" si="0"/>
        <v>5.0400000000081491E-2</v>
      </c>
      <c r="D38" s="24">
        <f t="shared" si="1"/>
        <v>1814.4000000029337</v>
      </c>
      <c r="E38" s="81"/>
      <c r="F38" s="82">
        <v>2500.7626</v>
      </c>
      <c r="G38" s="51">
        <f t="shared" si="4"/>
        <v>3.5899999999855936E-2</v>
      </c>
      <c r="H38" s="50">
        <f t="shared" si="2"/>
        <v>1292.3999999948137</v>
      </c>
      <c r="I38" s="52">
        <f t="shared" si="3"/>
        <v>0.7123015872975772</v>
      </c>
      <c r="J38" s="39"/>
      <c r="K38" s="83">
        <v>6.2307110000000003</v>
      </c>
      <c r="L38" s="53"/>
      <c r="M38" s="9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84"/>
    </row>
    <row r="39" spans="1:26" ht="23.25" customHeight="1" x14ac:dyDescent="0.2">
      <c r="A39" s="49" t="s">
        <v>28</v>
      </c>
      <c r="B39" s="82">
        <v>3806.1062999999999</v>
      </c>
      <c r="C39" s="25">
        <f t="shared" si="0"/>
        <v>4.7599999999874854E-2</v>
      </c>
      <c r="D39" s="24">
        <f t="shared" si="1"/>
        <v>1713.5999999954947</v>
      </c>
      <c r="E39" s="81"/>
      <c r="F39" s="82">
        <v>2500.7984999999999</v>
      </c>
      <c r="G39" s="51">
        <f t="shared" si="4"/>
        <v>3.5899999999855936E-2</v>
      </c>
      <c r="H39" s="50">
        <f t="shared" si="2"/>
        <v>1292.3999999948137</v>
      </c>
      <c r="I39" s="52">
        <f t="shared" si="3"/>
        <v>0.75420168067122528</v>
      </c>
      <c r="J39" s="39"/>
      <c r="K39" s="83">
        <v>6.2416780000000003</v>
      </c>
      <c r="L39" s="53"/>
      <c r="M39" s="9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84"/>
    </row>
    <row r="40" spans="1:26" ht="23.25" customHeight="1" x14ac:dyDescent="0.2">
      <c r="A40" s="49" t="s">
        <v>29</v>
      </c>
      <c r="B40" s="82">
        <v>3806.1536000000001</v>
      </c>
      <c r="C40" s="25">
        <f t="shared" si="0"/>
        <v>4.7300000000177533E-2</v>
      </c>
      <c r="D40" s="24">
        <f t="shared" si="1"/>
        <v>1702.8000000063912</v>
      </c>
      <c r="E40" s="81"/>
      <c r="F40" s="82">
        <v>2500.8341</v>
      </c>
      <c r="G40" s="51">
        <f t="shared" si="4"/>
        <v>3.5600000000158616E-2</v>
      </c>
      <c r="H40" s="50">
        <f t="shared" si="2"/>
        <v>1281.6000000057102</v>
      </c>
      <c r="I40" s="52">
        <f t="shared" si="3"/>
        <v>0.75264270613160666</v>
      </c>
      <c r="J40" s="39"/>
      <c r="K40" s="83">
        <v>6.208564</v>
      </c>
      <c r="L40" s="53"/>
      <c r="M40" s="99" t="s">
        <v>109</v>
      </c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ht="23.25" customHeight="1" x14ac:dyDescent="0.2">
      <c r="A41" s="49" t="s">
        <v>30</v>
      </c>
      <c r="B41" s="82">
        <v>3806.2015999999999</v>
      </c>
      <c r="C41" s="25">
        <f t="shared" si="0"/>
        <v>4.7999999999774445E-2</v>
      </c>
      <c r="D41" s="24">
        <f t="shared" si="1"/>
        <v>1727.99999999188</v>
      </c>
      <c r="E41" s="81"/>
      <c r="F41" s="82">
        <v>2500.87</v>
      </c>
      <c r="G41" s="51">
        <f t="shared" si="4"/>
        <v>3.5899999999855936E-2</v>
      </c>
      <c r="H41" s="50">
        <f t="shared" si="2"/>
        <v>1292.3999999948137</v>
      </c>
      <c r="I41" s="52">
        <f t="shared" si="3"/>
        <v>0.74791666666717982</v>
      </c>
      <c r="J41" s="39"/>
      <c r="K41" s="83">
        <v>6.1922889999999997</v>
      </c>
      <c r="L41" s="53"/>
      <c r="M41" s="100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1"/>
    </row>
    <row r="42" spans="1:26" ht="23.25" customHeight="1" x14ac:dyDescent="0.2">
      <c r="A42" s="49" t="s">
        <v>31</v>
      </c>
      <c r="B42" s="82">
        <v>3806.2503999999999</v>
      </c>
      <c r="C42" s="25">
        <f t="shared" si="0"/>
        <v>4.8800000000028376E-2</v>
      </c>
      <c r="D42" s="24">
        <f t="shared" si="1"/>
        <v>1756.8000000010215</v>
      </c>
      <c r="E42" s="81"/>
      <c r="F42" s="82">
        <v>2500.9070999999999</v>
      </c>
      <c r="G42" s="51">
        <f t="shared" si="4"/>
        <v>3.7100000000009459E-2</v>
      </c>
      <c r="H42" s="50">
        <f t="shared" si="2"/>
        <v>1335.6000000003405</v>
      </c>
      <c r="I42" s="52">
        <f t="shared" si="3"/>
        <v>0.760245901639096</v>
      </c>
      <c r="J42" s="39"/>
      <c r="K42" s="83">
        <v>6.2300839999999997</v>
      </c>
      <c r="L42" s="53"/>
      <c r="M42" s="95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90"/>
    </row>
    <row r="43" spans="1:26" ht="22.5" customHeight="1" x14ac:dyDescent="0.2">
      <c r="A43" s="167" t="s">
        <v>70</v>
      </c>
      <c r="B43" s="167"/>
      <c r="C43" s="167"/>
      <c r="D43" s="50">
        <f>SUM(D18:D42)</f>
        <v>42825.599999989208</v>
      </c>
      <c r="E43" s="39"/>
      <c r="F43" s="54"/>
      <c r="G43" s="39"/>
      <c r="H43" s="50">
        <f>SUM(H18:H42)</f>
        <v>32666.400000001886</v>
      </c>
      <c r="I43" s="52">
        <f>IF(AND(H43=0,D43=0),0,H43/D43)</f>
        <v>0.76277740416970496</v>
      </c>
      <c r="J43" s="39"/>
      <c r="K43" s="39"/>
      <c r="L43" s="53"/>
      <c r="M43" s="95" t="s">
        <v>80</v>
      </c>
      <c r="N43" s="89" t="s">
        <v>99</v>
      </c>
      <c r="O43" s="89"/>
      <c r="P43" s="89" t="s">
        <v>110</v>
      </c>
      <c r="Q43" s="89"/>
      <c r="R43" s="89"/>
      <c r="S43" s="89"/>
      <c r="T43" s="89"/>
      <c r="U43" s="89"/>
      <c r="V43" s="89"/>
      <c r="W43" s="89"/>
      <c r="X43" s="89" t="s">
        <v>110</v>
      </c>
      <c r="Y43" s="89"/>
      <c r="Z43" s="90"/>
    </row>
    <row r="44" spans="1:26" ht="22.5" customHeight="1" x14ac:dyDescent="0.2">
      <c r="A44" s="164" t="s">
        <v>71</v>
      </c>
      <c r="B44" s="164"/>
      <c r="C44" s="164"/>
      <c r="D44" s="39"/>
      <c r="E44" s="39"/>
      <c r="F44" s="54"/>
      <c r="G44" s="39"/>
      <c r="H44" s="39"/>
      <c r="I44" s="39"/>
      <c r="J44" s="39"/>
      <c r="K44" s="39"/>
      <c r="L44" s="53"/>
      <c r="M44" s="96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2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84"/>
      <c r="O45" s="85"/>
      <c r="P45" s="84"/>
      <c r="Q45" s="88"/>
      <c r="R45" s="85"/>
      <c r="S45" s="7"/>
      <c r="T45" s="84"/>
      <c r="U45" s="88"/>
      <c r="V45" s="88"/>
      <c r="W45" s="85"/>
      <c r="X45" s="84"/>
      <c r="Y45" s="88"/>
      <c r="Z45" s="88"/>
    </row>
    <row r="46" spans="1:26" ht="22.5" customHeight="1" x14ac:dyDescent="0.2">
      <c r="A46" s="155" t="s">
        <v>72</v>
      </c>
      <c r="B46" s="155"/>
      <c r="C46" s="155"/>
      <c r="D46" s="155"/>
      <c r="E46" s="155"/>
      <c r="F46" s="155"/>
      <c r="G46" s="177" t="s">
        <v>73</v>
      </c>
      <c r="H46" s="177"/>
      <c r="I46" s="177"/>
      <c r="J46" s="177"/>
      <c r="K46" s="177"/>
      <c r="L46" s="177"/>
      <c r="M46" s="9"/>
      <c r="N46" s="84"/>
      <c r="O46" s="85"/>
      <c r="P46" s="84"/>
      <c r="Q46" s="88"/>
      <c r="R46" s="85"/>
      <c r="S46" s="7"/>
      <c r="T46" s="84"/>
      <c r="U46" s="88"/>
      <c r="V46" s="88"/>
      <c r="W46" s="85"/>
      <c r="X46" s="84"/>
      <c r="Y46" s="88"/>
      <c r="Z46" s="88"/>
    </row>
    <row r="47" spans="1:26" ht="22.5" customHeight="1" x14ac:dyDescent="0.2">
      <c r="A47" s="117" t="s">
        <v>371</v>
      </c>
      <c r="B47" s="117"/>
      <c r="C47" s="117"/>
      <c r="D47" s="108" t="s">
        <v>74</v>
      </c>
      <c r="E47" s="108"/>
      <c r="F47" s="108"/>
      <c r="G47" s="56"/>
      <c r="H47" s="56"/>
      <c r="I47" s="56"/>
      <c r="J47" s="56"/>
      <c r="K47" s="56"/>
      <c r="L47" s="56"/>
      <c r="M47" s="9"/>
      <c r="N47" s="84"/>
      <c r="O47" s="85"/>
      <c r="P47" s="84"/>
      <c r="Q47" s="88"/>
      <c r="R47" s="85"/>
      <c r="S47" s="7"/>
      <c r="T47" s="84"/>
      <c r="U47" s="88"/>
      <c r="V47" s="88"/>
      <c r="W47" s="85"/>
      <c r="X47" s="84"/>
      <c r="Y47" s="88"/>
      <c r="Z47" s="88"/>
    </row>
    <row r="48" spans="1:26" ht="22.5" customHeight="1" x14ac:dyDescent="0.2">
      <c r="A48" s="148" t="s">
        <v>75</v>
      </c>
      <c r="B48" s="148"/>
      <c r="C48" s="148"/>
      <c r="D48" s="147" t="s">
        <v>76</v>
      </c>
      <c r="E48" s="147"/>
      <c r="F48" s="147"/>
      <c r="G48" s="55"/>
      <c r="H48" s="55"/>
      <c r="I48" s="55"/>
      <c r="J48" s="55"/>
      <c r="K48" s="55"/>
      <c r="L48" s="55"/>
    </row>
    <row r="49" spans="1:23" ht="22.5" customHeight="1" x14ac:dyDescent="0.2">
      <c r="A49" s="117" t="s">
        <v>372</v>
      </c>
      <c r="B49" s="117"/>
      <c r="C49" s="117"/>
      <c r="D49" s="108" t="s">
        <v>74</v>
      </c>
      <c r="E49" s="108"/>
      <c r="F49" s="108"/>
      <c r="G49" s="55"/>
      <c r="H49" s="155" t="s">
        <v>183</v>
      </c>
      <c r="I49" s="155"/>
      <c r="J49" s="155"/>
      <c r="K49" s="155" t="s">
        <v>77</v>
      </c>
      <c r="L49" s="155"/>
      <c r="N49" s="150" t="s">
        <v>150</v>
      </c>
      <c r="O49" s="150"/>
      <c r="P49" s="150"/>
      <c r="Q49" s="149" t="s">
        <v>370</v>
      </c>
      <c r="R49" s="149"/>
      <c r="S49" s="149"/>
      <c r="T49" s="149"/>
      <c r="U49" s="149"/>
      <c r="V49" s="149"/>
      <c r="W49" s="1"/>
    </row>
    <row r="50" spans="1:23" ht="22.5" customHeight="1" x14ac:dyDescent="0.2">
      <c r="A50" s="148" t="s">
        <v>75</v>
      </c>
      <c r="B50" s="148"/>
      <c r="C50" s="148"/>
      <c r="D50" s="147" t="s">
        <v>76</v>
      </c>
      <c r="E50" s="147"/>
      <c r="F50" s="147"/>
      <c r="G50" s="58"/>
      <c r="H50" s="148" t="s">
        <v>75</v>
      </c>
      <c r="I50" s="148"/>
      <c r="J50" s="148"/>
      <c r="K50" s="148" t="s">
        <v>76</v>
      </c>
      <c r="L50" s="148"/>
      <c r="S50" s="146" t="s">
        <v>76</v>
      </c>
      <c r="T50" s="146"/>
    </row>
    <row r="51" spans="1:23" ht="20.100000000000001" customHeight="1" x14ac:dyDescent="0.2">
      <c r="A51" s="117" t="s">
        <v>373</v>
      </c>
      <c r="B51" s="117"/>
      <c r="C51" s="117"/>
      <c r="D51" s="108" t="s">
        <v>74</v>
      </c>
      <c r="E51" s="108"/>
      <c r="F51" s="108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47" t="s">
        <v>75</v>
      </c>
      <c r="B52" s="147"/>
      <c r="C52" s="147"/>
      <c r="D52" s="146" t="s">
        <v>76</v>
      </c>
      <c r="E52" s="146"/>
      <c r="F52" s="146"/>
      <c r="G52" s="63"/>
      <c r="H52" s="63"/>
      <c r="I52" s="64"/>
      <c r="J52" s="64"/>
      <c r="K52" s="64"/>
      <c r="L52" s="64"/>
    </row>
  </sheetData>
  <sheetProtection sheet="1" objects="1" scenarios="1"/>
  <mergeCells count="256"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D49:F49"/>
    <mergeCell ref="A47:C47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H10:L10"/>
    <mergeCell ref="D13:E13"/>
    <mergeCell ref="E10:G10"/>
    <mergeCell ref="A43:C43"/>
    <mergeCell ref="I13:I17"/>
    <mergeCell ref="J13:K13"/>
    <mergeCell ref="J14:K14"/>
    <mergeCell ref="J15:K15"/>
    <mergeCell ref="I3:L4"/>
    <mergeCell ref="A11:D11"/>
    <mergeCell ref="E11:H11"/>
    <mergeCell ref="A10:D10"/>
    <mergeCell ref="H50:J50"/>
    <mergeCell ref="K50:L50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G5:H6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8:Z8"/>
    <mergeCell ref="N23:P23"/>
    <mergeCell ref="V14:W14"/>
    <mergeCell ref="N10:O10"/>
    <mergeCell ref="N11:O11"/>
    <mergeCell ref="P7:Q7"/>
    <mergeCell ref="P8:Q8"/>
    <mergeCell ref="A12:L12"/>
    <mergeCell ref="M31:M32"/>
    <mergeCell ref="N16:O16"/>
    <mergeCell ref="N12:O12"/>
    <mergeCell ref="N13:O13"/>
    <mergeCell ref="M18:M19"/>
    <mergeCell ref="N20:P21"/>
    <mergeCell ref="P13:Q13"/>
    <mergeCell ref="P14:Q14"/>
    <mergeCell ref="Q22:S22"/>
    <mergeCell ref="M20:M21"/>
    <mergeCell ref="N28:P28"/>
    <mergeCell ref="Q28:S28"/>
    <mergeCell ref="P16:Q16"/>
    <mergeCell ref="M17:Z17"/>
    <mergeCell ref="W18:Z21"/>
    <mergeCell ref="N14:O14"/>
    <mergeCell ref="M1:Z1"/>
    <mergeCell ref="M2:Z2"/>
    <mergeCell ref="X3:Z6"/>
    <mergeCell ref="M5:M6"/>
    <mergeCell ref="M3:M4"/>
    <mergeCell ref="T6:U6"/>
    <mergeCell ref="N7:O7"/>
    <mergeCell ref="P3:Q4"/>
    <mergeCell ref="R3:S3"/>
    <mergeCell ref="R4:S4"/>
    <mergeCell ref="R5:S5"/>
    <mergeCell ref="R6:S6"/>
    <mergeCell ref="R7:S7"/>
    <mergeCell ref="X7:Z7"/>
    <mergeCell ref="N8:O8"/>
    <mergeCell ref="N9:O9"/>
    <mergeCell ref="P5:Q6"/>
    <mergeCell ref="N3:O6"/>
    <mergeCell ref="T3:U3"/>
    <mergeCell ref="T4:U4"/>
    <mergeCell ref="T5:U5"/>
    <mergeCell ref="T7:U7"/>
    <mergeCell ref="V12:W12"/>
    <mergeCell ref="T8:U8"/>
    <mergeCell ref="V8:W8"/>
    <mergeCell ref="V3:W3"/>
    <mergeCell ref="V4:W4"/>
    <mergeCell ref="V5:W5"/>
    <mergeCell ref="V6:W6"/>
    <mergeCell ref="V7:W7"/>
    <mergeCell ref="P12:Q12"/>
    <mergeCell ref="R8:S8"/>
    <mergeCell ref="R9:S9"/>
    <mergeCell ref="R10:S10"/>
    <mergeCell ref="P9:Q9"/>
    <mergeCell ref="P10:Q10"/>
    <mergeCell ref="P11:Q11"/>
    <mergeCell ref="T9:U9"/>
    <mergeCell ref="X9:Z9"/>
    <mergeCell ref="X10:Z10"/>
    <mergeCell ref="X11:Z11"/>
    <mergeCell ref="X12:Z12"/>
    <mergeCell ref="X13:Z13"/>
    <mergeCell ref="X14:Z14"/>
    <mergeCell ref="Q20:S20"/>
    <mergeCell ref="T16:U16"/>
    <mergeCell ref="T20:V21"/>
    <mergeCell ref="Q21:S21"/>
    <mergeCell ref="T18:V19"/>
    <mergeCell ref="Q18:S18"/>
    <mergeCell ref="V9:W9"/>
    <mergeCell ref="Q19:S19"/>
    <mergeCell ref="V16:W16"/>
    <mergeCell ref="T10:U10"/>
    <mergeCell ref="V13:W13"/>
    <mergeCell ref="T13:U13"/>
    <mergeCell ref="R16:S16"/>
    <mergeCell ref="V15:W15"/>
    <mergeCell ref="T15:U15"/>
    <mergeCell ref="X15:Z15"/>
    <mergeCell ref="X16:Z16"/>
    <mergeCell ref="R11:S11"/>
    <mergeCell ref="R12:S12"/>
    <mergeCell ref="R13:S13"/>
    <mergeCell ref="T11:U11"/>
    <mergeCell ref="V11:W11"/>
    <mergeCell ref="T12:U12"/>
    <mergeCell ref="V10:W10"/>
    <mergeCell ref="W27:Z27"/>
    <mergeCell ref="N26:P26"/>
    <mergeCell ref="W24:Z24"/>
    <mergeCell ref="W22:Z22"/>
    <mergeCell ref="T14:U14"/>
    <mergeCell ref="R14:S14"/>
    <mergeCell ref="R15:S15"/>
    <mergeCell ref="P15:Q15"/>
    <mergeCell ref="N22:P22"/>
    <mergeCell ref="T22:V22"/>
    <mergeCell ref="T27:V27"/>
    <mergeCell ref="N18:P19"/>
    <mergeCell ref="N15:O15"/>
    <mergeCell ref="Q25:S25"/>
    <mergeCell ref="T36:U36"/>
    <mergeCell ref="V36:X36"/>
    <mergeCell ref="Y36:Z36"/>
    <mergeCell ref="P35:Q36"/>
    <mergeCell ref="W23:Z23"/>
    <mergeCell ref="Q23:S23"/>
    <mergeCell ref="W28:Z28"/>
    <mergeCell ref="V34:X34"/>
    <mergeCell ref="N25:P25"/>
    <mergeCell ref="W25:Z25"/>
    <mergeCell ref="T25:V25"/>
    <mergeCell ref="N24:P24"/>
    <mergeCell ref="T33:U33"/>
    <mergeCell ref="R31:S31"/>
    <mergeCell ref="R32:S32"/>
    <mergeCell ref="N31:O32"/>
    <mergeCell ref="N33:O34"/>
    <mergeCell ref="P31:Q31"/>
    <mergeCell ref="T24:V24"/>
    <mergeCell ref="Q24:S24"/>
    <mergeCell ref="Q27:S27"/>
    <mergeCell ref="Y38:Z38"/>
    <mergeCell ref="N38:O38"/>
    <mergeCell ref="P38:Q38"/>
    <mergeCell ref="R38:S38"/>
    <mergeCell ref="T38:U38"/>
    <mergeCell ref="W26:Z26"/>
    <mergeCell ref="N27:P27"/>
    <mergeCell ref="T37:U37"/>
    <mergeCell ref="Y35:Z35"/>
    <mergeCell ref="N36:O36"/>
    <mergeCell ref="P37:Q37"/>
    <mergeCell ref="R37:S37"/>
    <mergeCell ref="P32:Q32"/>
    <mergeCell ref="P33:Q33"/>
    <mergeCell ref="N35:O35"/>
    <mergeCell ref="T35:U35"/>
    <mergeCell ref="V35:X35"/>
    <mergeCell ref="R35:S36"/>
    <mergeCell ref="P34:Q34"/>
    <mergeCell ref="T28:V28"/>
    <mergeCell ref="Q26:S26"/>
    <mergeCell ref="T26:V26"/>
    <mergeCell ref="R34:S34"/>
    <mergeCell ref="T34:U34"/>
    <mergeCell ref="I1:L2"/>
    <mergeCell ref="I5:L6"/>
    <mergeCell ref="X45:Z45"/>
    <mergeCell ref="X46:Z46"/>
    <mergeCell ref="X47:Z47"/>
    <mergeCell ref="M43:M44"/>
    <mergeCell ref="N47:O47"/>
    <mergeCell ref="T45:W45"/>
    <mergeCell ref="T46:W46"/>
    <mergeCell ref="T47:W47"/>
    <mergeCell ref="N37:O37"/>
    <mergeCell ref="N43:O44"/>
    <mergeCell ref="P43:R44"/>
    <mergeCell ref="X41:Z42"/>
    <mergeCell ref="X43:Z44"/>
    <mergeCell ref="R39:S39"/>
    <mergeCell ref="T39:U39"/>
    <mergeCell ref="V39:X39"/>
    <mergeCell ref="Y39:Z39"/>
    <mergeCell ref="S41:S44"/>
    <mergeCell ref="V38:X38"/>
    <mergeCell ref="V37:X37"/>
    <mergeCell ref="Y37:Z37"/>
    <mergeCell ref="T23:V23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T41:W44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Z52"/>
  <sheetViews>
    <sheetView view="pageBreakPreview" zoomScale="75" zoomScaleNormal="50" zoomScaleSheetLayoutView="75" workbookViewId="0">
      <selection activeCell="K19" sqref="K19:K42"/>
    </sheetView>
  </sheetViews>
  <sheetFormatPr defaultRowHeight="18.75" x14ac:dyDescent="0.2"/>
  <cols>
    <col min="1" max="1" width="11.140625" style="2" customWidth="1"/>
    <col min="2" max="2" width="13.7109375" style="2" customWidth="1"/>
    <col min="3" max="3" width="12.140625" style="2" customWidth="1"/>
    <col min="4" max="4" width="13.28515625" style="2" customWidth="1"/>
    <col min="5" max="5" width="5.42578125" style="2" customWidth="1"/>
    <col min="6" max="6" width="12.42578125" style="2" customWidth="1"/>
    <col min="7" max="7" width="12.8554687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71093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4" t="s">
        <v>157</v>
      </c>
      <c r="B1" s="94"/>
      <c r="C1" s="94"/>
      <c r="D1" s="94"/>
      <c r="E1" s="94"/>
      <c r="F1" s="94"/>
      <c r="G1" s="123" t="s">
        <v>154</v>
      </c>
      <c r="H1" s="123"/>
      <c r="I1" s="94" t="s">
        <v>160</v>
      </c>
      <c r="J1" s="94"/>
      <c r="K1" s="94"/>
      <c r="L1" s="94"/>
      <c r="M1" s="99" t="s">
        <v>96</v>
      </c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ht="21.75" customHeight="1" x14ac:dyDescent="0.2">
      <c r="A2" s="119" t="s">
        <v>45</v>
      </c>
      <c r="B2" s="119"/>
      <c r="C2" s="119"/>
      <c r="D2" s="119"/>
      <c r="E2" s="119"/>
      <c r="F2" s="119"/>
      <c r="G2" s="123"/>
      <c r="H2" s="123"/>
      <c r="I2" s="94"/>
      <c r="J2" s="94"/>
      <c r="K2" s="94"/>
      <c r="L2" s="94"/>
      <c r="M2" s="99" t="s">
        <v>78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ht="21.75" customHeight="1" x14ac:dyDescent="0.2">
      <c r="A3" s="94" t="s">
        <v>158</v>
      </c>
      <c r="B3" s="120"/>
      <c r="C3" s="120"/>
      <c r="D3" s="120"/>
      <c r="E3" s="120"/>
      <c r="F3" s="120"/>
      <c r="G3" s="123" t="s">
        <v>155</v>
      </c>
      <c r="H3" s="123"/>
      <c r="I3" s="94" t="s">
        <v>208</v>
      </c>
      <c r="J3" s="94"/>
      <c r="K3" s="94"/>
      <c r="L3" s="94"/>
      <c r="M3" s="100" t="s">
        <v>79</v>
      </c>
      <c r="N3" s="101" t="s">
        <v>81</v>
      </c>
      <c r="O3" s="100"/>
      <c r="P3" s="101" t="s">
        <v>65</v>
      </c>
      <c r="Q3" s="100"/>
      <c r="R3" s="101" t="s">
        <v>82</v>
      </c>
      <c r="S3" s="100"/>
      <c r="T3" s="101" t="s">
        <v>85</v>
      </c>
      <c r="U3" s="100"/>
      <c r="V3" s="101" t="s">
        <v>87</v>
      </c>
      <c r="W3" s="100"/>
      <c r="X3" s="86" t="s">
        <v>91</v>
      </c>
      <c r="Y3" s="105"/>
      <c r="Z3" s="105"/>
    </row>
    <row r="4" spans="1:26" ht="29.25" customHeight="1" x14ac:dyDescent="0.2">
      <c r="A4" s="119" t="s">
        <v>46</v>
      </c>
      <c r="B4" s="119"/>
      <c r="C4" s="119"/>
      <c r="D4" s="119"/>
      <c r="E4" s="119"/>
      <c r="F4" s="119"/>
      <c r="G4" s="123"/>
      <c r="H4" s="123"/>
      <c r="I4" s="94"/>
      <c r="J4" s="94"/>
      <c r="K4" s="94"/>
      <c r="L4" s="94"/>
      <c r="M4" s="95"/>
      <c r="N4" s="90"/>
      <c r="O4" s="95"/>
      <c r="P4" s="90"/>
      <c r="Q4" s="95"/>
      <c r="R4" s="90" t="s">
        <v>83</v>
      </c>
      <c r="S4" s="95"/>
      <c r="T4" s="90" t="s">
        <v>86</v>
      </c>
      <c r="U4" s="95"/>
      <c r="V4" s="90" t="s">
        <v>88</v>
      </c>
      <c r="W4" s="95"/>
      <c r="X4" s="86"/>
      <c r="Y4" s="105"/>
      <c r="Z4" s="105"/>
    </row>
    <row r="5" spans="1:26" ht="21.75" customHeight="1" x14ac:dyDescent="0.2">
      <c r="A5" s="94" t="s">
        <v>178</v>
      </c>
      <c r="B5" s="120"/>
      <c r="C5" s="120"/>
      <c r="D5" s="120"/>
      <c r="E5" s="120"/>
      <c r="F5" s="120"/>
      <c r="G5" s="123" t="s">
        <v>156</v>
      </c>
      <c r="H5" s="123"/>
      <c r="I5" s="94" t="s">
        <v>210</v>
      </c>
      <c r="J5" s="94"/>
      <c r="K5" s="94"/>
      <c r="L5" s="94"/>
      <c r="M5" s="95" t="s">
        <v>80</v>
      </c>
      <c r="N5" s="90"/>
      <c r="O5" s="95"/>
      <c r="P5" s="90" t="s">
        <v>182</v>
      </c>
      <c r="Q5" s="95"/>
      <c r="R5" s="106" t="s">
        <v>84</v>
      </c>
      <c r="S5" s="107"/>
      <c r="T5" s="106" t="s">
        <v>84</v>
      </c>
      <c r="U5" s="107"/>
      <c r="V5" s="90" t="s">
        <v>89</v>
      </c>
      <c r="W5" s="95"/>
      <c r="X5" s="86"/>
      <c r="Y5" s="105"/>
      <c r="Z5" s="105"/>
    </row>
    <row r="6" spans="1:26" ht="21.75" customHeight="1" x14ac:dyDescent="0.2">
      <c r="A6" s="119" t="s">
        <v>47</v>
      </c>
      <c r="B6" s="119"/>
      <c r="C6" s="119"/>
      <c r="D6" s="119"/>
      <c r="E6" s="119"/>
      <c r="F6" s="119"/>
      <c r="G6" s="123"/>
      <c r="H6" s="123"/>
      <c r="I6" s="94"/>
      <c r="J6" s="94"/>
      <c r="K6" s="94"/>
      <c r="L6" s="94"/>
      <c r="M6" s="96"/>
      <c r="N6" s="92"/>
      <c r="O6" s="96"/>
      <c r="P6" s="92"/>
      <c r="Q6" s="96"/>
      <c r="R6" s="92"/>
      <c r="S6" s="96"/>
      <c r="T6" s="92"/>
      <c r="U6" s="96"/>
      <c r="V6" s="92" t="s">
        <v>90</v>
      </c>
      <c r="W6" s="96"/>
      <c r="X6" s="86"/>
      <c r="Y6" s="105"/>
      <c r="Z6" s="105"/>
    </row>
    <row r="7" spans="1:26" ht="21.75" customHeight="1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84"/>
      <c r="O7" s="85"/>
      <c r="P7" s="84"/>
      <c r="Q7" s="85"/>
      <c r="R7" s="84"/>
      <c r="S7" s="85"/>
      <c r="T7" s="84"/>
      <c r="U7" s="85"/>
      <c r="V7" s="84"/>
      <c r="W7" s="85"/>
      <c r="X7" s="84"/>
      <c r="Y7" s="88"/>
      <c r="Z7" s="88"/>
    </row>
    <row r="8" spans="1:26" ht="22.5" customHeight="1" x14ac:dyDescent="0.2">
      <c r="A8" s="116" t="s">
        <v>48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84"/>
      <c r="O8" s="85"/>
      <c r="P8" s="84"/>
      <c r="Q8" s="85"/>
      <c r="R8" s="84"/>
      <c r="S8" s="85"/>
      <c r="T8" s="84"/>
      <c r="U8" s="85"/>
      <c r="V8" s="84"/>
      <c r="W8" s="85"/>
      <c r="X8" s="84"/>
      <c r="Y8" s="88"/>
      <c r="Z8" s="88"/>
    </row>
    <row r="9" spans="1:26" ht="22.5" customHeight="1" x14ac:dyDescent="0.2">
      <c r="A9" s="129" t="s">
        <v>49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9"/>
      <c r="N9" s="84"/>
      <c r="O9" s="85"/>
      <c r="P9" s="84"/>
      <c r="Q9" s="85"/>
      <c r="R9" s="84"/>
      <c r="S9" s="85"/>
      <c r="T9" s="84"/>
      <c r="U9" s="85"/>
      <c r="V9" s="84"/>
      <c r="W9" s="85"/>
      <c r="X9" s="84"/>
      <c r="Y9" s="88"/>
      <c r="Z9" s="88"/>
    </row>
    <row r="10" spans="1:26" ht="22.5" customHeight="1" x14ac:dyDescent="0.2">
      <c r="A10" s="124" t="s">
        <v>112</v>
      </c>
      <c r="B10" s="124"/>
      <c r="C10" s="124"/>
      <c r="D10" s="124"/>
      <c r="E10" s="135" t="s">
        <v>375</v>
      </c>
      <c r="F10" s="136"/>
      <c r="G10" s="136"/>
      <c r="H10" s="111" t="s">
        <v>376</v>
      </c>
      <c r="I10" s="111"/>
      <c r="J10" s="111"/>
      <c r="K10" s="111"/>
      <c r="L10" s="111"/>
      <c r="M10" s="9"/>
      <c r="N10" s="84"/>
      <c r="O10" s="85"/>
      <c r="P10" s="84"/>
      <c r="Q10" s="85"/>
      <c r="R10" s="84"/>
      <c r="S10" s="85"/>
      <c r="T10" s="84"/>
      <c r="U10" s="85"/>
      <c r="V10" s="84"/>
      <c r="W10" s="85"/>
      <c r="X10" s="84"/>
      <c r="Y10" s="88"/>
      <c r="Z10" s="88"/>
    </row>
    <row r="11" spans="1:26" ht="22.5" customHeight="1" x14ac:dyDescent="0.2">
      <c r="A11" s="124" t="s">
        <v>113</v>
      </c>
      <c r="B11" s="124"/>
      <c r="C11" s="124"/>
      <c r="D11" s="124"/>
      <c r="E11" s="134" t="s">
        <v>222</v>
      </c>
      <c r="F11" s="134"/>
      <c r="G11" s="134"/>
      <c r="H11" s="134"/>
      <c r="I11" s="111" t="s">
        <v>114</v>
      </c>
      <c r="J11" s="111"/>
      <c r="K11" s="111"/>
      <c r="L11" s="111"/>
      <c r="M11" s="9"/>
      <c r="N11" s="84"/>
      <c r="O11" s="85"/>
      <c r="P11" s="84"/>
      <c r="Q11" s="85"/>
      <c r="R11" s="84"/>
      <c r="S11" s="85"/>
      <c r="T11" s="84"/>
      <c r="U11" s="85"/>
      <c r="V11" s="84"/>
      <c r="W11" s="85"/>
      <c r="X11" s="84"/>
      <c r="Y11" s="88"/>
      <c r="Z11" s="88"/>
    </row>
    <row r="12" spans="1:26" ht="21.75" customHeight="1" x14ac:dyDescent="0.2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9"/>
      <c r="N12" s="84"/>
      <c r="O12" s="85"/>
      <c r="P12" s="84"/>
      <c r="Q12" s="85"/>
      <c r="R12" s="84"/>
      <c r="S12" s="85"/>
      <c r="T12" s="84"/>
      <c r="U12" s="85"/>
      <c r="V12" s="84"/>
      <c r="W12" s="85"/>
      <c r="X12" s="84"/>
      <c r="Y12" s="88"/>
      <c r="Z12" s="88"/>
    </row>
    <row r="13" spans="1:26" ht="21.75" customHeight="1" x14ac:dyDescent="0.2">
      <c r="A13" s="171" t="s">
        <v>50</v>
      </c>
      <c r="B13" s="156" t="s">
        <v>56</v>
      </c>
      <c r="C13" s="157"/>
      <c r="D13" s="165" t="s">
        <v>190</v>
      </c>
      <c r="E13" s="166"/>
      <c r="F13" s="156" t="s">
        <v>59</v>
      </c>
      <c r="G13" s="157"/>
      <c r="H13" s="40" t="s">
        <v>190</v>
      </c>
      <c r="I13" s="168" t="s">
        <v>5</v>
      </c>
      <c r="J13" s="156" t="s">
        <v>60</v>
      </c>
      <c r="K13" s="171"/>
      <c r="L13" s="41" t="s">
        <v>65</v>
      </c>
      <c r="M13" s="9"/>
      <c r="N13" s="84"/>
      <c r="O13" s="85"/>
      <c r="P13" s="84"/>
      <c r="Q13" s="85"/>
      <c r="R13" s="84"/>
      <c r="S13" s="85"/>
      <c r="T13" s="84"/>
      <c r="U13" s="85"/>
      <c r="V13" s="84"/>
      <c r="W13" s="85"/>
      <c r="X13" s="84"/>
      <c r="Y13" s="88"/>
      <c r="Z13" s="88"/>
    </row>
    <row r="14" spans="1:26" ht="21.75" customHeight="1" x14ac:dyDescent="0.2">
      <c r="A14" s="172"/>
      <c r="B14" s="158" t="s">
        <v>57</v>
      </c>
      <c r="C14" s="159"/>
      <c r="D14" s="160" t="s">
        <v>211</v>
      </c>
      <c r="E14" s="161"/>
      <c r="F14" s="158" t="s">
        <v>57</v>
      </c>
      <c r="G14" s="159"/>
      <c r="H14" s="42" t="s">
        <v>211</v>
      </c>
      <c r="I14" s="169"/>
      <c r="J14" s="158" t="s">
        <v>61</v>
      </c>
      <c r="K14" s="172"/>
      <c r="L14" s="41" t="s">
        <v>66</v>
      </c>
      <c r="M14" s="9"/>
      <c r="N14" s="84"/>
      <c r="O14" s="85"/>
      <c r="P14" s="84"/>
      <c r="Q14" s="85"/>
      <c r="R14" s="84"/>
      <c r="S14" s="85"/>
      <c r="T14" s="84"/>
      <c r="U14" s="85"/>
      <c r="V14" s="84"/>
      <c r="W14" s="85"/>
      <c r="X14" s="84"/>
      <c r="Y14" s="88"/>
      <c r="Z14" s="88"/>
    </row>
    <row r="15" spans="1:26" ht="21.75" customHeight="1" x14ac:dyDescent="0.2">
      <c r="A15" s="172"/>
      <c r="B15" s="162" t="s">
        <v>58</v>
      </c>
      <c r="C15" s="163"/>
      <c r="D15" s="175">
        <v>7200</v>
      </c>
      <c r="E15" s="176"/>
      <c r="F15" s="162" t="s">
        <v>58</v>
      </c>
      <c r="G15" s="163"/>
      <c r="H15" s="43">
        <v>7200</v>
      </c>
      <c r="I15" s="169"/>
      <c r="J15" s="162" t="s">
        <v>62</v>
      </c>
      <c r="K15" s="173"/>
      <c r="L15" s="41" t="s">
        <v>67</v>
      </c>
      <c r="M15" s="9"/>
      <c r="N15" s="84"/>
      <c r="O15" s="85"/>
      <c r="P15" s="84"/>
      <c r="Q15" s="85"/>
      <c r="R15" s="84"/>
      <c r="S15" s="85"/>
      <c r="T15" s="84"/>
      <c r="U15" s="85"/>
      <c r="V15" s="84"/>
      <c r="W15" s="85"/>
      <c r="X15" s="84"/>
      <c r="Y15" s="88"/>
      <c r="Z15" s="88"/>
    </row>
    <row r="16" spans="1:26" ht="21.75" customHeight="1" x14ac:dyDescent="0.2">
      <c r="A16" s="172"/>
      <c r="B16" s="44" t="s">
        <v>51</v>
      </c>
      <c r="C16" s="44" t="s">
        <v>53</v>
      </c>
      <c r="D16" s="44" t="s">
        <v>54</v>
      </c>
      <c r="E16" s="127"/>
      <c r="F16" s="44" t="s">
        <v>51</v>
      </c>
      <c r="G16" s="44" t="s">
        <v>53</v>
      </c>
      <c r="H16" s="45" t="s">
        <v>54</v>
      </c>
      <c r="I16" s="169"/>
      <c r="J16" s="127" t="s">
        <v>63</v>
      </c>
      <c r="K16" s="127" t="s">
        <v>64</v>
      </c>
      <c r="L16" s="41" t="s">
        <v>68</v>
      </c>
      <c r="M16" s="9"/>
      <c r="N16" s="84"/>
      <c r="O16" s="85"/>
      <c r="P16" s="84"/>
      <c r="Q16" s="85"/>
      <c r="R16" s="84"/>
      <c r="S16" s="85"/>
      <c r="T16" s="84"/>
      <c r="U16" s="85"/>
      <c r="V16" s="84"/>
      <c r="W16" s="85"/>
      <c r="X16" s="84"/>
      <c r="Y16" s="88"/>
      <c r="Z16" s="88"/>
    </row>
    <row r="17" spans="1:26" ht="21.75" customHeight="1" x14ac:dyDescent="0.2">
      <c r="A17" s="173"/>
      <c r="B17" s="46" t="s">
        <v>52</v>
      </c>
      <c r="C17" s="46" t="s">
        <v>51</v>
      </c>
      <c r="D17" s="46" t="s">
        <v>55</v>
      </c>
      <c r="E17" s="174"/>
      <c r="F17" s="46" t="s">
        <v>52</v>
      </c>
      <c r="G17" s="46" t="s">
        <v>51</v>
      </c>
      <c r="H17" s="48" t="s">
        <v>55</v>
      </c>
      <c r="I17" s="170"/>
      <c r="J17" s="128"/>
      <c r="K17" s="128"/>
      <c r="L17" s="41" t="s">
        <v>69</v>
      </c>
      <c r="M17" s="103" t="s">
        <v>92</v>
      </c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spans="1:26" ht="23.25" customHeight="1" x14ac:dyDescent="0.2">
      <c r="A18" s="49" t="s">
        <v>7</v>
      </c>
      <c r="B18" s="82">
        <v>11247.4843</v>
      </c>
      <c r="C18" s="25"/>
      <c r="D18" s="24"/>
      <c r="E18" s="25"/>
      <c r="F18" s="82">
        <v>6232.3777</v>
      </c>
      <c r="G18" s="51"/>
      <c r="H18" s="50"/>
      <c r="I18" s="52"/>
      <c r="J18" s="39"/>
      <c r="K18" s="79"/>
      <c r="L18" s="53"/>
      <c r="M18" s="100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1" t="s">
        <v>91</v>
      </c>
      <c r="X18" s="104"/>
      <c r="Y18" s="104"/>
      <c r="Z18" s="104"/>
    </row>
    <row r="19" spans="1:26" ht="23.25" customHeight="1" x14ac:dyDescent="0.2">
      <c r="A19" s="49" t="s">
        <v>8</v>
      </c>
      <c r="B19" s="82">
        <v>11247.563</v>
      </c>
      <c r="C19" s="25">
        <f>B19-B18</f>
        <v>7.8700000000026193E-2</v>
      </c>
      <c r="D19" s="24">
        <f t="shared" ref="D19:D42" si="0">IF(C19="","",C19*$D$15)</f>
        <v>566.64000000018859</v>
      </c>
      <c r="E19" s="25"/>
      <c r="F19" s="82">
        <v>6232.4183999999996</v>
      </c>
      <c r="G19" s="51">
        <f>F19-ReportObject13_3</f>
        <v>4.0699999999560532E-2</v>
      </c>
      <c r="H19" s="50">
        <f t="shared" ref="H19:H42" si="1">IF(G19="","",G19*$H$15)</f>
        <v>293.03999999683583</v>
      </c>
      <c r="I19" s="52">
        <f t="shared" ref="I19:I42" si="2">IF(H19="","",IF(D19="","",IF(AND(H19=0,D19=0),0,H19/D19)))</f>
        <v>0.51715374840593376</v>
      </c>
      <c r="J19" s="39"/>
      <c r="K19" s="83">
        <v>6.3345370000000001</v>
      </c>
      <c r="L19" s="53"/>
      <c r="M19" s="95"/>
      <c r="N19" s="89"/>
      <c r="O19" s="89"/>
      <c r="P19" s="89"/>
      <c r="Q19" s="89" t="s">
        <v>108</v>
      </c>
      <c r="R19" s="89"/>
      <c r="S19" s="89"/>
      <c r="T19" s="89"/>
      <c r="U19" s="89"/>
      <c r="V19" s="89"/>
      <c r="W19" s="90"/>
      <c r="X19" s="99"/>
      <c r="Y19" s="99"/>
      <c r="Z19" s="99"/>
    </row>
    <row r="20" spans="1:26" ht="23.25" customHeight="1" x14ac:dyDescent="0.2">
      <c r="A20" s="49" t="s">
        <v>9</v>
      </c>
      <c r="B20" s="82">
        <v>11247.6396</v>
      </c>
      <c r="C20" s="25">
        <f t="shared" ref="C20:C42" si="3">IF(B20="","",IF(LEN(TRUNC(B19,0))-LEN(TRUNC(B20,0))=0,B20-B19,IF(LEN(TRUNC(B19,0))-LEN(TRUNC(B20,0))&gt;0,VALUE(LEFT(B19,LEN(TRUNC(B19,0))-LEN(TRUNC(B20,0))))*POWER(10,LEN(TRUNC(B20,0)))+B20-B19,B20-B19-VALUE(LEFT(B20,LEN(TRUNC(B20,0))-LEN(TRUNC(B19,0))))*POWER(10,LEN(TRUNC(B19,0))))))</f>
        <v>7.6600000000325963E-2</v>
      </c>
      <c r="D20" s="24">
        <f t="shared" si="0"/>
        <v>551.52000000234693</v>
      </c>
      <c r="E20" s="25"/>
      <c r="F20" s="82">
        <v>6232.4602999999997</v>
      </c>
      <c r="G20" s="51">
        <f>F20-F19</f>
        <v>4.1900000000168802E-2</v>
      </c>
      <c r="H20" s="50">
        <f t="shared" si="1"/>
        <v>301.68000000121538</v>
      </c>
      <c r="I20" s="52">
        <f t="shared" si="2"/>
        <v>0.54699738903381856</v>
      </c>
      <c r="J20" s="39"/>
      <c r="K20" s="83">
        <v>6.2260789999999995</v>
      </c>
      <c r="L20" s="53"/>
      <c r="M20" s="95" t="s">
        <v>80</v>
      </c>
      <c r="N20" s="89" t="s">
        <v>99</v>
      </c>
      <c r="O20" s="89"/>
      <c r="P20" s="89"/>
      <c r="Q20" s="89" t="s">
        <v>181</v>
      </c>
      <c r="R20" s="89"/>
      <c r="S20" s="89"/>
      <c r="T20" s="89" t="s">
        <v>94</v>
      </c>
      <c r="U20" s="89"/>
      <c r="V20" s="89"/>
      <c r="W20" s="90"/>
      <c r="X20" s="99"/>
      <c r="Y20" s="99"/>
      <c r="Z20" s="99"/>
    </row>
    <row r="21" spans="1:26" ht="23.25" customHeight="1" x14ac:dyDescent="0.2">
      <c r="A21" s="49" t="s">
        <v>10</v>
      </c>
      <c r="B21" s="82">
        <v>11247.712799999999</v>
      </c>
      <c r="C21" s="25">
        <f t="shared" si="3"/>
        <v>7.3199999998905696E-2</v>
      </c>
      <c r="D21" s="24">
        <f t="shared" si="0"/>
        <v>527.03999999212101</v>
      </c>
      <c r="E21" s="25"/>
      <c r="F21" s="82">
        <v>6232.5007999999998</v>
      </c>
      <c r="G21" s="51">
        <f t="shared" ref="G21:G42" si="4">F21-F20</f>
        <v>4.0500000000065484E-2</v>
      </c>
      <c r="H21" s="50">
        <f t="shared" si="1"/>
        <v>291.60000000047148</v>
      </c>
      <c r="I21" s="52">
        <f t="shared" si="2"/>
        <v>0.55327868853375595</v>
      </c>
      <c r="J21" s="39"/>
      <c r="K21" s="83">
        <v>6.3688130000000003</v>
      </c>
      <c r="L21" s="53"/>
      <c r="M21" s="96"/>
      <c r="N21" s="91"/>
      <c r="O21" s="91"/>
      <c r="P21" s="91"/>
      <c r="Q21" s="91"/>
      <c r="R21" s="91"/>
      <c r="S21" s="91"/>
      <c r="T21" s="91"/>
      <c r="U21" s="91"/>
      <c r="V21" s="91"/>
      <c r="W21" s="92"/>
      <c r="X21" s="103"/>
      <c r="Y21" s="103"/>
      <c r="Z21" s="103"/>
    </row>
    <row r="22" spans="1:26" ht="23.25" customHeight="1" x14ac:dyDescent="0.2">
      <c r="A22" s="49" t="s">
        <v>11</v>
      </c>
      <c r="B22" s="82">
        <v>11247.788200000001</v>
      </c>
      <c r="C22" s="25">
        <f t="shared" si="3"/>
        <v>7.5400000001536682E-2</v>
      </c>
      <c r="D22" s="24">
        <f t="shared" si="0"/>
        <v>542.88000001106411</v>
      </c>
      <c r="E22" s="25"/>
      <c r="F22" s="82">
        <v>6232.5451000000003</v>
      </c>
      <c r="G22" s="51">
        <f t="shared" si="4"/>
        <v>4.4300000000475848E-2</v>
      </c>
      <c r="H22" s="50">
        <f t="shared" si="1"/>
        <v>318.9600000034261</v>
      </c>
      <c r="I22" s="52">
        <f t="shared" si="2"/>
        <v>0.58753315649301052</v>
      </c>
      <c r="J22" s="39"/>
      <c r="K22" s="83">
        <v>6.2517160000000001</v>
      </c>
      <c r="L22" s="53"/>
      <c r="M22" s="9"/>
      <c r="N22" s="97"/>
      <c r="O22" s="97"/>
      <c r="P22" s="97"/>
      <c r="Q22" s="97"/>
      <c r="R22" s="97"/>
      <c r="S22" s="97"/>
      <c r="T22" s="97"/>
      <c r="U22" s="97"/>
      <c r="V22" s="97"/>
      <c r="W22" s="84"/>
      <c r="X22" s="88"/>
      <c r="Y22" s="88"/>
      <c r="Z22" s="88"/>
    </row>
    <row r="23" spans="1:26" ht="23.25" customHeight="1" x14ac:dyDescent="0.2">
      <c r="A23" s="49" t="s">
        <v>12</v>
      </c>
      <c r="B23" s="82">
        <v>11247.8568</v>
      </c>
      <c r="C23" s="25">
        <f t="shared" si="3"/>
        <v>6.8599999998696148E-2</v>
      </c>
      <c r="D23" s="24">
        <f t="shared" si="0"/>
        <v>493.91999999061227</v>
      </c>
      <c r="E23" s="25"/>
      <c r="F23" s="82">
        <v>6232.5859</v>
      </c>
      <c r="G23" s="51">
        <f t="shared" si="4"/>
        <v>4.0799999999762804E-2</v>
      </c>
      <c r="H23" s="50">
        <f t="shared" si="1"/>
        <v>293.75999999829219</v>
      </c>
      <c r="I23" s="52">
        <f t="shared" si="2"/>
        <v>0.59475218659676787</v>
      </c>
      <c r="J23" s="39"/>
      <c r="K23" s="83">
        <v>6.2927340000000003</v>
      </c>
      <c r="L23" s="53"/>
      <c r="M23" s="9"/>
      <c r="N23" s="97"/>
      <c r="O23" s="97"/>
      <c r="P23" s="97"/>
      <c r="Q23" s="97"/>
      <c r="R23" s="97"/>
      <c r="S23" s="97"/>
      <c r="T23" s="97"/>
      <c r="U23" s="97"/>
      <c r="V23" s="97"/>
      <c r="W23" s="84"/>
      <c r="X23" s="88"/>
      <c r="Y23" s="88"/>
      <c r="Z23" s="88"/>
    </row>
    <row r="24" spans="1:26" ht="23.25" customHeight="1" x14ac:dyDescent="0.2">
      <c r="A24" s="49" t="s">
        <v>13</v>
      </c>
      <c r="B24" s="82">
        <v>11247.9146</v>
      </c>
      <c r="C24" s="25">
        <f t="shared" si="3"/>
        <v>5.7800000000497676E-2</v>
      </c>
      <c r="D24" s="24">
        <f t="shared" si="0"/>
        <v>416.16000000358326</v>
      </c>
      <c r="E24" s="25"/>
      <c r="F24" s="82">
        <v>6232.6193000000003</v>
      </c>
      <c r="G24" s="51">
        <f t="shared" si="4"/>
        <v>3.3400000000256114E-2</v>
      </c>
      <c r="H24" s="50">
        <f t="shared" si="1"/>
        <v>240.48000000184402</v>
      </c>
      <c r="I24" s="52">
        <f t="shared" si="2"/>
        <v>0.57785467127973233</v>
      </c>
      <c r="J24" s="39"/>
      <c r="K24" s="83">
        <v>6.4238670000000004</v>
      </c>
      <c r="L24" s="53"/>
      <c r="M24" s="9"/>
      <c r="N24" s="97"/>
      <c r="O24" s="97"/>
      <c r="P24" s="97"/>
      <c r="Q24" s="97"/>
      <c r="R24" s="97"/>
      <c r="S24" s="97"/>
      <c r="T24" s="97"/>
      <c r="U24" s="97"/>
      <c r="V24" s="97"/>
      <c r="W24" s="84"/>
      <c r="X24" s="88"/>
      <c r="Y24" s="88"/>
      <c r="Z24" s="88"/>
    </row>
    <row r="25" spans="1:26" ht="23.25" customHeight="1" x14ac:dyDescent="0.2">
      <c r="A25" s="49" t="s">
        <v>14</v>
      </c>
      <c r="B25" s="82">
        <v>11247.938099999999</v>
      </c>
      <c r="C25" s="25">
        <f t="shared" si="3"/>
        <v>2.3499999999330612E-2</v>
      </c>
      <c r="D25" s="24">
        <f t="shared" si="0"/>
        <v>169.19999999518041</v>
      </c>
      <c r="E25" s="25"/>
      <c r="F25" s="82">
        <v>6232.6288999999997</v>
      </c>
      <c r="G25" s="51">
        <f t="shared" si="4"/>
        <v>9.5999999994091922E-3</v>
      </c>
      <c r="H25" s="50">
        <f t="shared" si="1"/>
        <v>69.119999995746184</v>
      </c>
      <c r="I25" s="52">
        <f t="shared" si="2"/>
        <v>0.40851063828436784</v>
      </c>
      <c r="J25" s="39"/>
      <c r="K25" s="83">
        <v>6.3953100000000003</v>
      </c>
      <c r="L25" s="53"/>
      <c r="M25" s="9"/>
      <c r="N25" s="97"/>
      <c r="O25" s="97"/>
      <c r="P25" s="97"/>
      <c r="Q25" s="97"/>
      <c r="R25" s="97"/>
      <c r="S25" s="97"/>
      <c r="T25" s="97"/>
      <c r="U25" s="97"/>
      <c r="V25" s="97"/>
      <c r="W25" s="84"/>
      <c r="X25" s="88"/>
      <c r="Y25" s="88"/>
      <c r="Z25" s="88"/>
    </row>
    <row r="26" spans="1:26" ht="23.25" customHeight="1" x14ac:dyDescent="0.2">
      <c r="A26" s="49" t="s">
        <v>15</v>
      </c>
      <c r="B26" s="82">
        <v>11247.9488</v>
      </c>
      <c r="C26" s="25">
        <f t="shared" si="3"/>
        <v>1.0700000000724685E-2</v>
      </c>
      <c r="D26" s="24">
        <f t="shared" si="0"/>
        <v>77.040000005217735</v>
      </c>
      <c r="E26" s="25"/>
      <c r="F26" s="82">
        <v>6232.6291000000001</v>
      </c>
      <c r="G26" s="51">
        <f t="shared" si="4"/>
        <v>2.0000000040454324E-4</v>
      </c>
      <c r="H26" s="50">
        <f t="shared" si="1"/>
        <v>1.4400000029127114</v>
      </c>
      <c r="I26" s="52">
        <f t="shared" si="2"/>
        <v>1.8691588821588574E-2</v>
      </c>
      <c r="J26" s="39"/>
      <c r="K26" s="83">
        <v>6.3200500000000002</v>
      </c>
      <c r="L26" s="53"/>
      <c r="M26" s="9"/>
      <c r="N26" s="97"/>
      <c r="O26" s="97"/>
      <c r="P26" s="97"/>
      <c r="Q26" s="97"/>
      <c r="R26" s="97"/>
      <c r="S26" s="97"/>
      <c r="T26" s="97"/>
      <c r="U26" s="97"/>
      <c r="V26" s="97"/>
      <c r="W26" s="84"/>
      <c r="X26" s="88"/>
      <c r="Y26" s="88"/>
      <c r="Z26" s="88"/>
    </row>
    <row r="27" spans="1:26" ht="23.25" customHeight="1" x14ac:dyDescent="0.2">
      <c r="A27" s="49" t="s">
        <v>16</v>
      </c>
      <c r="B27" s="82">
        <v>11247.9566</v>
      </c>
      <c r="C27" s="25">
        <f t="shared" si="3"/>
        <v>7.7999999994062819E-3</v>
      </c>
      <c r="D27" s="24">
        <f t="shared" si="0"/>
        <v>56.159999995725229</v>
      </c>
      <c r="E27" s="25"/>
      <c r="F27" s="82">
        <v>6232.6291000000001</v>
      </c>
      <c r="G27" s="51">
        <f t="shared" si="4"/>
        <v>0</v>
      </c>
      <c r="H27" s="50">
        <f t="shared" si="1"/>
        <v>0</v>
      </c>
      <c r="I27" s="52">
        <f t="shared" si="2"/>
        <v>0</v>
      </c>
      <c r="J27" s="39"/>
      <c r="K27" s="83">
        <v>6.1971729999999994</v>
      </c>
      <c r="L27" s="53"/>
      <c r="M27" s="9"/>
      <c r="N27" s="97"/>
      <c r="O27" s="97"/>
      <c r="P27" s="97"/>
      <c r="Q27" s="97"/>
      <c r="R27" s="97"/>
      <c r="S27" s="97"/>
      <c r="T27" s="97"/>
      <c r="U27" s="97"/>
      <c r="V27" s="97"/>
      <c r="W27" s="84"/>
      <c r="X27" s="88"/>
      <c r="Y27" s="88"/>
      <c r="Z27" s="88"/>
    </row>
    <row r="28" spans="1:26" ht="23.25" customHeight="1" x14ac:dyDescent="0.2">
      <c r="A28" s="49" t="s">
        <v>17</v>
      </c>
      <c r="B28" s="82">
        <v>11248.01</v>
      </c>
      <c r="C28" s="25">
        <f t="shared" si="3"/>
        <v>5.3400000000692671E-2</v>
      </c>
      <c r="D28" s="24">
        <f t="shared" si="0"/>
        <v>384.48000000498723</v>
      </c>
      <c r="E28" s="25"/>
      <c r="F28" s="82">
        <v>6232.6467000000002</v>
      </c>
      <c r="G28" s="51">
        <f t="shared" si="4"/>
        <v>1.7600000000129512E-2</v>
      </c>
      <c r="H28" s="50">
        <f t="shared" si="1"/>
        <v>126.72000000093249</v>
      </c>
      <c r="I28" s="52">
        <f t="shared" si="2"/>
        <v>0.32958801497942353</v>
      </c>
      <c r="J28" s="39"/>
      <c r="K28" s="83">
        <v>6.1342319999999999</v>
      </c>
      <c r="L28" s="53"/>
      <c r="M28" s="9"/>
      <c r="N28" s="97"/>
      <c r="O28" s="97"/>
      <c r="P28" s="97"/>
      <c r="Q28" s="97"/>
      <c r="R28" s="97"/>
      <c r="S28" s="97"/>
      <c r="T28" s="97"/>
      <c r="U28" s="97"/>
      <c r="V28" s="97"/>
      <c r="W28" s="84"/>
      <c r="X28" s="88"/>
      <c r="Y28" s="88"/>
      <c r="Z28" s="88"/>
    </row>
    <row r="29" spans="1:26" ht="23.25" customHeight="1" x14ac:dyDescent="0.2">
      <c r="A29" s="49" t="s">
        <v>18</v>
      </c>
      <c r="B29" s="82">
        <v>11248.0751</v>
      </c>
      <c r="C29" s="25">
        <f t="shared" si="3"/>
        <v>6.5099999999802094E-2</v>
      </c>
      <c r="D29" s="24">
        <f t="shared" si="0"/>
        <v>468.71999999857508</v>
      </c>
      <c r="E29" s="25"/>
      <c r="F29" s="82">
        <v>6232.6678000000002</v>
      </c>
      <c r="G29" s="51">
        <f t="shared" si="4"/>
        <v>2.1099999999933061E-2</v>
      </c>
      <c r="H29" s="50">
        <f t="shared" si="1"/>
        <v>151.91999999951804</v>
      </c>
      <c r="I29" s="52">
        <f t="shared" si="2"/>
        <v>0.32411674347153924</v>
      </c>
      <c r="J29" s="39"/>
      <c r="K29" s="83">
        <v>6.1171099999999994</v>
      </c>
      <c r="L29" s="53"/>
      <c r="M29" s="118" t="s">
        <v>95</v>
      </c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23.25" customHeight="1" x14ac:dyDescent="0.2">
      <c r="A30" s="49" t="s">
        <v>19</v>
      </c>
      <c r="B30" s="82">
        <v>11248.1461</v>
      </c>
      <c r="C30" s="25">
        <f t="shared" si="3"/>
        <v>7.0999999999912689E-2</v>
      </c>
      <c r="D30" s="24">
        <f t="shared" si="0"/>
        <v>511.19999999937136</v>
      </c>
      <c r="E30" s="25"/>
      <c r="F30" s="82">
        <v>6232.6934000000001</v>
      </c>
      <c r="G30" s="51">
        <f t="shared" si="4"/>
        <v>2.5599999999940337E-2</v>
      </c>
      <c r="H30" s="50">
        <f t="shared" si="1"/>
        <v>184.31999999957043</v>
      </c>
      <c r="I30" s="52">
        <f t="shared" si="2"/>
        <v>0.3605633802812932</v>
      </c>
      <c r="J30" s="39"/>
      <c r="K30" s="83">
        <v>6.1368540000000005</v>
      </c>
      <c r="L30" s="53"/>
      <c r="M30" s="99" t="s">
        <v>97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23.25" customHeight="1" x14ac:dyDescent="0.2">
      <c r="A31" s="49" t="s">
        <v>20</v>
      </c>
      <c r="B31" s="82">
        <v>11248.213599999999</v>
      </c>
      <c r="C31" s="25">
        <f t="shared" si="3"/>
        <v>6.7499999999199645E-2</v>
      </c>
      <c r="D31" s="24">
        <f t="shared" si="0"/>
        <v>485.99999999423744</v>
      </c>
      <c r="E31" s="25"/>
      <c r="F31" s="82">
        <v>6232.7181</v>
      </c>
      <c r="G31" s="51">
        <f t="shared" si="4"/>
        <v>2.4699999999938882E-2</v>
      </c>
      <c r="H31" s="50">
        <f t="shared" si="1"/>
        <v>177.83999999955995</v>
      </c>
      <c r="I31" s="52">
        <f t="shared" si="2"/>
        <v>0.3659259259293593</v>
      </c>
      <c r="J31" s="39"/>
      <c r="K31" s="83">
        <v>6.1650510000000001</v>
      </c>
      <c r="L31" s="53"/>
      <c r="M31" s="100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179</v>
      </c>
      <c r="W31" s="98"/>
      <c r="X31" s="98"/>
      <c r="Y31" s="98" t="s">
        <v>91</v>
      </c>
      <c r="Z31" s="101"/>
    </row>
    <row r="32" spans="1:26" ht="23.25" customHeight="1" x14ac:dyDescent="0.2">
      <c r="A32" s="49" t="s">
        <v>21</v>
      </c>
      <c r="B32" s="82">
        <v>11248.286</v>
      </c>
      <c r="C32" s="25">
        <f t="shared" si="3"/>
        <v>7.2400000000925502E-2</v>
      </c>
      <c r="D32" s="24">
        <f t="shared" si="0"/>
        <v>521.28000000666361</v>
      </c>
      <c r="E32" s="25"/>
      <c r="F32" s="82">
        <v>6232.7461999999996</v>
      </c>
      <c r="G32" s="51">
        <f t="shared" si="4"/>
        <v>2.8099999999540159E-2</v>
      </c>
      <c r="H32" s="50">
        <f t="shared" si="1"/>
        <v>202.31999999668915</v>
      </c>
      <c r="I32" s="52">
        <f t="shared" si="2"/>
        <v>0.38812154695001316</v>
      </c>
      <c r="J32" s="39"/>
      <c r="K32" s="83">
        <v>6.1198370000000004</v>
      </c>
      <c r="L32" s="53"/>
      <c r="M32" s="95"/>
      <c r="N32" s="89"/>
      <c r="O32" s="89"/>
      <c r="P32" s="89" t="s">
        <v>83</v>
      </c>
      <c r="Q32" s="89"/>
      <c r="R32" s="89" t="s">
        <v>102</v>
      </c>
      <c r="S32" s="89"/>
      <c r="T32" s="89" t="s">
        <v>104</v>
      </c>
      <c r="U32" s="89"/>
      <c r="V32" s="89" t="s">
        <v>105</v>
      </c>
      <c r="W32" s="89"/>
      <c r="X32" s="89"/>
      <c r="Y32" s="89"/>
      <c r="Z32" s="90"/>
    </row>
    <row r="33" spans="1:26" ht="23.25" customHeight="1" x14ac:dyDescent="0.2">
      <c r="A33" s="49" t="s">
        <v>22</v>
      </c>
      <c r="B33" s="82">
        <v>11248.358</v>
      </c>
      <c r="C33" s="25">
        <f t="shared" si="3"/>
        <v>7.2000000000116415E-2</v>
      </c>
      <c r="D33" s="24">
        <f t="shared" si="0"/>
        <v>518.40000000083819</v>
      </c>
      <c r="E33" s="25"/>
      <c r="F33" s="82">
        <v>6232.7736999999997</v>
      </c>
      <c r="G33" s="51">
        <f t="shared" si="4"/>
        <v>2.7500000000145519E-2</v>
      </c>
      <c r="H33" s="50">
        <f t="shared" si="1"/>
        <v>198.00000000104774</v>
      </c>
      <c r="I33" s="52">
        <f t="shared" si="2"/>
        <v>0.38194444444584796</v>
      </c>
      <c r="J33" s="39"/>
      <c r="K33" s="83">
        <v>6.1123270000000005</v>
      </c>
      <c r="L33" s="53"/>
      <c r="M33" s="95" t="s">
        <v>80</v>
      </c>
      <c r="N33" s="89" t="s">
        <v>99</v>
      </c>
      <c r="O33" s="89"/>
      <c r="P33" s="89" t="s">
        <v>101</v>
      </c>
      <c r="Q33" s="89"/>
      <c r="R33" s="89" t="s">
        <v>69</v>
      </c>
      <c r="S33" s="89"/>
      <c r="T33" s="89" t="s">
        <v>69</v>
      </c>
      <c r="U33" s="89"/>
      <c r="V33" s="89" t="s">
        <v>106</v>
      </c>
      <c r="W33" s="89"/>
      <c r="X33" s="89"/>
      <c r="Y33" s="89"/>
      <c r="Z33" s="90"/>
    </row>
    <row r="34" spans="1:26" ht="23.25" customHeight="1" x14ac:dyDescent="0.2">
      <c r="A34" s="49" t="s">
        <v>23</v>
      </c>
      <c r="B34" s="82">
        <v>11248.436299999999</v>
      </c>
      <c r="C34" s="25">
        <f t="shared" si="3"/>
        <v>7.8299999999217107E-2</v>
      </c>
      <c r="D34" s="24">
        <f t="shared" si="0"/>
        <v>563.75999999436317</v>
      </c>
      <c r="E34" s="25"/>
      <c r="F34" s="82">
        <v>6232.8067000000001</v>
      </c>
      <c r="G34" s="51">
        <f t="shared" si="4"/>
        <v>3.3000000000356522E-2</v>
      </c>
      <c r="H34" s="50">
        <f t="shared" si="1"/>
        <v>237.60000000256696</v>
      </c>
      <c r="I34" s="52">
        <f t="shared" si="2"/>
        <v>0.42145593870608528</v>
      </c>
      <c r="J34" s="39"/>
      <c r="K34" s="83">
        <v>6.1338109999999997</v>
      </c>
      <c r="L34" s="53"/>
      <c r="M34" s="96"/>
      <c r="N34" s="91"/>
      <c r="O34" s="91"/>
      <c r="P34" s="91"/>
      <c r="Q34" s="91"/>
      <c r="R34" s="92"/>
      <c r="S34" s="96"/>
      <c r="T34" s="92"/>
      <c r="U34" s="96"/>
      <c r="V34" s="92"/>
      <c r="W34" s="103"/>
      <c r="X34" s="96"/>
      <c r="Y34" s="91"/>
      <c r="Z34" s="92"/>
    </row>
    <row r="35" spans="1:26" ht="23.25" customHeight="1" x14ac:dyDescent="0.2">
      <c r="A35" s="49" t="s">
        <v>24</v>
      </c>
      <c r="B35" s="82">
        <v>11248.5111</v>
      </c>
      <c r="C35" s="25">
        <f t="shared" si="3"/>
        <v>7.4800000000323053E-2</v>
      </c>
      <c r="D35" s="24">
        <f t="shared" si="0"/>
        <v>538.56000000232598</v>
      </c>
      <c r="E35" s="25"/>
      <c r="F35" s="82">
        <v>6232.8392000000003</v>
      </c>
      <c r="G35" s="51">
        <f t="shared" si="4"/>
        <v>3.2500000000254659E-2</v>
      </c>
      <c r="H35" s="50">
        <f t="shared" si="1"/>
        <v>234.00000000183354</v>
      </c>
      <c r="I35" s="52">
        <f t="shared" si="2"/>
        <v>0.43449197861115368</v>
      </c>
      <c r="J35" s="39"/>
      <c r="K35" s="83">
        <v>6.1711490000000007</v>
      </c>
      <c r="L35" s="53"/>
      <c r="M35" s="9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84"/>
    </row>
    <row r="36" spans="1:26" ht="23.25" customHeight="1" x14ac:dyDescent="0.2">
      <c r="A36" s="49" t="s">
        <v>25</v>
      </c>
      <c r="B36" s="82">
        <v>11248.575699999999</v>
      </c>
      <c r="C36" s="25">
        <f t="shared" si="3"/>
        <v>6.4599999999700231E-2</v>
      </c>
      <c r="D36" s="24">
        <f t="shared" si="0"/>
        <v>465.11999999784166</v>
      </c>
      <c r="E36" s="25"/>
      <c r="F36" s="82">
        <v>6232.8698999999997</v>
      </c>
      <c r="G36" s="51">
        <f t="shared" si="4"/>
        <v>3.0699999999342253E-2</v>
      </c>
      <c r="H36" s="50">
        <f t="shared" si="1"/>
        <v>221.03999999526422</v>
      </c>
      <c r="I36" s="52">
        <f t="shared" si="2"/>
        <v>0.47523219813443829</v>
      </c>
      <c r="J36" s="39"/>
      <c r="K36" s="83">
        <v>6.1955339999999994</v>
      </c>
      <c r="L36" s="53"/>
      <c r="M36" s="9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84"/>
    </row>
    <row r="37" spans="1:26" ht="23.25" customHeight="1" x14ac:dyDescent="0.2">
      <c r="A37" s="49" t="s">
        <v>26</v>
      </c>
      <c r="B37" s="82">
        <v>11248.641100000001</v>
      </c>
      <c r="C37" s="25">
        <f t="shared" si="3"/>
        <v>6.5400000001318404E-2</v>
      </c>
      <c r="D37" s="24">
        <f t="shared" si="0"/>
        <v>470.88000000949251</v>
      </c>
      <c r="E37" s="25"/>
      <c r="F37" s="82">
        <v>6232.8991999999998</v>
      </c>
      <c r="G37" s="51">
        <f t="shared" si="4"/>
        <v>2.930000000014843E-2</v>
      </c>
      <c r="H37" s="50">
        <f t="shared" si="1"/>
        <v>210.96000000106869</v>
      </c>
      <c r="I37" s="52">
        <f t="shared" si="2"/>
        <v>0.44801223240914018</v>
      </c>
      <c r="J37" s="39"/>
      <c r="K37" s="83">
        <v>6.2271409999999996</v>
      </c>
      <c r="L37" s="53"/>
      <c r="M37" s="9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84"/>
    </row>
    <row r="38" spans="1:26" ht="23.25" customHeight="1" x14ac:dyDescent="0.2">
      <c r="A38" s="49" t="s">
        <v>27</v>
      </c>
      <c r="B38" s="82">
        <v>11248.7109</v>
      </c>
      <c r="C38" s="25">
        <f t="shared" si="3"/>
        <v>6.9799999999304418E-2</v>
      </c>
      <c r="D38" s="24">
        <f t="shared" si="0"/>
        <v>502.55999999499181</v>
      </c>
      <c r="E38" s="25"/>
      <c r="F38" s="82">
        <v>6232.9323000000004</v>
      </c>
      <c r="G38" s="51">
        <f t="shared" si="4"/>
        <v>3.3100000000558794E-2</v>
      </c>
      <c r="H38" s="50">
        <f t="shared" si="1"/>
        <v>238.32000000402331</v>
      </c>
      <c r="I38" s="52">
        <f t="shared" si="2"/>
        <v>0.47421203439668547</v>
      </c>
      <c r="J38" s="39"/>
      <c r="K38" s="83">
        <v>6.0468779999999995</v>
      </c>
      <c r="L38" s="53"/>
      <c r="M38" s="9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84"/>
    </row>
    <row r="39" spans="1:26" ht="23.25" customHeight="1" x14ac:dyDescent="0.2">
      <c r="A39" s="49" t="s">
        <v>28</v>
      </c>
      <c r="B39" s="82">
        <v>11248.7745</v>
      </c>
      <c r="C39" s="25">
        <f t="shared" si="3"/>
        <v>6.3599999999496504E-2</v>
      </c>
      <c r="D39" s="24">
        <f t="shared" si="0"/>
        <v>457.91999999637483</v>
      </c>
      <c r="E39" s="25"/>
      <c r="F39" s="82">
        <v>6232.9605000000001</v>
      </c>
      <c r="G39" s="51">
        <f t="shared" si="4"/>
        <v>2.8199999999742431E-2</v>
      </c>
      <c r="H39" s="50">
        <f t="shared" si="1"/>
        <v>203.0399999981455</v>
      </c>
      <c r="I39" s="52">
        <f t="shared" si="2"/>
        <v>0.44339622641455473</v>
      </c>
      <c r="J39" s="39"/>
      <c r="K39" s="83">
        <v>6.2840749999999996</v>
      </c>
      <c r="L39" s="53"/>
      <c r="M39" s="9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84"/>
    </row>
    <row r="40" spans="1:26" ht="23.25" customHeight="1" x14ac:dyDescent="0.2">
      <c r="A40" s="49" t="s">
        <v>29</v>
      </c>
      <c r="B40" s="82">
        <v>11248.828799999999</v>
      </c>
      <c r="C40" s="25">
        <f t="shared" si="3"/>
        <v>5.4299999999784632E-2</v>
      </c>
      <c r="D40" s="24">
        <f t="shared" si="0"/>
        <v>390.95999999844935</v>
      </c>
      <c r="E40" s="25"/>
      <c r="F40" s="82">
        <v>6232.9829</v>
      </c>
      <c r="G40" s="51">
        <f t="shared" si="4"/>
        <v>2.2399999999834108E-2</v>
      </c>
      <c r="H40" s="50">
        <f t="shared" si="1"/>
        <v>161.27999999880558</v>
      </c>
      <c r="I40" s="52">
        <f t="shared" si="2"/>
        <v>0.41252302025640797</v>
      </c>
      <c r="J40" s="39"/>
      <c r="K40" s="83">
        <v>6.0729410000000001</v>
      </c>
      <c r="L40" s="53"/>
      <c r="M40" s="99" t="s">
        <v>109</v>
      </c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ht="23.25" customHeight="1" x14ac:dyDescent="0.2">
      <c r="A41" s="49" t="s">
        <v>30</v>
      </c>
      <c r="B41" s="82">
        <v>11248.877899999999</v>
      </c>
      <c r="C41" s="25">
        <f t="shared" si="3"/>
        <v>4.9100000000180444E-2</v>
      </c>
      <c r="D41" s="24">
        <f t="shared" si="0"/>
        <v>353.52000000129919</v>
      </c>
      <c r="E41" s="25"/>
      <c r="F41" s="82">
        <v>6233.0029999999997</v>
      </c>
      <c r="G41" s="51">
        <f t="shared" si="4"/>
        <v>2.0099999999729334E-2</v>
      </c>
      <c r="H41" s="50">
        <f t="shared" si="1"/>
        <v>144.71999999805121</v>
      </c>
      <c r="I41" s="52">
        <f t="shared" si="2"/>
        <v>0.40936863543086488</v>
      </c>
      <c r="J41" s="39"/>
      <c r="K41" s="83">
        <v>6.2317580000000001</v>
      </c>
      <c r="L41" s="53"/>
      <c r="M41" s="100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1"/>
    </row>
    <row r="42" spans="1:26" ht="23.25" customHeight="1" x14ac:dyDescent="0.2">
      <c r="A42" s="49" t="s">
        <v>31</v>
      </c>
      <c r="B42" s="82">
        <v>11248.9256</v>
      </c>
      <c r="C42" s="25">
        <f t="shared" si="3"/>
        <v>4.770000000098662E-2</v>
      </c>
      <c r="D42" s="24">
        <f t="shared" si="0"/>
        <v>343.44000000710366</v>
      </c>
      <c r="E42" s="25"/>
      <c r="F42" s="82">
        <v>6233.0249000000003</v>
      </c>
      <c r="G42" s="51">
        <f t="shared" si="4"/>
        <v>2.1900000000641739E-2</v>
      </c>
      <c r="H42" s="50">
        <f t="shared" si="1"/>
        <v>157.68000000462052</v>
      </c>
      <c r="I42" s="52">
        <f t="shared" si="2"/>
        <v>0.4591194968593032</v>
      </c>
      <c r="J42" s="39"/>
      <c r="K42" s="83">
        <v>6.0808919999999995</v>
      </c>
      <c r="L42" s="53"/>
      <c r="M42" s="95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90"/>
    </row>
    <row r="43" spans="1:26" ht="22.5" customHeight="1" x14ac:dyDescent="0.2">
      <c r="A43" s="167" t="s">
        <v>70</v>
      </c>
      <c r="B43" s="167"/>
      <c r="C43" s="167"/>
      <c r="D43" s="50">
        <f>SUM(D18:D42)</f>
        <v>10377.360000002955</v>
      </c>
      <c r="E43" s="39"/>
      <c r="F43" s="54"/>
      <c r="G43" s="39"/>
      <c r="H43" s="50">
        <f>SUM(H18:H42)</f>
        <v>4659.8400000024412</v>
      </c>
      <c r="I43" s="52">
        <f>IF(AND(H43=0,D43=0),0,H43/D43)</f>
        <v>0.44903906195806204</v>
      </c>
      <c r="J43" s="39"/>
      <c r="K43" s="80"/>
      <c r="L43" s="53"/>
      <c r="M43" s="95" t="s">
        <v>80</v>
      </c>
      <c r="N43" s="89" t="s">
        <v>99</v>
      </c>
      <c r="O43" s="89"/>
      <c r="P43" s="89" t="s">
        <v>110</v>
      </c>
      <c r="Q43" s="89"/>
      <c r="R43" s="89"/>
      <c r="S43" s="89"/>
      <c r="T43" s="89"/>
      <c r="U43" s="89"/>
      <c r="V43" s="89"/>
      <c r="W43" s="89"/>
      <c r="X43" s="89" t="s">
        <v>110</v>
      </c>
      <c r="Y43" s="89"/>
      <c r="Z43" s="90"/>
    </row>
    <row r="44" spans="1:26" ht="22.5" customHeight="1" x14ac:dyDescent="0.2">
      <c r="A44" s="164" t="s">
        <v>71</v>
      </c>
      <c r="B44" s="164"/>
      <c r="C44" s="164"/>
      <c r="D44" s="39"/>
      <c r="E44" s="39"/>
      <c r="F44" s="54"/>
      <c r="G44" s="39"/>
      <c r="H44" s="39"/>
      <c r="I44" s="39"/>
      <c r="J44" s="39"/>
      <c r="K44" s="39"/>
      <c r="L44" s="53"/>
      <c r="M44" s="96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2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84"/>
      <c r="O45" s="85"/>
      <c r="P45" s="84"/>
      <c r="Q45" s="88"/>
      <c r="R45" s="85"/>
      <c r="S45" s="7"/>
      <c r="T45" s="84"/>
      <c r="U45" s="88"/>
      <c r="V45" s="88"/>
      <c r="W45" s="85"/>
      <c r="X45" s="84"/>
      <c r="Y45" s="88"/>
      <c r="Z45" s="88"/>
    </row>
    <row r="46" spans="1:26" ht="22.5" customHeight="1" x14ac:dyDescent="0.2">
      <c r="A46" s="155" t="s">
        <v>72</v>
      </c>
      <c r="B46" s="155"/>
      <c r="C46" s="155"/>
      <c r="D46" s="155"/>
      <c r="E46" s="155"/>
      <c r="F46" s="155"/>
      <c r="G46" s="177" t="s">
        <v>73</v>
      </c>
      <c r="H46" s="177"/>
      <c r="I46" s="177"/>
      <c r="J46" s="177"/>
      <c r="K46" s="177"/>
      <c r="L46" s="177"/>
      <c r="M46" s="9"/>
      <c r="N46" s="84"/>
      <c r="O46" s="85"/>
      <c r="P46" s="84"/>
      <c r="Q46" s="88"/>
      <c r="R46" s="85"/>
      <c r="S46" s="7"/>
      <c r="T46" s="84"/>
      <c r="U46" s="88"/>
      <c r="V46" s="88"/>
      <c r="W46" s="85"/>
      <c r="X46" s="84"/>
      <c r="Y46" s="88"/>
      <c r="Z46" s="88"/>
    </row>
    <row r="47" spans="1:26" ht="22.5" customHeight="1" x14ac:dyDescent="0.2">
      <c r="A47" s="117" t="s">
        <v>371</v>
      </c>
      <c r="B47" s="117"/>
      <c r="C47" s="117"/>
      <c r="D47" s="108" t="s">
        <v>74</v>
      </c>
      <c r="E47" s="108"/>
      <c r="F47" s="108"/>
      <c r="G47" s="56"/>
      <c r="H47" s="56"/>
      <c r="I47" s="56"/>
      <c r="J47" s="56"/>
      <c r="K47" s="56"/>
      <c r="L47" s="56"/>
      <c r="M47" s="9"/>
      <c r="N47" s="84"/>
      <c r="O47" s="85"/>
      <c r="P47" s="84"/>
      <c r="Q47" s="88"/>
      <c r="R47" s="85"/>
      <c r="S47" s="7"/>
      <c r="T47" s="84"/>
      <c r="U47" s="88"/>
      <c r="V47" s="88"/>
      <c r="W47" s="85"/>
      <c r="X47" s="84"/>
      <c r="Y47" s="88"/>
      <c r="Z47" s="88"/>
    </row>
    <row r="48" spans="1:26" ht="22.5" customHeight="1" x14ac:dyDescent="0.2">
      <c r="A48" s="148" t="s">
        <v>75</v>
      </c>
      <c r="B48" s="148"/>
      <c r="C48" s="148"/>
      <c r="D48" s="147" t="s">
        <v>76</v>
      </c>
      <c r="E48" s="147"/>
      <c r="F48" s="147"/>
      <c r="G48" s="55"/>
      <c r="H48" s="55"/>
      <c r="I48" s="55"/>
      <c r="J48" s="55"/>
      <c r="K48" s="55"/>
      <c r="L48" s="55"/>
    </row>
    <row r="49" spans="1:23" ht="22.5" customHeight="1" x14ac:dyDescent="0.2">
      <c r="A49" s="117" t="s">
        <v>372</v>
      </c>
      <c r="B49" s="117"/>
      <c r="C49" s="117"/>
      <c r="D49" s="108" t="s">
        <v>74</v>
      </c>
      <c r="E49" s="108"/>
      <c r="F49" s="108"/>
      <c r="G49" s="55"/>
      <c r="H49" s="155" t="s">
        <v>183</v>
      </c>
      <c r="I49" s="155"/>
      <c r="J49" s="155"/>
      <c r="K49" s="155" t="s">
        <v>77</v>
      </c>
      <c r="L49" s="155"/>
      <c r="N49" s="150" t="s">
        <v>150</v>
      </c>
      <c r="O49" s="150"/>
      <c r="P49" s="150"/>
      <c r="Q49" s="149" t="s">
        <v>370</v>
      </c>
      <c r="R49" s="149"/>
      <c r="S49" s="149"/>
      <c r="T49" s="149"/>
      <c r="U49" s="149"/>
      <c r="V49" s="149"/>
      <c r="W49" s="1"/>
    </row>
    <row r="50" spans="1:23" ht="22.5" customHeight="1" x14ac:dyDescent="0.2">
      <c r="A50" s="148" t="s">
        <v>75</v>
      </c>
      <c r="B50" s="148"/>
      <c r="C50" s="148"/>
      <c r="D50" s="147" t="s">
        <v>76</v>
      </c>
      <c r="E50" s="147"/>
      <c r="F50" s="147"/>
      <c r="G50" s="58"/>
      <c r="H50" s="148" t="s">
        <v>75</v>
      </c>
      <c r="I50" s="148"/>
      <c r="J50" s="148"/>
      <c r="K50" s="148" t="s">
        <v>76</v>
      </c>
      <c r="L50" s="148"/>
      <c r="S50" s="146" t="s">
        <v>76</v>
      </c>
      <c r="T50" s="146"/>
    </row>
    <row r="51" spans="1:23" ht="20.100000000000001" customHeight="1" x14ac:dyDescent="0.2">
      <c r="A51" s="117" t="s">
        <v>373</v>
      </c>
      <c r="B51" s="117"/>
      <c r="C51" s="117"/>
      <c r="D51" s="108" t="s">
        <v>74</v>
      </c>
      <c r="E51" s="108"/>
      <c r="F51" s="108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47" t="s">
        <v>75</v>
      </c>
      <c r="B52" s="147"/>
      <c r="C52" s="147"/>
      <c r="D52" s="146" t="s">
        <v>76</v>
      </c>
      <c r="E52" s="146"/>
      <c r="F52" s="146"/>
      <c r="G52" s="63"/>
      <c r="H52" s="63"/>
      <c r="I52" s="64"/>
      <c r="J52" s="64"/>
      <c r="K52" s="64"/>
      <c r="L52" s="64"/>
    </row>
  </sheetData>
  <sheetProtection sheet="1" objects="1" scenarios="1"/>
  <mergeCells count="258"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  <mergeCell ref="T46:W46"/>
    <mergeCell ref="T47:W47"/>
    <mergeCell ref="N43:O44"/>
    <mergeCell ref="P43:R44"/>
    <mergeCell ref="R39:S39"/>
    <mergeCell ref="T39:U39"/>
    <mergeCell ref="V39:X39"/>
    <mergeCell ref="Y39:Z39"/>
    <mergeCell ref="S41:S44"/>
    <mergeCell ref="T41:W44"/>
    <mergeCell ref="X41:Z42"/>
    <mergeCell ref="X43:Z44"/>
    <mergeCell ref="Y37:Z37"/>
    <mergeCell ref="V38:X38"/>
    <mergeCell ref="Y38:Z38"/>
    <mergeCell ref="Y35:Z35"/>
    <mergeCell ref="N36:O36"/>
    <mergeCell ref="P36:Q36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N37:O37"/>
    <mergeCell ref="P37:Q37"/>
    <mergeCell ref="R37:S37"/>
    <mergeCell ref="T37:U37"/>
    <mergeCell ref="N38:O38"/>
    <mergeCell ref="P38:Q38"/>
    <mergeCell ref="R38:S38"/>
    <mergeCell ref="T38:U38"/>
    <mergeCell ref="T11:U11"/>
    <mergeCell ref="T12:U12"/>
    <mergeCell ref="T13:U13"/>
    <mergeCell ref="N18:P19"/>
    <mergeCell ref="N23:P23"/>
    <mergeCell ref="N27:P27"/>
    <mergeCell ref="Q27:S27"/>
    <mergeCell ref="T27:V27"/>
    <mergeCell ref="V37:X37"/>
    <mergeCell ref="R34:S34"/>
    <mergeCell ref="T34:U34"/>
    <mergeCell ref="V34:X34"/>
    <mergeCell ref="Q26:S26"/>
    <mergeCell ref="N28:P28"/>
    <mergeCell ref="Q28:S28"/>
    <mergeCell ref="T28:V28"/>
    <mergeCell ref="N26:P26"/>
    <mergeCell ref="N25:P25"/>
    <mergeCell ref="Q25:S25"/>
    <mergeCell ref="T25:V25"/>
    <mergeCell ref="W25:Z25"/>
    <mergeCell ref="Q23:S23"/>
    <mergeCell ref="T23:V23"/>
    <mergeCell ref="W18:Z21"/>
    <mergeCell ref="T26:V26"/>
    <mergeCell ref="N24:P24"/>
    <mergeCell ref="Q24:S24"/>
    <mergeCell ref="W26:Z26"/>
    <mergeCell ref="W23:Z23"/>
    <mergeCell ref="W24:Z24"/>
    <mergeCell ref="N22:P22"/>
    <mergeCell ref="M18:M19"/>
    <mergeCell ref="M20:M21"/>
    <mergeCell ref="Q22:S22"/>
    <mergeCell ref="T22:V22"/>
    <mergeCell ref="Q18:S18"/>
    <mergeCell ref="N20:P21"/>
    <mergeCell ref="T18:V19"/>
    <mergeCell ref="Q19:S19"/>
    <mergeCell ref="Q20:S20"/>
    <mergeCell ref="V9:W9"/>
    <mergeCell ref="R10:S10"/>
    <mergeCell ref="T8:U8"/>
    <mergeCell ref="T9:U9"/>
    <mergeCell ref="T10:U10"/>
    <mergeCell ref="W28:Z28"/>
    <mergeCell ref="T24:V24"/>
    <mergeCell ref="W22:Z22"/>
    <mergeCell ref="T20:V21"/>
    <mergeCell ref="Q21:S21"/>
    <mergeCell ref="W27:Z27"/>
    <mergeCell ref="X9:Z9"/>
    <mergeCell ref="X10:Z10"/>
    <mergeCell ref="X11:Z11"/>
    <mergeCell ref="X12:Z12"/>
    <mergeCell ref="X13:Z13"/>
    <mergeCell ref="X14:Z14"/>
    <mergeCell ref="X15:Z15"/>
    <mergeCell ref="X16:Z16"/>
    <mergeCell ref="V14:W14"/>
    <mergeCell ref="V11:W11"/>
    <mergeCell ref="V12:W12"/>
    <mergeCell ref="V13:W13"/>
    <mergeCell ref="V10:W10"/>
    <mergeCell ref="X8:Z8"/>
    <mergeCell ref="R16:S16"/>
    <mergeCell ref="V15:W15"/>
    <mergeCell ref="V16:W16"/>
    <mergeCell ref="T16:U16"/>
    <mergeCell ref="T7:U7"/>
    <mergeCell ref="N7:O7"/>
    <mergeCell ref="V7:W7"/>
    <mergeCell ref="P11:Q11"/>
    <mergeCell ref="R7:S7"/>
    <mergeCell ref="R8:S8"/>
    <mergeCell ref="R9:S9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V8:W8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31:M32"/>
    <mergeCell ref="T33:U33"/>
    <mergeCell ref="R31:S31"/>
    <mergeCell ref="R32:S32"/>
    <mergeCell ref="N31:O32"/>
    <mergeCell ref="N33:O34"/>
    <mergeCell ref="P31:Q31"/>
    <mergeCell ref="P32:Q32"/>
    <mergeCell ref="P33:Q33"/>
    <mergeCell ref="P34:Q34"/>
    <mergeCell ref="H10:L10"/>
    <mergeCell ref="J16:J17"/>
    <mergeCell ref="K16:K17"/>
    <mergeCell ref="A13:A17"/>
    <mergeCell ref="N10:O10"/>
    <mergeCell ref="N11:O11"/>
    <mergeCell ref="P7:Q7"/>
    <mergeCell ref="P8:Q8"/>
    <mergeCell ref="P9:Q9"/>
    <mergeCell ref="P10:Q10"/>
    <mergeCell ref="N8:O8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N9:O9"/>
    <mergeCell ref="P16:Q16"/>
    <mergeCell ref="M17:Z17"/>
    <mergeCell ref="X7:Z7"/>
    <mergeCell ref="A51:C51"/>
    <mergeCell ref="D51:F51"/>
    <mergeCell ref="A52:C52"/>
    <mergeCell ref="D52:F52"/>
    <mergeCell ref="A44:C44"/>
    <mergeCell ref="D47:F47"/>
    <mergeCell ref="H49:J49"/>
    <mergeCell ref="K49:L49"/>
    <mergeCell ref="A7:L7"/>
    <mergeCell ref="F13:G13"/>
    <mergeCell ref="I11:L11"/>
    <mergeCell ref="B14:C14"/>
    <mergeCell ref="D14:E14"/>
    <mergeCell ref="A8:L8"/>
    <mergeCell ref="H50:J50"/>
    <mergeCell ref="K50:L50"/>
    <mergeCell ref="D49:F49"/>
    <mergeCell ref="A48:C48"/>
    <mergeCell ref="A49:C49"/>
    <mergeCell ref="A50:C50"/>
    <mergeCell ref="D50:F50"/>
    <mergeCell ref="D48:F48"/>
    <mergeCell ref="A47:C47"/>
    <mergeCell ref="D13:E13"/>
    <mergeCell ref="G1:H2"/>
    <mergeCell ref="A9:L9"/>
    <mergeCell ref="G46:L46"/>
    <mergeCell ref="G3:H4"/>
    <mergeCell ref="I3:L4"/>
    <mergeCell ref="A1:F1"/>
    <mergeCell ref="A2:F2"/>
    <mergeCell ref="A3:F3"/>
    <mergeCell ref="A4:F4"/>
    <mergeCell ref="A5:F5"/>
    <mergeCell ref="A6:F6"/>
    <mergeCell ref="F14:G14"/>
    <mergeCell ref="F15:G15"/>
    <mergeCell ref="A11:D11"/>
    <mergeCell ref="E11:H11"/>
    <mergeCell ref="A10:D10"/>
    <mergeCell ref="E10:G10"/>
    <mergeCell ref="A43:C43"/>
    <mergeCell ref="E16:E17"/>
    <mergeCell ref="B15:C15"/>
    <mergeCell ref="D15:E15"/>
    <mergeCell ref="B13:C13"/>
    <mergeCell ref="A46:F46"/>
    <mergeCell ref="A12:L1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Z52"/>
  <sheetViews>
    <sheetView view="pageBreakPreview" zoomScale="75" zoomScaleNormal="50" zoomScaleSheetLayoutView="75" workbookViewId="0">
      <selection activeCell="K19" sqref="K19:K42"/>
    </sheetView>
  </sheetViews>
  <sheetFormatPr defaultRowHeight="18.75" x14ac:dyDescent="0.2"/>
  <cols>
    <col min="1" max="1" width="11.140625" style="2" customWidth="1"/>
    <col min="2" max="2" width="15" style="2" customWidth="1"/>
    <col min="3" max="3" width="12.140625" style="2" customWidth="1"/>
    <col min="4" max="4" width="13.140625" style="2" customWidth="1"/>
    <col min="5" max="5" width="5.42578125" style="2" customWidth="1"/>
    <col min="6" max="6" width="15.28515625" style="2" customWidth="1"/>
    <col min="7" max="7" width="12.28515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8.4257812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4" t="s">
        <v>157</v>
      </c>
      <c r="B1" s="94"/>
      <c r="C1" s="94"/>
      <c r="D1" s="94"/>
      <c r="E1" s="94"/>
      <c r="F1" s="94"/>
      <c r="G1" s="123" t="s">
        <v>154</v>
      </c>
      <c r="H1" s="123"/>
      <c r="I1" s="94" t="s">
        <v>160</v>
      </c>
      <c r="J1" s="94"/>
      <c r="K1" s="94"/>
      <c r="L1" s="94"/>
      <c r="M1" s="99" t="s">
        <v>96</v>
      </c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ht="21.75" customHeight="1" x14ac:dyDescent="0.2">
      <c r="A2" s="119" t="s">
        <v>45</v>
      </c>
      <c r="B2" s="119"/>
      <c r="C2" s="119"/>
      <c r="D2" s="119"/>
      <c r="E2" s="119"/>
      <c r="F2" s="119"/>
      <c r="G2" s="123"/>
      <c r="H2" s="123"/>
      <c r="I2" s="94"/>
      <c r="J2" s="94"/>
      <c r="K2" s="94"/>
      <c r="L2" s="94"/>
      <c r="M2" s="99" t="s">
        <v>78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ht="21.75" customHeight="1" x14ac:dyDescent="0.2">
      <c r="A3" s="94" t="s">
        <v>158</v>
      </c>
      <c r="B3" s="120"/>
      <c r="C3" s="120"/>
      <c r="D3" s="120"/>
      <c r="E3" s="120"/>
      <c r="F3" s="120"/>
      <c r="G3" s="123" t="s">
        <v>155</v>
      </c>
      <c r="H3" s="123"/>
      <c r="I3" s="94" t="s">
        <v>212</v>
      </c>
      <c r="J3" s="94"/>
      <c r="K3" s="94"/>
      <c r="L3" s="94"/>
      <c r="M3" s="100" t="s">
        <v>79</v>
      </c>
      <c r="N3" s="101" t="s">
        <v>81</v>
      </c>
      <c r="O3" s="100"/>
      <c r="P3" s="101" t="s">
        <v>65</v>
      </c>
      <c r="Q3" s="100"/>
      <c r="R3" s="101" t="s">
        <v>82</v>
      </c>
      <c r="S3" s="100"/>
      <c r="T3" s="101" t="s">
        <v>85</v>
      </c>
      <c r="U3" s="100"/>
      <c r="V3" s="101" t="s">
        <v>87</v>
      </c>
      <c r="W3" s="100"/>
      <c r="X3" s="86" t="s">
        <v>91</v>
      </c>
      <c r="Y3" s="105"/>
      <c r="Z3" s="105"/>
    </row>
    <row r="4" spans="1:26" ht="29.25" customHeight="1" x14ac:dyDescent="0.2">
      <c r="A4" s="119" t="s">
        <v>46</v>
      </c>
      <c r="B4" s="119"/>
      <c r="C4" s="119"/>
      <c r="D4" s="119"/>
      <c r="E4" s="119"/>
      <c r="F4" s="119"/>
      <c r="G4" s="123"/>
      <c r="H4" s="123"/>
      <c r="I4" s="94"/>
      <c r="J4" s="94"/>
      <c r="K4" s="94"/>
      <c r="L4" s="94"/>
      <c r="M4" s="95"/>
      <c r="N4" s="90"/>
      <c r="O4" s="95"/>
      <c r="P4" s="90"/>
      <c r="Q4" s="95"/>
      <c r="R4" s="90" t="s">
        <v>83</v>
      </c>
      <c r="S4" s="95"/>
      <c r="T4" s="90" t="s">
        <v>86</v>
      </c>
      <c r="U4" s="95"/>
      <c r="V4" s="90" t="s">
        <v>88</v>
      </c>
      <c r="W4" s="95"/>
      <c r="X4" s="86"/>
      <c r="Y4" s="105"/>
      <c r="Z4" s="105"/>
    </row>
    <row r="5" spans="1:26" ht="21.75" customHeight="1" x14ac:dyDescent="0.2">
      <c r="A5" s="94" t="s">
        <v>178</v>
      </c>
      <c r="B5" s="120"/>
      <c r="C5" s="120"/>
      <c r="D5" s="120"/>
      <c r="E5" s="120"/>
      <c r="F5" s="120"/>
      <c r="G5" s="123" t="s">
        <v>156</v>
      </c>
      <c r="H5" s="123"/>
      <c r="I5" s="94" t="s">
        <v>213</v>
      </c>
      <c r="J5" s="94"/>
      <c r="K5" s="94"/>
      <c r="L5" s="94"/>
      <c r="M5" s="95" t="s">
        <v>80</v>
      </c>
      <c r="N5" s="90"/>
      <c r="O5" s="95"/>
      <c r="P5" s="90" t="s">
        <v>182</v>
      </c>
      <c r="Q5" s="95"/>
      <c r="R5" s="106" t="s">
        <v>84</v>
      </c>
      <c r="S5" s="107"/>
      <c r="T5" s="106" t="s">
        <v>84</v>
      </c>
      <c r="U5" s="107"/>
      <c r="V5" s="90" t="s">
        <v>89</v>
      </c>
      <c r="W5" s="95"/>
      <c r="X5" s="86"/>
      <c r="Y5" s="105"/>
      <c r="Z5" s="105"/>
    </row>
    <row r="6" spans="1:26" ht="21.75" customHeight="1" x14ac:dyDescent="0.2">
      <c r="A6" s="119" t="s">
        <v>47</v>
      </c>
      <c r="B6" s="119"/>
      <c r="C6" s="119"/>
      <c r="D6" s="119"/>
      <c r="E6" s="119"/>
      <c r="F6" s="119"/>
      <c r="G6" s="123"/>
      <c r="H6" s="123"/>
      <c r="I6" s="94"/>
      <c r="J6" s="94"/>
      <c r="K6" s="94"/>
      <c r="L6" s="94"/>
      <c r="M6" s="96"/>
      <c r="N6" s="92"/>
      <c r="O6" s="96"/>
      <c r="P6" s="92"/>
      <c r="Q6" s="96"/>
      <c r="R6" s="92"/>
      <c r="S6" s="96"/>
      <c r="T6" s="92"/>
      <c r="U6" s="96"/>
      <c r="V6" s="92" t="s">
        <v>90</v>
      </c>
      <c r="W6" s="96"/>
      <c r="X6" s="86"/>
      <c r="Y6" s="105"/>
      <c r="Z6" s="105"/>
    </row>
    <row r="7" spans="1:26" ht="21.75" customHeight="1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84"/>
      <c r="O7" s="85"/>
      <c r="P7" s="84"/>
      <c r="Q7" s="85"/>
      <c r="R7" s="84"/>
      <c r="S7" s="85"/>
      <c r="T7" s="84"/>
      <c r="U7" s="85"/>
      <c r="V7" s="84"/>
      <c r="W7" s="85"/>
      <c r="X7" s="84"/>
      <c r="Y7" s="88"/>
      <c r="Z7" s="88"/>
    </row>
    <row r="8" spans="1:26" ht="22.5" customHeight="1" x14ac:dyDescent="0.2">
      <c r="A8" s="116" t="s">
        <v>48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84"/>
      <c r="O8" s="85"/>
      <c r="P8" s="84"/>
      <c r="Q8" s="85"/>
      <c r="R8" s="84"/>
      <c r="S8" s="85"/>
      <c r="T8" s="84"/>
      <c r="U8" s="85"/>
      <c r="V8" s="84"/>
      <c r="W8" s="85"/>
      <c r="X8" s="84"/>
      <c r="Y8" s="88"/>
      <c r="Z8" s="88"/>
    </row>
    <row r="9" spans="1:26" ht="22.5" customHeight="1" x14ac:dyDescent="0.2">
      <c r="A9" s="129" t="s">
        <v>49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9"/>
      <c r="N9" s="84"/>
      <c r="O9" s="85"/>
      <c r="P9" s="84"/>
      <c r="Q9" s="85"/>
      <c r="R9" s="84"/>
      <c r="S9" s="85"/>
      <c r="T9" s="84"/>
      <c r="U9" s="85"/>
      <c r="V9" s="84"/>
      <c r="W9" s="85"/>
      <c r="X9" s="84"/>
      <c r="Y9" s="88"/>
      <c r="Z9" s="88"/>
    </row>
    <row r="10" spans="1:26" ht="22.5" customHeight="1" x14ac:dyDescent="0.2">
      <c r="A10" s="124" t="s">
        <v>112</v>
      </c>
      <c r="B10" s="124"/>
      <c r="C10" s="124"/>
      <c r="D10" s="124"/>
      <c r="E10" s="135" t="s">
        <v>375</v>
      </c>
      <c r="F10" s="136"/>
      <c r="G10" s="136"/>
      <c r="H10" s="111" t="s">
        <v>376</v>
      </c>
      <c r="I10" s="111"/>
      <c r="J10" s="111"/>
      <c r="K10" s="111"/>
      <c r="L10" s="111"/>
      <c r="M10" s="9"/>
      <c r="N10" s="84"/>
      <c r="O10" s="85"/>
      <c r="P10" s="84"/>
      <c r="Q10" s="85"/>
      <c r="R10" s="84"/>
      <c r="S10" s="85"/>
      <c r="T10" s="84"/>
      <c r="U10" s="85"/>
      <c r="V10" s="84"/>
      <c r="W10" s="85"/>
      <c r="X10" s="84"/>
      <c r="Y10" s="88"/>
      <c r="Z10" s="88"/>
    </row>
    <row r="11" spans="1:26" ht="22.5" customHeight="1" x14ac:dyDescent="0.2">
      <c r="A11" s="124" t="s">
        <v>113</v>
      </c>
      <c r="B11" s="124"/>
      <c r="C11" s="124"/>
      <c r="D11" s="124"/>
      <c r="E11" s="134" t="s">
        <v>223</v>
      </c>
      <c r="F11" s="134"/>
      <c r="G11" s="134"/>
      <c r="H11" s="134"/>
      <c r="I11" s="111" t="s">
        <v>114</v>
      </c>
      <c r="J11" s="111"/>
      <c r="K11" s="111"/>
      <c r="L11" s="111"/>
      <c r="M11" s="9"/>
      <c r="N11" s="84"/>
      <c r="O11" s="85"/>
      <c r="P11" s="84"/>
      <c r="Q11" s="85"/>
      <c r="R11" s="84"/>
      <c r="S11" s="85"/>
      <c r="T11" s="84"/>
      <c r="U11" s="85"/>
      <c r="V11" s="84"/>
      <c r="W11" s="85"/>
      <c r="X11" s="84"/>
      <c r="Y11" s="88"/>
      <c r="Z11" s="88"/>
    </row>
    <row r="12" spans="1:26" ht="21.75" customHeight="1" x14ac:dyDescent="0.2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9"/>
      <c r="N12" s="84"/>
      <c r="O12" s="85"/>
      <c r="P12" s="84"/>
      <c r="Q12" s="85"/>
      <c r="R12" s="84"/>
      <c r="S12" s="85"/>
      <c r="T12" s="84"/>
      <c r="U12" s="85"/>
      <c r="V12" s="84"/>
      <c r="W12" s="85"/>
      <c r="X12" s="84"/>
      <c r="Y12" s="88"/>
      <c r="Z12" s="88"/>
    </row>
    <row r="13" spans="1:26" ht="21.75" customHeight="1" x14ac:dyDescent="0.2">
      <c r="A13" s="171" t="s">
        <v>50</v>
      </c>
      <c r="B13" s="156" t="s">
        <v>56</v>
      </c>
      <c r="C13" s="157"/>
      <c r="D13" s="165" t="s">
        <v>190</v>
      </c>
      <c r="E13" s="166"/>
      <c r="F13" s="156" t="s">
        <v>59</v>
      </c>
      <c r="G13" s="157"/>
      <c r="H13" s="40" t="s">
        <v>190</v>
      </c>
      <c r="I13" s="168" t="s">
        <v>5</v>
      </c>
      <c r="J13" s="156" t="s">
        <v>60</v>
      </c>
      <c r="K13" s="171"/>
      <c r="L13" s="41" t="s">
        <v>65</v>
      </c>
      <c r="M13" s="9"/>
      <c r="N13" s="84"/>
      <c r="O13" s="85"/>
      <c r="P13" s="84"/>
      <c r="Q13" s="85"/>
      <c r="R13" s="84"/>
      <c r="S13" s="85"/>
      <c r="T13" s="84"/>
      <c r="U13" s="85"/>
      <c r="V13" s="84"/>
      <c r="W13" s="85"/>
      <c r="X13" s="84"/>
      <c r="Y13" s="88"/>
      <c r="Z13" s="88"/>
    </row>
    <row r="14" spans="1:26" ht="21.75" customHeight="1" x14ac:dyDescent="0.2">
      <c r="A14" s="172"/>
      <c r="B14" s="158" t="s">
        <v>57</v>
      </c>
      <c r="C14" s="159"/>
      <c r="D14" s="160" t="s">
        <v>215</v>
      </c>
      <c r="E14" s="161"/>
      <c r="F14" s="158" t="s">
        <v>57</v>
      </c>
      <c r="G14" s="159"/>
      <c r="H14" s="42" t="s">
        <v>215</v>
      </c>
      <c r="I14" s="169"/>
      <c r="J14" s="158" t="s">
        <v>61</v>
      </c>
      <c r="K14" s="172"/>
      <c r="L14" s="41" t="s">
        <v>66</v>
      </c>
      <c r="M14" s="9"/>
      <c r="N14" s="84"/>
      <c r="O14" s="85"/>
      <c r="P14" s="84"/>
      <c r="Q14" s="85"/>
      <c r="R14" s="84"/>
      <c r="S14" s="85"/>
      <c r="T14" s="84"/>
      <c r="U14" s="85"/>
      <c r="V14" s="84"/>
      <c r="W14" s="85"/>
      <c r="X14" s="84"/>
      <c r="Y14" s="88"/>
      <c r="Z14" s="88"/>
    </row>
    <row r="15" spans="1:26" ht="21.75" customHeight="1" x14ac:dyDescent="0.2">
      <c r="A15" s="172"/>
      <c r="B15" s="162" t="s">
        <v>58</v>
      </c>
      <c r="C15" s="163"/>
      <c r="D15" s="175">
        <v>3600</v>
      </c>
      <c r="E15" s="176"/>
      <c r="F15" s="162" t="s">
        <v>58</v>
      </c>
      <c r="G15" s="163"/>
      <c r="H15" s="43">
        <v>3600</v>
      </c>
      <c r="I15" s="169"/>
      <c r="J15" s="162" t="s">
        <v>62</v>
      </c>
      <c r="K15" s="173"/>
      <c r="L15" s="41" t="s">
        <v>67</v>
      </c>
      <c r="M15" s="9"/>
      <c r="N15" s="84"/>
      <c r="O15" s="85"/>
      <c r="P15" s="84"/>
      <c r="Q15" s="85"/>
      <c r="R15" s="84"/>
      <c r="S15" s="85"/>
      <c r="T15" s="84"/>
      <c r="U15" s="85"/>
      <c r="V15" s="84"/>
      <c r="W15" s="85"/>
      <c r="X15" s="84"/>
      <c r="Y15" s="88"/>
      <c r="Z15" s="88"/>
    </row>
    <row r="16" spans="1:26" ht="21.75" customHeight="1" x14ac:dyDescent="0.2">
      <c r="A16" s="172"/>
      <c r="B16" s="44" t="s">
        <v>51</v>
      </c>
      <c r="C16" s="44" t="s">
        <v>53</v>
      </c>
      <c r="D16" s="44" t="s">
        <v>54</v>
      </c>
      <c r="E16" s="127"/>
      <c r="F16" s="44" t="s">
        <v>51</v>
      </c>
      <c r="G16" s="44" t="s">
        <v>53</v>
      </c>
      <c r="H16" s="45" t="s">
        <v>54</v>
      </c>
      <c r="I16" s="169"/>
      <c r="J16" s="127" t="s">
        <v>63</v>
      </c>
      <c r="K16" s="127" t="s">
        <v>64</v>
      </c>
      <c r="L16" s="41" t="s">
        <v>68</v>
      </c>
      <c r="M16" s="9"/>
      <c r="N16" s="84"/>
      <c r="O16" s="85"/>
      <c r="P16" s="84"/>
      <c r="Q16" s="85"/>
      <c r="R16" s="84"/>
      <c r="S16" s="85"/>
      <c r="T16" s="84"/>
      <c r="U16" s="85"/>
      <c r="V16" s="84"/>
      <c r="W16" s="85"/>
      <c r="X16" s="84"/>
      <c r="Y16" s="88"/>
      <c r="Z16" s="88"/>
    </row>
    <row r="17" spans="1:26" ht="21.75" customHeight="1" x14ac:dyDescent="0.2">
      <c r="A17" s="172"/>
      <c r="B17" s="46" t="s">
        <v>52</v>
      </c>
      <c r="C17" s="46" t="s">
        <v>51</v>
      </c>
      <c r="D17" s="46" t="s">
        <v>55</v>
      </c>
      <c r="E17" s="174"/>
      <c r="F17" s="46" t="s">
        <v>52</v>
      </c>
      <c r="G17" s="46" t="s">
        <v>51</v>
      </c>
      <c r="H17" s="71" t="s">
        <v>55</v>
      </c>
      <c r="I17" s="169"/>
      <c r="J17" s="174"/>
      <c r="K17" s="128"/>
      <c r="L17" s="41" t="s">
        <v>69</v>
      </c>
      <c r="M17" s="103" t="s">
        <v>92</v>
      </c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spans="1:26" ht="23.25" customHeight="1" x14ac:dyDescent="0.2">
      <c r="A18" s="39" t="s">
        <v>7</v>
      </c>
      <c r="B18" s="82">
        <v>6387.3720999999996</v>
      </c>
      <c r="C18" s="25"/>
      <c r="D18" s="24"/>
      <c r="E18" s="81"/>
      <c r="F18" s="82">
        <v>3057.607</v>
      </c>
      <c r="G18" s="51"/>
      <c r="H18" s="50"/>
      <c r="I18" s="52"/>
      <c r="J18" s="39"/>
      <c r="K18" s="79"/>
      <c r="L18" s="53"/>
      <c r="M18" s="100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1" t="s">
        <v>91</v>
      </c>
      <c r="X18" s="104"/>
      <c r="Y18" s="104"/>
      <c r="Z18" s="104"/>
    </row>
    <row r="19" spans="1:26" ht="23.25" customHeight="1" x14ac:dyDescent="0.2">
      <c r="A19" s="39" t="s">
        <v>8</v>
      </c>
      <c r="B19" s="82">
        <v>6387.3993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2.7200000000448199E-2</v>
      </c>
      <c r="D19" s="24">
        <f t="shared" ref="D19:D42" si="1">IF(C19="","",C19*$D$15)</f>
        <v>97.920000001613516</v>
      </c>
      <c r="E19" s="81"/>
      <c r="F19" s="82">
        <v>3057.6392999999998</v>
      </c>
      <c r="G19" s="51">
        <f>F19-ReportObject14_3</f>
        <v>3.2299999999850115E-2</v>
      </c>
      <c r="H19" s="50">
        <f t="shared" ref="H19:H42" si="2">IF(G19="","",G19*$H$15)</f>
        <v>116.27999999946041</v>
      </c>
      <c r="I19" s="52">
        <f t="shared" ref="I19:I42" si="3">IF(H19="","",IF(D19="","",IF(AND(H19=0,D19=0),0,H19/D19)))</f>
        <v>1.1874999999749221</v>
      </c>
      <c r="J19" s="39"/>
      <c r="K19" s="83">
        <v>6.3345370000000001</v>
      </c>
      <c r="L19" s="53"/>
      <c r="M19" s="95"/>
      <c r="N19" s="89"/>
      <c r="O19" s="89"/>
      <c r="P19" s="89"/>
      <c r="Q19" s="89" t="s">
        <v>108</v>
      </c>
      <c r="R19" s="89"/>
      <c r="S19" s="89"/>
      <c r="T19" s="89"/>
      <c r="U19" s="89"/>
      <c r="V19" s="89"/>
      <c r="W19" s="90"/>
      <c r="X19" s="99"/>
      <c r="Y19" s="99"/>
      <c r="Z19" s="99"/>
    </row>
    <row r="20" spans="1:26" ht="23.25" customHeight="1" x14ac:dyDescent="0.2">
      <c r="A20" s="39" t="s">
        <v>9</v>
      </c>
      <c r="B20" s="82">
        <v>6387.4339</v>
      </c>
      <c r="C20" s="25">
        <f t="shared" si="0"/>
        <v>3.4599999999954889E-2</v>
      </c>
      <c r="D20" s="24">
        <f t="shared" si="1"/>
        <v>124.5599999998376</v>
      </c>
      <c r="E20" s="81"/>
      <c r="F20" s="82">
        <v>3057.6770000000001</v>
      </c>
      <c r="G20" s="51">
        <f>F20-F19</f>
        <v>3.7700000000313594E-2</v>
      </c>
      <c r="H20" s="50">
        <f t="shared" si="2"/>
        <v>135.72000000112894</v>
      </c>
      <c r="I20" s="52">
        <f t="shared" si="3"/>
        <v>1.0895953757330274</v>
      </c>
      <c r="J20" s="39"/>
      <c r="K20" s="83">
        <v>6.2260789999999995</v>
      </c>
      <c r="L20" s="53"/>
      <c r="M20" s="95" t="s">
        <v>80</v>
      </c>
      <c r="N20" s="89" t="s">
        <v>99</v>
      </c>
      <c r="O20" s="89"/>
      <c r="P20" s="89"/>
      <c r="Q20" s="89" t="s">
        <v>181</v>
      </c>
      <c r="R20" s="89"/>
      <c r="S20" s="89"/>
      <c r="T20" s="89" t="s">
        <v>94</v>
      </c>
      <c r="U20" s="89"/>
      <c r="V20" s="89"/>
      <c r="W20" s="90"/>
      <c r="X20" s="99"/>
      <c r="Y20" s="99"/>
      <c r="Z20" s="99"/>
    </row>
    <row r="21" spans="1:26" ht="23.25" customHeight="1" x14ac:dyDescent="0.2">
      <c r="A21" s="39" t="s">
        <v>10</v>
      </c>
      <c r="B21" s="82">
        <v>6387.4722000000002</v>
      </c>
      <c r="C21" s="25">
        <f t="shared" si="0"/>
        <v>3.8300000000162981E-2</v>
      </c>
      <c r="D21" s="24">
        <f t="shared" si="1"/>
        <v>137.88000000058673</v>
      </c>
      <c r="E21" s="81"/>
      <c r="F21" s="82">
        <v>3057.7179000000001</v>
      </c>
      <c r="G21" s="51">
        <f t="shared" ref="G21:G42" si="4">F21-F20</f>
        <v>4.0899999999965075E-2</v>
      </c>
      <c r="H21" s="50">
        <f t="shared" si="2"/>
        <v>147.23999999987427</v>
      </c>
      <c r="I21" s="52">
        <f t="shared" si="3"/>
        <v>1.0678851174880164</v>
      </c>
      <c r="J21" s="39"/>
      <c r="K21" s="83">
        <v>6.3688130000000003</v>
      </c>
      <c r="L21" s="53"/>
      <c r="M21" s="96"/>
      <c r="N21" s="91"/>
      <c r="O21" s="91"/>
      <c r="P21" s="91"/>
      <c r="Q21" s="91"/>
      <c r="R21" s="91"/>
      <c r="S21" s="91"/>
      <c r="T21" s="91"/>
      <c r="U21" s="91"/>
      <c r="V21" s="91"/>
      <c r="W21" s="92"/>
      <c r="X21" s="103"/>
      <c r="Y21" s="103"/>
      <c r="Z21" s="103"/>
    </row>
    <row r="22" spans="1:26" ht="23.25" customHeight="1" x14ac:dyDescent="0.2">
      <c r="A22" s="39" t="s">
        <v>11</v>
      </c>
      <c r="B22" s="82">
        <v>6387.5096999999996</v>
      </c>
      <c r="C22" s="25">
        <f t="shared" si="0"/>
        <v>3.7499999999454303E-2</v>
      </c>
      <c r="D22" s="24">
        <f t="shared" si="1"/>
        <v>134.99999999803549</v>
      </c>
      <c r="E22" s="81"/>
      <c r="F22" s="82">
        <v>3057.76</v>
      </c>
      <c r="G22" s="51">
        <f t="shared" si="4"/>
        <v>4.2100000000118598E-2</v>
      </c>
      <c r="H22" s="50">
        <f t="shared" si="2"/>
        <v>151.56000000042695</v>
      </c>
      <c r="I22" s="52">
        <f t="shared" si="3"/>
        <v>1.1226666666861662</v>
      </c>
      <c r="J22" s="39"/>
      <c r="K22" s="83">
        <v>6.2517160000000001</v>
      </c>
      <c r="L22" s="53"/>
      <c r="M22" s="9"/>
      <c r="N22" s="97"/>
      <c r="O22" s="97"/>
      <c r="P22" s="97"/>
      <c r="Q22" s="97"/>
      <c r="R22" s="97"/>
      <c r="S22" s="97"/>
      <c r="T22" s="97"/>
      <c r="U22" s="97"/>
      <c r="V22" s="97"/>
      <c r="W22" s="84"/>
      <c r="X22" s="88"/>
      <c r="Y22" s="88"/>
      <c r="Z22" s="88"/>
    </row>
    <row r="23" spans="1:26" ht="23.25" customHeight="1" x14ac:dyDescent="0.2">
      <c r="A23" s="39" t="s">
        <v>12</v>
      </c>
      <c r="B23" s="82">
        <v>6387.5427</v>
      </c>
      <c r="C23" s="25">
        <f t="shared" si="0"/>
        <v>3.3000000000356522E-2</v>
      </c>
      <c r="D23" s="24">
        <f t="shared" si="1"/>
        <v>118.80000000128348</v>
      </c>
      <c r="E23" s="81"/>
      <c r="F23" s="82">
        <v>3057.799</v>
      </c>
      <c r="G23" s="51">
        <f t="shared" si="4"/>
        <v>3.8999999999759893E-2</v>
      </c>
      <c r="H23" s="50">
        <f t="shared" si="2"/>
        <v>140.39999999913562</v>
      </c>
      <c r="I23" s="52">
        <f t="shared" si="3"/>
        <v>1.1818181817981379</v>
      </c>
      <c r="J23" s="39"/>
      <c r="K23" s="83">
        <v>6.2927340000000003</v>
      </c>
      <c r="L23" s="53"/>
      <c r="M23" s="9"/>
      <c r="N23" s="97"/>
      <c r="O23" s="97"/>
      <c r="P23" s="97"/>
      <c r="Q23" s="97"/>
      <c r="R23" s="97"/>
      <c r="S23" s="97"/>
      <c r="T23" s="97"/>
      <c r="U23" s="97"/>
      <c r="V23" s="97"/>
      <c r="W23" s="84"/>
      <c r="X23" s="88"/>
      <c r="Y23" s="88"/>
      <c r="Z23" s="88"/>
    </row>
    <row r="24" spans="1:26" ht="23.25" customHeight="1" x14ac:dyDescent="0.2">
      <c r="A24" s="39" t="s">
        <v>13</v>
      </c>
      <c r="B24" s="82">
        <v>6387.5703000000003</v>
      </c>
      <c r="C24" s="25">
        <f t="shared" si="0"/>
        <v>2.7600000000347791E-2</v>
      </c>
      <c r="D24" s="24">
        <f t="shared" si="1"/>
        <v>99.360000001252047</v>
      </c>
      <c r="E24" s="81"/>
      <c r="F24" s="82">
        <v>3057.8339999999998</v>
      </c>
      <c r="G24" s="51">
        <f t="shared" si="4"/>
        <v>3.4999999999854481E-2</v>
      </c>
      <c r="H24" s="50">
        <f t="shared" si="2"/>
        <v>125.99999999947613</v>
      </c>
      <c r="I24" s="52">
        <f t="shared" si="3"/>
        <v>1.2681159420077335</v>
      </c>
      <c r="J24" s="39"/>
      <c r="K24" s="83">
        <v>6.4238670000000004</v>
      </c>
      <c r="L24" s="53"/>
      <c r="M24" s="9"/>
      <c r="N24" s="97"/>
      <c r="O24" s="97"/>
      <c r="P24" s="97"/>
      <c r="Q24" s="97"/>
      <c r="R24" s="97"/>
      <c r="S24" s="97"/>
      <c r="T24" s="97"/>
      <c r="U24" s="97"/>
      <c r="V24" s="97"/>
      <c r="W24" s="84"/>
      <c r="X24" s="88"/>
      <c r="Y24" s="88"/>
      <c r="Z24" s="88"/>
    </row>
    <row r="25" spans="1:26" ht="23.25" customHeight="1" x14ac:dyDescent="0.2">
      <c r="A25" s="39" t="s">
        <v>14</v>
      </c>
      <c r="B25" s="82">
        <v>6387.5972000000002</v>
      </c>
      <c r="C25" s="25">
        <f t="shared" si="0"/>
        <v>2.6899999999841384E-2</v>
      </c>
      <c r="D25" s="24">
        <f t="shared" si="1"/>
        <v>96.839999999428983</v>
      </c>
      <c r="E25" s="81"/>
      <c r="F25" s="82">
        <v>3057.8679000000002</v>
      </c>
      <c r="G25" s="51">
        <f t="shared" si="4"/>
        <v>3.3900000000357977E-2</v>
      </c>
      <c r="H25" s="50">
        <f t="shared" si="2"/>
        <v>122.04000000128872</v>
      </c>
      <c r="I25" s="52">
        <f t="shared" si="3"/>
        <v>1.2602230483478762</v>
      </c>
      <c r="J25" s="39"/>
      <c r="K25" s="83">
        <v>6.3953100000000003</v>
      </c>
      <c r="L25" s="53"/>
      <c r="M25" s="9"/>
      <c r="N25" s="97"/>
      <c r="O25" s="97"/>
      <c r="P25" s="97"/>
      <c r="Q25" s="97"/>
      <c r="R25" s="97"/>
      <c r="S25" s="97"/>
      <c r="T25" s="97"/>
      <c r="U25" s="97"/>
      <c r="V25" s="97"/>
      <c r="W25" s="84"/>
      <c r="X25" s="88"/>
      <c r="Y25" s="88"/>
      <c r="Z25" s="88"/>
    </row>
    <row r="26" spans="1:26" ht="23.25" customHeight="1" x14ac:dyDescent="0.2">
      <c r="A26" s="39" t="s">
        <v>15</v>
      </c>
      <c r="B26" s="82">
        <v>6387.6237000000001</v>
      </c>
      <c r="C26" s="25">
        <f t="shared" si="0"/>
        <v>2.6499999999941792E-2</v>
      </c>
      <c r="D26" s="24">
        <f t="shared" si="1"/>
        <v>95.399999999790452</v>
      </c>
      <c r="E26" s="81"/>
      <c r="F26" s="82">
        <v>3057.8991999999998</v>
      </c>
      <c r="G26" s="51">
        <f t="shared" si="4"/>
        <v>3.1299999999646388E-2</v>
      </c>
      <c r="H26" s="50">
        <f t="shared" si="2"/>
        <v>112.679999998727</v>
      </c>
      <c r="I26" s="52">
        <f t="shared" si="3"/>
        <v>1.1811320754609487</v>
      </c>
      <c r="J26" s="39"/>
      <c r="K26" s="83">
        <v>6.3200500000000002</v>
      </c>
      <c r="L26" s="53"/>
      <c r="M26" s="9"/>
      <c r="N26" s="97"/>
      <c r="O26" s="97"/>
      <c r="P26" s="97"/>
      <c r="Q26" s="97"/>
      <c r="R26" s="97"/>
      <c r="S26" s="97"/>
      <c r="T26" s="97"/>
      <c r="U26" s="97"/>
      <c r="V26" s="97"/>
      <c r="W26" s="84"/>
      <c r="X26" s="88"/>
      <c r="Y26" s="88"/>
      <c r="Z26" s="88"/>
    </row>
    <row r="27" spans="1:26" ht="23.25" customHeight="1" x14ac:dyDescent="0.2">
      <c r="A27" s="39" t="s">
        <v>16</v>
      </c>
      <c r="B27" s="82">
        <v>6387.6548000000003</v>
      </c>
      <c r="C27" s="25">
        <f t="shared" si="0"/>
        <v>3.110000000015134E-2</v>
      </c>
      <c r="D27" s="24">
        <f t="shared" si="1"/>
        <v>111.96000000054482</v>
      </c>
      <c r="E27" s="81"/>
      <c r="F27" s="82">
        <v>3057.9270000000001</v>
      </c>
      <c r="G27" s="51">
        <f t="shared" si="4"/>
        <v>2.7800000000297587E-2</v>
      </c>
      <c r="H27" s="50">
        <f t="shared" si="2"/>
        <v>100.08000000107131</v>
      </c>
      <c r="I27" s="52">
        <f t="shared" si="3"/>
        <v>0.89389067524637633</v>
      </c>
      <c r="J27" s="39"/>
      <c r="K27" s="83">
        <v>6.1971729999999994</v>
      </c>
      <c r="L27" s="53"/>
      <c r="M27" s="9"/>
      <c r="N27" s="97"/>
      <c r="O27" s="97"/>
      <c r="P27" s="97"/>
      <c r="Q27" s="97"/>
      <c r="R27" s="97"/>
      <c r="S27" s="97"/>
      <c r="T27" s="97"/>
      <c r="U27" s="97"/>
      <c r="V27" s="97"/>
      <c r="W27" s="84"/>
      <c r="X27" s="88"/>
      <c r="Y27" s="88"/>
      <c r="Z27" s="88"/>
    </row>
    <row r="28" spans="1:26" ht="23.25" customHeight="1" x14ac:dyDescent="0.2">
      <c r="A28" s="39" t="s">
        <v>17</v>
      </c>
      <c r="B28" s="82">
        <v>6387.6860999999999</v>
      </c>
      <c r="C28" s="25">
        <f t="shared" si="0"/>
        <v>3.1299999999646388E-2</v>
      </c>
      <c r="D28" s="24">
        <f t="shared" si="1"/>
        <v>112.679999998727</v>
      </c>
      <c r="E28" s="81"/>
      <c r="F28" s="82">
        <v>3057.9526999999998</v>
      </c>
      <c r="G28" s="51">
        <f t="shared" si="4"/>
        <v>2.5699999999687861E-2</v>
      </c>
      <c r="H28" s="50">
        <f t="shared" si="2"/>
        <v>92.519999998876301</v>
      </c>
      <c r="I28" s="52">
        <f t="shared" si="3"/>
        <v>0.82108626198013446</v>
      </c>
      <c r="J28" s="39"/>
      <c r="K28" s="83">
        <v>6.1342319999999999</v>
      </c>
      <c r="L28" s="53"/>
      <c r="M28" s="9"/>
      <c r="N28" s="97"/>
      <c r="O28" s="97"/>
      <c r="P28" s="97"/>
      <c r="Q28" s="97"/>
      <c r="R28" s="97"/>
      <c r="S28" s="97"/>
      <c r="T28" s="97"/>
      <c r="U28" s="97"/>
      <c r="V28" s="97"/>
      <c r="W28" s="84"/>
      <c r="X28" s="88"/>
      <c r="Y28" s="88"/>
      <c r="Z28" s="88"/>
    </row>
    <row r="29" spans="1:26" ht="23.25" customHeight="1" x14ac:dyDescent="0.2">
      <c r="A29" s="39" t="s">
        <v>18</v>
      </c>
      <c r="B29" s="82">
        <v>6387.7096000000001</v>
      </c>
      <c r="C29" s="25">
        <f t="shared" si="0"/>
        <v>2.3500000000240107E-2</v>
      </c>
      <c r="D29" s="24">
        <f t="shared" si="1"/>
        <v>84.600000000864384</v>
      </c>
      <c r="E29" s="81"/>
      <c r="F29" s="82">
        <v>3057.9731999999999</v>
      </c>
      <c r="G29" s="51">
        <f t="shared" si="4"/>
        <v>2.0500000000083674E-2</v>
      </c>
      <c r="H29" s="50">
        <f t="shared" si="2"/>
        <v>73.800000000301225</v>
      </c>
      <c r="I29" s="52">
        <f t="shared" si="3"/>
        <v>0.87234042552656255</v>
      </c>
      <c r="J29" s="39"/>
      <c r="K29" s="83">
        <v>6.1171099999999994</v>
      </c>
      <c r="L29" s="53"/>
      <c r="M29" s="118" t="s">
        <v>95</v>
      </c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23.25" customHeight="1" x14ac:dyDescent="0.2">
      <c r="A30" s="39" t="s">
        <v>19</v>
      </c>
      <c r="B30" s="82">
        <v>6387.732</v>
      </c>
      <c r="C30" s="25">
        <f t="shared" si="0"/>
        <v>2.2399999999834108E-2</v>
      </c>
      <c r="D30" s="24">
        <f t="shared" si="1"/>
        <v>80.639999999402789</v>
      </c>
      <c r="E30" s="81"/>
      <c r="F30" s="82">
        <v>3057.9917999999998</v>
      </c>
      <c r="G30" s="51">
        <f t="shared" si="4"/>
        <v>1.8599999999878492E-2</v>
      </c>
      <c r="H30" s="50">
        <f t="shared" si="2"/>
        <v>66.959999999562569</v>
      </c>
      <c r="I30" s="52">
        <f t="shared" si="3"/>
        <v>0.83035714285786788</v>
      </c>
      <c r="J30" s="39"/>
      <c r="K30" s="83">
        <v>6.1368540000000005</v>
      </c>
      <c r="L30" s="53"/>
      <c r="M30" s="99" t="s">
        <v>97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23.25" customHeight="1" x14ac:dyDescent="0.2">
      <c r="A31" s="39" t="s">
        <v>20</v>
      </c>
      <c r="B31" s="82">
        <v>6387.7543999999998</v>
      </c>
      <c r="C31" s="25">
        <f t="shared" si="0"/>
        <v>2.2399999999834108E-2</v>
      </c>
      <c r="D31" s="24">
        <f t="shared" si="1"/>
        <v>80.639999999402789</v>
      </c>
      <c r="E31" s="81"/>
      <c r="F31" s="82">
        <v>3058.011</v>
      </c>
      <c r="G31" s="51">
        <f t="shared" si="4"/>
        <v>1.9200000000182627E-2</v>
      </c>
      <c r="H31" s="50">
        <f t="shared" si="2"/>
        <v>69.120000000657456</v>
      </c>
      <c r="I31" s="52">
        <f t="shared" si="3"/>
        <v>0.85714285715735805</v>
      </c>
      <c r="J31" s="39"/>
      <c r="K31" s="83">
        <v>6.1650510000000001</v>
      </c>
      <c r="L31" s="53"/>
      <c r="M31" s="100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179</v>
      </c>
      <c r="W31" s="98"/>
      <c r="X31" s="98"/>
      <c r="Y31" s="98" t="s">
        <v>91</v>
      </c>
      <c r="Z31" s="101"/>
    </row>
    <row r="32" spans="1:26" ht="23.25" customHeight="1" x14ac:dyDescent="0.2">
      <c r="A32" s="39" t="s">
        <v>21</v>
      </c>
      <c r="B32" s="82">
        <v>6387.7755999999999</v>
      </c>
      <c r="C32" s="25">
        <f t="shared" si="0"/>
        <v>2.1200000000135333E-2</v>
      </c>
      <c r="D32" s="24">
        <f t="shared" si="1"/>
        <v>76.320000000487198</v>
      </c>
      <c r="E32" s="81"/>
      <c r="F32" s="82">
        <v>3058.0288</v>
      </c>
      <c r="G32" s="51">
        <f t="shared" si="4"/>
        <v>1.7800000000079308E-2</v>
      </c>
      <c r="H32" s="50">
        <f t="shared" si="2"/>
        <v>64.080000000285509</v>
      </c>
      <c r="I32" s="52">
        <f t="shared" si="3"/>
        <v>0.83962264150781507</v>
      </c>
      <c r="J32" s="39"/>
      <c r="K32" s="83">
        <v>6.1198370000000004</v>
      </c>
      <c r="L32" s="53"/>
      <c r="M32" s="95"/>
      <c r="N32" s="89"/>
      <c r="O32" s="89"/>
      <c r="P32" s="89" t="s">
        <v>83</v>
      </c>
      <c r="Q32" s="89"/>
      <c r="R32" s="89" t="s">
        <v>102</v>
      </c>
      <c r="S32" s="89"/>
      <c r="T32" s="89" t="s">
        <v>104</v>
      </c>
      <c r="U32" s="89"/>
      <c r="V32" s="89" t="s">
        <v>105</v>
      </c>
      <c r="W32" s="89"/>
      <c r="X32" s="89"/>
      <c r="Y32" s="89"/>
      <c r="Z32" s="90"/>
    </row>
    <row r="33" spans="1:26" ht="23.25" customHeight="1" x14ac:dyDescent="0.2">
      <c r="A33" s="39" t="s">
        <v>22</v>
      </c>
      <c r="B33" s="82">
        <v>6387.7932000000001</v>
      </c>
      <c r="C33" s="25">
        <f t="shared" si="0"/>
        <v>1.7600000000129512E-2</v>
      </c>
      <c r="D33" s="24">
        <f t="shared" si="1"/>
        <v>63.360000000466243</v>
      </c>
      <c r="E33" s="81"/>
      <c r="F33" s="82">
        <v>3058.0464000000002</v>
      </c>
      <c r="G33" s="51">
        <f t="shared" si="4"/>
        <v>1.7600000000129512E-2</v>
      </c>
      <c r="H33" s="50">
        <f t="shared" si="2"/>
        <v>63.360000000466243</v>
      </c>
      <c r="I33" s="52">
        <f t="shared" si="3"/>
        <v>1</v>
      </c>
      <c r="J33" s="39"/>
      <c r="K33" s="83">
        <v>6.1123270000000005</v>
      </c>
      <c r="L33" s="53"/>
      <c r="M33" s="95" t="s">
        <v>80</v>
      </c>
      <c r="N33" s="89" t="s">
        <v>99</v>
      </c>
      <c r="O33" s="89"/>
      <c r="P33" s="89" t="s">
        <v>101</v>
      </c>
      <c r="Q33" s="89"/>
      <c r="R33" s="89" t="s">
        <v>69</v>
      </c>
      <c r="S33" s="89"/>
      <c r="T33" s="89" t="s">
        <v>69</v>
      </c>
      <c r="U33" s="89"/>
      <c r="V33" s="89" t="s">
        <v>106</v>
      </c>
      <c r="W33" s="89"/>
      <c r="X33" s="89"/>
      <c r="Y33" s="89"/>
      <c r="Z33" s="90"/>
    </row>
    <row r="34" spans="1:26" ht="23.25" customHeight="1" x14ac:dyDescent="0.2">
      <c r="A34" s="39" t="s">
        <v>23</v>
      </c>
      <c r="B34" s="82">
        <v>6387.8109999999997</v>
      </c>
      <c r="C34" s="25">
        <f t="shared" si="0"/>
        <v>1.7799999999624561E-2</v>
      </c>
      <c r="D34" s="24">
        <f t="shared" si="1"/>
        <v>64.079999998648418</v>
      </c>
      <c r="E34" s="81"/>
      <c r="F34" s="82">
        <v>3058.0646999999999</v>
      </c>
      <c r="G34" s="51">
        <f t="shared" si="4"/>
        <v>1.8299999999726424E-2</v>
      </c>
      <c r="H34" s="50">
        <f t="shared" si="2"/>
        <v>65.879999999015126</v>
      </c>
      <c r="I34" s="52">
        <f t="shared" si="3"/>
        <v>1.0280898876467646</v>
      </c>
      <c r="J34" s="39"/>
      <c r="K34" s="83">
        <v>6.1338109999999997</v>
      </c>
      <c r="L34" s="53"/>
      <c r="M34" s="96"/>
      <c r="N34" s="91"/>
      <c r="O34" s="91"/>
      <c r="P34" s="91"/>
      <c r="Q34" s="91"/>
      <c r="R34" s="92"/>
      <c r="S34" s="96"/>
      <c r="T34" s="92"/>
      <c r="U34" s="96"/>
      <c r="V34" s="92"/>
      <c r="W34" s="103"/>
      <c r="X34" s="96"/>
      <c r="Y34" s="91"/>
      <c r="Z34" s="92"/>
    </row>
    <row r="35" spans="1:26" ht="23.25" customHeight="1" x14ac:dyDescent="0.2">
      <c r="A35" s="39" t="s">
        <v>24</v>
      </c>
      <c r="B35" s="82">
        <v>6387.8284000000003</v>
      </c>
      <c r="C35" s="25">
        <f t="shared" si="0"/>
        <v>1.7400000000634464E-2</v>
      </c>
      <c r="D35" s="24">
        <f t="shared" si="1"/>
        <v>62.640000002284069</v>
      </c>
      <c r="E35" s="81"/>
      <c r="F35" s="82">
        <v>3058.0837000000001</v>
      </c>
      <c r="G35" s="51">
        <f t="shared" si="4"/>
        <v>1.9000000000232831E-2</v>
      </c>
      <c r="H35" s="50">
        <f t="shared" si="2"/>
        <v>68.40000000083819</v>
      </c>
      <c r="I35" s="52">
        <f t="shared" si="3"/>
        <v>1.0919540229620703</v>
      </c>
      <c r="J35" s="39"/>
      <c r="K35" s="83">
        <v>6.1711490000000007</v>
      </c>
      <c r="L35" s="53"/>
      <c r="M35" s="9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84"/>
    </row>
    <row r="36" spans="1:26" ht="23.25" customHeight="1" x14ac:dyDescent="0.2">
      <c r="A36" s="39" t="s">
        <v>25</v>
      </c>
      <c r="B36" s="82">
        <v>6387.8478999999998</v>
      </c>
      <c r="C36" s="25">
        <f t="shared" si="0"/>
        <v>1.9499999999425199E-2</v>
      </c>
      <c r="D36" s="24">
        <f t="shared" si="1"/>
        <v>70.199999997930718</v>
      </c>
      <c r="E36" s="81"/>
      <c r="F36" s="82">
        <v>3058.1034</v>
      </c>
      <c r="G36" s="51">
        <f t="shared" si="4"/>
        <v>1.9699999999829743E-2</v>
      </c>
      <c r="H36" s="50">
        <f t="shared" si="2"/>
        <v>70.919999999387073</v>
      </c>
      <c r="I36" s="52">
        <f t="shared" si="3"/>
        <v>1.0102564102774585</v>
      </c>
      <c r="J36" s="39"/>
      <c r="K36" s="83">
        <v>6.1955339999999994</v>
      </c>
      <c r="L36" s="53"/>
      <c r="M36" s="9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84"/>
    </row>
    <row r="37" spans="1:26" ht="23.25" customHeight="1" x14ac:dyDescent="0.2">
      <c r="A37" s="39" t="s">
        <v>26</v>
      </c>
      <c r="B37" s="82">
        <v>6387.8670000000002</v>
      </c>
      <c r="C37" s="25">
        <f t="shared" si="0"/>
        <v>1.9100000000435102E-2</v>
      </c>
      <c r="D37" s="24">
        <f t="shared" si="1"/>
        <v>68.760000001566368</v>
      </c>
      <c r="E37" s="81"/>
      <c r="F37" s="82">
        <v>3058.1239</v>
      </c>
      <c r="G37" s="51">
        <f t="shared" si="4"/>
        <v>2.0500000000083674E-2</v>
      </c>
      <c r="H37" s="50">
        <f t="shared" si="2"/>
        <v>73.800000000301225</v>
      </c>
      <c r="I37" s="52">
        <f t="shared" si="3"/>
        <v>1.0732984292993026</v>
      </c>
      <c r="J37" s="39"/>
      <c r="K37" s="83">
        <v>6.2271409999999996</v>
      </c>
      <c r="L37" s="53"/>
      <c r="M37" s="9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84"/>
    </row>
    <row r="38" spans="1:26" ht="23.25" customHeight="1" x14ac:dyDescent="0.2">
      <c r="A38" s="39" t="s">
        <v>27</v>
      </c>
      <c r="B38" s="82">
        <v>6387.8846000000003</v>
      </c>
      <c r="C38" s="25">
        <f t="shared" si="0"/>
        <v>1.7600000000129512E-2</v>
      </c>
      <c r="D38" s="24">
        <f t="shared" si="1"/>
        <v>63.360000000466243</v>
      </c>
      <c r="E38" s="81"/>
      <c r="F38" s="82">
        <v>3058.1451000000002</v>
      </c>
      <c r="G38" s="51">
        <f t="shared" si="4"/>
        <v>2.1200000000135333E-2</v>
      </c>
      <c r="H38" s="50">
        <f t="shared" si="2"/>
        <v>76.320000000487198</v>
      </c>
      <c r="I38" s="52">
        <f t="shared" si="3"/>
        <v>1.2045454545442802</v>
      </c>
      <c r="J38" s="39"/>
      <c r="K38" s="83">
        <v>6.0468779999999995</v>
      </c>
      <c r="L38" s="53"/>
      <c r="M38" s="9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84"/>
    </row>
    <row r="39" spans="1:26" ht="23.25" customHeight="1" x14ac:dyDescent="0.2">
      <c r="A39" s="39" t="s">
        <v>28</v>
      </c>
      <c r="B39" s="82">
        <v>6387.9047</v>
      </c>
      <c r="C39" s="25">
        <f t="shared" si="0"/>
        <v>2.0099999999729334E-2</v>
      </c>
      <c r="D39" s="24">
        <f t="shared" si="1"/>
        <v>72.359999999025604</v>
      </c>
      <c r="E39" s="81"/>
      <c r="F39" s="82">
        <v>3058.1673000000001</v>
      </c>
      <c r="G39" s="51">
        <f t="shared" si="4"/>
        <v>2.2199999999884312E-2</v>
      </c>
      <c r="H39" s="50">
        <f t="shared" si="2"/>
        <v>79.919999999583524</v>
      </c>
      <c r="I39" s="52">
        <f t="shared" si="3"/>
        <v>1.1044776119494157</v>
      </c>
      <c r="J39" s="39"/>
      <c r="K39" s="83">
        <v>6.2840749999999996</v>
      </c>
      <c r="L39" s="53"/>
      <c r="M39" s="9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84"/>
    </row>
    <row r="40" spans="1:26" ht="23.25" customHeight="1" x14ac:dyDescent="0.2">
      <c r="A40" s="39" t="s">
        <v>29</v>
      </c>
      <c r="B40" s="82">
        <v>6387.9306999999999</v>
      </c>
      <c r="C40" s="25">
        <f t="shared" si="0"/>
        <v>2.5999999999839929E-2</v>
      </c>
      <c r="D40" s="24">
        <f t="shared" si="1"/>
        <v>93.599999999423744</v>
      </c>
      <c r="E40" s="81"/>
      <c r="F40" s="82">
        <v>3058.1936000000001</v>
      </c>
      <c r="G40" s="51">
        <f t="shared" si="4"/>
        <v>2.6299999999991996E-2</v>
      </c>
      <c r="H40" s="50">
        <f t="shared" si="2"/>
        <v>94.679999999971187</v>
      </c>
      <c r="I40" s="52">
        <f t="shared" si="3"/>
        <v>1.0115384615443814</v>
      </c>
      <c r="J40" s="39"/>
      <c r="K40" s="83">
        <v>6.0729410000000001</v>
      </c>
      <c r="L40" s="53"/>
      <c r="M40" s="99" t="s">
        <v>109</v>
      </c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ht="23.25" customHeight="1" x14ac:dyDescent="0.2">
      <c r="A41" s="39" t="s">
        <v>30</v>
      </c>
      <c r="B41" s="82">
        <v>6387.9588000000003</v>
      </c>
      <c r="C41" s="25">
        <f t="shared" si="0"/>
        <v>2.8100000000449654E-2</v>
      </c>
      <c r="D41" s="24">
        <f t="shared" si="1"/>
        <v>101.16000000161876</v>
      </c>
      <c r="E41" s="81"/>
      <c r="F41" s="82">
        <v>3058.2204999999999</v>
      </c>
      <c r="G41" s="51">
        <f t="shared" si="4"/>
        <v>2.6899999999841384E-2</v>
      </c>
      <c r="H41" s="50">
        <f t="shared" si="2"/>
        <v>96.839999999428983</v>
      </c>
      <c r="I41" s="52">
        <f t="shared" si="3"/>
        <v>0.95729537364451711</v>
      </c>
      <c r="J41" s="39"/>
      <c r="K41" s="83">
        <v>6.2317580000000001</v>
      </c>
      <c r="L41" s="53"/>
      <c r="M41" s="100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1"/>
    </row>
    <row r="42" spans="1:26" ht="23.25" customHeight="1" x14ac:dyDescent="0.2">
      <c r="A42" s="39" t="s">
        <v>31</v>
      </c>
      <c r="B42" s="82">
        <v>6387.9854999999998</v>
      </c>
      <c r="C42" s="25">
        <f t="shared" si="0"/>
        <v>2.6699999999436841E-2</v>
      </c>
      <c r="D42" s="24">
        <f t="shared" si="1"/>
        <v>96.119999997972627</v>
      </c>
      <c r="E42" s="81"/>
      <c r="F42" s="82">
        <v>3058.2487999999998</v>
      </c>
      <c r="G42" s="51">
        <f t="shared" si="4"/>
        <v>2.8299999999944703E-2</v>
      </c>
      <c r="H42" s="50">
        <f t="shared" si="2"/>
        <v>101.87999999980093</v>
      </c>
      <c r="I42" s="52">
        <f t="shared" si="3"/>
        <v>1.0599250936532438</v>
      </c>
      <c r="J42" s="39"/>
      <c r="K42" s="83">
        <v>6.0808919999999995</v>
      </c>
      <c r="L42" s="53"/>
      <c r="M42" s="95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90"/>
    </row>
    <row r="43" spans="1:26" ht="22.5" customHeight="1" x14ac:dyDescent="0.2">
      <c r="A43" s="178" t="s">
        <v>70</v>
      </c>
      <c r="B43" s="178"/>
      <c r="C43" s="178"/>
      <c r="D43" s="50">
        <f>SUM(D18:D42)</f>
        <v>2208.2400000006601</v>
      </c>
      <c r="E43" s="39"/>
      <c r="F43" s="54"/>
      <c r="G43" s="39"/>
      <c r="H43" s="50">
        <f>SUM(H18:H42)</f>
        <v>2310.4799999995521</v>
      </c>
      <c r="I43" s="52">
        <f>IF(AND(H43=0,D43=0),0,H43/D43)</f>
        <v>1.0462993152913005</v>
      </c>
      <c r="J43" s="39"/>
      <c r="K43" s="39"/>
      <c r="L43" s="53"/>
      <c r="M43" s="95" t="s">
        <v>80</v>
      </c>
      <c r="N43" s="89" t="s">
        <v>99</v>
      </c>
      <c r="O43" s="89"/>
      <c r="P43" s="89" t="s">
        <v>110</v>
      </c>
      <c r="Q43" s="89"/>
      <c r="R43" s="89"/>
      <c r="S43" s="89"/>
      <c r="T43" s="89"/>
      <c r="U43" s="89"/>
      <c r="V43" s="89"/>
      <c r="W43" s="89"/>
      <c r="X43" s="89" t="s">
        <v>110</v>
      </c>
      <c r="Y43" s="89"/>
      <c r="Z43" s="90"/>
    </row>
    <row r="44" spans="1:26" ht="22.5" customHeight="1" x14ac:dyDescent="0.2">
      <c r="A44" s="164" t="s">
        <v>71</v>
      </c>
      <c r="B44" s="164"/>
      <c r="C44" s="164"/>
      <c r="D44" s="61"/>
      <c r="E44" s="61"/>
      <c r="F44" s="62"/>
      <c r="G44" s="61"/>
      <c r="H44" s="61"/>
      <c r="I44" s="61"/>
      <c r="J44" s="61"/>
      <c r="K44" s="39"/>
      <c r="L44" s="53"/>
      <c r="M44" s="96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2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84"/>
      <c r="O45" s="85"/>
      <c r="P45" s="84"/>
      <c r="Q45" s="88"/>
      <c r="R45" s="85"/>
      <c r="S45" s="7"/>
      <c r="T45" s="84"/>
      <c r="U45" s="88"/>
      <c r="V45" s="88"/>
      <c r="W45" s="85"/>
      <c r="X45" s="84"/>
      <c r="Y45" s="88"/>
      <c r="Z45" s="88"/>
    </row>
    <row r="46" spans="1:26" ht="22.5" customHeight="1" x14ac:dyDescent="0.2">
      <c r="A46" s="155" t="s">
        <v>72</v>
      </c>
      <c r="B46" s="155"/>
      <c r="C46" s="155"/>
      <c r="D46" s="155"/>
      <c r="E46" s="155"/>
      <c r="F46" s="155"/>
      <c r="G46" s="177" t="s">
        <v>73</v>
      </c>
      <c r="H46" s="177"/>
      <c r="I46" s="177"/>
      <c r="J46" s="177"/>
      <c r="K46" s="177"/>
      <c r="L46" s="177"/>
      <c r="M46" s="9"/>
      <c r="N46" s="84"/>
      <c r="O46" s="85"/>
      <c r="P46" s="84"/>
      <c r="Q46" s="88"/>
      <c r="R46" s="85"/>
      <c r="S46" s="7"/>
      <c r="T46" s="84"/>
      <c r="U46" s="88"/>
      <c r="V46" s="88"/>
      <c r="W46" s="85"/>
      <c r="X46" s="84"/>
      <c r="Y46" s="88"/>
      <c r="Z46" s="88"/>
    </row>
    <row r="47" spans="1:26" ht="22.5" customHeight="1" x14ac:dyDescent="0.2">
      <c r="A47" s="117" t="s">
        <v>371</v>
      </c>
      <c r="B47" s="117"/>
      <c r="C47" s="117"/>
      <c r="D47" s="108" t="s">
        <v>74</v>
      </c>
      <c r="E47" s="108"/>
      <c r="F47" s="108"/>
      <c r="G47" s="56"/>
      <c r="H47" s="56"/>
      <c r="I47" s="56"/>
      <c r="J47" s="56"/>
      <c r="K47" s="56"/>
      <c r="L47" s="56"/>
      <c r="M47" s="9"/>
      <c r="N47" s="84"/>
      <c r="O47" s="85"/>
      <c r="P47" s="84"/>
      <c r="Q47" s="88"/>
      <c r="R47" s="85"/>
      <c r="S47" s="7"/>
      <c r="T47" s="84"/>
      <c r="U47" s="88"/>
      <c r="V47" s="88"/>
      <c r="W47" s="85"/>
      <c r="X47" s="84"/>
      <c r="Y47" s="88"/>
      <c r="Z47" s="88"/>
    </row>
    <row r="48" spans="1:26" ht="22.5" customHeight="1" x14ac:dyDescent="0.2">
      <c r="A48" s="148" t="s">
        <v>75</v>
      </c>
      <c r="B48" s="148"/>
      <c r="C48" s="148"/>
      <c r="D48" s="147" t="s">
        <v>76</v>
      </c>
      <c r="E48" s="147"/>
      <c r="F48" s="147"/>
      <c r="G48" s="55"/>
      <c r="H48" s="55"/>
      <c r="I48" s="55"/>
      <c r="J48" s="55"/>
      <c r="K48" s="55"/>
      <c r="L48" s="55"/>
    </row>
    <row r="49" spans="1:23" ht="22.5" customHeight="1" x14ac:dyDescent="0.2">
      <c r="A49" s="117" t="s">
        <v>372</v>
      </c>
      <c r="B49" s="117"/>
      <c r="C49" s="117"/>
      <c r="D49" s="108" t="s">
        <v>74</v>
      </c>
      <c r="E49" s="108"/>
      <c r="F49" s="108"/>
      <c r="G49" s="55"/>
      <c r="H49" s="155" t="s">
        <v>183</v>
      </c>
      <c r="I49" s="155"/>
      <c r="J49" s="155"/>
      <c r="K49" s="155" t="s">
        <v>77</v>
      </c>
      <c r="L49" s="155"/>
      <c r="N49" s="150" t="s">
        <v>150</v>
      </c>
      <c r="O49" s="150"/>
      <c r="P49" s="150"/>
      <c r="Q49" s="149" t="s">
        <v>370</v>
      </c>
      <c r="R49" s="149"/>
      <c r="S49" s="149"/>
      <c r="T49" s="149"/>
      <c r="U49" s="149"/>
      <c r="V49" s="149"/>
      <c r="W49" s="1"/>
    </row>
    <row r="50" spans="1:23" ht="22.5" customHeight="1" x14ac:dyDescent="0.2">
      <c r="A50" s="148" t="s">
        <v>75</v>
      </c>
      <c r="B50" s="148"/>
      <c r="C50" s="148"/>
      <c r="D50" s="147" t="s">
        <v>76</v>
      </c>
      <c r="E50" s="147"/>
      <c r="F50" s="147"/>
      <c r="G50" s="58"/>
      <c r="H50" s="148" t="s">
        <v>75</v>
      </c>
      <c r="I50" s="148"/>
      <c r="J50" s="148"/>
      <c r="K50" s="148" t="s">
        <v>76</v>
      </c>
      <c r="L50" s="148"/>
      <c r="S50" s="146" t="s">
        <v>76</v>
      </c>
      <c r="T50" s="146"/>
    </row>
    <row r="51" spans="1:23" ht="20.100000000000001" customHeight="1" x14ac:dyDescent="0.2">
      <c r="A51" s="117" t="s">
        <v>373</v>
      </c>
      <c r="B51" s="117"/>
      <c r="C51" s="117"/>
      <c r="D51" s="108" t="s">
        <v>74</v>
      </c>
      <c r="E51" s="108"/>
      <c r="F51" s="108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47" t="s">
        <v>75</v>
      </c>
      <c r="B52" s="147"/>
      <c r="C52" s="147"/>
      <c r="D52" s="146" t="s">
        <v>76</v>
      </c>
      <c r="E52" s="146"/>
      <c r="F52" s="146"/>
      <c r="G52" s="63"/>
      <c r="H52" s="63"/>
      <c r="I52" s="64"/>
      <c r="J52" s="64"/>
      <c r="K52" s="64"/>
      <c r="L52" s="64"/>
    </row>
  </sheetData>
  <sheetProtection sheet="1" objects="1" scenarios="1"/>
  <mergeCells count="258">
    <mergeCell ref="G1:H2"/>
    <mergeCell ref="J16:J17"/>
    <mergeCell ref="K16:K17"/>
    <mergeCell ref="A13:A17"/>
    <mergeCell ref="E16:E17"/>
    <mergeCell ref="B15:C15"/>
    <mergeCell ref="D15:E15"/>
    <mergeCell ref="B13:C13"/>
    <mergeCell ref="D13:E13"/>
    <mergeCell ref="F14:G14"/>
    <mergeCell ref="A9:L9"/>
    <mergeCell ref="A1:F1"/>
    <mergeCell ref="A2:F2"/>
    <mergeCell ref="G3:H4"/>
    <mergeCell ref="I3:L4"/>
    <mergeCell ref="A11:D11"/>
    <mergeCell ref="E11:H11"/>
    <mergeCell ref="A10:D10"/>
    <mergeCell ref="E10:G10"/>
    <mergeCell ref="D14:E14"/>
    <mergeCell ref="A8:L8"/>
    <mergeCell ref="A43:C43"/>
    <mergeCell ref="J13:K13"/>
    <mergeCell ref="A3:F3"/>
    <mergeCell ref="A4:F4"/>
    <mergeCell ref="A5:F5"/>
    <mergeCell ref="A6:F6"/>
    <mergeCell ref="A12:L12"/>
    <mergeCell ref="H50:J50"/>
    <mergeCell ref="K50:L50"/>
    <mergeCell ref="D49:F49"/>
    <mergeCell ref="A47:C47"/>
    <mergeCell ref="D47:F47"/>
    <mergeCell ref="A46:F46"/>
    <mergeCell ref="A44:C44"/>
    <mergeCell ref="I13:I17"/>
    <mergeCell ref="J14:K14"/>
    <mergeCell ref="J15:K15"/>
    <mergeCell ref="G46:L46"/>
    <mergeCell ref="H49:J49"/>
    <mergeCell ref="K49:L49"/>
    <mergeCell ref="A7:L7"/>
    <mergeCell ref="F13:G13"/>
    <mergeCell ref="I11:L11"/>
    <mergeCell ref="B14:C14"/>
    <mergeCell ref="M20:M21"/>
    <mergeCell ref="M31:M32"/>
    <mergeCell ref="N10:O10"/>
    <mergeCell ref="N11:O11"/>
    <mergeCell ref="D48:F48"/>
    <mergeCell ref="F15:G15"/>
    <mergeCell ref="M18:M19"/>
    <mergeCell ref="P11:Q11"/>
    <mergeCell ref="P12:Q12"/>
    <mergeCell ref="N14:O14"/>
    <mergeCell ref="N15:O15"/>
    <mergeCell ref="N36:O36"/>
    <mergeCell ref="P36:Q3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T14:U14"/>
    <mergeCell ref="N7:O7"/>
    <mergeCell ref="M17:Z17"/>
    <mergeCell ref="W18:Z21"/>
    <mergeCell ref="V11:W11"/>
    <mergeCell ref="V12:W12"/>
    <mergeCell ref="T7:U7"/>
    <mergeCell ref="V7:W7"/>
    <mergeCell ref="R11:S11"/>
    <mergeCell ref="R12:S12"/>
    <mergeCell ref="R13:S13"/>
    <mergeCell ref="R14:S14"/>
    <mergeCell ref="R15:S15"/>
    <mergeCell ref="R7:S7"/>
    <mergeCell ref="X7:Z7"/>
    <mergeCell ref="X8:Z8"/>
    <mergeCell ref="T11:U11"/>
    <mergeCell ref="T12:U12"/>
    <mergeCell ref="P13:Q13"/>
    <mergeCell ref="T13:U13"/>
    <mergeCell ref="N13:O13"/>
    <mergeCell ref="V8:W8"/>
    <mergeCell ref="V9:W9"/>
    <mergeCell ref="V10:W10"/>
    <mergeCell ref="N9:O9"/>
    <mergeCell ref="N3:O6"/>
    <mergeCell ref="T3:U3"/>
    <mergeCell ref="T10:U10"/>
    <mergeCell ref="T9:U9"/>
    <mergeCell ref="N8:O8"/>
    <mergeCell ref="M1:Z1"/>
    <mergeCell ref="M2:Z2"/>
    <mergeCell ref="X3:Z6"/>
    <mergeCell ref="M5:M6"/>
    <mergeCell ref="M3:M4"/>
    <mergeCell ref="R3:S3"/>
    <mergeCell ref="R4:S4"/>
    <mergeCell ref="R5:S5"/>
    <mergeCell ref="R6:S6"/>
    <mergeCell ref="T4:U4"/>
    <mergeCell ref="T5:U5"/>
    <mergeCell ref="P3:Q4"/>
    <mergeCell ref="V3:W3"/>
    <mergeCell ref="V4:W4"/>
    <mergeCell ref="V5:W5"/>
    <mergeCell ref="V6:W6"/>
    <mergeCell ref="T6:U6"/>
    <mergeCell ref="P5:Q6"/>
    <mergeCell ref="P7:Q7"/>
    <mergeCell ref="R8:S8"/>
    <mergeCell ref="R9:S9"/>
    <mergeCell ref="R10:S10"/>
    <mergeCell ref="T8:U8"/>
    <mergeCell ref="P8:Q8"/>
    <mergeCell ref="P9:Q9"/>
    <mergeCell ref="P10:Q10"/>
    <mergeCell ref="N12:O12"/>
    <mergeCell ref="N28:P28"/>
    <mergeCell ref="Q28:S28"/>
    <mergeCell ref="T28:V28"/>
    <mergeCell ref="Q26:S26"/>
    <mergeCell ref="Q25:S25"/>
    <mergeCell ref="Q22:S22"/>
    <mergeCell ref="N25:P25"/>
    <mergeCell ref="T26:V26"/>
    <mergeCell ref="T25:V25"/>
    <mergeCell ref="N27:P27"/>
    <mergeCell ref="Q27:S27"/>
    <mergeCell ref="T27:V27"/>
    <mergeCell ref="P14:Q14"/>
    <mergeCell ref="P15:Q15"/>
    <mergeCell ref="P16:Q16"/>
    <mergeCell ref="V13:W13"/>
    <mergeCell ref="N18:P19"/>
    <mergeCell ref="T20:V21"/>
    <mergeCell ref="Q21:S21"/>
    <mergeCell ref="N22:P22"/>
    <mergeCell ref="T23:V23"/>
    <mergeCell ref="N20:P21"/>
    <mergeCell ref="N16:O16"/>
    <mergeCell ref="Q20:S20"/>
    <mergeCell ref="R16:S16"/>
    <mergeCell ref="V16:W16"/>
    <mergeCell ref="T22:V22"/>
    <mergeCell ref="Q18:S18"/>
    <mergeCell ref="Q19:S19"/>
    <mergeCell ref="X9:Z9"/>
    <mergeCell ref="X10:Z10"/>
    <mergeCell ref="X11:Z11"/>
    <mergeCell ref="X12:Z12"/>
    <mergeCell ref="X13:Z13"/>
    <mergeCell ref="T33:U33"/>
    <mergeCell ref="R31:S31"/>
    <mergeCell ref="R32:S32"/>
    <mergeCell ref="T15:U15"/>
    <mergeCell ref="V15:W15"/>
    <mergeCell ref="X14:Z14"/>
    <mergeCell ref="X15:Z15"/>
    <mergeCell ref="X16:Z16"/>
    <mergeCell ref="W26:Z26"/>
    <mergeCell ref="W25:Z25"/>
    <mergeCell ref="W27:Z27"/>
    <mergeCell ref="W22:Z22"/>
    <mergeCell ref="V14:W14"/>
    <mergeCell ref="Q24:S24"/>
    <mergeCell ref="W24:Z24"/>
    <mergeCell ref="Q23:S23"/>
    <mergeCell ref="T24:V24"/>
    <mergeCell ref="T16:U16"/>
    <mergeCell ref="T18:V19"/>
    <mergeCell ref="V34:X34"/>
    <mergeCell ref="W28:Z28"/>
    <mergeCell ref="W23:Z23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Y35:Z35"/>
    <mergeCell ref="N31:O32"/>
    <mergeCell ref="N33:O34"/>
    <mergeCell ref="T34:U34"/>
    <mergeCell ref="P32:Q32"/>
    <mergeCell ref="P33:Q33"/>
    <mergeCell ref="P34:Q34"/>
    <mergeCell ref="P31:Q31"/>
    <mergeCell ref="R34:S34"/>
    <mergeCell ref="N24:P24"/>
    <mergeCell ref="N23:P23"/>
    <mergeCell ref="N26:P26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37:U37"/>
    <mergeCell ref="V37:X37"/>
    <mergeCell ref="Y37:Z37"/>
    <mergeCell ref="S50:T50"/>
    <mergeCell ref="X41:Z42"/>
    <mergeCell ref="X43:Z44"/>
    <mergeCell ref="R39:S39"/>
    <mergeCell ref="T39:U39"/>
    <mergeCell ref="V39:X39"/>
    <mergeCell ref="Y39:Z39"/>
    <mergeCell ref="S41:S44"/>
    <mergeCell ref="T41:W44"/>
    <mergeCell ref="T47:W47"/>
    <mergeCell ref="N49:P49"/>
    <mergeCell ref="P45:R45"/>
    <mergeCell ref="N43:O44"/>
    <mergeCell ref="P43:R44"/>
    <mergeCell ref="P46:R46"/>
    <mergeCell ref="P47:R47"/>
    <mergeCell ref="N45:O45"/>
    <mergeCell ref="X45:Z45"/>
    <mergeCell ref="X46:Z46"/>
    <mergeCell ref="X47:Z47"/>
    <mergeCell ref="A51:C51"/>
    <mergeCell ref="D51:F51"/>
    <mergeCell ref="N46:O46"/>
    <mergeCell ref="N47:O47"/>
    <mergeCell ref="T45:W45"/>
    <mergeCell ref="T46:W46"/>
    <mergeCell ref="A52:C52"/>
    <mergeCell ref="D52:F52"/>
    <mergeCell ref="I1:L2"/>
    <mergeCell ref="G5:H6"/>
    <mergeCell ref="I5:L6"/>
    <mergeCell ref="H10:L10"/>
    <mergeCell ref="A48:C48"/>
    <mergeCell ref="A49:C49"/>
    <mergeCell ref="A50:C50"/>
    <mergeCell ref="D50:F50"/>
    <mergeCell ref="N39:O39"/>
    <mergeCell ref="P39:Q39"/>
    <mergeCell ref="N41:O42"/>
    <mergeCell ref="P41:R42"/>
    <mergeCell ref="M40:Z40"/>
    <mergeCell ref="M43:M44"/>
    <mergeCell ref="M41:M42"/>
    <mergeCell ref="Q49:V49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Z52"/>
  <sheetViews>
    <sheetView view="pageBreakPreview" zoomScale="75" zoomScaleNormal="50" zoomScaleSheetLayoutView="75" workbookViewId="0">
      <selection activeCell="M31" sqref="M31:M32"/>
    </sheetView>
  </sheetViews>
  <sheetFormatPr defaultRowHeight="18.75" x14ac:dyDescent="0.2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4" t="s">
        <v>157</v>
      </c>
      <c r="B1" s="94"/>
      <c r="C1" s="94"/>
      <c r="D1" s="94"/>
      <c r="E1" s="94"/>
      <c r="F1" s="94"/>
      <c r="G1" s="123" t="s">
        <v>154</v>
      </c>
      <c r="H1" s="123"/>
      <c r="I1" s="94" t="s">
        <v>160</v>
      </c>
      <c r="J1" s="94"/>
      <c r="K1" s="94"/>
      <c r="L1" s="94"/>
      <c r="M1" s="99" t="s">
        <v>96</v>
      </c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ht="21.75" customHeight="1" x14ac:dyDescent="0.2">
      <c r="A2" s="119" t="s">
        <v>45</v>
      </c>
      <c r="B2" s="119"/>
      <c r="C2" s="119"/>
      <c r="D2" s="119"/>
      <c r="E2" s="119"/>
      <c r="F2" s="119"/>
      <c r="G2" s="123"/>
      <c r="H2" s="123"/>
      <c r="I2" s="94"/>
      <c r="J2" s="94"/>
      <c r="K2" s="94"/>
      <c r="L2" s="94"/>
      <c r="M2" s="99" t="s">
        <v>78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ht="21.75" customHeight="1" x14ac:dyDescent="0.2">
      <c r="A3" s="94" t="s">
        <v>158</v>
      </c>
      <c r="B3" s="120"/>
      <c r="C3" s="120"/>
      <c r="D3" s="120"/>
      <c r="E3" s="120"/>
      <c r="F3" s="120"/>
      <c r="G3" s="123" t="s">
        <v>155</v>
      </c>
      <c r="H3" s="123"/>
      <c r="I3" s="94" t="s">
        <v>200</v>
      </c>
      <c r="J3" s="94"/>
      <c r="K3" s="94"/>
      <c r="L3" s="94"/>
      <c r="M3" s="100" t="s">
        <v>79</v>
      </c>
      <c r="N3" s="101" t="s">
        <v>81</v>
      </c>
      <c r="O3" s="100"/>
      <c r="P3" s="101" t="s">
        <v>65</v>
      </c>
      <c r="Q3" s="100"/>
      <c r="R3" s="101" t="s">
        <v>82</v>
      </c>
      <c r="S3" s="100"/>
      <c r="T3" s="101" t="s">
        <v>85</v>
      </c>
      <c r="U3" s="100"/>
      <c r="V3" s="101" t="s">
        <v>87</v>
      </c>
      <c r="W3" s="100"/>
      <c r="X3" s="86" t="s">
        <v>91</v>
      </c>
      <c r="Y3" s="105"/>
      <c r="Z3" s="105"/>
    </row>
    <row r="4" spans="1:26" ht="29.25" customHeight="1" x14ac:dyDescent="0.2">
      <c r="A4" s="119" t="s">
        <v>46</v>
      </c>
      <c r="B4" s="119"/>
      <c r="C4" s="119"/>
      <c r="D4" s="119"/>
      <c r="E4" s="119"/>
      <c r="F4" s="119"/>
      <c r="G4" s="123"/>
      <c r="H4" s="123"/>
      <c r="I4" s="94"/>
      <c r="J4" s="94"/>
      <c r="K4" s="94"/>
      <c r="L4" s="94"/>
      <c r="M4" s="95"/>
      <c r="N4" s="90"/>
      <c r="O4" s="95"/>
      <c r="P4" s="90"/>
      <c r="Q4" s="95"/>
      <c r="R4" s="90" t="s">
        <v>83</v>
      </c>
      <c r="S4" s="95"/>
      <c r="T4" s="90" t="s">
        <v>86</v>
      </c>
      <c r="U4" s="95"/>
      <c r="V4" s="90" t="s">
        <v>88</v>
      </c>
      <c r="W4" s="95"/>
      <c r="X4" s="86"/>
      <c r="Y4" s="105"/>
      <c r="Z4" s="105"/>
    </row>
    <row r="5" spans="1:26" ht="21.75" customHeight="1" x14ac:dyDescent="0.2">
      <c r="A5" s="94" t="s">
        <v>177</v>
      </c>
      <c r="B5" s="120"/>
      <c r="C5" s="120"/>
      <c r="D5" s="120"/>
      <c r="E5" s="120"/>
      <c r="F5" s="120"/>
      <c r="G5" s="123" t="s">
        <v>156</v>
      </c>
      <c r="H5" s="123"/>
      <c r="I5" s="94" t="s">
        <v>214</v>
      </c>
      <c r="J5" s="94"/>
      <c r="K5" s="94"/>
      <c r="L5" s="94"/>
      <c r="M5" s="95" t="s">
        <v>80</v>
      </c>
      <c r="N5" s="90"/>
      <c r="O5" s="95"/>
      <c r="P5" s="90" t="s">
        <v>182</v>
      </c>
      <c r="Q5" s="95"/>
      <c r="R5" s="106" t="s">
        <v>84</v>
      </c>
      <c r="S5" s="107"/>
      <c r="T5" s="106" t="s">
        <v>84</v>
      </c>
      <c r="U5" s="107"/>
      <c r="V5" s="90" t="s">
        <v>89</v>
      </c>
      <c r="W5" s="95"/>
      <c r="X5" s="86"/>
      <c r="Y5" s="105"/>
      <c r="Z5" s="105"/>
    </row>
    <row r="6" spans="1:26" ht="21.75" customHeight="1" x14ac:dyDescent="0.2">
      <c r="A6" s="119" t="s">
        <v>47</v>
      </c>
      <c r="B6" s="119"/>
      <c r="C6" s="119"/>
      <c r="D6" s="119"/>
      <c r="E6" s="119"/>
      <c r="F6" s="119"/>
      <c r="G6" s="123"/>
      <c r="H6" s="123"/>
      <c r="I6" s="94"/>
      <c r="J6" s="94"/>
      <c r="K6" s="94"/>
      <c r="L6" s="94"/>
      <c r="M6" s="96"/>
      <c r="N6" s="92"/>
      <c r="O6" s="96"/>
      <c r="P6" s="92"/>
      <c r="Q6" s="96"/>
      <c r="R6" s="92"/>
      <c r="S6" s="96"/>
      <c r="T6" s="92"/>
      <c r="U6" s="96"/>
      <c r="V6" s="92" t="s">
        <v>90</v>
      </c>
      <c r="W6" s="96"/>
      <c r="X6" s="86"/>
      <c r="Y6" s="105"/>
      <c r="Z6" s="105"/>
    </row>
    <row r="7" spans="1:26" ht="21.75" customHeight="1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84"/>
      <c r="O7" s="85"/>
      <c r="P7" s="84"/>
      <c r="Q7" s="85"/>
      <c r="R7" s="84"/>
      <c r="S7" s="85"/>
      <c r="T7" s="84"/>
      <c r="U7" s="85"/>
      <c r="V7" s="84"/>
      <c r="W7" s="85"/>
      <c r="X7" s="84"/>
      <c r="Y7" s="88"/>
      <c r="Z7" s="88"/>
    </row>
    <row r="8" spans="1:26" ht="22.5" customHeight="1" x14ac:dyDescent="0.2">
      <c r="A8" s="116" t="s">
        <v>48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84"/>
      <c r="O8" s="85"/>
      <c r="P8" s="84"/>
      <c r="Q8" s="85"/>
      <c r="R8" s="84"/>
      <c r="S8" s="85"/>
      <c r="T8" s="84"/>
      <c r="U8" s="85"/>
      <c r="V8" s="84"/>
      <c r="W8" s="85"/>
      <c r="X8" s="84"/>
      <c r="Y8" s="88"/>
      <c r="Z8" s="88"/>
    </row>
    <row r="9" spans="1:26" ht="22.5" customHeight="1" x14ac:dyDescent="0.2">
      <c r="A9" s="129" t="s">
        <v>49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9"/>
      <c r="N9" s="84"/>
      <c r="O9" s="85"/>
      <c r="P9" s="84"/>
      <c r="Q9" s="85"/>
      <c r="R9" s="84"/>
      <c r="S9" s="85"/>
      <c r="T9" s="84"/>
      <c r="U9" s="85"/>
      <c r="V9" s="84"/>
      <c r="W9" s="85"/>
      <c r="X9" s="84"/>
      <c r="Y9" s="88"/>
      <c r="Z9" s="88"/>
    </row>
    <row r="10" spans="1:26" ht="22.5" customHeight="1" x14ac:dyDescent="0.2">
      <c r="A10" s="124" t="s">
        <v>112</v>
      </c>
      <c r="B10" s="124"/>
      <c r="C10" s="124"/>
      <c r="D10" s="124"/>
      <c r="E10" s="135" t="s">
        <v>375</v>
      </c>
      <c r="F10" s="136"/>
      <c r="G10" s="136"/>
      <c r="H10" s="111" t="s">
        <v>376</v>
      </c>
      <c r="I10" s="111"/>
      <c r="J10" s="111"/>
      <c r="K10" s="111"/>
      <c r="L10" s="111"/>
      <c r="M10" s="9"/>
      <c r="N10" s="84"/>
      <c r="O10" s="85"/>
      <c r="P10" s="84"/>
      <c r="Q10" s="85"/>
      <c r="R10" s="84"/>
      <c r="S10" s="85"/>
      <c r="T10" s="84"/>
      <c r="U10" s="85"/>
      <c r="V10" s="84"/>
      <c r="W10" s="85"/>
      <c r="X10" s="84"/>
      <c r="Y10" s="88"/>
      <c r="Z10" s="88"/>
    </row>
    <row r="11" spans="1:26" ht="22.5" customHeight="1" x14ac:dyDescent="0.2">
      <c r="A11" s="124" t="s">
        <v>113</v>
      </c>
      <c r="B11" s="124"/>
      <c r="C11" s="124"/>
      <c r="D11" s="124"/>
      <c r="E11" s="134" t="s">
        <v>224</v>
      </c>
      <c r="F11" s="134"/>
      <c r="G11" s="134"/>
      <c r="H11" s="134"/>
      <c r="I11" s="111" t="s">
        <v>114</v>
      </c>
      <c r="J11" s="111"/>
      <c r="K11" s="111"/>
      <c r="L11" s="111"/>
      <c r="M11" s="9"/>
      <c r="N11" s="84"/>
      <c r="O11" s="85"/>
      <c r="P11" s="84"/>
      <c r="Q11" s="85"/>
      <c r="R11" s="84"/>
      <c r="S11" s="85"/>
      <c r="T11" s="84"/>
      <c r="U11" s="85"/>
      <c r="V11" s="84"/>
      <c r="W11" s="85"/>
      <c r="X11" s="84"/>
      <c r="Y11" s="88"/>
      <c r="Z11" s="88"/>
    </row>
    <row r="12" spans="1:26" ht="21.75" customHeight="1" x14ac:dyDescent="0.2">
      <c r="A12" s="188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88"/>
      <c r="M12" s="9"/>
      <c r="N12" s="84"/>
      <c r="O12" s="85"/>
      <c r="P12" s="84"/>
      <c r="Q12" s="85"/>
      <c r="R12" s="84"/>
      <c r="S12" s="85"/>
      <c r="T12" s="84"/>
      <c r="U12" s="85"/>
      <c r="V12" s="84"/>
      <c r="W12" s="85"/>
      <c r="X12" s="84"/>
      <c r="Y12" s="88"/>
      <c r="Z12" s="88"/>
    </row>
    <row r="13" spans="1:26" ht="21.75" customHeight="1" x14ac:dyDescent="0.2">
      <c r="A13" s="171" t="s">
        <v>50</v>
      </c>
      <c r="B13" s="157" t="s">
        <v>56</v>
      </c>
      <c r="C13" s="157"/>
      <c r="D13" s="165" t="s">
        <v>190</v>
      </c>
      <c r="E13" s="166"/>
      <c r="F13" s="156" t="s">
        <v>59</v>
      </c>
      <c r="G13" s="157"/>
      <c r="H13" s="40" t="s">
        <v>190</v>
      </c>
      <c r="I13" s="168" t="s">
        <v>5</v>
      </c>
      <c r="J13" s="156" t="s">
        <v>60</v>
      </c>
      <c r="K13" s="157"/>
      <c r="L13" s="45" t="s">
        <v>65</v>
      </c>
      <c r="M13" s="9"/>
      <c r="N13" s="84"/>
      <c r="O13" s="85"/>
      <c r="P13" s="84"/>
      <c r="Q13" s="85"/>
      <c r="R13" s="84"/>
      <c r="S13" s="85"/>
      <c r="T13" s="84"/>
      <c r="U13" s="85"/>
      <c r="V13" s="84"/>
      <c r="W13" s="85"/>
      <c r="X13" s="84"/>
      <c r="Y13" s="88"/>
      <c r="Z13" s="88"/>
    </row>
    <row r="14" spans="1:26" ht="21.75" customHeight="1" x14ac:dyDescent="0.2">
      <c r="A14" s="172"/>
      <c r="B14" s="159" t="s">
        <v>57</v>
      </c>
      <c r="C14" s="159"/>
      <c r="D14" s="160" t="s">
        <v>216</v>
      </c>
      <c r="E14" s="161"/>
      <c r="F14" s="158" t="s">
        <v>57</v>
      </c>
      <c r="G14" s="159"/>
      <c r="H14" s="42" t="s">
        <v>216</v>
      </c>
      <c r="I14" s="169"/>
      <c r="J14" s="158" t="s">
        <v>61</v>
      </c>
      <c r="K14" s="159"/>
      <c r="L14" s="71" t="s">
        <v>66</v>
      </c>
      <c r="M14" s="9"/>
      <c r="N14" s="84"/>
      <c r="O14" s="85"/>
      <c r="P14" s="84"/>
      <c r="Q14" s="85"/>
      <c r="R14" s="84"/>
      <c r="S14" s="85"/>
      <c r="T14" s="84"/>
      <c r="U14" s="85"/>
      <c r="V14" s="84"/>
      <c r="W14" s="85"/>
      <c r="X14" s="84"/>
      <c r="Y14" s="88"/>
      <c r="Z14" s="88"/>
    </row>
    <row r="15" spans="1:26" ht="21.75" customHeight="1" x14ac:dyDescent="0.2">
      <c r="A15" s="172"/>
      <c r="B15" s="163" t="s">
        <v>58</v>
      </c>
      <c r="C15" s="163"/>
      <c r="D15" s="175">
        <v>2400</v>
      </c>
      <c r="E15" s="176"/>
      <c r="F15" s="162" t="s">
        <v>58</v>
      </c>
      <c r="G15" s="163"/>
      <c r="H15" s="43">
        <v>2400</v>
      </c>
      <c r="I15" s="169"/>
      <c r="J15" s="162" t="s">
        <v>62</v>
      </c>
      <c r="K15" s="163"/>
      <c r="L15" s="71" t="s">
        <v>67</v>
      </c>
      <c r="M15" s="9"/>
      <c r="N15" s="84"/>
      <c r="O15" s="85"/>
      <c r="P15" s="84"/>
      <c r="Q15" s="85"/>
      <c r="R15" s="84"/>
      <c r="S15" s="85"/>
      <c r="T15" s="84"/>
      <c r="U15" s="85"/>
      <c r="V15" s="84"/>
      <c r="W15" s="85"/>
      <c r="X15" s="84"/>
      <c r="Y15" s="88"/>
      <c r="Z15" s="88"/>
    </row>
    <row r="16" spans="1:26" ht="21.75" customHeight="1" x14ac:dyDescent="0.2">
      <c r="A16" s="172"/>
      <c r="B16" s="72" t="s">
        <v>51</v>
      </c>
      <c r="C16" s="44" t="s">
        <v>53</v>
      </c>
      <c r="D16" s="44" t="s">
        <v>54</v>
      </c>
      <c r="E16" s="127"/>
      <c r="F16" s="44" t="s">
        <v>51</v>
      </c>
      <c r="G16" s="44" t="s">
        <v>53</v>
      </c>
      <c r="H16" s="45" t="s">
        <v>54</v>
      </c>
      <c r="I16" s="169"/>
      <c r="J16" s="127" t="s">
        <v>63</v>
      </c>
      <c r="K16" s="127" t="s">
        <v>64</v>
      </c>
      <c r="L16" s="71" t="s">
        <v>68</v>
      </c>
      <c r="M16" s="9"/>
      <c r="N16" s="84"/>
      <c r="O16" s="85"/>
      <c r="P16" s="84"/>
      <c r="Q16" s="85"/>
      <c r="R16" s="84"/>
      <c r="S16" s="85"/>
      <c r="T16" s="84"/>
      <c r="U16" s="85"/>
      <c r="V16" s="84"/>
      <c r="W16" s="85"/>
      <c r="X16" s="84"/>
      <c r="Y16" s="88"/>
      <c r="Z16" s="88"/>
    </row>
    <row r="17" spans="1:26" ht="21.75" customHeight="1" x14ac:dyDescent="0.2">
      <c r="A17" s="173"/>
      <c r="B17" s="44" t="s">
        <v>52</v>
      </c>
      <c r="C17" s="46" t="s">
        <v>51</v>
      </c>
      <c r="D17" s="46" t="s">
        <v>55</v>
      </c>
      <c r="E17" s="174"/>
      <c r="F17" s="46" t="s">
        <v>52</v>
      </c>
      <c r="G17" s="47" t="s">
        <v>51</v>
      </c>
      <c r="H17" s="48" t="s">
        <v>55</v>
      </c>
      <c r="I17" s="170"/>
      <c r="J17" s="128"/>
      <c r="K17" s="128"/>
      <c r="L17" s="48" t="s">
        <v>69</v>
      </c>
      <c r="M17" s="103" t="s">
        <v>92</v>
      </c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spans="1:26" ht="23.25" customHeight="1" x14ac:dyDescent="0.2">
      <c r="A18" s="49" t="s">
        <v>7</v>
      </c>
      <c r="B18" s="82">
        <v>1.9648000000000001</v>
      </c>
      <c r="C18" s="25"/>
      <c r="D18" s="24"/>
      <c r="E18" s="81"/>
      <c r="F18" s="82">
        <v>0.20020000000000002</v>
      </c>
      <c r="G18" s="51"/>
      <c r="H18" s="50"/>
      <c r="I18" s="52"/>
      <c r="J18" s="39"/>
      <c r="K18" s="79"/>
      <c r="L18" s="73"/>
      <c r="M18" s="100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1" t="s">
        <v>91</v>
      </c>
      <c r="X18" s="104"/>
      <c r="Y18" s="104"/>
      <c r="Z18" s="104"/>
    </row>
    <row r="19" spans="1:26" ht="23.25" customHeight="1" x14ac:dyDescent="0.2">
      <c r="A19" s="49" t="s">
        <v>8</v>
      </c>
      <c r="B19" s="82">
        <v>1.9648000000000001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</v>
      </c>
      <c r="D19" s="24">
        <f t="shared" ref="D19:D42" si="1">IF(C19="","",C19*$D$15)</f>
        <v>0</v>
      </c>
      <c r="E19" s="81"/>
      <c r="F19" s="82">
        <v>0.20020000000000002</v>
      </c>
      <c r="G19" s="51">
        <f>F19-ReportObject15_3</f>
        <v>0</v>
      </c>
      <c r="H19" s="50">
        <f t="shared" ref="H19:H42" si="2">IF(G19="","",G19*$H$15)</f>
        <v>0</v>
      </c>
      <c r="I19" s="52">
        <f t="shared" ref="I19:I42" si="3">IF(H19="","",IF(D19="","",IF(AND(H19=0,D19=0),0,H19/D19)))</f>
        <v>0</v>
      </c>
      <c r="J19" s="39"/>
      <c r="K19" s="83">
        <v>6.3345370000000001</v>
      </c>
      <c r="L19" s="53"/>
      <c r="M19" s="95"/>
      <c r="N19" s="89"/>
      <c r="O19" s="89"/>
      <c r="P19" s="89"/>
      <c r="Q19" s="89" t="s">
        <v>108</v>
      </c>
      <c r="R19" s="89"/>
      <c r="S19" s="89"/>
      <c r="T19" s="89"/>
      <c r="U19" s="89"/>
      <c r="V19" s="89"/>
      <c r="W19" s="90"/>
      <c r="X19" s="99"/>
      <c r="Y19" s="99"/>
      <c r="Z19" s="99"/>
    </row>
    <row r="20" spans="1:26" ht="23.25" customHeight="1" x14ac:dyDescent="0.2">
      <c r="A20" s="49" t="s">
        <v>9</v>
      </c>
      <c r="B20" s="82">
        <v>1.9648000000000001</v>
      </c>
      <c r="C20" s="25">
        <f t="shared" si="0"/>
        <v>0</v>
      </c>
      <c r="D20" s="24">
        <f t="shared" si="1"/>
        <v>0</v>
      </c>
      <c r="E20" s="81"/>
      <c r="F20" s="82">
        <v>0.20020000000000002</v>
      </c>
      <c r="G20" s="51">
        <f>F20-F19</f>
        <v>0</v>
      </c>
      <c r="H20" s="50">
        <f t="shared" si="2"/>
        <v>0</v>
      </c>
      <c r="I20" s="52">
        <f t="shared" si="3"/>
        <v>0</v>
      </c>
      <c r="J20" s="39"/>
      <c r="K20" s="83">
        <v>6.2260789999999995</v>
      </c>
      <c r="L20" s="53"/>
      <c r="M20" s="95" t="s">
        <v>80</v>
      </c>
      <c r="N20" s="89" t="s">
        <v>99</v>
      </c>
      <c r="O20" s="89"/>
      <c r="P20" s="89"/>
      <c r="Q20" s="89" t="s">
        <v>181</v>
      </c>
      <c r="R20" s="89"/>
      <c r="S20" s="89"/>
      <c r="T20" s="89" t="s">
        <v>94</v>
      </c>
      <c r="U20" s="89"/>
      <c r="V20" s="89"/>
      <c r="W20" s="90"/>
      <c r="X20" s="99"/>
      <c r="Y20" s="99"/>
      <c r="Z20" s="99"/>
    </row>
    <row r="21" spans="1:26" ht="23.25" customHeight="1" x14ac:dyDescent="0.2">
      <c r="A21" s="49" t="s">
        <v>10</v>
      </c>
      <c r="B21" s="82">
        <v>1.9648000000000001</v>
      </c>
      <c r="C21" s="25">
        <f t="shared" si="0"/>
        <v>0</v>
      </c>
      <c r="D21" s="24">
        <f t="shared" si="1"/>
        <v>0</v>
      </c>
      <c r="E21" s="81"/>
      <c r="F21" s="82">
        <v>0.20020000000000002</v>
      </c>
      <c r="G21" s="51">
        <f t="shared" ref="G21:G42" si="4">F21-F20</f>
        <v>0</v>
      </c>
      <c r="H21" s="50">
        <f t="shared" si="2"/>
        <v>0</v>
      </c>
      <c r="I21" s="52">
        <f t="shared" si="3"/>
        <v>0</v>
      </c>
      <c r="J21" s="39"/>
      <c r="K21" s="83">
        <v>6.3688130000000003</v>
      </c>
      <c r="L21" s="53"/>
      <c r="M21" s="96"/>
      <c r="N21" s="91"/>
      <c r="O21" s="91"/>
      <c r="P21" s="91"/>
      <c r="Q21" s="91"/>
      <c r="R21" s="91"/>
      <c r="S21" s="91"/>
      <c r="T21" s="91"/>
      <c r="U21" s="91"/>
      <c r="V21" s="91"/>
      <c r="W21" s="92"/>
      <c r="X21" s="103"/>
      <c r="Y21" s="103"/>
      <c r="Z21" s="103"/>
    </row>
    <row r="22" spans="1:26" ht="23.25" customHeight="1" x14ac:dyDescent="0.2">
      <c r="A22" s="49" t="s">
        <v>11</v>
      </c>
      <c r="B22" s="82">
        <v>1.9648000000000001</v>
      </c>
      <c r="C22" s="25">
        <f t="shared" si="0"/>
        <v>0</v>
      </c>
      <c r="D22" s="24">
        <f t="shared" si="1"/>
        <v>0</v>
      </c>
      <c r="E22" s="81"/>
      <c r="F22" s="82">
        <v>0.20020000000000002</v>
      </c>
      <c r="G22" s="51">
        <f t="shared" si="4"/>
        <v>0</v>
      </c>
      <c r="H22" s="50">
        <f t="shared" si="2"/>
        <v>0</v>
      </c>
      <c r="I22" s="52">
        <f t="shared" si="3"/>
        <v>0</v>
      </c>
      <c r="J22" s="39"/>
      <c r="K22" s="83">
        <v>6.2517160000000001</v>
      </c>
      <c r="L22" s="53"/>
      <c r="M22" s="9"/>
      <c r="N22" s="97"/>
      <c r="O22" s="97"/>
      <c r="P22" s="97"/>
      <c r="Q22" s="97"/>
      <c r="R22" s="97"/>
      <c r="S22" s="97"/>
      <c r="T22" s="97"/>
      <c r="U22" s="97"/>
      <c r="V22" s="97"/>
      <c r="W22" s="84"/>
      <c r="X22" s="88"/>
      <c r="Y22" s="88"/>
      <c r="Z22" s="88"/>
    </row>
    <row r="23" spans="1:26" ht="23.25" customHeight="1" x14ac:dyDescent="0.2">
      <c r="A23" s="49" t="s">
        <v>12</v>
      </c>
      <c r="B23" s="82">
        <v>1.9648000000000001</v>
      </c>
      <c r="C23" s="25">
        <f t="shared" si="0"/>
        <v>0</v>
      </c>
      <c r="D23" s="24">
        <f t="shared" si="1"/>
        <v>0</v>
      </c>
      <c r="E23" s="81"/>
      <c r="F23" s="82">
        <v>0.20020000000000002</v>
      </c>
      <c r="G23" s="51">
        <f t="shared" si="4"/>
        <v>0</v>
      </c>
      <c r="H23" s="50">
        <f t="shared" si="2"/>
        <v>0</v>
      </c>
      <c r="I23" s="52">
        <f t="shared" si="3"/>
        <v>0</v>
      </c>
      <c r="J23" s="39"/>
      <c r="K23" s="83">
        <v>6.2927340000000003</v>
      </c>
      <c r="L23" s="53"/>
      <c r="M23" s="9"/>
      <c r="N23" s="97"/>
      <c r="O23" s="97"/>
      <c r="P23" s="97"/>
      <c r="Q23" s="97"/>
      <c r="R23" s="97"/>
      <c r="S23" s="97"/>
      <c r="T23" s="97"/>
      <c r="U23" s="97"/>
      <c r="V23" s="97"/>
      <c r="W23" s="84"/>
      <c r="X23" s="88"/>
      <c r="Y23" s="88"/>
      <c r="Z23" s="88"/>
    </row>
    <row r="24" spans="1:26" ht="23.25" customHeight="1" x14ac:dyDescent="0.2">
      <c r="A24" s="49" t="s">
        <v>13</v>
      </c>
      <c r="B24" s="82">
        <v>1.9648000000000001</v>
      </c>
      <c r="C24" s="25">
        <f t="shared" si="0"/>
        <v>0</v>
      </c>
      <c r="D24" s="24">
        <f t="shared" si="1"/>
        <v>0</v>
      </c>
      <c r="E24" s="81"/>
      <c r="F24" s="82">
        <v>0.20020000000000002</v>
      </c>
      <c r="G24" s="51">
        <f t="shared" si="4"/>
        <v>0</v>
      </c>
      <c r="H24" s="50">
        <f t="shared" si="2"/>
        <v>0</v>
      </c>
      <c r="I24" s="52">
        <f t="shared" si="3"/>
        <v>0</v>
      </c>
      <c r="J24" s="39"/>
      <c r="K24" s="83">
        <v>6.4238670000000004</v>
      </c>
      <c r="L24" s="53"/>
      <c r="M24" s="9"/>
      <c r="N24" s="97"/>
      <c r="O24" s="97"/>
      <c r="P24" s="97"/>
      <c r="Q24" s="97"/>
      <c r="R24" s="97"/>
      <c r="S24" s="97"/>
      <c r="T24" s="97"/>
      <c r="U24" s="97"/>
      <c r="V24" s="97"/>
      <c r="W24" s="84"/>
      <c r="X24" s="88"/>
      <c r="Y24" s="88"/>
      <c r="Z24" s="88"/>
    </row>
    <row r="25" spans="1:26" ht="23.25" customHeight="1" x14ac:dyDescent="0.2">
      <c r="A25" s="49" t="s">
        <v>14</v>
      </c>
      <c r="B25" s="82">
        <v>1.9648000000000001</v>
      </c>
      <c r="C25" s="25">
        <f t="shared" si="0"/>
        <v>0</v>
      </c>
      <c r="D25" s="24">
        <f t="shared" si="1"/>
        <v>0</v>
      </c>
      <c r="E25" s="81"/>
      <c r="F25" s="82">
        <v>0.20020000000000002</v>
      </c>
      <c r="G25" s="51">
        <f t="shared" si="4"/>
        <v>0</v>
      </c>
      <c r="H25" s="50">
        <f t="shared" si="2"/>
        <v>0</v>
      </c>
      <c r="I25" s="52">
        <f t="shared" si="3"/>
        <v>0</v>
      </c>
      <c r="J25" s="39"/>
      <c r="K25" s="83">
        <v>6.3953100000000003</v>
      </c>
      <c r="L25" s="53"/>
      <c r="M25" s="9"/>
      <c r="N25" s="97"/>
      <c r="O25" s="97"/>
      <c r="P25" s="97"/>
      <c r="Q25" s="97"/>
      <c r="R25" s="97"/>
      <c r="S25" s="97"/>
      <c r="T25" s="97"/>
      <c r="U25" s="97"/>
      <c r="V25" s="97"/>
      <c r="W25" s="84"/>
      <c r="X25" s="88"/>
      <c r="Y25" s="88"/>
      <c r="Z25" s="88"/>
    </row>
    <row r="26" spans="1:26" ht="23.25" customHeight="1" x14ac:dyDescent="0.2">
      <c r="A26" s="49" t="s">
        <v>15</v>
      </c>
      <c r="B26" s="82">
        <v>1.9648000000000001</v>
      </c>
      <c r="C26" s="25">
        <f t="shared" si="0"/>
        <v>0</v>
      </c>
      <c r="D26" s="24">
        <f t="shared" si="1"/>
        <v>0</v>
      </c>
      <c r="E26" s="81"/>
      <c r="F26" s="82">
        <v>0.20020000000000002</v>
      </c>
      <c r="G26" s="51">
        <f t="shared" si="4"/>
        <v>0</v>
      </c>
      <c r="H26" s="50">
        <f t="shared" si="2"/>
        <v>0</v>
      </c>
      <c r="I26" s="52">
        <f t="shared" si="3"/>
        <v>0</v>
      </c>
      <c r="J26" s="39"/>
      <c r="K26" s="83">
        <v>6.3200500000000002</v>
      </c>
      <c r="L26" s="53"/>
      <c r="M26" s="9"/>
      <c r="N26" s="97"/>
      <c r="O26" s="97"/>
      <c r="P26" s="97"/>
      <c r="Q26" s="97"/>
      <c r="R26" s="97"/>
      <c r="S26" s="97"/>
      <c r="T26" s="97"/>
      <c r="U26" s="97"/>
      <c r="V26" s="97"/>
      <c r="W26" s="84"/>
      <c r="X26" s="88"/>
      <c r="Y26" s="88"/>
      <c r="Z26" s="88"/>
    </row>
    <row r="27" spans="1:26" ht="23.25" customHeight="1" x14ac:dyDescent="0.2">
      <c r="A27" s="49" t="s">
        <v>16</v>
      </c>
      <c r="B27" s="82">
        <v>1.9648000000000001</v>
      </c>
      <c r="C27" s="25">
        <f t="shared" si="0"/>
        <v>0</v>
      </c>
      <c r="D27" s="24">
        <f t="shared" si="1"/>
        <v>0</v>
      </c>
      <c r="E27" s="81"/>
      <c r="F27" s="82">
        <v>0.20020000000000002</v>
      </c>
      <c r="G27" s="51">
        <f t="shared" si="4"/>
        <v>0</v>
      </c>
      <c r="H27" s="50">
        <f t="shared" si="2"/>
        <v>0</v>
      </c>
      <c r="I27" s="52">
        <f t="shared" si="3"/>
        <v>0</v>
      </c>
      <c r="J27" s="39"/>
      <c r="K27" s="83">
        <v>6.1971729999999994</v>
      </c>
      <c r="L27" s="53"/>
      <c r="M27" s="9"/>
      <c r="N27" s="97"/>
      <c r="O27" s="97"/>
      <c r="P27" s="97"/>
      <c r="Q27" s="97"/>
      <c r="R27" s="97"/>
      <c r="S27" s="97"/>
      <c r="T27" s="97"/>
      <c r="U27" s="97"/>
      <c r="V27" s="97"/>
      <c r="W27" s="84"/>
      <c r="X27" s="88"/>
      <c r="Y27" s="88"/>
      <c r="Z27" s="88"/>
    </row>
    <row r="28" spans="1:26" ht="23.25" customHeight="1" x14ac:dyDescent="0.2">
      <c r="A28" s="49" t="s">
        <v>17</v>
      </c>
      <c r="B28" s="82">
        <v>1.9648000000000001</v>
      </c>
      <c r="C28" s="25">
        <f t="shared" si="0"/>
        <v>0</v>
      </c>
      <c r="D28" s="24">
        <f t="shared" si="1"/>
        <v>0</v>
      </c>
      <c r="E28" s="81"/>
      <c r="F28" s="82">
        <v>0.20020000000000002</v>
      </c>
      <c r="G28" s="51">
        <f t="shared" si="4"/>
        <v>0</v>
      </c>
      <c r="H28" s="50">
        <f t="shared" si="2"/>
        <v>0</v>
      </c>
      <c r="I28" s="52">
        <f t="shared" si="3"/>
        <v>0</v>
      </c>
      <c r="J28" s="39"/>
      <c r="K28" s="83">
        <v>6.1342319999999999</v>
      </c>
      <c r="L28" s="53"/>
      <c r="M28" s="9"/>
      <c r="N28" s="97"/>
      <c r="O28" s="97"/>
      <c r="P28" s="97"/>
      <c r="Q28" s="97"/>
      <c r="R28" s="97"/>
      <c r="S28" s="97"/>
      <c r="T28" s="97"/>
      <c r="U28" s="97"/>
      <c r="V28" s="97"/>
      <c r="W28" s="84"/>
      <c r="X28" s="88"/>
      <c r="Y28" s="88"/>
      <c r="Z28" s="88"/>
    </row>
    <row r="29" spans="1:26" ht="23.25" customHeight="1" x14ac:dyDescent="0.2">
      <c r="A29" s="49" t="s">
        <v>18</v>
      </c>
      <c r="B29" s="82">
        <v>1.9648000000000001</v>
      </c>
      <c r="C29" s="25">
        <f t="shared" si="0"/>
        <v>0</v>
      </c>
      <c r="D29" s="24">
        <f t="shared" si="1"/>
        <v>0</v>
      </c>
      <c r="E29" s="81"/>
      <c r="F29" s="82">
        <v>0.20020000000000002</v>
      </c>
      <c r="G29" s="51">
        <f t="shared" si="4"/>
        <v>0</v>
      </c>
      <c r="H29" s="50">
        <f t="shared" si="2"/>
        <v>0</v>
      </c>
      <c r="I29" s="52">
        <f t="shared" si="3"/>
        <v>0</v>
      </c>
      <c r="J29" s="39"/>
      <c r="K29" s="83">
        <v>6.1171099999999994</v>
      </c>
      <c r="L29" s="53"/>
      <c r="M29" s="118" t="s">
        <v>95</v>
      </c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23.25" customHeight="1" x14ac:dyDescent="0.2">
      <c r="A30" s="49" t="s">
        <v>19</v>
      </c>
      <c r="B30" s="82">
        <v>1.9648000000000001</v>
      </c>
      <c r="C30" s="25">
        <f t="shared" si="0"/>
        <v>0</v>
      </c>
      <c r="D30" s="24">
        <f t="shared" si="1"/>
        <v>0</v>
      </c>
      <c r="E30" s="81"/>
      <c r="F30" s="82">
        <v>0.20020000000000002</v>
      </c>
      <c r="G30" s="51">
        <f t="shared" si="4"/>
        <v>0</v>
      </c>
      <c r="H30" s="50">
        <f t="shared" si="2"/>
        <v>0</v>
      </c>
      <c r="I30" s="52">
        <f t="shared" si="3"/>
        <v>0</v>
      </c>
      <c r="J30" s="39"/>
      <c r="K30" s="83">
        <v>6.1368540000000005</v>
      </c>
      <c r="L30" s="53"/>
      <c r="M30" s="99" t="s">
        <v>97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23.25" customHeight="1" x14ac:dyDescent="0.2">
      <c r="A31" s="49" t="s">
        <v>20</v>
      </c>
      <c r="B31" s="82">
        <v>1.9648000000000001</v>
      </c>
      <c r="C31" s="25">
        <f t="shared" si="0"/>
        <v>0</v>
      </c>
      <c r="D31" s="24">
        <f t="shared" si="1"/>
        <v>0</v>
      </c>
      <c r="E31" s="81"/>
      <c r="F31" s="82">
        <v>0.20020000000000002</v>
      </c>
      <c r="G31" s="51">
        <f t="shared" si="4"/>
        <v>0</v>
      </c>
      <c r="H31" s="50">
        <f t="shared" si="2"/>
        <v>0</v>
      </c>
      <c r="I31" s="52">
        <f t="shared" si="3"/>
        <v>0</v>
      </c>
      <c r="J31" s="39"/>
      <c r="K31" s="83">
        <v>6.1650510000000001</v>
      </c>
      <c r="L31" s="53"/>
      <c r="M31" s="100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179</v>
      </c>
      <c r="W31" s="98"/>
      <c r="X31" s="98"/>
      <c r="Y31" s="98" t="s">
        <v>91</v>
      </c>
      <c r="Z31" s="101"/>
    </row>
    <row r="32" spans="1:26" ht="23.25" customHeight="1" x14ac:dyDescent="0.2">
      <c r="A32" s="49" t="s">
        <v>21</v>
      </c>
      <c r="B32" s="82">
        <v>1.9648000000000001</v>
      </c>
      <c r="C32" s="25">
        <f t="shared" si="0"/>
        <v>0</v>
      </c>
      <c r="D32" s="24">
        <f t="shared" si="1"/>
        <v>0</v>
      </c>
      <c r="E32" s="81"/>
      <c r="F32" s="82">
        <v>0.20020000000000002</v>
      </c>
      <c r="G32" s="51">
        <f t="shared" si="4"/>
        <v>0</v>
      </c>
      <c r="H32" s="50">
        <f t="shared" si="2"/>
        <v>0</v>
      </c>
      <c r="I32" s="52">
        <f t="shared" si="3"/>
        <v>0</v>
      </c>
      <c r="J32" s="39"/>
      <c r="K32" s="83">
        <v>6.1198370000000004</v>
      </c>
      <c r="L32" s="53"/>
      <c r="M32" s="95"/>
      <c r="N32" s="89"/>
      <c r="O32" s="89"/>
      <c r="P32" s="89" t="s">
        <v>83</v>
      </c>
      <c r="Q32" s="89"/>
      <c r="R32" s="89" t="s">
        <v>102</v>
      </c>
      <c r="S32" s="89"/>
      <c r="T32" s="89" t="s">
        <v>104</v>
      </c>
      <c r="U32" s="89"/>
      <c r="V32" s="89" t="s">
        <v>105</v>
      </c>
      <c r="W32" s="89"/>
      <c r="X32" s="89"/>
      <c r="Y32" s="89"/>
      <c r="Z32" s="90"/>
    </row>
    <row r="33" spans="1:26" ht="23.25" customHeight="1" x14ac:dyDescent="0.2">
      <c r="A33" s="49" t="s">
        <v>22</v>
      </c>
      <c r="B33" s="82">
        <v>1.9648000000000001</v>
      </c>
      <c r="C33" s="25">
        <f t="shared" si="0"/>
        <v>0</v>
      </c>
      <c r="D33" s="24">
        <f t="shared" si="1"/>
        <v>0</v>
      </c>
      <c r="E33" s="81"/>
      <c r="F33" s="82">
        <v>0.20020000000000002</v>
      </c>
      <c r="G33" s="51">
        <f t="shared" si="4"/>
        <v>0</v>
      </c>
      <c r="H33" s="50">
        <f t="shared" si="2"/>
        <v>0</v>
      </c>
      <c r="I33" s="52">
        <f t="shared" si="3"/>
        <v>0</v>
      </c>
      <c r="J33" s="39"/>
      <c r="K33" s="83">
        <v>6.1123270000000005</v>
      </c>
      <c r="L33" s="53"/>
      <c r="M33" s="95" t="s">
        <v>80</v>
      </c>
      <c r="N33" s="89" t="s">
        <v>99</v>
      </c>
      <c r="O33" s="89"/>
      <c r="P33" s="89" t="s">
        <v>101</v>
      </c>
      <c r="Q33" s="89"/>
      <c r="R33" s="89" t="s">
        <v>69</v>
      </c>
      <c r="S33" s="89"/>
      <c r="T33" s="89" t="s">
        <v>69</v>
      </c>
      <c r="U33" s="89"/>
      <c r="V33" s="89" t="s">
        <v>106</v>
      </c>
      <c r="W33" s="89"/>
      <c r="X33" s="89"/>
      <c r="Y33" s="89"/>
      <c r="Z33" s="90"/>
    </row>
    <row r="34" spans="1:26" ht="23.25" customHeight="1" x14ac:dyDescent="0.2">
      <c r="A34" s="49" t="s">
        <v>23</v>
      </c>
      <c r="B34" s="82">
        <v>1.9648000000000001</v>
      </c>
      <c r="C34" s="25">
        <f t="shared" si="0"/>
        <v>0</v>
      </c>
      <c r="D34" s="24">
        <f t="shared" si="1"/>
        <v>0</v>
      </c>
      <c r="E34" s="81"/>
      <c r="F34" s="82">
        <v>0.20020000000000002</v>
      </c>
      <c r="G34" s="51">
        <f t="shared" si="4"/>
        <v>0</v>
      </c>
      <c r="H34" s="50">
        <f t="shared" si="2"/>
        <v>0</v>
      </c>
      <c r="I34" s="52">
        <f t="shared" si="3"/>
        <v>0</v>
      </c>
      <c r="J34" s="39"/>
      <c r="K34" s="83">
        <v>6.1338109999999997</v>
      </c>
      <c r="L34" s="53"/>
      <c r="M34" s="96"/>
      <c r="N34" s="91"/>
      <c r="O34" s="91"/>
      <c r="P34" s="91"/>
      <c r="Q34" s="91"/>
      <c r="R34" s="92"/>
      <c r="S34" s="96"/>
      <c r="T34" s="92"/>
      <c r="U34" s="96"/>
      <c r="V34" s="92"/>
      <c r="W34" s="103"/>
      <c r="X34" s="96"/>
      <c r="Y34" s="91"/>
      <c r="Z34" s="92"/>
    </row>
    <row r="35" spans="1:26" ht="23.25" customHeight="1" x14ac:dyDescent="0.2">
      <c r="A35" s="49" t="s">
        <v>24</v>
      </c>
      <c r="B35" s="82">
        <v>1.9648000000000001</v>
      </c>
      <c r="C35" s="25">
        <f t="shared" si="0"/>
        <v>0</v>
      </c>
      <c r="D35" s="24">
        <f t="shared" si="1"/>
        <v>0</v>
      </c>
      <c r="E35" s="81"/>
      <c r="F35" s="82">
        <v>0.20020000000000002</v>
      </c>
      <c r="G35" s="51">
        <f t="shared" si="4"/>
        <v>0</v>
      </c>
      <c r="H35" s="50">
        <f t="shared" si="2"/>
        <v>0</v>
      </c>
      <c r="I35" s="52">
        <f t="shared" si="3"/>
        <v>0</v>
      </c>
      <c r="J35" s="39"/>
      <c r="K35" s="83">
        <v>6.1711490000000007</v>
      </c>
      <c r="L35" s="53"/>
      <c r="M35" s="9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84"/>
    </row>
    <row r="36" spans="1:26" ht="23.25" customHeight="1" x14ac:dyDescent="0.2">
      <c r="A36" s="49" t="s">
        <v>25</v>
      </c>
      <c r="B36" s="82">
        <v>1.9648000000000001</v>
      </c>
      <c r="C36" s="25">
        <f t="shared" si="0"/>
        <v>0</v>
      </c>
      <c r="D36" s="24">
        <f t="shared" si="1"/>
        <v>0</v>
      </c>
      <c r="E36" s="81"/>
      <c r="F36" s="82">
        <v>0.20020000000000002</v>
      </c>
      <c r="G36" s="51">
        <f t="shared" si="4"/>
        <v>0</v>
      </c>
      <c r="H36" s="50">
        <f t="shared" si="2"/>
        <v>0</v>
      </c>
      <c r="I36" s="52">
        <f t="shared" si="3"/>
        <v>0</v>
      </c>
      <c r="J36" s="39"/>
      <c r="K36" s="83">
        <v>6.1955339999999994</v>
      </c>
      <c r="L36" s="53"/>
      <c r="M36" s="9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84"/>
    </row>
    <row r="37" spans="1:26" ht="23.25" customHeight="1" x14ac:dyDescent="0.2">
      <c r="A37" s="49" t="s">
        <v>26</v>
      </c>
      <c r="B37" s="82">
        <v>1.9648000000000001</v>
      </c>
      <c r="C37" s="25">
        <f t="shared" si="0"/>
        <v>0</v>
      </c>
      <c r="D37" s="24">
        <f t="shared" si="1"/>
        <v>0</v>
      </c>
      <c r="E37" s="81"/>
      <c r="F37" s="82">
        <v>0.20020000000000002</v>
      </c>
      <c r="G37" s="51">
        <f t="shared" si="4"/>
        <v>0</v>
      </c>
      <c r="H37" s="50">
        <f t="shared" si="2"/>
        <v>0</v>
      </c>
      <c r="I37" s="52">
        <f t="shared" si="3"/>
        <v>0</v>
      </c>
      <c r="J37" s="39"/>
      <c r="K37" s="83">
        <v>6.2271409999999996</v>
      </c>
      <c r="L37" s="53"/>
      <c r="M37" s="9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84"/>
    </row>
    <row r="38" spans="1:26" ht="23.25" customHeight="1" x14ac:dyDescent="0.2">
      <c r="A38" s="49" t="s">
        <v>27</v>
      </c>
      <c r="B38" s="82">
        <v>1.9648000000000001</v>
      </c>
      <c r="C38" s="25">
        <f t="shared" si="0"/>
        <v>0</v>
      </c>
      <c r="D38" s="24">
        <f t="shared" si="1"/>
        <v>0</v>
      </c>
      <c r="E38" s="81"/>
      <c r="F38" s="82">
        <v>0.20020000000000002</v>
      </c>
      <c r="G38" s="51">
        <f t="shared" si="4"/>
        <v>0</v>
      </c>
      <c r="H38" s="50">
        <f t="shared" si="2"/>
        <v>0</v>
      </c>
      <c r="I38" s="52">
        <f t="shared" si="3"/>
        <v>0</v>
      </c>
      <c r="J38" s="39"/>
      <c r="K38" s="83">
        <v>6.0468779999999995</v>
      </c>
      <c r="L38" s="53"/>
      <c r="M38" s="9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84"/>
    </row>
    <row r="39" spans="1:26" ht="23.25" customHeight="1" x14ac:dyDescent="0.2">
      <c r="A39" s="49" t="s">
        <v>28</v>
      </c>
      <c r="B39" s="82">
        <v>1.9648000000000001</v>
      </c>
      <c r="C39" s="25">
        <f t="shared" si="0"/>
        <v>0</v>
      </c>
      <c r="D39" s="24">
        <f t="shared" si="1"/>
        <v>0</v>
      </c>
      <c r="E39" s="81"/>
      <c r="F39" s="82">
        <v>0.20020000000000002</v>
      </c>
      <c r="G39" s="51">
        <f t="shared" si="4"/>
        <v>0</v>
      </c>
      <c r="H39" s="50">
        <f t="shared" si="2"/>
        <v>0</v>
      </c>
      <c r="I39" s="52">
        <f t="shared" si="3"/>
        <v>0</v>
      </c>
      <c r="J39" s="39"/>
      <c r="K39" s="83">
        <v>6.2840749999999996</v>
      </c>
      <c r="L39" s="53"/>
      <c r="M39" s="9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84"/>
    </row>
    <row r="40" spans="1:26" ht="23.25" customHeight="1" x14ac:dyDescent="0.2">
      <c r="A40" s="49" t="s">
        <v>29</v>
      </c>
      <c r="B40" s="82">
        <v>1.9648000000000001</v>
      </c>
      <c r="C40" s="25">
        <f t="shared" si="0"/>
        <v>0</v>
      </c>
      <c r="D40" s="24">
        <f t="shared" si="1"/>
        <v>0</v>
      </c>
      <c r="E40" s="81"/>
      <c r="F40" s="82">
        <v>0.20020000000000002</v>
      </c>
      <c r="G40" s="51">
        <f t="shared" si="4"/>
        <v>0</v>
      </c>
      <c r="H40" s="50">
        <f t="shared" si="2"/>
        <v>0</v>
      </c>
      <c r="I40" s="52">
        <f t="shared" si="3"/>
        <v>0</v>
      </c>
      <c r="J40" s="39"/>
      <c r="K40" s="83">
        <v>6.0729410000000001</v>
      </c>
      <c r="L40" s="53"/>
      <c r="M40" s="99" t="s">
        <v>109</v>
      </c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ht="23.25" customHeight="1" x14ac:dyDescent="0.2">
      <c r="A41" s="49" t="s">
        <v>30</v>
      </c>
      <c r="B41" s="82">
        <v>1.9648000000000001</v>
      </c>
      <c r="C41" s="25">
        <f t="shared" si="0"/>
        <v>0</v>
      </c>
      <c r="D41" s="24">
        <f t="shared" si="1"/>
        <v>0</v>
      </c>
      <c r="E41" s="81"/>
      <c r="F41" s="82">
        <v>0.20020000000000002</v>
      </c>
      <c r="G41" s="51">
        <f t="shared" si="4"/>
        <v>0</v>
      </c>
      <c r="H41" s="50">
        <f t="shared" si="2"/>
        <v>0</v>
      </c>
      <c r="I41" s="52">
        <f t="shared" si="3"/>
        <v>0</v>
      </c>
      <c r="J41" s="39"/>
      <c r="K41" s="83">
        <v>6.2317580000000001</v>
      </c>
      <c r="L41" s="53"/>
      <c r="M41" s="100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1"/>
    </row>
    <row r="42" spans="1:26" ht="23.25" customHeight="1" x14ac:dyDescent="0.2">
      <c r="A42" s="49" t="s">
        <v>31</v>
      </c>
      <c r="B42" s="82">
        <v>1.9648000000000001</v>
      </c>
      <c r="C42" s="25">
        <f t="shared" si="0"/>
        <v>0</v>
      </c>
      <c r="D42" s="24">
        <f t="shared" si="1"/>
        <v>0</v>
      </c>
      <c r="E42" s="81"/>
      <c r="F42" s="82">
        <v>0.20020000000000002</v>
      </c>
      <c r="G42" s="51">
        <f t="shared" si="4"/>
        <v>0</v>
      </c>
      <c r="H42" s="50">
        <f t="shared" si="2"/>
        <v>0</v>
      </c>
      <c r="I42" s="52">
        <f t="shared" si="3"/>
        <v>0</v>
      </c>
      <c r="J42" s="39"/>
      <c r="K42" s="83">
        <v>6.0808919999999995</v>
      </c>
      <c r="L42" s="53"/>
      <c r="M42" s="95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90"/>
    </row>
    <row r="43" spans="1:26" ht="22.5" customHeight="1" x14ac:dyDescent="0.2">
      <c r="A43" s="167" t="s">
        <v>70</v>
      </c>
      <c r="B43" s="167"/>
      <c r="C43" s="167"/>
      <c r="D43" s="39">
        <f>SUM(D18:D42)</f>
        <v>0</v>
      </c>
      <c r="E43" s="39"/>
      <c r="F43" s="54"/>
      <c r="G43" s="39"/>
      <c r="H43" s="39">
        <f>SUM(H18:H42)</f>
        <v>0</v>
      </c>
      <c r="I43" s="52">
        <f>IF(AND(H43=0,D43=0),0,H43/D43)</f>
        <v>0</v>
      </c>
      <c r="J43" s="39"/>
      <c r="K43" s="39"/>
      <c r="L43" s="53"/>
      <c r="M43" s="95" t="s">
        <v>80</v>
      </c>
      <c r="N43" s="89" t="s">
        <v>99</v>
      </c>
      <c r="O43" s="89"/>
      <c r="P43" s="89" t="s">
        <v>110</v>
      </c>
      <c r="Q43" s="89"/>
      <c r="R43" s="89"/>
      <c r="S43" s="89"/>
      <c r="T43" s="89"/>
      <c r="U43" s="89"/>
      <c r="V43" s="89"/>
      <c r="W43" s="89"/>
      <c r="X43" s="89" t="s">
        <v>110</v>
      </c>
      <c r="Y43" s="89"/>
      <c r="Z43" s="90"/>
    </row>
    <row r="44" spans="1:26" ht="22.5" customHeight="1" x14ac:dyDescent="0.2">
      <c r="A44" s="164" t="s">
        <v>71</v>
      </c>
      <c r="B44" s="164"/>
      <c r="C44" s="164"/>
      <c r="D44" s="39"/>
      <c r="E44" s="39"/>
      <c r="F44" s="54"/>
      <c r="G44" s="39"/>
      <c r="H44" s="39"/>
      <c r="I44" s="39"/>
      <c r="J44" s="39"/>
      <c r="K44" s="39"/>
      <c r="L44" s="53"/>
      <c r="M44" s="96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2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84"/>
      <c r="O45" s="85"/>
      <c r="P45" s="84"/>
      <c r="Q45" s="88"/>
      <c r="R45" s="85"/>
      <c r="S45" s="7"/>
      <c r="T45" s="84"/>
      <c r="U45" s="88"/>
      <c r="V45" s="88"/>
      <c r="W45" s="85"/>
      <c r="X45" s="84"/>
      <c r="Y45" s="88"/>
      <c r="Z45" s="88"/>
    </row>
    <row r="46" spans="1:26" ht="22.5" customHeight="1" x14ac:dyDescent="0.2">
      <c r="A46" s="155" t="s">
        <v>72</v>
      </c>
      <c r="B46" s="155"/>
      <c r="C46" s="155"/>
      <c r="D46" s="155"/>
      <c r="E46" s="155"/>
      <c r="F46" s="155"/>
      <c r="G46" s="177" t="s">
        <v>73</v>
      </c>
      <c r="H46" s="177"/>
      <c r="I46" s="177"/>
      <c r="J46" s="177"/>
      <c r="K46" s="177"/>
      <c r="L46" s="177"/>
      <c r="M46" s="9"/>
      <c r="N46" s="84"/>
      <c r="O46" s="85"/>
      <c r="P46" s="84"/>
      <c r="Q46" s="88"/>
      <c r="R46" s="85"/>
      <c r="S46" s="7"/>
      <c r="T46" s="84"/>
      <c r="U46" s="88"/>
      <c r="V46" s="88"/>
      <c r="W46" s="85"/>
      <c r="X46" s="84"/>
      <c r="Y46" s="88"/>
      <c r="Z46" s="88"/>
    </row>
    <row r="47" spans="1:26" ht="22.5" customHeight="1" x14ac:dyDescent="0.2">
      <c r="A47" s="117" t="s">
        <v>371</v>
      </c>
      <c r="B47" s="117"/>
      <c r="C47" s="117"/>
      <c r="D47" s="108" t="s">
        <v>74</v>
      </c>
      <c r="E47" s="108"/>
      <c r="F47" s="108"/>
      <c r="G47" s="56"/>
      <c r="H47" s="56"/>
      <c r="I47" s="56"/>
      <c r="J47" s="56"/>
      <c r="K47" s="56"/>
      <c r="L47" s="56"/>
      <c r="M47" s="9"/>
      <c r="N47" s="84"/>
      <c r="O47" s="85"/>
      <c r="P47" s="84"/>
      <c r="Q47" s="88"/>
      <c r="R47" s="85"/>
      <c r="S47" s="7"/>
      <c r="T47" s="84"/>
      <c r="U47" s="88"/>
      <c r="V47" s="88"/>
      <c r="W47" s="85"/>
      <c r="X47" s="84"/>
      <c r="Y47" s="88"/>
      <c r="Z47" s="88"/>
    </row>
    <row r="48" spans="1:26" ht="22.5" customHeight="1" x14ac:dyDescent="0.2">
      <c r="A48" s="148" t="s">
        <v>75</v>
      </c>
      <c r="B48" s="148"/>
      <c r="C48" s="148"/>
      <c r="D48" s="147" t="s">
        <v>76</v>
      </c>
      <c r="E48" s="147"/>
      <c r="F48" s="147"/>
      <c r="G48" s="55"/>
      <c r="H48" s="55"/>
      <c r="I48" s="55"/>
      <c r="J48" s="55"/>
      <c r="K48" s="55"/>
      <c r="L48" s="55"/>
    </row>
    <row r="49" spans="1:23" ht="22.5" customHeight="1" x14ac:dyDescent="0.2">
      <c r="A49" s="117" t="s">
        <v>372</v>
      </c>
      <c r="B49" s="117"/>
      <c r="C49" s="117"/>
      <c r="D49" s="108" t="s">
        <v>74</v>
      </c>
      <c r="E49" s="108"/>
      <c r="F49" s="108"/>
      <c r="G49" s="55"/>
      <c r="H49" s="155" t="s">
        <v>183</v>
      </c>
      <c r="I49" s="155"/>
      <c r="J49" s="155"/>
      <c r="K49" s="155" t="s">
        <v>77</v>
      </c>
      <c r="L49" s="155"/>
      <c r="N49" s="150" t="s">
        <v>150</v>
      </c>
      <c r="O49" s="150"/>
      <c r="P49" s="150"/>
      <c r="Q49" s="149" t="s">
        <v>370</v>
      </c>
      <c r="R49" s="149"/>
      <c r="S49" s="149"/>
      <c r="T49" s="149"/>
      <c r="U49" s="149"/>
      <c r="V49" s="149"/>
      <c r="W49" s="1"/>
    </row>
    <row r="50" spans="1:23" ht="22.5" customHeight="1" x14ac:dyDescent="0.2">
      <c r="A50" s="148" t="s">
        <v>75</v>
      </c>
      <c r="B50" s="148"/>
      <c r="C50" s="148"/>
      <c r="D50" s="147" t="s">
        <v>76</v>
      </c>
      <c r="E50" s="147"/>
      <c r="F50" s="147"/>
      <c r="G50" s="58"/>
      <c r="H50" s="148" t="s">
        <v>75</v>
      </c>
      <c r="I50" s="148"/>
      <c r="J50" s="148"/>
      <c r="K50" s="148" t="s">
        <v>76</v>
      </c>
      <c r="L50" s="148"/>
      <c r="S50" s="146" t="s">
        <v>76</v>
      </c>
      <c r="T50" s="146"/>
    </row>
    <row r="51" spans="1:23" ht="20.100000000000001" customHeight="1" x14ac:dyDescent="0.2">
      <c r="A51" s="117" t="s">
        <v>373</v>
      </c>
      <c r="B51" s="117"/>
      <c r="C51" s="117"/>
      <c r="D51" s="108" t="s">
        <v>74</v>
      </c>
      <c r="E51" s="108"/>
      <c r="F51" s="108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47" t="s">
        <v>75</v>
      </c>
      <c r="B52" s="147"/>
      <c r="C52" s="147"/>
      <c r="D52" s="146" t="s">
        <v>76</v>
      </c>
      <c r="E52" s="146"/>
      <c r="F52" s="146"/>
      <c r="G52" s="63"/>
      <c r="H52" s="63"/>
      <c r="I52" s="64"/>
      <c r="J52" s="64"/>
      <c r="K52" s="64"/>
      <c r="L52" s="64"/>
    </row>
  </sheetData>
  <sheetProtection sheet="1" objects="1" scenarios="1"/>
  <mergeCells count="258"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  <mergeCell ref="T46:W46"/>
    <mergeCell ref="T47:W47"/>
    <mergeCell ref="N43:O44"/>
    <mergeCell ref="P43:R44"/>
    <mergeCell ref="R39:S39"/>
    <mergeCell ref="T39:U39"/>
    <mergeCell ref="V39:X39"/>
    <mergeCell ref="Y39:Z39"/>
    <mergeCell ref="S41:S44"/>
    <mergeCell ref="T41:W44"/>
    <mergeCell ref="X41:Z42"/>
    <mergeCell ref="X43:Z44"/>
    <mergeCell ref="Y37:Z37"/>
    <mergeCell ref="V38:X38"/>
    <mergeCell ref="Y38:Z38"/>
    <mergeCell ref="Y35:Z35"/>
    <mergeCell ref="N36:O36"/>
    <mergeCell ref="P36:Q36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N37:O37"/>
    <mergeCell ref="P37:Q37"/>
    <mergeCell ref="R37:S37"/>
    <mergeCell ref="T37:U37"/>
    <mergeCell ref="N38:O38"/>
    <mergeCell ref="P38:Q38"/>
    <mergeCell ref="R38:S38"/>
    <mergeCell ref="T38:U38"/>
    <mergeCell ref="T11:U11"/>
    <mergeCell ref="T12:U12"/>
    <mergeCell ref="T13:U13"/>
    <mergeCell ref="N18:P19"/>
    <mergeCell ref="N23:P23"/>
    <mergeCell ref="N27:P27"/>
    <mergeCell ref="Q27:S27"/>
    <mergeCell ref="T27:V27"/>
    <mergeCell ref="V37:X37"/>
    <mergeCell ref="R34:S34"/>
    <mergeCell ref="T34:U34"/>
    <mergeCell ref="V34:X34"/>
    <mergeCell ref="Q26:S26"/>
    <mergeCell ref="N28:P28"/>
    <mergeCell ref="Q28:S28"/>
    <mergeCell ref="T28:V28"/>
    <mergeCell ref="N26:P26"/>
    <mergeCell ref="N25:P25"/>
    <mergeCell ref="Q25:S25"/>
    <mergeCell ref="T25:V25"/>
    <mergeCell ref="W25:Z25"/>
    <mergeCell ref="Q23:S23"/>
    <mergeCell ref="T23:V23"/>
    <mergeCell ref="W18:Z21"/>
    <mergeCell ref="T26:V26"/>
    <mergeCell ref="N24:P24"/>
    <mergeCell ref="Q24:S24"/>
    <mergeCell ref="W26:Z26"/>
    <mergeCell ref="W23:Z23"/>
    <mergeCell ref="W24:Z24"/>
    <mergeCell ref="N22:P22"/>
    <mergeCell ref="M18:M19"/>
    <mergeCell ref="M20:M21"/>
    <mergeCell ref="Q22:S22"/>
    <mergeCell ref="T22:V22"/>
    <mergeCell ref="Q18:S18"/>
    <mergeCell ref="N20:P21"/>
    <mergeCell ref="T18:V19"/>
    <mergeCell ref="Q19:S19"/>
    <mergeCell ref="Q20:S20"/>
    <mergeCell ref="V9:W9"/>
    <mergeCell ref="R10:S10"/>
    <mergeCell ref="T8:U8"/>
    <mergeCell ref="T9:U9"/>
    <mergeCell ref="T10:U10"/>
    <mergeCell ref="W28:Z28"/>
    <mergeCell ref="T24:V24"/>
    <mergeCell ref="W22:Z22"/>
    <mergeCell ref="T20:V21"/>
    <mergeCell ref="Q21:S21"/>
    <mergeCell ref="W27:Z27"/>
    <mergeCell ref="X9:Z9"/>
    <mergeCell ref="X10:Z10"/>
    <mergeCell ref="X11:Z11"/>
    <mergeCell ref="X12:Z12"/>
    <mergeCell ref="X13:Z13"/>
    <mergeCell ref="X14:Z14"/>
    <mergeCell ref="X15:Z15"/>
    <mergeCell ref="X16:Z16"/>
    <mergeCell ref="V14:W14"/>
    <mergeCell ref="V11:W11"/>
    <mergeCell ref="V12:W12"/>
    <mergeCell ref="V13:W13"/>
    <mergeCell ref="V10:W10"/>
    <mergeCell ref="X8:Z8"/>
    <mergeCell ref="R16:S16"/>
    <mergeCell ref="V15:W15"/>
    <mergeCell ref="V16:W16"/>
    <mergeCell ref="T16:U16"/>
    <mergeCell ref="T7:U7"/>
    <mergeCell ref="N7:O7"/>
    <mergeCell ref="V7:W7"/>
    <mergeCell ref="P11:Q11"/>
    <mergeCell ref="R7:S7"/>
    <mergeCell ref="R8:S8"/>
    <mergeCell ref="R9:S9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V8:W8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31:M32"/>
    <mergeCell ref="T33:U33"/>
    <mergeCell ref="R31:S31"/>
    <mergeCell ref="R32:S32"/>
    <mergeCell ref="N31:O32"/>
    <mergeCell ref="N33:O34"/>
    <mergeCell ref="P31:Q31"/>
    <mergeCell ref="P32:Q32"/>
    <mergeCell ref="P33:Q33"/>
    <mergeCell ref="P34:Q34"/>
    <mergeCell ref="H10:L10"/>
    <mergeCell ref="J16:J17"/>
    <mergeCell ref="K16:K17"/>
    <mergeCell ref="A13:A17"/>
    <mergeCell ref="N10:O10"/>
    <mergeCell ref="N11:O11"/>
    <mergeCell ref="P7:Q7"/>
    <mergeCell ref="P8:Q8"/>
    <mergeCell ref="P9:Q9"/>
    <mergeCell ref="P10:Q10"/>
    <mergeCell ref="N8:O8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N9:O9"/>
    <mergeCell ref="P16:Q16"/>
    <mergeCell ref="M17:Z17"/>
    <mergeCell ref="X7:Z7"/>
    <mergeCell ref="A51:C51"/>
    <mergeCell ref="A52:C52"/>
    <mergeCell ref="D52:F52"/>
    <mergeCell ref="D51:F51"/>
    <mergeCell ref="A44:C44"/>
    <mergeCell ref="D47:F47"/>
    <mergeCell ref="H49:J49"/>
    <mergeCell ref="K49:L49"/>
    <mergeCell ref="A7:L7"/>
    <mergeCell ref="F13:G13"/>
    <mergeCell ref="I11:L11"/>
    <mergeCell ref="B14:C14"/>
    <mergeCell ref="D14:E14"/>
    <mergeCell ref="A8:L8"/>
    <mergeCell ref="H50:J50"/>
    <mergeCell ref="K50:L50"/>
    <mergeCell ref="D49:F49"/>
    <mergeCell ref="A48:C48"/>
    <mergeCell ref="A49:C49"/>
    <mergeCell ref="A50:C50"/>
    <mergeCell ref="D50:F50"/>
    <mergeCell ref="D48:F48"/>
    <mergeCell ref="A47:C47"/>
    <mergeCell ref="D13:E13"/>
    <mergeCell ref="G1:H2"/>
    <mergeCell ref="A9:L9"/>
    <mergeCell ref="G46:L46"/>
    <mergeCell ref="G3:H4"/>
    <mergeCell ref="I3:L4"/>
    <mergeCell ref="A1:F1"/>
    <mergeCell ref="A2:F2"/>
    <mergeCell ref="A3:F3"/>
    <mergeCell ref="A4:F4"/>
    <mergeCell ref="A5:F5"/>
    <mergeCell ref="A6:F6"/>
    <mergeCell ref="F14:G14"/>
    <mergeCell ref="F15:G15"/>
    <mergeCell ref="A11:D11"/>
    <mergeCell ref="E11:H11"/>
    <mergeCell ref="A10:D10"/>
    <mergeCell ref="E10:G10"/>
    <mergeCell ref="A43:C43"/>
    <mergeCell ref="E16:E17"/>
    <mergeCell ref="B15:C15"/>
    <mergeCell ref="D15:E15"/>
    <mergeCell ref="B13:C13"/>
    <mergeCell ref="A46:F46"/>
    <mergeCell ref="A12:L1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Z52"/>
  <sheetViews>
    <sheetView view="pageBreakPreview" topLeftCell="A10" zoomScale="75" zoomScaleNormal="50" zoomScaleSheetLayoutView="75" workbookViewId="0">
      <selection activeCell="K19" sqref="K19:K42"/>
    </sheetView>
  </sheetViews>
  <sheetFormatPr defaultRowHeight="18.75" x14ac:dyDescent="0.2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8.57031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4" t="s">
        <v>157</v>
      </c>
      <c r="B1" s="94"/>
      <c r="C1" s="94"/>
      <c r="D1" s="94"/>
      <c r="E1" s="94"/>
      <c r="F1" s="94"/>
      <c r="G1" s="123" t="s">
        <v>154</v>
      </c>
      <c r="H1" s="123"/>
      <c r="I1" s="94" t="s">
        <v>160</v>
      </c>
      <c r="J1" s="94"/>
      <c r="K1" s="94"/>
      <c r="L1" s="94"/>
      <c r="M1" s="99" t="s">
        <v>96</v>
      </c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ht="21.75" customHeight="1" x14ac:dyDescent="0.2">
      <c r="A2" s="119" t="s">
        <v>45</v>
      </c>
      <c r="B2" s="119"/>
      <c r="C2" s="119"/>
      <c r="D2" s="119"/>
      <c r="E2" s="119"/>
      <c r="F2" s="119"/>
      <c r="G2" s="123"/>
      <c r="H2" s="123"/>
      <c r="I2" s="94"/>
      <c r="J2" s="94"/>
      <c r="K2" s="94"/>
      <c r="L2" s="94"/>
      <c r="M2" s="99" t="s">
        <v>78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ht="21.75" customHeight="1" x14ac:dyDescent="0.2">
      <c r="A3" s="94" t="s">
        <v>158</v>
      </c>
      <c r="B3" s="120"/>
      <c r="C3" s="120"/>
      <c r="D3" s="120"/>
      <c r="E3" s="120"/>
      <c r="F3" s="120"/>
      <c r="G3" s="123" t="s">
        <v>155</v>
      </c>
      <c r="H3" s="123"/>
      <c r="I3" s="94" t="s">
        <v>200</v>
      </c>
      <c r="J3" s="94"/>
      <c r="K3" s="94"/>
      <c r="L3" s="94"/>
      <c r="M3" s="100" t="s">
        <v>79</v>
      </c>
      <c r="N3" s="101" t="s">
        <v>81</v>
      </c>
      <c r="O3" s="100"/>
      <c r="P3" s="101" t="s">
        <v>65</v>
      </c>
      <c r="Q3" s="100"/>
      <c r="R3" s="101" t="s">
        <v>82</v>
      </c>
      <c r="S3" s="100"/>
      <c r="T3" s="101" t="s">
        <v>85</v>
      </c>
      <c r="U3" s="100"/>
      <c r="V3" s="101" t="s">
        <v>87</v>
      </c>
      <c r="W3" s="100"/>
      <c r="X3" s="86" t="s">
        <v>91</v>
      </c>
      <c r="Y3" s="105"/>
      <c r="Z3" s="105"/>
    </row>
    <row r="4" spans="1:26" ht="29.25" customHeight="1" x14ac:dyDescent="0.2">
      <c r="A4" s="119" t="s">
        <v>46</v>
      </c>
      <c r="B4" s="119"/>
      <c r="C4" s="119"/>
      <c r="D4" s="119"/>
      <c r="E4" s="119"/>
      <c r="F4" s="119"/>
      <c r="G4" s="123"/>
      <c r="H4" s="123"/>
      <c r="I4" s="94"/>
      <c r="J4" s="94"/>
      <c r="K4" s="94"/>
      <c r="L4" s="94"/>
      <c r="M4" s="95"/>
      <c r="N4" s="90"/>
      <c r="O4" s="95"/>
      <c r="P4" s="90"/>
      <c r="Q4" s="95"/>
      <c r="R4" s="90" t="s">
        <v>83</v>
      </c>
      <c r="S4" s="95"/>
      <c r="T4" s="90" t="s">
        <v>86</v>
      </c>
      <c r="U4" s="95"/>
      <c r="V4" s="90" t="s">
        <v>88</v>
      </c>
      <c r="W4" s="95"/>
      <c r="X4" s="86"/>
      <c r="Y4" s="105"/>
      <c r="Z4" s="105"/>
    </row>
    <row r="5" spans="1:26" ht="21.75" customHeight="1" x14ac:dyDescent="0.2">
      <c r="A5" s="94" t="s">
        <v>177</v>
      </c>
      <c r="B5" s="120"/>
      <c r="C5" s="120"/>
      <c r="D5" s="120"/>
      <c r="E5" s="120"/>
      <c r="F5" s="120"/>
      <c r="G5" s="123" t="s">
        <v>156</v>
      </c>
      <c r="H5" s="123"/>
      <c r="I5" s="94" t="s">
        <v>239</v>
      </c>
      <c r="J5" s="94"/>
      <c r="K5" s="94"/>
      <c r="L5" s="94"/>
      <c r="M5" s="95" t="s">
        <v>80</v>
      </c>
      <c r="N5" s="90"/>
      <c r="O5" s="95"/>
      <c r="P5" s="90" t="s">
        <v>182</v>
      </c>
      <c r="Q5" s="95"/>
      <c r="R5" s="106" t="s">
        <v>84</v>
      </c>
      <c r="S5" s="107"/>
      <c r="T5" s="106" t="s">
        <v>84</v>
      </c>
      <c r="U5" s="107"/>
      <c r="V5" s="90" t="s">
        <v>89</v>
      </c>
      <c r="W5" s="95"/>
      <c r="X5" s="86"/>
      <c r="Y5" s="105"/>
      <c r="Z5" s="105"/>
    </row>
    <row r="6" spans="1:26" ht="30" customHeight="1" x14ac:dyDescent="0.2">
      <c r="A6" s="119" t="s">
        <v>47</v>
      </c>
      <c r="B6" s="119"/>
      <c r="C6" s="119"/>
      <c r="D6" s="119"/>
      <c r="E6" s="119"/>
      <c r="F6" s="119"/>
      <c r="G6" s="123"/>
      <c r="H6" s="123"/>
      <c r="I6" s="94"/>
      <c r="J6" s="94"/>
      <c r="K6" s="94"/>
      <c r="L6" s="94"/>
      <c r="M6" s="96"/>
      <c r="N6" s="92"/>
      <c r="O6" s="96"/>
      <c r="P6" s="92"/>
      <c r="Q6" s="96"/>
      <c r="R6" s="92"/>
      <c r="S6" s="96"/>
      <c r="T6" s="92"/>
      <c r="U6" s="96"/>
      <c r="V6" s="92" t="s">
        <v>90</v>
      </c>
      <c r="W6" s="96"/>
      <c r="X6" s="86"/>
      <c r="Y6" s="105"/>
      <c r="Z6" s="105"/>
    </row>
    <row r="7" spans="1:26" ht="21.75" customHeight="1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84"/>
      <c r="O7" s="85"/>
      <c r="P7" s="84"/>
      <c r="Q7" s="85"/>
      <c r="R7" s="84"/>
      <c r="S7" s="85"/>
      <c r="T7" s="84"/>
      <c r="U7" s="85"/>
      <c r="V7" s="84"/>
      <c r="W7" s="85"/>
      <c r="X7" s="84"/>
      <c r="Y7" s="88"/>
      <c r="Z7" s="88"/>
    </row>
    <row r="8" spans="1:26" ht="22.5" customHeight="1" x14ac:dyDescent="0.2">
      <c r="A8" s="116" t="s">
        <v>48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84"/>
      <c r="O8" s="85"/>
      <c r="P8" s="84"/>
      <c r="Q8" s="85"/>
      <c r="R8" s="84"/>
      <c r="S8" s="85"/>
      <c r="T8" s="84"/>
      <c r="U8" s="85"/>
      <c r="V8" s="84"/>
      <c r="W8" s="85"/>
      <c r="X8" s="84"/>
      <c r="Y8" s="88"/>
      <c r="Z8" s="88"/>
    </row>
    <row r="9" spans="1:26" ht="22.5" customHeight="1" x14ac:dyDescent="0.2">
      <c r="A9" s="129" t="s">
        <v>49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9"/>
      <c r="N9" s="84"/>
      <c r="O9" s="85"/>
      <c r="P9" s="84"/>
      <c r="Q9" s="85"/>
      <c r="R9" s="84"/>
      <c r="S9" s="85"/>
      <c r="T9" s="84"/>
      <c r="U9" s="85"/>
      <c r="V9" s="84"/>
      <c r="W9" s="85"/>
      <c r="X9" s="84"/>
      <c r="Y9" s="88"/>
      <c r="Z9" s="88"/>
    </row>
    <row r="10" spans="1:26" ht="22.5" customHeight="1" x14ac:dyDescent="0.2">
      <c r="A10" s="124" t="s">
        <v>112</v>
      </c>
      <c r="B10" s="124"/>
      <c r="C10" s="124"/>
      <c r="D10" s="124"/>
      <c r="E10" s="135" t="s">
        <v>375</v>
      </c>
      <c r="F10" s="136"/>
      <c r="G10" s="136"/>
      <c r="H10" s="111" t="s">
        <v>376</v>
      </c>
      <c r="I10" s="111"/>
      <c r="J10" s="111"/>
      <c r="K10" s="111"/>
      <c r="L10" s="111"/>
      <c r="M10" s="9"/>
      <c r="N10" s="84"/>
      <c r="O10" s="85"/>
      <c r="P10" s="84"/>
      <c r="Q10" s="85"/>
      <c r="R10" s="84"/>
      <c r="S10" s="85"/>
      <c r="T10" s="84"/>
      <c r="U10" s="85"/>
      <c r="V10" s="84"/>
      <c r="W10" s="85"/>
      <c r="X10" s="84"/>
      <c r="Y10" s="88"/>
      <c r="Z10" s="88"/>
    </row>
    <row r="11" spans="1:26" ht="22.5" customHeight="1" x14ac:dyDescent="0.2">
      <c r="A11" s="124" t="s">
        <v>113</v>
      </c>
      <c r="B11" s="124"/>
      <c r="C11" s="124"/>
      <c r="D11" s="124"/>
      <c r="E11" s="134" t="s">
        <v>224</v>
      </c>
      <c r="F11" s="134"/>
      <c r="G11" s="134"/>
      <c r="H11" s="134"/>
      <c r="I11" s="111" t="s">
        <v>114</v>
      </c>
      <c r="J11" s="111"/>
      <c r="K11" s="111"/>
      <c r="L11" s="111"/>
      <c r="M11" s="9"/>
      <c r="N11" s="84"/>
      <c r="O11" s="85"/>
      <c r="P11" s="84"/>
      <c r="Q11" s="85"/>
      <c r="R11" s="84"/>
      <c r="S11" s="85"/>
      <c r="T11" s="84"/>
      <c r="U11" s="85"/>
      <c r="V11" s="84"/>
      <c r="W11" s="85"/>
      <c r="X11" s="84"/>
      <c r="Y11" s="88"/>
      <c r="Z11" s="88"/>
    </row>
    <row r="12" spans="1:26" ht="21.75" customHeight="1" x14ac:dyDescent="0.2">
      <c r="A12" s="188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88"/>
      <c r="M12" s="9"/>
      <c r="N12" s="84"/>
      <c r="O12" s="85"/>
      <c r="P12" s="84"/>
      <c r="Q12" s="85"/>
      <c r="R12" s="84"/>
      <c r="S12" s="85"/>
      <c r="T12" s="84"/>
      <c r="U12" s="85"/>
      <c r="V12" s="84"/>
      <c r="W12" s="85"/>
      <c r="X12" s="84"/>
      <c r="Y12" s="88"/>
      <c r="Z12" s="88"/>
    </row>
    <row r="13" spans="1:26" ht="21.75" customHeight="1" x14ac:dyDescent="0.2">
      <c r="A13" s="171" t="s">
        <v>50</v>
      </c>
      <c r="B13" s="157" t="s">
        <v>56</v>
      </c>
      <c r="C13" s="157"/>
      <c r="D13" s="165" t="s">
        <v>255</v>
      </c>
      <c r="E13" s="166"/>
      <c r="F13" s="156" t="s">
        <v>59</v>
      </c>
      <c r="G13" s="157"/>
      <c r="H13" s="40" t="s">
        <v>255</v>
      </c>
      <c r="I13" s="168" t="s">
        <v>5</v>
      </c>
      <c r="J13" s="156" t="s">
        <v>60</v>
      </c>
      <c r="K13" s="157"/>
      <c r="L13" s="45" t="s">
        <v>65</v>
      </c>
      <c r="M13" s="9"/>
      <c r="N13" s="84"/>
      <c r="O13" s="85"/>
      <c r="P13" s="84"/>
      <c r="Q13" s="85"/>
      <c r="R13" s="84"/>
      <c r="S13" s="85"/>
      <c r="T13" s="84"/>
      <c r="U13" s="85"/>
      <c r="V13" s="84"/>
      <c r="W13" s="85"/>
      <c r="X13" s="84"/>
      <c r="Y13" s="88"/>
      <c r="Z13" s="88"/>
    </row>
    <row r="14" spans="1:26" ht="21.75" customHeight="1" x14ac:dyDescent="0.2">
      <c r="A14" s="172"/>
      <c r="B14" s="159" t="s">
        <v>57</v>
      </c>
      <c r="C14" s="159"/>
      <c r="D14" s="160" t="s">
        <v>264</v>
      </c>
      <c r="E14" s="161"/>
      <c r="F14" s="158" t="s">
        <v>57</v>
      </c>
      <c r="G14" s="159"/>
      <c r="H14" s="42" t="s">
        <v>264</v>
      </c>
      <c r="I14" s="169"/>
      <c r="J14" s="158" t="s">
        <v>61</v>
      </c>
      <c r="K14" s="159"/>
      <c r="L14" s="71" t="s">
        <v>66</v>
      </c>
      <c r="M14" s="9"/>
      <c r="N14" s="84"/>
      <c r="O14" s="85"/>
      <c r="P14" s="84"/>
      <c r="Q14" s="85"/>
      <c r="R14" s="84"/>
      <c r="S14" s="85"/>
      <c r="T14" s="84"/>
      <c r="U14" s="85"/>
      <c r="V14" s="84"/>
      <c r="W14" s="85"/>
      <c r="X14" s="84"/>
      <c r="Y14" s="88"/>
      <c r="Z14" s="88"/>
    </row>
    <row r="15" spans="1:26" ht="21.75" customHeight="1" x14ac:dyDescent="0.2">
      <c r="A15" s="172"/>
      <c r="B15" s="163" t="s">
        <v>58</v>
      </c>
      <c r="C15" s="163"/>
      <c r="D15" s="175">
        <v>7200</v>
      </c>
      <c r="E15" s="176"/>
      <c r="F15" s="162" t="s">
        <v>58</v>
      </c>
      <c r="G15" s="163"/>
      <c r="H15" s="43">
        <v>7200</v>
      </c>
      <c r="I15" s="169"/>
      <c r="J15" s="162" t="s">
        <v>62</v>
      </c>
      <c r="K15" s="163"/>
      <c r="L15" s="71" t="s">
        <v>67</v>
      </c>
      <c r="M15" s="9"/>
      <c r="N15" s="84"/>
      <c r="O15" s="85"/>
      <c r="P15" s="84"/>
      <c r="Q15" s="85"/>
      <c r="R15" s="84"/>
      <c r="S15" s="85"/>
      <c r="T15" s="84"/>
      <c r="U15" s="85"/>
      <c r="V15" s="84"/>
      <c r="W15" s="85"/>
      <c r="X15" s="84"/>
      <c r="Y15" s="88"/>
      <c r="Z15" s="88"/>
    </row>
    <row r="16" spans="1:26" ht="21.75" customHeight="1" x14ac:dyDescent="0.2">
      <c r="A16" s="172"/>
      <c r="B16" s="72" t="s">
        <v>51</v>
      </c>
      <c r="C16" s="44" t="s">
        <v>53</v>
      </c>
      <c r="D16" s="44" t="s">
        <v>54</v>
      </c>
      <c r="E16" s="127"/>
      <c r="F16" s="44" t="s">
        <v>51</v>
      </c>
      <c r="G16" s="44" t="s">
        <v>53</v>
      </c>
      <c r="H16" s="45" t="s">
        <v>54</v>
      </c>
      <c r="I16" s="169"/>
      <c r="J16" s="127" t="s">
        <v>63</v>
      </c>
      <c r="K16" s="127" t="s">
        <v>64</v>
      </c>
      <c r="L16" s="71" t="s">
        <v>68</v>
      </c>
      <c r="M16" s="9"/>
      <c r="N16" s="84"/>
      <c r="O16" s="85"/>
      <c r="P16" s="84"/>
      <c r="Q16" s="85"/>
      <c r="R16" s="84"/>
      <c r="S16" s="85"/>
      <c r="T16" s="84"/>
      <c r="U16" s="85"/>
      <c r="V16" s="84"/>
      <c r="W16" s="85"/>
      <c r="X16" s="84"/>
      <c r="Y16" s="88"/>
      <c r="Z16" s="88"/>
    </row>
    <row r="17" spans="1:26" ht="21.75" customHeight="1" x14ac:dyDescent="0.2">
      <c r="A17" s="173"/>
      <c r="B17" s="44" t="s">
        <v>52</v>
      </c>
      <c r="C17" s="46" t="s">
        <v>51</v>
      </c>
      <c r="D17" s="46" t="s">
        <v>55</v>
      </c>
      <c r="E17" s="174"/>
      <c r="F17" s="46" t="s">
        <v>52</v>
      </c>
      <c r="G17" s="47" t="s">
        <v>51</v>
      </c>
      <c r="H17" s="48" t="s">
        <v>55</v>
      </c>
      <c r="I17" s="170"/>
      <c r="J17" s="128"/>
      <c r="K17" s="128"/>
      <c r="L17" s="48" t="s">
        <v>69</v>
      </c>
      <c r="M17" s="103" t="s">
        <v>92</v>
      </c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spans="1:26" ht="23.25" customHeight="1" x14ac:dyDescent="0.2">
      <c r="A18" s="49" t="s">
        <v>7</v>
      </c>
      <c r="B18" s="82">
        <v>3562.1451999999999</v>
      </c>
      <c r="C18" s="25"/>
      <c r="D18" s="24"/>
      <c r="E18" s="81"/>
      <c r="F18" s="82">
        <v>2261.3393999999998</v>
      </c>
      <c r="G18" s="51"/>
      <c r="H18" s="50"/>
      <c r="I18" s="52"/>
      <c r="J18" s="39"/>
      <c r="K18" s="79"/>
      <c r="L18" s="73"/>
      <c r="M18" s="100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1" t="s">
        <v>91</v>
      </c>
      <c r="X18" s="104"/>
      <c r="Y18" s="104"/>
      <c r="Z18" s="104"/>
    </row>
    <row r="19" spans="1:26" ht="23.25" customHeight="1" x14ac:dyDescent="0.2">
      <c r="A19" s="49" t="s">
        <v>8</v>
      </c>
      <c r="B19" s="82">
        <v>3562.2107999999998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6.5599999999903957E-2</v>
      </c>
      <c r="D19" s="24">
        <f t="shared" ref="D19:D42" si="1">IF(C19="","",C19*$D$15)</f>
        <v>472.31999999930849</v>
      </c>
      <c r="E19" s="81"/>
      <c r="F19" s="82">
        <v>2261.3836000000001</v>
      </c>
      <c r="G19" s="51">
        <f>F19-ReportObject16_3</f>
        <v>4.4200000000273576E-2</v>
      </c>
      <c r="H19" s="50">
        <f t="shared" ref="H19:H42" si="2">IF(G19="","",G19*$H$15)</f>
        <v>318.24000000196975</v>
      </c>
      <c r="I19" s="52">
        <f t="shared" ref="I19:I42" si="3">IF(H19="","",IF(D19="","",IF(AND(H19=0,D19=0),0,H19/D19)))</f>
        <v>0.67378048781003486</v>
      </c>
      <c r="J19" s="39"/>
      <c r="K19" s="83">
        <v>6.2661639999999998</v>
      </c>
      <c r="L19" s="53"/>
      <c r="M19" s="95"/>
      <c r="N19" s="89"/>
      <c r="O19" s="89"/>
      <c r="P19" s="89"/>
      <c r="Q19" s="89" t="s">
        <v>108</v>
      </c>
      <c r="R19" s="89"/>
      <c r="S19" s="89"/>
      <c r="T19" s="89"/>
      <c r="U19" s="89"/>
      <c r="V19" s="89"/>
      <c r="W19" s="90"/>
      <c r="X19" s="99"/>
      <c r="Y19" s="99"/>
      <c r="Z19" s="99"/>
    </row>
    <row r="20" spans="1:26" ht="23.25" customHeight="1" x14ac:dyDescent="0.2">
      <c r="A20" s="49" t="s">
        <v>9</v>
      </c>
      <c r="B20" s="82">
        <v>3562.2764999999999</v>
      </c>
      <c r="C20" s="25">
        <f t="shared" si="0"/>
        <v>6.5700000000106229E-2</v>
      </c>
      <c r="D20" s="24">
        <f t="shared" si="1"/>
        <v>473.04000000076485</v>
      </c>
      <c r="E20" s="81"/>
      <c r="F20" s="82">
        <v>2261.4279999999999</v>
      </c>
      <c r="G20" s="51">
        <f>F20-F19</f>
        <v>4.4399999999768625E-2</v>
      </c>
      <c r="H20" s="50">
        <f t="shared" si="2"/>
        <v>319.6799999983341</v>
      </c>
      <c r="I20" s="52">
        <f t="shared" si="3"/>
        <v>0.67579908675337652</v>
      </c>
      <c r="J20" s="39"/>
      <c r="K20" s="83">
        <v>6.3821530000000006</v>
      </c>
      <c r="L20" s="53"/>
      <c r="M20" s="95" t="s">
        <v>80</v>
      </c>
      <c r="N20" s="89" t="s">
        <v>99</v>
      </c>
      <c r="O20" s="89"/>
      <c r="P20" s="89"/>
      <c r="Q20" s="89" t="s">
        <v>181</v>
      </c>
      <c r="R20" s="89"/>
      <c r="S20" s="89"/>
      <c r="T20" s="89" t="s">
        <v>94</v>
      </c>
      <c r="U20" s="89"/>
      <c r="V20" s="89"/>
      <c r="W20" s="90"/>
      <c r="X20" s="99"/>
      <c r="Y20" s="99"/>
      <c r="Z20" s="99"/>
    </row>
    <row r="21" spans="1:26" ht="23.25" customHeight="1" x14ac:dyDescent="0.2">
      <c r="A21" s="49" t="s">
        <v>10</v>
      </c>
      <c r="B21" s="82">
        <v>3562.3434000000002</v>
      </c>
      <c r="C21" s="25">
        <f t="shared" si="0"/>
        <v>6.6900000000259752E-2</v>
      </c>
      <c r="D21" s="24">
        <f t="shared" si="1"/>
        <v>481.68000000187021</v>
      </c>
      <c r="E21" s="81"/>
      <c r="F21" s="82">
        <v>2261.473</v>
      </c>
      <c r="G21" s="51">
        <f t="shared" ref="G21:G42" si="4">F21-F20</f>
        <v>4.500000000007276E-2</v>
      </c>
      <c r="H21" s="50">
        <f t="shared" si="2"/>
        <v>324.00000000052387</v>
      </c>
      <c r="I21" s="52">
        <f t="shared" si="3"/>
        <v>0.67264573990878984</v>
      </c>
      <c r="J21" s="39"/>
      <c r="K21" s="83">
        <v>6.3859530000000007</v>
      </c>
      <c r="L21" s="53"/>
      <c r="M21" s="96"/>
      <c r="N21" s="91"/>
      <c r="O21" s="91"/>
      <c r="P21" s="91"/>
      <c r="Q21" s="91"/>
      <c r="R21" s="91"/>
      <c r="S21" s="91"/>
      <c r="T21" s="91"/>
      <c r="U21" s="91"/>
      <c r="V21" s="91"/>
      <c r="W21" s="92"/>
      <c r="X21" s="103"/>
      <c r="Y21" s="103"/>
      <c r="Z21" s="103"/>
    </row>
    <row r="22" spans="1:26" ht="23.25" customHeight="1" x14ac:dyDescent="0.2">
      <c r="A22" s="49" t="s">
        <v>11</v>
      </c>
      <c r="B22" s="82">
        <v>3562.4103</v>
      </c>
      <c r="C22" s="25">
        <f t="shared" si="0"/>
        <v>6.6899999999805004E-2</v>
      </c>
      <c r="D22" s="24">
        <f t="shared" si="1"/>
        <v>481.67999999859603</v>
      </c>
      <c r="E22" s="81"/>
      <c r="F22" s="82">
        <v>2261.5183999999999</v>
      </c>
      <c r="G22" s="51">
        <f t="shared" si="4"/>
        <v>4.5399999999972351E-2</v>
      </c>
      <c r="H22" s="50">
        <f t="shared" si="2"/>
        <v>326.87999999980093</v>
      </c>
      <c r="I22" s="52">
        <f t="shared" si="3"/>
        <v>0.67862481315552592</v>
      </c>
      <c r="J22" s="39"/>
      <c r="K22" s="83">
        <v>6.4104320000000001</v>
      </c>
      <c r="L22" s="53"/>
      <c r="M22" s="9"/>
      <c r="N22" s="97"/>
      <c r="O22" s="97"/>
      <c r="P22" s="97"/>
      <c r="Q22" s="97"/>
      <c r="R22" s="97"/>
      <c r="S22" s="97"/>
      <c r="T22" s="97"/>
      <c r="U22" s="97"/>
      <c r="V22" s="97"/>
      <c r="W22" s="84"/>
      <c r="X22" s="88"/>
      <c r="Y22" s="88"/>
      <c r="Z22" s="88"/>
    </row>
    <row r="23" spans="1:26" ht="23.25" customHeight="1" x14ac:dyDescent="0.2">
      <c r="A23" s="49" t="s">
        <v>12</v>
      </c>
      <c r="B23" s="82">
        <v>3562.4762000000001</v>
      </c>
      <c r="C23" s="25">
        <f t="shared" si="0"/>
        <v>6.5900000000056025E-2</v>
      </c>
      <c r="D23" s="24">
        <f t="shared" si="1"/>
        <v>474.48000000040338</v>
      </c>
      <c r="E23" s="81"/>
      <c r="F23" s="82">
        <v>2261.5634</v>
      </c>
      <c r="G23" s="51">
        <f t="shared" si="4"/>
        <v>4.500000000007276E-2</v>
      </c>
      <c r="H23" s="50">
        <f t="shared" si="2"/>
        <v>324.00000000052387</v>
      </c>
      <c r="I23" s="52">
        <f t="shared" si="3"/>
        <v>0.68285280728428688</v>
      </c>
      <c r="J23" s="39"/>
      <c r="K23" s="83">
        <v>6.4258649999999999</v>
      </c>
      <c r="L23" s="53"/>
      <c r="M23" s="9"/>
      <c r="N23" s="97"/>
      <c r="O23" s="97"/>
      <c r="P23" s="97"/>
      <c r="Q23" s="97"/>
      <c r="R23" s="97"/>
      <c r="S23" s="97"/>
      <c r="T23" s="97"/>
      <c r="U23" s="97"/>
      <c r="V23" s="97"/>
      <c r="W23" s="84"/>
      <c r="X23" s="88"/>
      <c r="Y23" s="88"/>
      <c r="Z23" s="88"/>
    </row>
    <row r="24" spans="1:26" ht="23.25" customHeight="1" x14ac:dyDescent="0.2">
      <c r="A24" s="49" t="s">
        <v>13</v>
      </c>
      <c r="B24" s="82">
        <v>3562.5450000000001</v>
      </c>
      <c r="C24" s="25">
        <f t="shared" si="0"/>
        <v>6.8800000000010186E-2</v>
      </c>
      <c r="D24" s="24">
        <f t="shared" si="1"/>
        <v>495.36000000007334</v>
      </c>
      <c r="E24" s="81"/>
      <c r="F24" s="82">
        <v>2261.6093000000001</v>
      </c>
      <c r="G24" s="51">
        <f t="shared" si="4"/>
        <v>4.5900000000074215E-2</v>
      </c>
      <c r="H24" s="50">
        <f t="shared" si="2"/>
        <v>330.48000000053435</v>
      </c>
      <c r="I24" s="52">
        <f t="shared" si="3"/>
        <v>0.66715116279167763</v>
      </c>
      <c r="J24" s="39"/>
      <c r="K24" s="83">
        <v>6.4372769999999999</v>
      </c>
      <c r="L24" s="53"/>
      <c r="M24" s="9"/>
      <c r="N24" s="97"/>
      <c r="O24" s="97"/>
      <c r="P24" s="97"/>
      <c r="Q24" s="97"/>
      <c r="R24" s="97"/>
      <c r="S24" s="97"/>
      <c r="T24" s="97"/>
      <c r="U24" s="97"/>
      <c r="V24" s="97"/>
      <c r="W24" s="84"/>
      <c r="X24" s="88"/>
      <c r="Y24" s="88"/>
      <c r="Z24" s="88"/>
    </row>
    <row r="25" spans="1:26" ht="23.25" customHeight="1" x14ac:dyDescent="0.2">
      <c r="A25" s="49" t="s">
        <v>14</v>
      </c>
      <c r="B25" s="82">
        <v>3562.6127000000001</v>
      </c>
      <c r="C25" s="25">
        <f t="shared" si="0"/>
        <v>6.7700000000058935E-2</v>
      </c>
      <c r="D25" s="24">
        <f t="shared" si="1"/>
        <v>487.44000000042433</v>
      </c>
      <c r="E25" s="81"/>
      <c r="F25" s="82">
        <v>2261.6541999999999</v>
      </c>
      <c r="G25" s="51">
        <f t="shared" si="4"/>
        <v>4.4899999999870488E-2</v>
      </c>
      <c r="H25" s="50">
        <f t="shared" si="2"/>
        <v>323.27999999906751</v>
      </c>
      <c r="I25" s="52">
        <f t="shared" si="3"/>
        <v>0.66322008862380211</v>
      </c>
      <c r="J25" s="39"/>
      <c r="K25" s="83">
        <v>6.4047809999999998</v>
      </c>
      <c r="L25" s="53"/>
      <c r="M25" s="9"/>
      <c r="N25" s="97"/>
      <c r="O25" s="97"/>
      <c r="P25" s="97"/>
      <c r="Q25" s="97"/>
      <c r="R25" s="97"/>
      <c r="S25" s="97"/>
      <c r="T25" s="97"/>
      <c r="U25" s="97"/>
      <c r="V25" s="97"/>
      <c r="W25" s="84"/>
      <c r="X25" s="88"/>
      <c r="Y25" s="88"/>
      <c r="Z25" s="88"/>
    </row>
    <row r="26" spans="1:26" ht="23.25" customHeight="1" x14ac:dyDescent="0.2">
      <c r="A26" s="49" t="s">
        <v>15</v>
      </c>
      <c r="B26" s="82">
        <v>3562.6806999999999</v>
      </c>
      <c r="C26" s="25">
        <f t="shared" si="0"/>
        <v>6.7999999999756255E-2</v>
      </c>
      <c r="D26" s="24">
        <f t="shared" si="1"/>
        <v>489.59999999824504</v>
      </c>
      <c r="E26" s="81"/>
      <c r="F26" s="82">
        <v>2261.6984000000002</v>
      </c>
      <c r="G26" s="51">
        <f t="shared" si="4"/>
        <v>4.4200000000273576E-2</v>
      </c>
      <c r="H26" s="50">
        <f t="shared" si="2"/>
        <v>318.24000000196975</v>
      </c>
      <c r="I26" s="52">
        <f t="shared" si="3"/>
        <v>0.65000000000635305</v>
      </c>
      <c r="J26" s="39"/>
      <c r="K26" s="83">
        <v>6.3255319999999999</v>
      </c>
      <c r="L26" s="53"/>
      <c r="M26" s="9"/>
      <c r="N26" s="97"/>
      <c r="O26" s="97"/>
      <c r="P26" s="97"/>
      <c r="Q26" s="97"/>
      <c r="R26" s="97"/>
      <c r="S26" s="97"/>
      <c r="T26" s="97"/>
      <c r="U26" s="97"/>
      <c r="V26" s="97"/>
      <c r="W26" s="84"/>
      <c r="X26" s="88"/>
      <c r="Y26" s="88"/>
      <c r="Z26" s="88"/>
    </row>
    <row r="27" spans="1:26" ht="23.25" customHeight="1" x14ac:dyDescent="0.2">
      <c r="A27" s="49" t="s">
        <v>16</v>
      </c>
      <c r="B27" s="82">
        <v>3562.7482</v>
      </c>
      <c r="C27" s="25">
        <f t="shared" si="0"/>
        <v>6.7500000000109139E-2</v>
      </c>
      <c r="D27" s="24">
        <f t="shared" si="1"/>
        <v>486.0000000007858</v>
      </c>
      <c r="E27" s="81"/>
      <c r="F27" s="82">
        <v>2261.7426999999998</v>
      </c>
      <c r="G27" s="51">
        <f t="shared" si="4"/>
        <v>4.4299999999566353E-2</v>
      </c>
      <c r="H27" s="50">
        <f t="shared" si="2"/>
        <v>318.95999999687774</v>
      </c>
      <c r="I27" s="52">
        <f t="shared" si="3"/>
        <v>0.6562962962888107</v>
      </c>
      <c r="J27" s="39"/>
      <c r="K27" s="83">
        <v>6.202051</v>
      </c>
      <c r="L27" s="53"/>
      <c r="M27" s="9"/>
      <c r="N27" s="97"/>
      <c r="O27" s="97"/>
      <c r="P27" s="97"/>
      <c r="Q27" s="97"/>
      <c r="R27" s="97"/>
      <c r="S27" s="97"/>
      <c r="T27" s="97"/>
      <c r="U27" s="97"/>
      <c r="V27" s="97"/>
      <c r="W27" s="84"/>
      <c r="X27" s="88"/>
      <c r="Y27" s="88"/>
      <c r="Z27" s="88"/>
    </row>
    <row r="28" spans="1:26" ht="23.25" customHeight="1" x14ac:dyDescent="0.2">
      <c r="A28" s="49" t="s">
        <v>17</v>
      </c>
      <c r="B28" s="82">
        <v>3562.8164999999999</v>
      </c>
      <c r="C28" s="25">
        <f t="shared" si="0"/>
        <v>6.8299999999908323E-2</v>
      </c>
      <c r="D28" s="24">
        <f t="shared" si="1"/>
        <v>491.75999999933993</v>
      </c>
      <c r="E28" s="81"/>
      <c r="F28" s="82">
        <v>2261.7876999999999</v>
      </c>
      <c r="G28" s="51">
        <f t="shared" si="4"/>
        <v>4.500000000007276E-2</v>
      </c>
      <c r="H28" s="50">
        <f t="shared" si="2"/>
        <v>324.00000000052387</v>
      </c>
      <c r="I28" s="52">
        <f t="shared" si="3"/>
        <v>0.65885797950414582</v>
      </c>
      <c r="J28" s="39"/>
      <c r="K28" s="83">
        <v>6.1435919999999999</v>
      </c>
      <c r="L28" s="53"/>
      <c r="M28" s="9"/>
      <c r="N28" s="97"/>
      <c r="O28" s="97"/>
      <c r="P28" s="97"/>
      <c r="Q28" s="97"/>
      <c r="R28" s="97"/>
      <c r="S28" s="97"/>
      <c r="T28" s="97"/>
      <c r="U28" s="97"/>
      <c r="V28" s="97"/>
      <c r="W28" s="84"/>
      <c r="X28" s="88"/>
      <c r="Y28" s="88"/>
      <c r="Z28" s="88"/>
    </row>
    <row r="29" spans="1:26" ht="23.25" customHeight="1" x14ac:dyDescent="0.2">
      <c r="A29" s="49" t="s">
        <v>18</v>
      </c>
      <c r="B29" s="82">
        <v>3562.8845000000001</v>
      </c>
      <c r="C29" s="25">
        <f t="shared" si="0"/>
        <v>6.8000000000211003E-2</v>
      </c>
      <c r="D29" s="24">
        <f t="shared" si="1"/>
        <v>489.60000000151922</v>
      </c>
      <c r="E29" s="81"/>
      <c r="F29" s="82">
        <v>2261.8316</v>
      </c>
      <c r="G29" s="51">
        <f t="shared" si="4"/>
        <v>4.3900000000121508E-2</v>
      </c>
      <c r="H29" s="50">
        <f t="shared" si="2"/>
        <v>316.08000000087486</v>
      </c>
      <c r="I29" s="52">
        <f t="shared" si="3"/>
        <v>0.6455882352939013</v>
      </c>
      <c r="J29" s="39"/>
      <c r="K29" s="83">
        <v>6.1259250000000005</v>
      </c>
      <c r="L29" s="53"/>
      <c r="M29" s="118" t="s">
        <v>95</v>
      </c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23.25" customHeight="1" x14ac:dyDescent="0.2">
      <c r="A30" s="49" t="s">
        <v>19</v>
      </c>
      <c r="B30" s="82">
        <v>3562.9512</v>
      </c>
      <c r="C30" s="25">
        <f t="shared" si="0"/>
        <v>6.6699999999855208E-2</v>
      </c>
      <c r="D30" s="24">
        <f t="shared" si="1"/>
        <v>480.2399999989575</v>
      </c>
      <c r="E30" s="81"/>
      <c r="F30" s="82">
        <v>2261.8744999999999</v>
      </c>
      <c r="G30" s="51">
        <f t="shared" si="4"/>
        <v>4.2899999999917782E-2</v>
      </c>
      <c r="H30" s="50">
        <f t="shared" si="2"/>
        <v>308.87999999940803</v>
      </c>
      <c r="I30" s="52">
        <f t="shared" si="3"/>
        <v>0.64317841079476623</v>
      </c>
      <c r="J30" s="39"/>
      <c r="K30" s="83">
        <v>6.1467109999999998</v>
      </c>
      <c r="L30" s="53"/>
      <c r="M30" s="99" t="s">
        <v>97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23.25" customHeight="1" x14ac:dyDescent="0.2">
      <c r="A31" s="49" t="s">
        <v>20</v>
      </c>
      <c r="B31" s="82">
        <v>3563.0209</v>
      </c>
      <c r="C31" s="25">
        <f t="shared" si="0"/>
        <v>6.9700000000011642E-2</v>
      </c>
      <c r="D31" s="24">
        <f t="shared" si="1"/>
        <v>501.84000000008382</v>
      </c>
      <c r="E31" s="81"/>
      <c r="F31" s="82">
        <v>2261.9187000000002</v>
      </c>
      <c r="G31" s="51">
        <f t="shared" si="4"/>
        <v>4.4200000000273576E-2</v>
      </c>
      <c r="H31" s="50">
        <f t="shared" si="2"/>
        <v>318.24000000196975</v>
      </c>
      <c r="I31" s="52">
        <f t="shared" si="3"/>
        <v>0.63414634146723381</v>
      </c>
      <c r="J31" s="39"/>
      <c r="K31" s="83">
        <v>6.175325</v>
      </c>
      <c r="L31" s="53"/>
      <c r="M31" s="100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179</v>
      </c>
      <c r="W31" s="98"/>
      <c r="X31" s="98"/>
      <c r="Y31" s="98" t="s">
        <v>91</v>
      </c>
      <c r="Z31" s="101"/>
    </row>
    <row r="32" spans="1:26" ht="23.25" customHeight="1" x14ac:dyDescent="0.2">
      <c r="A32" s="49" t="s">
        <v>21</v>
      </c>
      <c r="B32" s="82">
        <v>3563.0915</v>
      </c>
      <c r="C32" s="25">
        <f t="shared" si="0"/>
        <v>7.0600000000013097E-2</v>
      </c>
      <c r="D32" s="24">
        <f t="shared" si="1"/>
        <v>508.3200000000943</v>
      </c>
      <c r="E32" s="81"/>
      <c r="F32" s="82">
        <v>2261.9636</v>
      </c>
      <c r="G32" s="51">
        <f t="shared" si="4"/>
        <v>4.4899999999870488E-2</v>
      </c>
      <c r="H32" s="50">
        <f t="shared" si="2"/>
        <v>323.27999999906751</v>
      </c>
      <c r="I32" s="52">
        <f t="shared" si="3"/>
        <v>0.63597733710852911</v>
      </c>
      <c r="J32" s="39"/>
      <c r="K32" s="83">
        <v>6.1301839999999999</v>
      </c>
      <c r="L32" s="53"/>
      <c r="M32" s="95"/>
      <c r="N32" s="89"/>
      <c r="O32" s="89"/>
      <c r="P32" s="89" t="s">
        <v>83</v>
      </c>
      <c r="Q32" s="89"/>
      <c r="R32" s="89" t="s">
        <v>102</v>
      </c>
      <c r="S32" s="89"/>
      <c r="T32" s="89" t="s">
        <v>104</v>
      </c>
      <c r="U32" s="89"/>
      <c r="V32" s="89" t="s">
        <v>105</v>
      </c>
      <c r="W32" s="89"/>
      <c r="X32" s="89"/>
      <c r="Y32" s="89"/>
      <c r="Z32" s="90"/>
    </row>
    <row r="33" spans="1:26" ht="23.25" customHeight="1" x14ac:dyDescent="0.2">
      <c r="A33" s="49" t="s">
        <v>22</v>
      </c>
      <c r="B33" s="82">
        <v>3563.1624000000002</v>
      </c>
      <c r="C33" s="25">
        <f t="shared" si="0"/>
        <v>7.0900000000165164E-2</v>
      </c>
      <c r="D33" s="24">
        <f t="shared" si="1"/>
        <v>510.48000000118918</v>
      </c>
      <c r="E33" s="81"/>
      <c r="F33" s="82">
        <v>2262.0086999999999</v>
      </c>
      <c r="G33" s="51">
        <f t="shared" si="4"/>
        <v>4.5099999999820284E-2</v>
      </c>
      <c r="H33" s="50">
        <f t="shared" si="2"/>
        <v>324.71999999870604</v>
      </c>
      <c r="I33" s="52">
        <f t="shared" si="3"/>
        <v>0.6361071932258846</v>
      </c>
      <c r="J33" s="39"/>
      <c r="K33" s="83">
        <v>6.1212900000000001</v>
      </c>
      <c r="L33" s="53"/>
      <c r="M33" s="95" t="s">
        <v>80</v>
      </c>
      <c r="N33" s="89" t="s">
        <v>99</v>
      </c>
      <c r="O33" s="89"/>
      <c r="P33" s="89" t="s">
        <v>101</v>
      </c>
      <c r="Q33" s="89"/>
      <c r="R33" s="89" t="s">
        <v>69</v>
      </c>
      <c r="S33" s="89"/>
      <c r="T33" s="89" t="s">
        <v>69</v>
      </c>
      <c r="U33" s="89"/>
      <c r="V33" s="89" t="s">
        <v>106</v>
      </c>
      <c r="W33" s="89"/>
      <c r="X33" s="89"/>
      <c r="Y33" s="89"/>
      <c r="Z33" s="90"/>
    </row>
    <row r="34" spans="1:26" ht="23.25" customHeight="1" x14ac:dyDescent="0.2">
      <c r="A34" s="49" t="s">
        <v>23</v>
      </c>
      <c r="B34" s="82">
        <v>3563.2332999999999</v>
      </c>
      <c r="C34" s="25">
        <f t="shared" si="0"/>
        <v>7.0899999999710417E-2</v>
      </c>
      <c r="D34" s="24">
        <f t="shared" si="1"/>
        <v>510.479999997915</v>
      </c>
      <c r="E34" s="81"/>
      <c r="F34" s="82">
        <v>2262.0529999999999</v>
      </c>
      <c r="G34" s="51">
        <f t="shared" si="4"/>
        <v>4.43000000000211E-2</v>
      </c>
      <c r="H34" s="50">
        <f t="shared" si="2"/>
        <v>318.96000000015192</v>
      </c>
      <c r="I34" s="52">
        <f t="shared" si="3"/>
        <v>0.62482369534840676</v>
      </c>
      <c r="J34" s="39"/>
      <c r="K34" s="83">
        <v>6.1444620000000008</v>
      </c>
      <c r="L34" s="53"/>
      <c r="M34" s="96"/>
      <c r="N34" s="91"/>
      <c r="O34" s="91"/>
      <c r="P34" s="91"/>
      <c r="Q34" s="91"/>
      <c r="R34" s="92"/>
      <c r="S34" s="96"/>
      <c r="T34" s="92"/>
      <c r="U34" s="96"/>
      <c r="V34" s="92"/>
      <c r="W34" s="103"/>
      <c r="X34" s="96"/>
      <c r="Y34" s="91"/>
      <c r="Z34" s="92"/>
    </row>
    <row r="35" spans="1:26" ht="23.25" customHeight="1" x14ac:dyDescent="0.2">
      <c r="A35" s="49" t="s">
        <v>24</v>
      </c>
      <c r="B35" s="82">
        <v>3563.3036999999999</v>
      </c>
      <c r="C35" s="25">
        <f t="shared" si="0"/>
        <v>7.0400000000063301E-2</v>
      </c>
      <c r="D35" s="24">
        <f t="shared" si="1"/>
        <v>506.88000000045577</v>
      </c>
      <c r="E35" s="81"/>
      <c r="F35" s="82">
        <v>2262.0972999999999</v>
      </c>
      <c r="G35" s="51">
        <f t="shared" si="4"/>
        <v>4.43000000000211E-2</v>
      </c>
      <c r="H35" s="50">
        <f t="shared" si="2"/>
        <v>318.96000000015192</v>
      </c>
      <c r="I35" s="52">
        <f t="shared" si="3"/>
        <v>0.62926136363609753</v>
      </c>
      <c r="J35" s="39"/>
      <c r="K35" s="83">
        <v>6.1800810000000004</v>
      </c>
      <c r="L35" s="53"/>
      <c r="M35" s="9"/>
      <c r="N35" s="97" t="s">
        <v>167</v>
      </c>
      <c r="O35" s="97"/>
      <c r="P35" s="102">
        <v>6</v>
      </c>
      <c r="Q35" s="102"/>
      <c r="R35" s="97">
        <v>250</v>
      </c>
      <c r="S35" s="97"/>
      <c r="T35" s="97"/>
      <c r="U35" s="97"/>
      <c r="V35" s="97"/>
      <c r="W35" s="97"/>
      <c r="X35" s="97"/>
      <c r="Y35" s="97"/>
      <c r="Z35" s="84"/>
    </row>
    <row r="36" spans="1:26" ht="23.25" customHeight="1" x14ac:dyDescent="0.2">
      <c r="A36" s="49" t="s">
        <v>25</v>
      </c>
      <c r="B36" s="82">
        <v>3563.3728999999998</v>
      </c>
      <c r="C36" s="25">
        <f t="shared" si="0"/>
        <v>6.9199999999909778E-2</v>
      </c>
      <c r="D36" s="24">
        <f t="shared" si="1"/>
        <v>498.2399999993504</v>
      </c>
      <c r="E36" s="81"/>
      <c r="F36" s="82">
        <v>2262.1406000000002</v>
      </c>
      <c r="G36" s="51">
        <f t="shared" si="4"/>
        <v>4.3300000000272121E-2</v>
      </c>
      <c r="H36" s="50">
        <f t="shared" si="2"/>
        <v>311.76000000195927</v>
      </c>
      <c r="I36" s="52">
        <f t="shared" si="3"/>
        <v>0.62572254335734934</v>
      </c>
      <c r="J36" s="39"/>
      <c r="K36" s="83">
        <v>6.2023720000000004</v>
      </c>
      <c r="L36" s="53"/>
      <c r="M36" s="9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84"/>
    </row>
    <row r="37" spans="1:26" ht="23.25" customHeight="1" x14ac:dyDescent="0.2">
      <c r="A37" s="49" t="s">
        <v>26</v>
      </c>
      <c r="B37" s="82">
        <v>3563.4421000000002</v>
      </c>
      <c r="C37" s="25">
        <f t="shared" si="0"/>
        <v>6.9200000000364525E-2</v>
      </c>
      <c r="D37" s="24">
        <f t="shared" si="1"/>
        <v>498.24000000262458</v>
      </c>
      <c r="E37" s="81"/>
      <c r="F37" s="82">
        <v>2262.1842000000001</v>
      </c>
      <c r="G37" s="51">
        <f t="shared" si="4"/>
        <v>4.3599999999969441E-2</v>
      </c>
      <c r="H37" s="50">
        <f t="shared" si="2"/>
        <v>313.91999999977998</v>
      </c>
      <c r="I37" s="52">
        <f t="shared" si="3"/>
        <v>0.63005780346444751</v>
      </c>
      <c r="J37" s="39"/>
      <c r="K37" s="83">
        <v>6.2349579999999998</v>
      </c>
      <c r="L37" s="53"/>
      <c r="M37" s="9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84"/>
    </row>
    <row r="38" spans="1:26" ht="23.25" customHeight="1" x14ac:dyDescent="0.2">
      <c r="A38" s="49" t="s">
        <v>27</v>
      </c>
      <c r="B38" s="82">
        <v>3563.5113999999999</v>
      </c>
      <c r="C38" s="25">
        <f t="shared" si="0"/>
        <v>6.9299999999657302E-2</v>
      </c>
      <c r="D38" s="24">
        <f t="shared" si="1"/>
        <v>498.95999999753258</v>
      </c>
      <c r="E38" s="81"/>
      <c r="F38" s="82">
        <v>2262.2285999999999</v>
      </c>
      <c r="G38" s="51">
        <f t="shared" si="4"/>
        <v>4.4399999999768625E-2</v>
      </c>
      <c r="H38" s="50">
        <f t="shared" si="2"/>
        <v>319.6799999983341</v>
      </c>
      <c r="I38" s="52">
        <f t="shared" si="3"/>
        <v>0.64069264069247023</v>
      </c>
      <c r="J38" s="39"/>
      <c r="K38" s="83">
        <v>6.2789610000000007</v>
      </c>
      <c r="L38" s="53"/>
      <c r="M38" s="9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84"/>
    </row>
    <row r="39" spans="1:26" ht="23.25" customHeight="1" x14ac:dyDescent="0.2">
      <c r="A39" s="49" t="s">
        <v>28</v>
      </c>
      <c r="B39" s="82">
        <v>3563.5774000000001</v>
      </c>
      <c r="C39" s="25">
        <f t="shared" si="0"/>
        <v>6.6000000000258296E-2</v>
      </c>
      <c r="D39" s="24">
        <f t="shared" si="1"/>
        <v>475.20000000185973</v>
      </c>
      <c r="E39" s="81"/>
      <c r="F39" s="82">
        <v>2262.2721999999999</v>
      </c>
      <c r="G39" s="51">
        <f t="shared" si="4"/>
        <v>4.3599999999969441E-2</v>
      </c>
      <c r="H39" s="50">
        <f t="shared" si="2"/>
        <v>313.91999999977998</v>
      </c>
      <c r="I39" s="52">
        <f t="shared" si="3"/>
        <v>0.6606060606030123</v>
      </c>
      <c r="J39" s="39"/>
      <c r="K39" s="83">
        <v>6.2927580000000001</v>
      </c>
      <c r="L39" s="53"/>
      <c r="M39" s="9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84"/>
    </row>
    <row r="40" spans="1:26" ht="23.25" customHeight="1" x14ac:dyDescent="0.2">
      <c r="A40" s="49" t="s">
        <v>29</v>
      </c>
      <c r="B40" s="82">
        <v>3563.6428000000001</v>
      </c>
      <c r="C40" s="25">
        <f t="shared" si="0"/>
        <v>6.5399999999954161E-2</v>
      </c>
      <c r="D40" s="24">
        <f t="shared" si="1"/>
        <v>470.87999999966996</v>
      </c>
      <c r="E40" s="81"/>
      <c r="F40" s="82">
        <v>2262.3150999999998</v>
      </c>
      <c r="G40" s="51">
        <f t="shared" si="4"/>
        <v>4.2899999999917782E-2</v>
      </c>
      <c r="H40" s="50">
        <f t="shared" si="2"/>
        <v>308.87999999940803</v>
      </c>
      <c r="I40" s="52">
        <f t="shared" si="3"/>
        <v>0.65596330275149617</v>
      </c>
      <c r="J40" s="39"/>
      <c r="K40" s="83">
        <v>6.0592759999999997</v>
      </c>
      <c r="L40" s="53"/>
      <c r="M40" s="99" t="s">
        <v>109</v>
      </c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ht="23.25" customHeight="1" x14ac:dyDescent="0.2">
      <c r="A41" s="49" t="s">
        <v>30</v>
      </c>
      <c r="B41" s="82">
        <v>3563.7093</v>
      </c>
      <c r="C41" s="25">
        <f t="shared" si="0"/>
        <v>6.6499999999905413E-2</v>
      </c>
      <c r="D41" s="24">
        <f t="shared" si="1"/>
        <v>478.79999999931897</v>
      </c>
      <c r="E41" s="81"/>
      <c r="F41" s="82">
        <v>2262.3582999999999</v>
      </c>
      <c r="G41" s="51">
        <f t="shared" si="4"/>
        <v>4.3200000000069849E-2</v>
      </c>
      <c r="H41" s="50">
        <f t="shared" si="2"/>
        <v>311.04000000050291</v>
      </c>
      <c r="I41" s="52">
        <f t="shared" si="3"/>
        <v>0.6496240601523503</v>
      </c>
      <c r="J41" s="39"/>
      <c r="K41" s="83">
        <v>6.2419750000000001</v>
      </c>
      <c r="L41" s="53"/>
      <c r="M41" s="100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1"/>
    </row>
    <row r="42" spans="1:26" ht="23.25" customHeight="1" x14ac:dyDescent="0.2">
      <c r="A42" s="49" t="s">
        <v>31</v>
      </c>
      <c r="B42" s="82">
        <v>3563.7752</v>
      </c>
      <c r="C42" s="25">
        <f t="shared" si="0"/>
        <v>6.5900000000056025E-2</v>
      </c>
      <c r="D42" s="24">
        <f t="shared" si="1"/>
        <v>474.48000000040338</v>
      </c>
      <c r="E42" s="81"/>
      <c r="F42" s="82">
        <v>2262.4016999999999</v>
      </c>
      <c r="G42" s="51">
        <f t="shared" si="4"/>
        <v>4.3400000000019645E-2</v>
      </c>
      <c r="H42" s="50">
        <f t="shared" si="2"/>
        <v>312.48000000014144</v>
      </c>
      <c r="I42" s="52">
        <f t="shared" si="3"/>
        <v>0.65857359635785662</v>
      </c>
      <c r="J42" s="39"/>
      <c r="K42" s="83">
        <v>6.2821350000000002</v>
      </c>
      <c r="L42" s="53"/>
      <c r="M42" s="95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90"/>
    </row>
    <row r="43" spans="1:26" ht="22.5" customHeight="1" x14ac:dyDescent="0.2">
      <c r="A43" s="167" t="s">
        <v>70</v>
      </c>
      <c r="B43" s="167"/>
      <c r="C43" s="167"/>
      <c r="D43" s="50">
        <f>SUM(D18:D42)</f>
        <v>11736.000000000786</v>
      </c>
      <c r="E43" s="39"/>
      <c r="F43" s="54"/>
      <c r="G43" s="39"/>
      <c r="H43" s="50">
        <f>SUM(H18:H42)</f>
        <v>7648.5600000003615</v>
      </c>
      <c r="I43" s="52">
        <f>IF(AND(H43=0,D43=0),0,H43/D43)</f>
        <v>0.65171779141103015</v>
      </c>
      <c r="J43" s="39"/>
      <c r="K43" s="39"/>
      <c r="L43" s="53"/>
      <c r="M43" s="95" t="s">
        <v>80</v>
      </c>
      <c r="N43" s="89" t="s">
        <v>99</v>
      </c>
      <c r="O43" s="89"/>
      <c r="P43" s="89" t="s">
        <v>110</v>
      </c>
      <c r="Q43" s="89"/>
      <c r="R43" s="89"/>
      <c r="S43" s="89"/>
      <c r="T43" s="89"/>
      <c r="U43" s="89"/>
      <c r="V43" s="89"/>
      <c r="W43" s="89"/>
      <c r="X43" s="89" t="s">
        <v>110</v>
      </c>
      <c r="Y43" s="89"/>
      <c r="Z43" s="90"/>
    </row>
    <row r="44" spans="1:26" ht="22.5" customHeight="1" x14ac:dyDescent="0.2">
      <c r="A44" s="164" t="s">
        <v>71</v>
      </c>
      <c r="B44" s="164"/>
      <c r="C44" s="164"/>
      <c r="D44" s="39"/>
      <c r="E44" s="39"/>
      <c r="F44" s="54"/>
      <c r="G44" s="39"/>
      <c r="H44" s="39"/>
      <c r="I44" s="39"/>
      <c r="J44" s="39"/>
      <c r="K44" s="39"/>
      <c r="L44" s="53"/>
      <c r="M44" s="96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2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84"/>
      <c r="O45" s="85"/>
      <c r="P45" s="84"/>
      <c r="Q45" s="88"/>
      <c r="R45" s="85"/>
      <c r="S45" s="7"/>
      <c r="T45" s="84"/>
      <c r="U45" s="88"/>
      <c r="V45" s="88"/>
      <c r="W45" s="85"/>
      <c r="X45" s="84"/>
      <c r="Y45" s="88"/>
      <c r="Z45" s="88"/>
    </row>
    <row r="46" spans="1:26" ht="22.5" customHeight="1" x14ac:dyDescent="0.2">
      <c r="A46" s="155" t="s">
        <v>72</v>
      </c>
      <c r="B46" s="155"/>
      <c r="C46" s="155"/>
      <c r="D46" s="155"/>
      <c r="E46" s="155"/>
      <c r="F46" s="155"/>
      <c r="G46" s="177" t="s">
        <v>73</v>
      </c>
      <c r="H46" s="177"/>
      <c r="I46" s="177"/>
      <c r="J46" s="177"/>
      <c r="K46" s="177"/>
      <c r="L46" s="177"/>
      <c r="M46" s="9"/>
      <c r="N46" s="84"/>
      <c r="O46" s="85"/>
      <c r="P46" s="84"/>
      <c r="Q46" s="88"/>
      <c r="R46" s="85"/>
      <c r="S46" s="7"/>
      <c r="T46" s="84"/>
      <c r="U46" s="88"/>
      <c r="V46" s="88"/>
      <c r="W46" s="85"/>
      <c r="X46" s="84"/>
      <c r="Y46" s="88"/>
      <c r="Z46" s="88"/>
    </row>
    <row r="47" spans="1:26" ht="22.5" customHeight="1" x14ac:dyDescent="0.2">
      <c r="A47" s="117" t="s">
        <v>371</v>
      </c>
      <c r="B47" s="117"/>
      <c r="C47" s="117"/>
      <c r="D47" s="108" t="s">
        <v>74</v>
      </c>
      <c r="E47" s="108"/>
      <c r="F47" s="108"/>
      <c r="G47" s="56"/>
      <c r="H47" s="56"/>
      <c r="I47" s="56"/>
      <c r="J47" s="56"/>
      <c r="K47" s="56"/>
      <c r="L47" s="56"/>
      <c r="M47" s="9"/>
      <c r="N47" s="84"/>
      <c r="O47" s="85"/>
      <c r="P47" s="84"/>
      <c r="Q47" s="88"/>
      <c r="R47" s="85"/>
      <c r="S47" s="7"/>
      <c r="T47" s="84"/>
      <c r="U47" s="88"/>
      <c r="V47" s="88"/>
      <c r="W47" s="85"/>
      <c r="X47" s="84"/>
      <c r="Y47" s="88"/>
      <c r="Z47" s="88"/>
    </row>
    <row r="48" spans="1:26" ht="22.5" customHeight="1" x14ac:dyDescent="0.2">
      <c r="A48" s="148" t="s">
        <v>75</v>
      </c>
      <c r="B48" s="148"/>
      <c r="C48" s="148"/>
      <c r="D48" s="147" t="s">
        <v>76</v>
      </c>
      <c r="E48" s="147"/>
      <c r="F48" s="147"/>
      <c r="G48" s="55"/>
      <c r="H48" s="55"/>
      <c r="I48" s="55"/>
      <c r="J48" s="55"/>
      <c r="K48" s="55"/>
      <c r="L48" s="55"/>
    </row>
    <row r="49" spans="1:23" ht="22.5" customHeight="1" x14ac:dyDescent="0.2">
      <c r="A49" s="117" t="s">
        <v>372</v>
      </c>
      <c r="B49" s="117"/>
      <c r="C49" s="117"/>
      <c r="D49" s="108" t="s">
        <v>74</v>
      </c>
      <c r="E49" s="108"/>
      <c r="F49" s="108"/>
      <c r="G49" s="55"/>
      <c r="H49" s="155" t="s">
        <v>183</v>
      </c>
      <c r="I49" s="155"/>
      <c r="J49" s="155"/>
      <c r="K49" s="155" t="s">
        <v>77</v>
      </c>
      <c r="L49" s="155"/>
      <c r="N49" s="150" t="s">
        <v>150</v>
      </c>
      <c r="O49" s="150"/>
      <c r="P49" s="150"/>
      <c r="Q49" s="149" t="s">
        <v>370</v>
      </c>
      <c r="R49" s="149"/>
      <c r="S49" s="149"/>
      <c r="T49" s="149"/>
      <c r="U49" s="149"/>
      <c r="V49" s="149"/>
      <c r="W49" s="1"/>
    </row>
    <row r="50" spans="1:23" ht="22.5" customHeight="1" x14ac:dyDescent="0.2">
      <c r="A50" s="148" t="s">
        <v>75</v>
      </c>
      <c r="B50" s="148"/>
      <c r="C50" s="148"/>
      <c r="D50" s="147" t="s">
        <v>76</v>
      </c>
      <c r="E50" s="147"/>
      <c r="F50" s="147"/>
      <c r="G50" s="58"/>
      <c r="H50" s="148" t="s">
        <v>75</v>
      </c>
      <c r="I50" s="148"/>
      <c r="J50" s="148"/>
      <c r="K50" s="148" t="s">
        <v>76</v>
      </c>
      <c r="L50" s="148"/>
      <c r="S50" s="146" t="s">
        <v>76</v>
      </c>
      <c r="T50" s="146"/>
    </row>
    <row r="51" spans="1:23" ht="20.100000000000001" customHeight="1" x14ac:dyDescent="0.2">
      <c r="A51" s="117" t="s">
        <v>373</v>
      </c>
      <c r="B51" s="117"/>
      <c r="C51" s="117"/>
      <c r="D51" s="108" t="s">
        <v>74</v>
      </c>
      <c r="E51" s="108"/>
      <c r="F51" s="108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47" t="s">
        <v>75</v>
      </c>
      <c r="B52" s="147"/>
      <c r="C52" s="147"/>
      <c r="D52" s="146" t="s">
        <v>76</v>
      </c>
      <c r="E52" s="146"/>
      <c r="F52" s="146"/>
      <c r="G52" s="63"/>
      <c r="H52" s="63"/>
      <c r="I52" s="64"/>
      <c r="J52" s="64"/>
      <c r="K52" s="64"/>
      <c r="L52" s="64"/>
    </row>
  </sheetData>
  <sheetProtection sheet="1" objects="1" scenarios="1"/>
  <mergeCells count="258">
    <mergeCell ref="A52:C52"/>
    <mergeCell ref="D52:F52"/>
    <mergeCell ref="D51:F51"/>
    <mergeCell ref="K16:K17"/>
    <mergeCell ref="A13:A17"/>
    <mergeCell ref="E16:E17"/>
    <mergeCell ref="B15:C15"/>
    <mergeCell ref="D15:E15"/>
    <mergeCell ref="B13:C13"/>
    <mergeCell ref="J16:J17"/>
    <mergeCell ref="A47:C47"/>
    <mergeCell ref="I13:I17"/>
    <mergeCell ref="J13:K13"/>
    <mergeCell ref="J14:K14"/>
    <mergeCell ref="J15:K15"/>
    <mergeCell ref="G1:H2"/>
    <mergeCell ref="G3:H4"/>
    <mergeCell ref="A1:F1"/>
    <mergeCell ref="A2:F2"/>
    <mergeCell ref="A4:F4"/>
    <mergeCell ref="A51:C51"/>
    <mergeCell ref="A6:F6"/>
    <mergeCell ref="D47:F47"/>
    <mergeCell ref="F14:G14"/>
    <mergeCell ref="A9:L9"/>
    <mergeCell ref="G46:L46"/>
    <mergeCell ref="H10:L10"/>
    <mergeCell ref="D13:E13"/>
    <mergeCell ref="E10:G10"/>
    <mergeCell ref="A43:C43"/>
    <mergeCell ref="I3:L4"/>
    <mergeCell ref="A11:D11"/>
    <mergeCell ref="E11:H11"/>
    <mergeCell ref="A10:D10"/>
    <mergeCell ref="F13:G13"/>
    <mergeCell ref="H50:J50"/>
    <mergeCell ref="K50:L50"/>
    <mergeCell ref="D49:F49"/>
    <mergeCell ref="A12:L12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T15:U15"/>
    <mergeCell ref="X7:Z7"/>
    <mergeCell ref="N7:O7"/>
    <mergeCell ref="X8:Z8"/>
    <mergeCell ref="H49:J49"/>
    <mergeCell ref="K49:L49"/>
    <mergeCell ref="A7:L7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N10:O10"/>
    <mergeCell ref="N11:O11"/>
    <mergeCell ref="N14:O14"/>
    <mergeCell ref="N15:O15"/>
    <mergeCell ref="R11:S11"/>
    <mergeCell ref="R12:S12"/>
    <mergeCell ref="P10:Q10"/>
    <mergeCell ref="N13:O13"/>
    <mergeCell ref="T12:U12"/>
    <mergeCell ref="R13:S13"/>
    <mergeCell ref="T9:U9"/>
    <mergeCell ref="T10:U10"/>
    <mergeCell ref="T11:U11"/>
    <mergeCell ref="R8:S8"/>
    <mergeCell ref="R9:S9"/>
    <mergeCell ref="R10:S10"/>
    <mergeCell ref="T8:U8"/>
    <mergeCell ref="P11:Q11"/>
    <mergeCell ref="N12:O12"/>
    <mergeCell ref="P7:Q7"/>
    <mergeCell ref="P8:Q8"/>
    <mergeCell ref="P9:Q9"/>
    <mergeCell ref="R7:S7"/>
    <mergeCell ref="T7:U7"/>
    <mergeCell ref="P12:Q12"/>
    <mergeCell ref="N8:O8"/>
    <mergeCell ref="N9:O9"/>
    <mergeCell ref="M1:Z1"/>
    <mergeCell ref="M2:Z2"/>
    <mergeCell ref="X3:Z6"/>
    <mergeCell ref="M5:M6"/>
    <mergeCell ref="M3:M4"/>
    <mergeCell ref="P3:Q4"/>
    <mergeCell ref="R6:S6"/>
    <mergeCell ref="T4:U4"/>
    <mergeCell ref="T5:U5"/>
    <mergeCell ref="V3:W3"/>
    <mergeCell ref="P5:Q6"/>
    <mergeCell ref="N3:O6"/>
    <mergeCell ref="T3:U3"/>
    <mergeCell ref="R3:S3"/>
    <mergeCell ref="R4:S4"/>
    <mergeCell ref="R5:S5"/>
    <mergeCell ref="T6:U6"/>
    <mergeCell ref="V8:W8"/>
    <mergeCell ref="V9:W9"/>
    <mergeCell ref="V10:W10"/>
    <mergeCell ref="V11:W11"/>
    <mergeCell ref="V12:W12"/>
    <mergeCell ref="V4:W4"/>
    <mergeCell ref="V5:W5"/>
    <mergeCell ref="V6:W6"/>
    <mergeCell ref="V7:W7"/>
    <mergeCell ref="V13:W13"/>
    <mergeCell ref="M20:M21"/>
    <mergeCell ref="Q25:S25"/>
    <mergeCell ref="V14:W14"/>
    <mergeCell ref="T16:U16"/>
    <mergeCell ref="T14:U14"/>
    <mergeCell ref="N18:P19"/>
    <mergeCell ref="W22:Z22"/>
    <mergeCell ref="T20:V21"/>
    <mergeCell ref="W25:Z25"/>
    <mergeCell ref="N24:P24"/>
    <mergeCell ref="Q24:S24"/>
    <mergeCell ref="N23:P23"/>
    <mergeCell ref="W24:Z24"/>
    <mergeCell ref="N25:P25"/>
    <mergeCell ref="Q23:S23"/>
    <mergeCell ref="T24:V24"/>
    <mergeCell ref="Q19:S19"/>
    <mergeCell ref="P13:Q13"/>
    <mergeCell ref="P14:Q14"/>
    <mergeCell ref="T13:U13"/>
    <mergeCell ref="R14:S14"/>
    <mergeCell ref="R15:S15"/>
    <mergeCell ref="P16:Q16"/>
    <mergeCell ref="Q22:S22"/>
    <mergeCell ref="W18:Z21"/>
    <mergeCell ref="Q21:S21"/>
    <mergeCell ref="P15:Q15"/>
    <mergeCell ref="Q26:S26"/>
    <mergeCell ref="Q27:S27"/>
    <mergeCell ref="T27:V27"/>
    <mergeCell ref="T33:U33"/>
    <mergeCell ref="R31:S31"/>
    <mergeCell ref="R32:S32"/>
    <mergeCell ref="W23:Z23"/>
    <mergeCell ref="R16:S16"/>
    <mergeCell ref="V15:W15"/>
    <mergeCell ref="V16:W16"/>
    <mergeCell ref="N22:P22"/>
    <mergeCell ref="T23:V23"/>
    <mergeCell ref="M17:Z17"/>
    <mergeCell ref="M18:M19"/>
    <mergeCell ref="N20:P21"/>
    <mergeCell ref="Q20:S20"/>
    <mergeCell ref="M31:M32"/>
    <mergeCell ref="N16:O16"/>
    <mergeCell ref="N28:P28"/>
    <mergeCell ref="Q28:S28"/>
    <mergeCell ref="V34:X34"/>
    <mergeCell ref="P32:Q32"/>
    <mergeCell ref="P33:Q33"/>
    <mergeCell ref="P31:Q31"/>
    <mergeCell ref="N27:P27"/>
    <mergeCell ref="W27:Z27"/>
    <mergeCell ref="N26:P26"/>
    <mergeCell ref="N31:O32"/>
    <mergeCell ref="N33:O34"/>
    <mergeCell ref="W28:Z28"/>
    <mergeCell ref="R33:S33"/>
    <mergeCell ref="T31:U31"/>
    <mergeCell ref="T32:U32"/>
    <mergeCell ref="V33:X33"/>
    <mergeCell ref="T26:V26"/>
    <mergeCell ref="N38:O38"/>
    <mergeCell ref="P38:Q38"/>
    <mergeCell ref="R38:S38"/>
    <mergeCell ref="T38:U38"/>
    <mergeCell ref="N37:O37"/>
    <mergeCell ref="P37:Q37"/>
    <mergeCell ref="R37:S37"/>
    <mergeCell ref="N35:O35"/>
    <mergeCell ref="P35:Q35"/>
    <mergeCell ref="R35:S35"/>
    <mergeCell ref="T35:U35"/>
    <mergeCell ref="T37:U37"/>
    <mergeCell ref="N36:O36"/>
    <mergeCell ref="P36:Q36"/>
    <mergeCell ref="R36:S36"/>
    <mergeCell ref="T36:U36"/>
    <mergeCell ref="T46:W46"/>
    <mergeCell ref="T47:W47"/>
    <mergeCell ref="N43:O44"/>
    <mergeCell ref="P43:R44"/>
    <mergeCell ref="M40:Z40"/>
    <mergeCell ref="M41:M42"/>
    <mergeCell ref="T41:W44"/>
    <mergeCell ref="X45:Z45"/>
    <mergeCell ref="X46:Z46"/>
    <mergeCell ref="X41:Z42"/>
    <mergeCell ref="X43:Z44"/>
    <mergeCell ref="S41:S44"/>
    <mergeCell ref="I1:L2"/>
    <mergeCell ref="G5:H6"/>
    <mergeCell ref="I5:L6"/>
    <mergeCell ref="S50:T50"/>
    <mergeCell ref="N39:O39"/>
    <mergeCell ref="P39:Q39"/>
    <mergeCell ref="N41:O42"/>
    <mergeCell ref="P41:R42"/>
    <mergeCell ref="Q49:V49"/>
    <mergeCell ref="N49:P49"/>
    <mergeCell ref="P45:R45"/>
    <mergeCell ref="P46:R46"/>
    <mergeCell ref="P47:R47"/>
    <mergeCell ref="N45:O45"/>
    <mergeCell ref="N46:O46"/>
    <mergeCell ref="V38:X38"/>
    <mergeCell ref="P34:Q34"/>
    <mergeCell ref="X9:Z9"/>
    <mergeCell ref="X10:Z10"/>
    <mergeCell ref="X47:Z47"/>
    <mergeCell ref="M43:M44"/>
    <mergeCell ref="N47:O47"/>
    <mergeCell ref="T45:W45"/>
    <mergeCell ref="X11:Z11"/>
    <mergeCell ref="X12:Z12"/>
    <mergeCell ref="X13:Z13"/>
    <mergeCell ref="X14:Z14"/>
    <mergeCell ref="X15:Z15"/>
    <mergeCell ref="R39:S39"/>
    <mergeCell ref="T39:U39"/>
    <mergeCell ref="V39:X39"/>
    <mergeCell ref="Y39:Z39"/>
    <mergeCell ref="Y38:Z38"/>
    <mergeCell ref="V35:X35"/>
    <mergeCell ref="Y35:Z35"/>
    <mergeCell ref="V36:X36"/>
    <mergeCell ref="Y36:Z36"/>
    <mergeCell ref="V37:X37"/>
    <mergeCell ref="Y37:Z37"/>
    <mergeCell ref="X16:Z16"/>
    <mergeCell ref="W26:Z26"/>
    <mergeCell ref="R34:S34"/>
    <mergeCell ref="T34:U34"/>
    <mergeCell ref="T18:V19"/>
    <mergeCell ref="T22:V22"/>
    <mergeCell ref="Q18:S18"/>
    <mergeCell ref="T25:V25"/>
    <mergeCell ref="T28:V28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Z52"/>
  <sheetViews>
    <sheetView view="pageBreakPreview" topLeftCell="A7" zoomScale="75" zoomScaleNormal="50" zoomScaleSheetLayoutView="75" workbookViewId="0">
      <selection activeCell="K19" sqref="K19:K42"/>
    </sheetView>
  </sheetViews>
  <sheetFormatPr defaultRowHeight="18.75" x14ac:dyDescent="0.2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8.425781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4" t="s">
        <v>157</v>
      </c>
      <c r="B1" s="94"/>
      <c r="C1" s="94"/>
      <c r="D1" s="94"/>
      <c r="E1" s="94"/>
      <c r="F1" s="94"/>
      <c r="G1" s="123" t="s">
        <v>154</v>
      </c>
      <c r="H1" s="123"/>
      <c r="I1" s="94" t="s">
        <v>160</v>
      </c>
      <c r="J1" s="94"/>
      <c r="K1" s="94"/>
      <c r="L1" s="94"/>
      <c r="M1" s="99" t="s">
        <v>96</v>
      </c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ht="21.75" customHeight="1" x14ac:dyDescent="0.2">
      <c r="A2" s="119" t="s">
        <v>45</v>
      </c>
      <c r="B2" s="119"/>
      <c r="C2" s="119"/>
      <c r="D2" s="119"/>
      <c r="E2" s="119"/>
      <c r="F2" s="119"/>
      <c r="G2" s="123"/>
      <c r="H2" s="123"/>
      <c r="I2" s="94"/>
      <c r="J2" s="94"/>
      <c r="K2" s="94"/>
      <c r="L2" s="94"/>
      <c r="M2" s="99" t="s">
        <v>78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ht="21.75" customHeight="1" x14ac:dyDescent="0.2">
      <c r="A3" s="94" t="s">
        <v>158</v>
      </c>
      <c r="B3" s="120"/>
      <c r="C3" s="120"/>
      <c r="D3" s="120"/>
      <c r="E3" s="120"/>
      <c r="F3" s="120"/>
      <c r="G3" s="123" t="s">
        <v>155</v>
      </c>
      <c r="H3" s="123"/>
      <c r="I3" s="94" t="s">
        <v>200</v>
      </c>
      <c r="J3" s="94"/>
      <c r="K3" s="94"/>
      <c r="L3" s="94"/>
      <c r="M3" s="100" t="s">
        <v>79</v>
      </c>
      <c r="N3" s="101" t="s">
        <v>81</v>
      </c>
      <c r="O3" s="100"/>
      <c r="P3" s="101" t="s">
        <v>65</v>
      </c>
      <c r="Q3" s="100"/>
      <c r="R3" s="101" t="s">
        <v>82</v>
      </c>
      <c r="S3" s="100"/>
      <c r="T3" s="101" t="s">
        <v>85</v>
      </c>
      <c r="U3" s="100"/>
      <c r="V3" s="101" t="s">
        <v>87</v>
      </c>
      <c r="W3" s="100"/>
      <c r="X3" s="86" t="s">
        <v>91</v>
      </c>
      <c r="Y3" s="105"/>
      <c r="Z3" s="105"/>
    </row>
    <row r="4" spans="1:26" ht="29.25" customHeight="1" x14ac:dyDescent="0.2">
      <c r="A4" s="119" t="s">
        <v>46</v>
      </c>
      <c r="B4" s="119"/>
      <c r="C4" s="119"/>
      <c r="D4" s="119"/>
      <c r="E4" s="119"/>
      <c r="F4" s="119"/>
      <c r="G4" s="123"/>
      <c r="H4" s="123"/>
      <c r="I4" s="94"/>
      <c r="J4" s="94"/>
      <c r="K4" s="94"/>
      <c r="L4" s="94"/>
      <c r="M4" s="95"/>
      <c r="N4" s="90"/>
      <c r="O4" s="95"/>
      <c r="P4" s="90"/>
      <c r="Q4" s="95"/>
      <c r="R4" s="90" t="s">
        <v>83</v>
      </c>
      <c r="S4" s="95"/>
      <c r="T4" s="90" t="s">
        <v>86</v>
      </c>
      <c r="U4" s="95"/>
      <c r="V4" s="90" t="s">
        <v>88</v>
      </c>
      <c r="W4" s="95"/>
      <c r="X4" s="86"/>
      <c r="Y4" s="105"/>
      <c r="Z4" s="105"/>
    </row>
    <row r="5" spans="1:26" ht="21.75" customHeight="1" x14ac:dyDescent="0.2">
      <c r="A5" s="94" t="s">
        <v>177</v>
      </c>
      <c r="B5" s="120"/>
      <c r="C5" s="120"/>
      <c r="D5" s="120"/>
      <c r="E5" s="120"/>
      <c r="F5" s="120"/>
      <c r="G5" s="123" t="s">
        <v>156</v>
      </c>
      <c r="H5" s="123"/>
      <c r="I5" s="94" t="s">
        <v>240</v>
      </c>
      <c r="J5" s="94"/>
      <c r="K5" s="94"/>
      <c r="L5" s="94"/>
      <c r="M5" s="95" t="s">
        <v>80</v>
      </c>
      <c r="N5" s="90"/>
      <c r="O5" s="95"/>
      <c r="P5" s="90" t="s">
        <v>182</v>
      </c>
      <c r="Q5" s="95"/>
      <c r="R5" s="106" t="s">
        <v>84</v>
      </c>
      <c r="S5" s="107"/>
      <c r="T5" s="106" t="s">
        <v>84</v>
      </c>
      <c r="U5" s="107"/>
      <c r="V5" s="90" t="s">
        <v>89</v>
      </c>
      <c r="W5" s="95"/>
      <c r="X5" s="86"/>
      <c r="Y5" s="105"/>
      <c r="Z5" s="105"/>
    </row>
    <row r="6" spans="1:26" ht="27.75" customHeight="1" x14ac:dyDescent="0.2">
      <c r="A6" s="119" t="s">
        <v>47</v>
      </c>
      <c r="B6" s="119"/>
      <c r="C6" s="119"/>
      <c r="D6" s="119"/>
      <c r="E6" s="119"/>
      <c r="F6" s="119"/>
      <c r="G6" s="123"/>
      <c r="H6" s="123"/>
      <c r="I6" s="94"/>
      <c r="J6" s="94"/>
      <c r="K6" s="94"/>
      <c r="L6" s="94"/>
      <c r="M6" s="96"/>
      <c r="N6" s="92"/>
      <c r="O6" s="96"/>
      <c r="P6" s="92"/>
      <c r="Q6" s="96"/>
      <c r="R6" s="92"/>
      <c r="S6" s="96"/>
      <c r="T6" s="92"/>
      <c r="U6" s="96"/>
      <c r="V6" s="92" t="s">
        <v>90</v>
      </c>
      <c r="W6" s="96"/>
      <c r="X6" s="86"/>
      <c r="Y6" s="105"/>
      <c r="Z6" s="105"/>
    </row>
    <row r="7" spans="1:26" ht="21.75" customHeight="1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84"/>
      <c r="O7" s="85"/>
      <c r="P7" s="84"/>
      <c r="Q7" s="85"/>
      <c r="R7" s="84"/>
      <c r="S7" s="85"/>
      <c r="T7" s="84"/>
      <c r="U7" s="85"/>
      <c r="V7" s="84"/>
      <c r="W7" s="85"/>
      <c r="X7" s="84"/>
      <c r="Y7" s="88"/>
      <c r="Z7" s="88"/>
    </row>
    <row r="8" spans="1:26" ht="22.5" customHeight="1" x14ac:dyDescent="0.2">
      <c r="A8" s="116" t="s">
        <v>48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84"/>
      <c r="O8" s="85"/>
      <c r="P8" s="84"/>
      <c r="Q8" s="85"/>
      <c r="R8" s="84"/>
      <c r="S8" s="85"/>
      <c r="T8" s="84"/>
      <c r="U8" s="85"/>
      <c r="V8" s="84"/>
      <c r="W8" s="85"/>
      <c r="X8" s="84"/>
      <c r="Y8" s="88"/>
      <c r="Z8" s="88"/>
    </row>
    <row r="9" spans="1:26" ht="22.5" customHeight="1" x14ac:dyDescent="0.2">
      <c r="A9" s="129" t="s">
        <v>49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9"/>
      <c r="N9" s="84"/>
      <c r="O9" s="85"/>
      <c r="P9" s="84"/>
      <c r="Q9" s="85"/>
      <c r="R9" s="84"/>
      <c r="S9" s="85"/>
      <c r="T9" s="84"/>
      <c r="U9" s="85"/>
      <c r="V9" s="84"/>
      <c r="W9" s="85"/>
      <c r="X9" s="84"/>
      <c r="Y9" s="88"/>
      <c r="Z9" s="88"/>
    </row>
    <row r="10" spans="1:26" ht="22.5" customHeight="1" x14ac:dyDescent="0.2">
      <c r="A10" s="124" t="s">
        <v>112</v>
      </c>
      <c r="B10" s="124"/>
      <c r="C10" s="124"/>
      <c r="D10" s="124"/>
      <c r="E10" s="135" t="s">
        <v>375</v>
      </c>
      <c r="F10" s="136"/>
      <c r="G10" s="136"/>
      <c r="H10" s="111" t="s">
        <v>376</v>
      </c>
      <c r="I10" s="111"/>
      <c r="J10" s="111"/>
      <c r="K10" s="111"/>
      <c r="L10" s="111"/>
      <c r="M10" s="9"/>
      <c r="N10" s="84"/>
      <c r="O10" s="85"/>
      <c r="P10" s="84"/>
      <c r="Q10" s="85"/>
      <c r="R10" s="84"/>
      <c r="S10" s="85"/>
      <c r="T10" s="84"/>
      <c r="U10" s="85"/>
      <c r="V10" s="84"/>
      <c r="W10" s="85"/>
      <c r="X10" s="84"/>
      <c r="Y10" s="88"/>
      <c r="Z10" s="88"/>
    </row>
    <row r="11" spans="1:26" ht="22.5" customHeight="1" x14ac:dyDescent="0.2">
      <c r="A11" s="124" t="s">
        <v>113</v>
      </c>
      <c r="B11" s="124"/>
      <c r="C11" s="124"/>
      <c r="D11" s="124"/>
      <c r="E11" s="134" t="s">
        <v>224</v>
      </c>
      <c r="F11" s="134"/>
      <c r="G11" s="134"/>
      <c r="H11" s="134"/>
      <c r="I11" s="111" t="s">
        <v>114</v>
      </c>
      <c r="J11" s="111"/>
      <c r="K11" s="111"/>
      <c r="L11" s="111"/>
      <c r="M11" s="9"/>
      <c r="N11" s="84"/>
      <c r="O11" s="85"/>
      <c r="P11" s="84"/>
      <c r="Q11" s="85"/>
      <c r="R11" s="84"/>
      <c r="S11" s="85"/>
      <c r="T11" s="84"/>
      <c r="U11" s="85"/>
      <c r="V11" s="84"/>
      <c r="W11" s="85"/>
      <c r="X11" s="84"/>
      <c r="Y11" s="88"/>
      <c r="Z11" s="88"/>
    </row>
    <row r="12" spans="1:26" ht="21.75" customHeight="1" x14ac:dyDescent="0.2">
      <c r="A12" s="188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88"/>
      <c r="M12" s="9"/>
      <c r="N12" s="84"/>
      <c r="O12" s="85"/>
      <c r="P12" s="84"/>
      <c r="Q12" s="85"/>
      <c r="R12" s="84"/>
      <c r="S12" s="85"/>
      <c r="T12" s="84"/>
      <c r="U12" s="85"/>
      <c r="V12" s="84"/>
      <c r="W12" s="85"/>
      <c r="X12" s="84"/>
      <c r="Y12" s="88"/>
      <c r="Z12" s="88"/>
    </row>
    <row r="13" spans="1:26" ht="21.75" customHeight="1" x14ac:dyDescent="0.2">
      <c r="A13" s="171" t="s">
        <v>50</v>
      </c>
      <c r="B13" s="157" t="s">
        <v>56</v>
      </c>
      <c r="C13" s="157"/>
      <c r="D13" s="165" t="s">
        <v>255</v>
      </c>
      <c r="E13" s="166"/>
      <c r="F13" s="156" t="s">
        <v>59</v>
      </c>
      <c r="G13" s="157"/>
      <c r="H13" s="40" t="s">
        <v>255</v>
      </c>
      <c r="I13" s="168" t="s">
        <v>5</v>
      </c>
      <c r="J13" s="156" t="s">
        <v>60</v>
      </c>
      <c r="K13" s="157"/>
      <c r="L13" s="45" t="s">
        <v>65</v>
      </c>
      <c r="M13" s="9"/>
      <c r="N13" s="84"/>
      <c r="O13" s="85"/>
      <c r="P13" s="84"/>
      <c r="Q13" s="85"/>
      <c r="R13" s="84"/>
      <c r="S13" s="85"/>
      <c r="T13" s="84"/>
      <c r="U13" s="85"/>
      <c r="V13" s="84"/>
      <c r="W13" s="85"/>
      <c r="X13" s="84"/>
      <c r="Y13" s="88"/>
      <c r="Z13" s="88"/>
    </row>
    <row r="14" spans="1:26" ht="21.75" customHeight="1" x14ac:dyDescent="0.2">
      <c r="A14" s="172"/>
      <c r="B14" s="159" t="s">
        <v>57</v>
      </c>
      <c r="C14" s="159"/>
      <c r="D14" s="160" t="s">
        <v>241</v>
      </c>
      <c r="E14" s="161"/>
      <c r="F14" s="158" t="s">
        <v>57</v>
      </c>
      <c r="G14" s="159"/>
      <c r="H14" s="42" t="s">
        <v>241</v>
      </c>
      <c r="I14" s="169"/>
      <c r="J14" s="158" t="s">
        <v>61</v>
      </c>
      <c r="K14" s="159"/>
      <c r="L14" s="71" t="s">
        <v>66</v>
      </c>
      <c r="M14" s="9"/>
      <c r="N14" s="84"/>
      <c r="O14" s="85"/>
      <c r="P14" s="84"/>
      <c r="Q14" s="85"/>
      <c r="R14" s="84"/>
      <c r="S14" s="85"/>
      <c r="T14" s="84"/>
      <c r="U14" s="85"/>
      <c r="V14" s="84"/>
      <c r="W14" s="85"/>
      <c r="X14" s="84"/>
      <c r="Y14" s="88"/>
      <c r="Z14" s="88"/>
    </row>
    <row r="15" spans="1:26" ht="21.75" customHeight="1" x14ac:dyDescent="0.2">
      <c r="A15" s="172"/>
      <c r="B15" s="163" t="s">
        <v>58</v>
      </c>
      <c r="C15" s="163"/>
      <c r="D15" s="175">
        <v>7200</v>
      </c>
      <c r="E15" s="176"/>
      <c r="F15" s="162" t="s">
        <v>58</v>
      </c>
      <c r="G15" s="163"/>
      <c r="H15" s="43">
        <v>7200</v>
      </c>
      <c r="I15" s="169"/>
      <c r="J15" s="162" t="s">
        <v>62</v>
      </c>
      <c r="K15" s="163"/>
      <c r="L15" s="71" t="s">
        <v>67</v>
      </c>
      <c r="M15" s="9"/>
      <c r="N15" s="84"/>
      <c r="O15" s="85"/>
      <c r="P15" s="84"/>
      <c r="Q15" s="85"/>
      <c r="R15" s="84"/>
      <c r="S15" s="85"/>
      <c r="T15" s="84"/>
      <c r="U15" s="85"/>
      <c r="V15" s="84"/>
      <c r="W15" s="85"/>
      <c r="X15" s="84"/>
      <c r="Y15" s="88"/>
      <c r="Z15" s="88"/>
    </row>
    <row r="16" spans="1:26" ht="21.75" customHeight="1" x14ac:dyDescent="0.2">
      <c r="A16" s="172"/>
      <c r="B16" s="72" t="s">
        <v>51</v>
      </c>
      <c r="C16" s="44" t="s">
        <v>53</v>
      </c>
      <c r="D16" s="44" t="s">
        <v>54</v>
      </c>
      <c r="E16" s="127"/>
      <c r="F16" s="44" t="s">
        <v>51</v>
      </c>
      <c r="G16" s="44" t="s">
        <v>53</v>
      </c>
      <c r="H16" s="45" t="s">
        <v>54</v>
      </c>
      <c r="I16" s="169"/>
      <c r="J16" s="127" t="s">
        <v>63</v>
      </c>
      <c r="K16" s="127" t="s">
        <v>64</v>
      </c>
      <c r="L16" s="71" t="s">
        <v>68</v>
      </c>
      <c r="M16" s="9"/>
      <c r="N16" s="84"/>
      <c r="O16" s="85"/>
      <c r="P16" s="84"/>
      <c r="Q16" s="85"/>
      <c r="R16" s="84"/>
      <c r="S16" s="85"/>
      <c r="T16" s="84"/>
      <c r="U16" s="85"/>
      <c r="V16" s="84"/>
      <c r="W16" s="85"/>
      <c r="X16" s="84"/>
      <c r="Y16" s="88"/>
      <c r="Z16" s="88"/>
    </row>
    <row r="17" spans="1:26" ht="21.75" customHeight="1" x14ac:dyDescent="0.2">
      <c r="A17" s="172"/>
      <c r="B17" s="44" t="s">
        <v>52</v>
      </c>
      <c r="C17" s="46" t="s">
        <v>51</v>
      </c>
      <c r="D17" s="46" t="s">
        <v>55</v>
      </c>
      <c r="E17" s="174"/>
      <c r="F17" s="46" t="s">
        <v>52</v>
      </c>
      <c r="G17" s="47" t="s">
        <v>51</v>
      </c>
      <c r="H17" s="48" t="s">
        <v>55</v>
      </c>
      <c r="I17" s="170"/>
      <c r="J17" s="128"/>
      <c r="K17" s="128"/>
      <c r="L17" s="48" t="s">
        <v>69</v>
      </c>
      <c r="M17" s="103" t="s">
        <v>92</v>
      </c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spans="1:26" ht="23.25" customHeight="1" x14ac:dyDescent="0.2">
      <c r="A18" s="39" t="s">
        <v>7</v>
      </c>
      <c r="B18" s="82">
        <v>5095.2488000000003</v>
      </c>
      <c r="C18" s="25"/>
      <c r="D18" s="24"/>
      <c r="E18" s="81"/>
      <c r="F18" s="82">
        <v>2789.3498</v>
      </c>
      <c r="G18" s="51"/>
      <c r="H18" s="50"/>
      <c r="I18" s="52"/>
      <c r="J18" s="39"/>
      <c r="K18" s="79"/>
      <c r="L18" s="74"/>
      <c r="M18" s="100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1" t="s">
        <v>91</v>
      </c>
      <c r="X18" s="104"/>
      <c r="Y18" s="104"/>
      <c r="Z18" s="104"/>
    </row>
    <row r="19" spans="1:26" ht="23.25" customHeight="1" x14ac:dyDescent="0.2">
      <c r="A19" s="39" t="s">
        <v>8</v>
      </c>
      <c r="B19" s="82">
        <v>5095.2713000000003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2.250000000003638E-2</v>
      </c>
      <c r="D19" s="24">
        <f t="shared" ref="D19:D42" si="1">IF(C19="","",C19*$D$15)</f>
        <v>162.00000000026193</v>
      </c>
      <c r="E19" s="81"/>
      <c r="F19" s="82">
        <v>2789.3683999999998</v>
      </c>
      <c r="G19" s="51">
        <f>F19-ReportObject17_3</f>
        <v>1.8599999999878492E-2</v>
      </c>
      <c r="H19" s="50">
        <f t="shared" ref="H19:H42" si="2">IF(G19="","",G19*$H$15)</f>
        <v>133.91999999912514</v>
      </c>
      <c r="I19" s="52">
        <f t="shared" ref="I19:I42" si="3">IF(H19="","",IF(D19="","",IF(AND(H19=0,D19=0),0,H19/D19)))</f>
        <v>0.82666666665992972</v>
      </c>
      <c r="J19" s="39"/>
      <c r="K19" s="83">
        <v>6.3400780000000001</v>
      </c>
      <c r="L19" s="66"/>
      <c r="M19" s="95"/>
      <c r="N19" s="89"/>
      <c r="O19" s="89"/>
      <c r="P19" s="89"/>
      <c r="Q19" s="89" t="s">
        <v>108</v>
      </c>
      <c r="R19" s="89"/>
      <c r="S19" s="89"/>
      <c r="T19" s="89"/>
      <c r="U19" s="89"/>
      <c r="V19" s="89"/>
      <c r="W19" s="90"/>
      <c r="X19" s="99"/>
      <c r="Y19" s="99"/>
      <c r="Z19" s="99"/>
    </row>
    <row r="20" spans="1:26" ht="23.25" customHeight="1" x14ac:dyDescent="0.2">
      <c r="A20" s="39" t="s">
        <v>9</v>
      </c>
      <c r="B20" s="82">
        <v>5095.2929000000004</v>
      </c>
      <c r="C20" s="25">
        <f t="shared" si="0"/>
        <v>2.1600000000034925E-2</v>
      </c>
      <c r="D20" s="24">
        <f t="shared" si="1"/>
        <v>155.52000000025146</v>
      </c>
      <c r="E20" s="81"/>
      <c r="F20" s="82">
        <v>2789.3868000000002</v>
      </c>
      <c r="G20" s="51">
        <f>F20-F19</f>
        <v>1.8400000000383443E-2</v>
      </c>
      <c r="H20" s="50">
        <f t="shared" si="2"/>
        <v>132.48000000276079</v>
      </c>
      <c r="I20" s="52">
        <f t="shared" si="3"/>
        <v>0.85185185186822654</v>
      </c>
      <c r="J20" s="39"/>
      <c r="K20" s="83">
        <v>6.3716559999999998</v>
      </c>
      <c r="L20" s="66"/>
      <c r="M20" s="95" t="s">
        <v>80</v>
      </c>
      <c r="N20" s="89" t="s">
        <v>99</v>
      </c>
      <c r="O20" s="89"/>
      <c r="P20" s="89"/>
      <c r="Q20" s="89" t="s">
        <v>181</v>
      </c>
      <c r="R20" s="89"/>
      <c r="S20" s="89"/>
      <c r="T20" s="89" t="s">
        <v>94</v>
      </c>
      <c r="U20" s="89"/>
      <c r="V20" s="89"/>
      <c r="W20" s="90"/>
      <c r="X20" s="99"/>
      <c r="Y20" s="99"/>
      <c r="Z20" s="99"/>
    </row>
    <row r="21" spans="1:26" ht="23.25" customHeight="1" x14ac:dyDescent="0.2">
      <c r="A21" s="39" t="s">
        <v>10</v>
      </c>
      <c r="B21" s="82">
        <v>5095.3149999999996</v>
      </c>
      <c r="C21" s="25">
        <f t="shared" si="0"/>
        <v>2.2099999999227293E-2</v>
      </c>
      <c r="D21" s="24">
        <f t="shared" si="1"/>
        <v>159.11999999443651</v>
      </c>
      <c r="E21" s="81"/>
      <c r="F21" s="82">
        <v>2789.4056</v>
      </c>
      <c r="G21" s="51">
        <f t="shared" ref="G21:G42" si="4">F21-F20</f>
        <v>1.8799999999828287E-2</v>
      </c>
      <c r="H21" s="50">
        <f t="shared" si="2"/>
        <v>135.35999999876367</v>
      </c>
      <c r="I21" s="52">
        <f t="shared" si="3"/>
        <v>0.85067873305364761</v>
      </c>
      <c r="J21" s="39"/>
      <c r="K21" s="83">
        <v>6.3763909999999999</v>
      </c>
      <c r="L21" s="66"/>
      <c r="M21" s="96"/>
      <c r="N21" s="91"/>
      <c r="O21" s="91"/>
      <c r="P21" s="91"/>
      <c r="Q21" s="91"/>
      <c r="R21" s="91"/>
      <c r="S21" s="91"/>
      <c r="T21" s="91"/>
      <c r="U21" s="91"/>
      <c r="V21" s="91"/>
      <c r="W21" s="92"/>
      <c r="X21" s="103"/>
      <c r="Y21" s="103"/>
      <c r="Z21" s="103"/>
    </row>
    <row r="22" spans="1:26" ht="23.25" customHeight="1" x14ac:dyDescent="0.2">
      <c r="A22" s="39" t="s">
        <v>11</v>
      </c>
      <c r="B22" s="82">
        <v>5095.3361000000004</v>
      </c>
      <c r="C22" s="25">
        <f t="shared" si="0"/>
        <v>2.1100000000842556E-2</v>
      </c>
      <c r="D22" s="24">
        <f t="shared" si="1"/>
        <v>151.9200000060664</v>
      </c>
      <c r="E22" s="81"/>
      <c r="F22" s="82">
        <v>2789.4243000000001</v>
      </c>
      <c r="G22" s="51">
        <f t="shared" si="4"/>
        <v>1.8700000000080763E-2</v>
      </c>
      <c r="H22" s="50">
        <f t="shared" si="2"/>
        <v>134.64000000058149</v>
      </c>
      <c r="I22" s="52">
        <f t="shared" si="3"/>
        <v>0.88625592413905419</v>
      </c>
      <c r="J22" s="39"/>
      <c r="K22" s="83">
        <v>6.4022110000000003</v>
      </c>
      <c r="L22" s="66"/>
      <c r="M22" s="9"/>
      <c r="N22" s="97"/>
      <c r="O22" s="97"/>
      <c r="P22" s="97"/>
      <c r="Q22" s="97"/>
      <c r="R22" s="97"/>
      <c r="S22" s="97"/>
      <c r="T22" s="97"/>
      <c r="U22" s="97"/>
      <c r="V22" s="97"/>
      <c r="W22" s="84"/>
      <c r="X22" s="88"/>
      <c r="Y22" s="88"/>
      <c r="Z22" s="88"/>
    </row>
    <row r="23" spans="1:26" ht="23.25" customHeight="1" x14ac:dyDescent="0.2">
      <c r="A23" s="39" t="s">
        <v>12</v>
      </c>
      <c r="B23" s="82">
        <v>5095.3567999999996</v>
      </c>
      <c r="C23" s="25">
        <f t="shared" si="0"/>
        <v>2.0699999999123975E-2</v>
      </c>
      <c r="D23" s="24">
        <f t="shared" si="1"/>
        <v>149.03999999369262</v>
      </c>
      <c r="E23" s="81"/>
      <c r="F23" s="82">
        <v>2789.4430000000002</v>
      </c>
      <c r="G23" s="51">
        <f t="shared" si="4"/>
        <v>1.8700000000080763E-2</v>
      </c>
      <c r="H23" s="50">
        <f t="shared" si="2"/>
        <v>134.64000000058149</v>
      </c>
      <c r="I23" s="52">
        <f t="shared" si="3"/>
        <v>0.90338164255421005</v>
      </c>
      <c r="J23" s="39"/>
      <c r="K23" s="83">
        <v>6.1113980000000003</v>
      </c>
      <c r="L23" s="66"/>
      <c r="M23" s="9"/>
      <c r="N23" s="97"/>
      <c r="O23" s="97"/>
      <c r="P23" s="97"/>
      <c r="Q23" s="97"/>
      <c r="R23" s="97"/>
      <c r="S23" s="97"/>
      <c r="T23" s="97"/>
      <c r="U23" s="97"/>
      <c r="V23" s="97"/>
      <c r="W23" s="84"/>
      <c r="X23" s="88"/>
      <c r="Y23" s="88"/>
      <c r="Z23" s="88"/>
    </row>
    <row r="24" spans="1:26" ht="23.25" customHeight="1" x14ac:dyDescent="0.2">
      <c r="A24" s="39" t="s">
        <v>13</v>
      </c>
      <c r="B24" s="82">
        <v>5095.3782000000001</v>
      </c>
      <c r="C24" s="25">
        <f t="shared" si="0"/>
        <v>2.1400000000539876E-2</v>
      </c>
      <c r="D24" s="24">
        <f t="shared" si="1"/>
        <v>154.08000000388711</v>
      </c>
      <c r="E24" s="81"/>
      <c r="F24" s="82">
        <v>2789.4625000000001</v>
      </c>
      <c r="G24" s="51">
        <f t="shared" si="4"/>
        <v>1.9499999999879947E-2</v>
      </c>
      <c r="H24" s="50">
        <f t="shared" si="2"/>
        <v>140.39999999913562</v>
      </c>
      <c r="I24" s="52">
        <f t="shared" si="3"/>
        <v>0.91121495324243007</v>
      </c>
      <c r="J24" s="39"/>
      <c r="K24" s="83">
        <v>6.4212359999999995</v>
      </c>
      <c r="L24" s="66"/>
      <c r="M24" s="9"/>
      <c r="N24" s="97"/>
      <c r="O24" s="97"/>
      <c r="P24" s="97"/>
      <c r="Q24" s="97"/>
      <c r="R24" s="97"/>
      <c r="S24" s="97"/>
      <c r="T24" s="97"/>
      <c r="U24" s="97"/>
      <c r="V24" s="97"/>
      <c r="W24" s="84"/>
      <c r="X24" s="88"/>
      <c r="Y24" s="88"/>
      <c r="Z24" s="88"/>
    </row>
    <row r="25" spans="1:26" ht="23.25" customHeight="1" x14ac:dyDescent="0.2">
      <c r="A25" s="39" t="s">
        <v>14</v>
      </c>
      <c r="B25" s="82">
        <v>5095.3995999999997</v>
      </c>
      <c r="C25" s="25">
        <f t="shared" si="0"/>
        <v>2.1399999999630381E-2</v>
      </c>
      <c r="D25" s="24">
        <f t="shared" si="1"/>
        <v>154.07999999733875</v>
      </c>
      <c r="E25" s="81"/>
      <c r="F25" s="82">
        <v>2789.4814000000001</v>
      </c>
      <c r="G25" s="51">
        <f t="shared" si="4"/>
        <v>1.8900000000030559E-2</v>
      </c>
      <c r="H25" s="50">
        <f t="shared" si="2"/>
        <v>136.08000000022002</v>
      </c>
      <c r="I25" s="52">
        <f t="shared" si="3"/>
        <v>0.88317757011014009</v>
      </c>
      <c r="J25" s="39"/>
      <c r="K25" s="83">
        <v>6.3835290000000002</v>
      </c>
      <c r="L25" s="66"/>
      <c r="M25" s="9"/>
      <c r="N25" s="97"/>
      <c r="O25" s="97"/>
      <c r="P25" s="97"/>
      <c r="Q25" s="97"/>
      <c r="R25" s="97"/>
      <c r="S25" s="97"/>
      <c r="T25" s="97"/>
      <c r="U25" s="97"/>
      <c r="V25" s="97"/>
      <c r="W25" s="84"/>
      <c r="X25" s="88"/>
      <c r="Y25" s="88"/>
      <c r="Z25" s="88"/>
    </row>
    <row r="26" spans="1:26" ht="23.25" customHeight="1" x14ac:dyDescent="0.2">
      <c r="A26" s="39" t="s">
        <v>15</v>
      </c>
      <c r="B26" s="82">
        <v>5095.4224000000004</v>
      </c>
      <c r="C26" s="25">
        <f t="shared" si="0"/>
        <v>2.2800000000643195E-2</v>
      </c>
      <c r="D26" s="24">
        <f t="shared" si="1"/>
        <v>164.160000004631</v>
      </c>
      <c r="E26" s="81"/>
      <c r="F26" s="82">
        <v>2789.5010000000002</v>
      </c>
      <c r="G26" s="51">
        <f t="shared" si="4"/>
        <v>1.9600000000082218E-2</v>
      </c>
      <c r="H26" s="50">
        <f t="shared" si="2"/>
        <v>141.12000000059197</v>
      </c>
      <c r="I26" s="52">
        <f t="shared" si="3"/>
        <v>0.85964912278637262</v>
      </c>
      <c r="J26" s="39"/>
      <c r="K26" s="83">
        <v>6.307372</v>
      </c>
      <c r="L26" s="66"/>
      <c r="M26" s="9"/>
      <c r="N26" s="97"/>
      <c r="O26" s="97"/>
      <c r="P26" s="97"/>
      <c r="Q26" s="97"/>
      <c r="R26" s="97"/>
      <c r="S26" s="97"/>
      <c r="T26" s="97"/>
      <c r="U26" s="97"/>
      <c r="V26" s="97"/>
      <c r="W26" s="84"/>
      <c r="X26" s="88"/>
      <c r="Y26" s="88"/>
      <c r="Z26" s="88"/>
    </row>
    <row r="27" spans="1:26" ht="23.25" customHeight="1" x14ac:dyDescent="0.2">
      <c r="A27" s="39" t="s">
        <v>16</v>
      </c>
      <c r="B27" s="82">
        <v>5095.4440999999997</v>
      </c>
      <c r="C27" s="25">
        <f t="shared" si="0"/>
        <v>2.1699999999327702E-2</v>
      </c>
      <c r="D27" s="24">
        <f t="shared" si="1"/>
        <v>156.23999999515945</v>
      </c>
      <c r="E27" s="81"/>
      <c r="F27" s="82">
        <v>2789.5187000000001</v>
      </c>
      <c r="G27" s="51">
        <f t="shared" si="4"/>
        <v>1.7699999999877036E-2</v>
      </c>
      <c r="H27" s="50">
        <f t="shared" si="2"/>
        <v>127.43999999911466</v>
      </c>
      <c r="I27" s="52">
        <f t="shared" si="3"/>
        <v>0.81566820278458108</v>
      </c>
      <c r="J27" s="39"/>
      <c r="K27" s="83">
        <v>6.1862539999999999</v>
      </c>
      <c r="L27" s="66"/>
      <c r="M27" s="9"/>
      <c r="N27" s="97"/>
      <c r="O27" s="97"/>
      <c r="P27" s="97"/>
      <c r="Q27" s="97"/>
      <c r="R27" s="97"/>
      <c r="S27" s="97"/>
      <c r="T27" s="97"/>
      <c r="U27" s="97"/>
      <c r="V27" s="97"/>
      <c r="W27" s="84"/>
      <c r="X27" s="88"/>
      <c r="Y27" s="88"/>
      <c r="Z27" s="88"/>
    </row>
    <row r="28" spans="1:26" ht="23.25" customHeight="1" x14ac:dyDescent="0.2">
      <c r="A28" s="39" t="s">
        <v>17</v>
      </c>
      <c r="B28" s="82">
        <v>5095.4661999999998</v>
      </c>
      <c r="C28" s="25">
        <f t="shared" si="0"/>
        <v>2.2100000000136788E-2</v>
      </c>
      <c r="D28" s="24">
        <f t="shared" si="1"/>
        <v>159.12000000098487</v>
      </c>
      <c r="E28" s="81"/>
      <c r="F28" s="82">
        <v>2789.5364</v>
      </c>
      <c r="G28" s="51">
        <f t="shared" si="4"/>
        <v>1.7699999999877036E-2</v>
      </c>
      <c r="H28" s="50">
        <f t="shared" si="2"/>
        <v>127.43999999911466</v>
      </c>
      <c r="I28" s="52">
        <f t="shared" si="3"/>
        <v>0.8009049773650444</v>
      </c>
      <c r="J28" s="39"/>
      <c r="K28" s="83">
        <v>6.1304610000000004</v>
      </c>
      <c r="L28" s="66"/>
      <c r="M28" s="9"/>
      <c r="N28" s="97"/>
      <c r="O28" s="97"/>
      <c r="P28" s="97"/>
      <c r="Q28" s="97"/>
      <c r="R28" s="97"/>
      <c r="S28" s="97"/>
      <c r="T28" s="97"/>
      <c r="U28" s="97"/>
      <c r="V28" s="97"/>
      <c r="W28" s="84"/>
      <c r="X28" s="88"/>
      <c r="Y28" s="88"/>
      <c r="Z28" s="88"/>
    </row>
    <row r="29" spans="1:26" ht="23.25" customHeight="1" x14ac:dyDescent="0.2">
      <c r="A29" s="39" t="s">
        <v>18</v>
      </c>
      <c r="B29" s="82">
        <v>5095.4879000000001</v>
      </c>
      <c r="C29" s="25">
        <f t="shared" si="0"/>
        <v>2.1700000000237196E-2</v>
      </c>
      <c r="D29" s="24">
        <f t="shared" si="1"/>
        <v>156.24000000170781</v>
      </c>
      <c r="E29" s="81"/>
      <c r="F29" s="82">
        <v>2789.5535</v>
      </c>
      <c r="G29" s="51">
        <f t="shared" si="4"/>
        <v>1.7100000000027649E-2</v>
      </c>
      <c r="H29" s="50">
        <f t="shared" si="2"/>
        <v>123.12000000019907</v>
      </c>
      <c r="I29" s="52">
        <f t="shared" si="3"/>
        <v>0.78801843317238407</v>
      </c>
      <c r="J29" s="39"/>
      <c r="K29" s="83">
        <v>6.1134260000000005</v>
      </c>
      <c r="L29" s="66"/>
      <c r="M29" s="118" t="s">
        <v>95</v>
      </c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23.25" customHeight="1" x14ac:dyDescent="0.2">
      <c r="A30" s="39" t="s">
        <v>19</v>
      </c>
      <c r="B30" s="82">
        <v>5095.5101999999997</v>
      </c>
      <c r="C30" s="25">
        <f t="shared" si="0"/>
        <v>2.2299999999631837E-2</v>
      </c>
      <c r="D30" s="24">
        <f t="shared" si="1"/>
        <v>160.55999999734922</v>
      </c>
      <c r="E30" s="81"/>
      <c r="F30" s="82">
        <v>2789.5709999999999</v>
      </c>
      <c r="G30" s="51">
        <f t="shared" si="4"/>
        <v>1.749999999992724E-2</v>
      </c>
      <c r="H30" s="50">
        <f t="shared" si="2"/>
        <v>125.99999999947613</v>
      </c>
      <c r="I30" s="52">
        <f t="shared" si="3"/>
        <v>0.78475336323839273</v>
      </c>
      <c r="J30" s="39"/>
      <c r="K30" s="83">
        <v>6.0534160000000004</v>
      </c>
      <c r="L30" s="66"/>
      <c r="M30" s="99" t="s">
        <v>97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23.25" customHeight="1" x14ac:dyDescent="0.2">
      <c r="A31" s="39" t="s">
        <v>20</v>
      </c>
      <c r="B31" s="82">
        <v>5095.5313999999998</v>
      </c>
      <c r="C31" s="25">
        <f t="shared" si="0"/>
        <v>2.1200000000135333E-2</v>
      </c>
      <c r="D31" s="24">
        <f t="shared" si="1"/>
        <v>152.6400000009744</v>
      </c>
      <c r="E31" s="81"/>
      <c r="F31" s="82">
        <v>2789.5880000000002</v>
      </c>
      <c r="G31" s="51">
        <f t="shared" si="4"/>
        <v>1.7000000000280124E-2</v>
      </c>
      <c r="H31" s="50">
        <f t="shared" si="2"/>
        <v>122.4000000020169</v>
      </c>
      <c r="I31" s="52">
        <f t="shared" si="3"/>
        <v>0.80188679246092465</v>
      </c>
      <c r="J31" s="39"/>
      <c r="K31" s="83">
        <v>6.1639430000000006</v>
      </c>
      <c r="L31" s="66"/>
      <c r="M31" s="100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179</v>
      </c>
      <c r="W31" s="98"/>
      <c r="X31" s="98"/>
      <c r="Y31" s="98" t="s">
        <v>91</v>
      </c>
      <c r="Z31" s="101"/>
    </row>
    <row r="32" spans="1:26" ht="23.25" customHeight="1" x14ac:dyDescent="0.2">
      <c r="A32" s="39" t="s">
        <v>21</v>
      </c>
      <c r="B32" s="82">
        <v>5095.5529999999999</v>
      </c>
      <c r="C32" s="25">
        <f t="shared" si="0"/>
        <v>2.1600000000034925E-2</v>
      </c>
      <c r="D32" s="24">
        <f t="shared" si="1"/>
        <v>155.52000000025146</v>
      </c>
      <c r="E32" s="81"/>
      <c r="F32" s="82">
        <v>2789.605</v>
      </c>
      <c r="G32" s="51">
        <f t="shared" si="4"/>
        <v>1.6999999999825377E-2</v>
      </c>
      <c r="H32" s="50">
        <f t="shared" si="2"/>
        <v>122.39999999874271</v>
      </c>
      <c r="I32" s="52">
        <f t="shared" si="3"/>
        <v>0.78703703702768013</v>
      </c>
      <c r="J32" s="39"/>
      <c r="K32" s="83">
        <v>6.1232240000000004</v>
      </c>
      <c r="L32" s="66"/>
      <c r="M32" s="95"/>
      <c r="N32" s="89"/>
      <c r="O32" s="89"/>
      <c r="P32" s="89" t="s">
        <v>83</v>
      </c>
      <c r="Q32" s="89"/>
      <c r="R32" s="89" t="s">
        <v>102</v>
      </c>
      <c r="S32" s="89"/>
      <c r="T32" s="89" t="s">
        <v>104</v>
      </c>
      <c r="U32" s="89"/>
      <c r="V32" s="89" t="s">
        <v>105</v>
      </c>
      <c r="W32" s="89"/>
      <c r="X32" s="89"/>
      <c r="Y32" s="89"/>
      <c r="Z32" s="90"/>
    </row>
    <row r="33" spans="1:26" ht="23.25" customHeight="1" x14ac:dyDescent="0.2">
      <c r="A33" s="39" t="s">
        <v>22</v>
      </c>
      <c r="B33" s="82">
        <v>5095.5756000000001</v>
      </c>
      <c r="C33" s="25">
        <f t="shared" si="0"/>
        <v>2.2600000000238651E-2</v>
      </c>
      <c r="D33" s="24">
        <f t="shared" si="1"/>
        <v>162.72000000171829</v>
      </c>
      <c r="E33" s="81"/>
      <c r="F33" s="82">
        <v>2789.6226999999999</v>
      </c>
      <c r="G33" s="51">
        <f t="shared" si="4"/>
        <v>1.7699999999877036E-2</v>
      </c>
      <c r="H33" s="50">
        <f t="shared" si="2"/>
        <v>127.43999999911466</v>
      </c>
      <c r="I33" s="52">
        <f t="shared" si="3"/>
        <v>0.78318584069425345</v>
      </c>
      <c r="J33" s="39"/>
      <c r="K33" s="83">
        <v>6.1162150000000004</v>
      </c>
      <c r="L33" s="66"/>
      <c r="M33" s="95" t="s">
        <v>80</v>
      </c>
      <c r="N33" s="89" t="s">
        <v>99</v>
      </c>
      <c r="O33" s="89"/>
      <c r="P33" s="89" t="s">
        <v>101</v>
      </c>
      <c r="Q33" s="89"/>
      <c r="R33" s="89" t="s">
        <v>69</v>
      </c>
      <c r="S33" s="89"/>
      <c r="T33" s="89" t="s">
        <v>69</v>
      </c>
      <c r="U33" s="89"/>
      <c r="V33" s="89" t="s">
        <v>106</v>
      </c>
      <c r="W33" s="89"/>
      <c r="X33" s="89"/>
      <c r="Y33" s="89"/>
      <c r="Z33" s="90"/>
    </row>
    <row r="34" spans="1:26" ht="23.25" customHeight="1" x14ac:dyDescent="0.2">
      <c r="A34" s="39" t="s">
        <v>23</v>
      </c>
      <c r="B34" s="82">
        <v>5095.5981000000002</v>
      </c>
      <c r="C34" s="25">
        <f t="shared" si="0"/>
        <v>2.250000000003638E-2</v>
      </c>
      <c r="D34" s="24">
        <f t="shared" si="1"/>
        <v>162.00000000026193</v>
      </c>
      <c r="E34" s="81"/>
      <c r="F34" s="82">
        <v>2789.6405</v>
      </c>
      <c r="G34" s="51">
        <f t="shared" si="4"/>
        <v>1.7800000000079308E-2</v>
      </c>
      <c r="H34" s="50">
        <f t="shared" si="2"/>
        <v>128.16000000057102</v>
      </c>
      <c r="I34" s="52">
        <f t="shared" si="3"/>
        <v>0.79111111111335675</v>
      </c>
      <c r="J34" s="39"/>
      <c r="K34" s="83">
        <v>6.1379340000000004</v>
      </c>
      <c r="L34" s="66"/>
      <c r="M34" s="96"/>
      <c r="N34" s="91"/>
      <c r="O34" s="91"/>
      <c r="P34" s="91"/>
      <c r="Q34" s="91"/>
      <c r="R34" s="92"/>
      <c r="S34" s="96"/>
      <c r="T34" s="92"/>
      <c r="U34" s="96"/>
      <c r="V34" s="92"/>
      <c r="W34" s="103"/>
      <c r="X34" s="96"/>
      <c r="Y34" s="91"/>
      <c r="Z34" s="92"/>
    </row>
    <row r="35" spans="1:26" ht="23.25" customHeight="1" x14ac:dyDescent="0.2">
      <c r="A35" s="39" t="s">
        <v>24</v>
      </c>
      <c r="B35" s="82">
        <v>5095.6202999999996</v>
      </c>
      <c r="C35" s="25">
        <f t="shared" si="0"/>
        <v>2.2199999999429565E-2</v>
      </c>
      <c r="D35" s="24">
        <f t="shared" si="1"/>
        <v>159.83999999589287</v>
      </c>
      <c r="E35" s="81"/>
      <c r="F35" s="82">
        <v>2789.6585</v>
      </c>
      <c r="G35" s="51">
        <f t="shared" si="4"/>
        <v>1.8000000000029104E-2</v>
      </c>
      <c r="H35" s="50">
        <f t="shared" si="2"/>
        <v>129.60000000020955</v>
      </c>
      <c r="I35" s="52">
        <f t="shared" si="3"/>
        <v>0.81081081083295581</v>
      </c>
      <c r="J35" s="39"/>
      <c r="K35" s="83">
        <v>6.1765949999999998</v>
      </c>
      <c r="L35" s="66"/>
      <c r="M35" s="9"/>
      <c r="N35" s="97" t="s">
        <v>168</v>
      </c>
      <c r="O35" s="97"/>
      <c r="P35" s="102">
        <v>6</v>
      </c>
      <c r="Q35" s="102"/>
      <c r="R35" s="97">
        <v>250</v>
      </c>
      <c r="S35" s="97"/>
      <c r="T35" s="97"/>
      <c r="U35" s="97"/>
      <c r="V35" s="97"/>
      <c r="W35" s="97"/>
      <c r="X35" s="97"/>
      <c r="Y35" s="97"/>
      <c r="Z35" s="84"/>
    </row>
    <row r="36" spans="1:26" ht="23.25" customHeight="1" x14ac:dyDescent="0.2">
      <c r="A36" s="39" t="s">
        <v>25</v>
      </c>
      <c r="B36" s="82">
        <v>5095.6404000000002</v>
      </c>
      <c r="C36" s="25">
        <f t="shared" si="0"/>
        <v>2.0100000000638829E-2</v>
      </c>
      <c r="D36" s="24">
        <f t="shared" si="1"/>
        <v>144.72000000459957</v>
      </c>
      <c r="E36" s="81"/>
      <c r="F36" s="82">
        <v>2789.6756</v>
      </c>
      <c r="G36" s="51">
        <f t="shared" si="4"/>
        <v>1.7100000000027649E-2</v>
      </c>
      <c r="H36" s="50">
        <f t="shared" si="2"/>
        <v>123.12000000019907</v>
      </c>
      <c r="I36" s="52">
        <f t="shared" si="3"/>
        <v>0.85074626863105307</v>
      </c>
      <c r="J36" s="39"/>
      <c r="K36" s="83">
        <v>6.1998490000000004</v>
      </c>
      <c r="L36" s="66"/>
      <c r="M36" s="9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84"/>
    </row>
    <row r="37" spans="1:26" ht="23.25" customHeight="1" x14ac:dyDescent="0.2">
      <c r="A37" s="39" t="s">
        <v>26</v>
      </c>
      <c r="B37" s="82">
        <v>5095.6589999999997</v>
      </c>
      <c r="C37" s="25">
        <f t="shared" si="0"/>
        <v>1.8599999999423744E-2</v>
      </c>
      <c r="D37" s="24">
        <f t="shared" si="1"/>
        <v>133.91999999585096</v>
      </c>
      <c r="E37" s="81"/>
      <c r="F37" s="82">
        <v>2789.6916999999999</v>
      </c>
      <c r="G37" s="51">
        <f t="shared" si="4"/>
        <v>1.6099999999823922E-2</v>
      </c>
      <c r="H37" s="50">
        <f t="shared" si="2"/>
        <v>115.91999999873224</v>
      </c>
      <c r="I37" s="52">
        <f t="shared" si="3"/>
        <v>0.86559139786681316</v>
      </c>
      <c r="J37" s="39"/>
      <c r="K37" s="83">
        <v>6.2264219999999995</v>
      </c>
      <c r="L37" s="66"/>
      <c r="M37" s="9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84"/>
    </row>
    <row r="38" spans="1:26" ht="23.25" customHeight="1" x14ac:dyDescent="0.2">
      <c r="A38" s="39" t="s">
        <v>27</v>
      </c>
      <c r="B38" s="82">
        <v>5095.6801999999998</v>
      </c>
      <c r="C38" s="25">
        <f t="shared" si="0"/>
        <v>2.1200000000135333E-2</v>
      </c>
      <c r="D38" s="24">
        <f t="shared" si="1"/>
        <v>152.6400000009744</v>
      </c>
      <c r="E38" s="81"/>
      <c r="F38" s="82">
        <v>2789.7103999999999</v>
      </c>
      <c r="G38" s="51">
        <f t="shared" si="4"/>
        <v>1.8700000000080763E-2</v>
      </c>
      <c r="H38" s="50">
        <f t="shared" si="2"/>
        <v>134.64000000058149</v>
      </c>
      <c r="I38" s="52">
        <f t="shared" si="3"/>
        <v>0.88207547169629197</v>
      </c>
      <c r="J38" s="39"/>
      <c r="K38" s="83">
        <v>6.1197910000000002</v>
      </c>
      <c r="L38" s="66"/>
      <c r="M38" s="9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84"/>
    </row>
    <row r="39" spans="1:26" ht="23.25" customHeight="1" x14ac:dyDescent="0.2">
      <c r="A39" s="39" t="s">
        <v>28</v>
      </c>
      <c r="B39" s="82">
        <v>5095.7004999999999</v>
      </c>
      <c r="C39" s="25">
        <f t="shared" si="0"/>
        <v>2.0300000000133878E-2</v>
      </c>
      <c r="D39" s="24">
        <f t="shared" si="1"/>
        <v>146.16000000096392</v>
      </c>
      <c r="E39" s="81"/>
      <c r="F39" s="82">
        <v>2789.7285000000002</v>
      </c>
      <c r="G39" s="51">
        <f t="shared" si="4"/>
        <v>1.8100000000231375E-2</v>
      </c>
      <c r="H39" s="50">
        <f t="shared" si="2"/>
        <v>130.3200000016659</v>
      </c>
      <c r="I39" s="52">
        <f t="shared" si="3"/>
        <v>0.89162561576906441</v>
      </c>
      <c r="J39" s="39"/>
      <c r="K39" s="83">
        <v>6.2799110000000002</v>
      </c>
      <c r="L39" s="66"/>
      <c r="M39" s="9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84"/>
    </row>
    <row r="40" spans="1:26" ht="23.25" customHeight="1" x14ac:dyDescent="0.2">
      <c r="A40" s="39" t="s">
        <v>29</v>
      </c>
      <c r="B40" s="82">
        <v>5095.7222000000002</v>
      </c>
      <c r="C40" s="25">
        <f t="shared" si="0"/>
        <v>2.1700000000237196E-2</v>
      </c>
      <c r="D40" s="24">
        <f t="shared" si="1"/>
        <v>156.24000000170781</v>
      </c>
      <c r="E40" s="81"/>
      <c r="F40" s="82">
        <v>2789.7467000000001</v>
      </c>
      <c r="G40" s="51">
        <f t="shared" si="4"/>
        <v>1.81999999999789E-2</v>
      </c>
      <c r="H40" s="50">
        <f t="shared" si="2"/>
        <v>131.03999999984808</v>
      </c>
      <c r="I40" s="52">
        <f t="shared" si="3"/>
        <v>0.83870967740921476</v>
      </c>
      <c r="J40" s="39"/>
      <c r="K40" s="83">
        <v>6.2458980000000004</v>
      </c>
      <c r="L40" s="66"/>
      <c r="M40" s="99" t="s">
        <v>109</v>
      </c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ht="23.25" customHeight="1" x14ac:dyDescent="0.2">
      <c r="A41" s="39" t="s">
        <v>30</v>
      </c>
      <c r="B41" s="82">
        <v>5095.7440999999999</v>
      </c>
      <c r="C41" s="25">
        <f t="shared" si="0"/>
        <v>2.1899999999732245E-2</v>
      </c>
      <c r="D41" s="24">
        <f t="shared" si="1"/>
        <v>157.67999999807216</v>
      </c>
      <c r="E41" s="81"/>
      <c r="F41" s="82">
        <v>2789.7647999999999</v>
      </c>
      <c r="G41" s="51">
        <f t="shared" si="4"/>
        <v>1.8099999999776628E-2</v>
      </c>
      <c r="H41" s="50">
        <f t="shared" si="2"/>
        <v>130.31999999839172</v>
      </c>
      <c r="I41" s="52">
        <f t="shared" si="3"/>
        <v>0.82648401826474538</v>
      </c>
      <c r="J41" s="39"/>
      <c r="K41" s="83">
        <v>6.2302209999999993</v>
      </c>
      <c r="L41" s="66"/>
      <c r="M41" s="100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1"/>
    </row>
    <row r="42" spans="1:26" ht="23.25" customHeight="1" x14ac:dyDescent="0.2">
      <c r="A42" s="39" t="s">
        <v>31</v>
      </c>
      <c r="B42" s="82">
        <v>5095.7655999999997</v>
      </c>
      <c r="C42" s="25">
        <f t="shared" si="0"/>
        <v>2.1499999999832653E-2</v>
      </c>
      <c r="D42" s="24">
        <f t="shared" si="1"/>
        <v>154.7999999987951</v>
      </c>
      <c r="E42" s="81"/>
      <c r="F42" s="82">
        <v>2789.7829000000002</v>
      </c>
      <c r="G42" s="51">
        <f t="shared" si="4"/>
        <v>1.8100000000231375E-2</v>
      </c>
      <c r="H42" s="50">
        <f t="shared" si="2"/>
        <v>130.3200000016659</v>
      </c>
      <c r="I42" s="52">
        <f t="shared" si="3"/>
        <v>0.84186046513359336</v>
      </c>
      <c r="J42" s="39"/>
      <c r="K42" s="83">
        <v>6.2690010000000003</v>
      </c>
      <c r="L42" s="66"/>
      <c r="M42" s="95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90"/>
    </row>
    <row r="43" spans="1:26" ht="22.5" customHeight="1" x14ac:dyDescent="0.2">
      <c r="A43" s="178" t="s">
        <v>70</v>
      </c>
      <c r="B43" s="178"/>
      <c r="C43" s="178"/>
      <c r="D43" s="50">
        <f>SUM(D18:D42)</f>
        <v>3720.95999999583</v>
      </c>
      <c r="E43" s="39"/>
      <c r="F43" s="54"/>
      <c r="G43" s="60"/>
      <c r="H43" s="50">
        <f>SUM(H18:H42)</f>
        <v>3118.320000001404</v>
      </c>
      <c r="I43" s="52">
        <f>IF(AND(H43=0,D43=0),0,H43/D43)</f>
        <v>0.83804179566695114</v>
      </c>
      <c r="J43" s="39"/>
      <c r="K43" s="69"/>
      <c r="L43" s="66"/>
      <c r="M43" s="95" t="s">
        <v>80</v>
      </c>
      <c r="N43" s="89" t="s">
        <v>99</v>
      </c>
      <c r="O43" s="89"/>
      <c r="P43" s="89" t="s">
        <v>110</v>
      </c>
      <c r="Q43" s="89"/>
      <c r="R43" s="89"/>
      <c r="S43" s="89"/>
      <c r="T43" s="89"/>
      <c r="U43" s="89"/>
      <c r="V43" s="89"/>
      <c r="W43" s="89"/>
      <c r="X43" s="89" t="s">
        <v>110</v>
      </c>
      <c r="Y43" s="89"/>
      <c r="Z43" s="90"/>
    </row>
    <row r="44" spans="1:26" ht="22.5" customHeight="1" x14ac:dyDescent="0.2">
      <c r="A44" s="164" t="s">
        <v>71</v>
      </c>
      <c r="B44" s="164"/>
      <c r="C44" s="164"/>
      <c r="D44" s="61"/>
      <c r="E44" s="61"/>
      <c r="F44" s="62"/>
      <c r="G44" s="39"/>
      <c r="H44" s="39"/>
      <c r="I44" s="39"/>
      <c r="J44" s="39"/>
      <c r="K44" s="69"/>
      <c r="L44" s="66"/>
      <c r="M44" s="96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2"/>
    </row>
    <row r="45" spans="1:26" ht="22.5" customHeight="1" x14ac:dyDescent="0.2">
      <c r="A45" s="64"/>
      <c r="B45" s="67"/>
      <c r="C45" s="67"/>
      <c r="D45" s="67"/>
      <c r="E45" s="67"/>
      <c r="F45" s="67"/>
      <c r="G45" s="67"/>
      <c r="H45" s="67"/>
      <c r="I45" s="67"/>
      <c r="J45" s="68"/>
      <c r="K45" s="68"/>
      <c r="L45" s="68"/>
      <c r="M45" s="9"/>
      <c r="N45" s="84"/>
      <c r="O45" s="85"/>
      <c r="P45" s="84"/>
      <c r="Q45" s="88"/>
      <c r="R45" s="85"/>
      <c r="S45" s="7"/>
      <c r="T45" s="84"/>
      <c r="U45" s="88"/>
      <c r="V45" s="88"/>
      <c r="W45" s="85"/>
      <c r="X45" s="84"/>
      <c r="Y45" s="88"/>
      <c r="Z45" s="88"/>
    </row>
    <row r="46" spans="1:26" ht="22.5" customHeight="1" x14ac:dyDescent="0.2">
      <c r="A46" s="183" t="s">
        <v>72</v>
      </c>
      <c r="B46" s="183"/>
      <c r="C46" s="183"/>
      <c r="D46" s="183"/>
      <c r="E46" s="183"/>
      <c r="F46" s="183"/>
      <c r="G46" s="184" t="s">
        <v>73</v>
      </c>
      <c r="H46" s="184"/>
      <c r="I46" s="184"/>
      <c r="J46" s="184"/>
      <c r="K46" s="184"/>
      <c r="L46" s="184"/>
      <c r="M46" s="9"/>
      <c r="N46" s="84"/>
      <c r="O46" s="85"/>
      <c r="P46" s="84"/>
      <c r="Q46" s="88"/>
      <c r="R46" s="85"/>
      <c r="S46" s="7"/>
      <c r="T46" s="84"/>
      <c r="U46" s="88"/>
      <c r="V46" s="88"/>
      <c r="W46" s="85"/>
      <c r="X46" s="84"/>
      <c r="Y46" s="88"/>
      <c r="Z46" s="88"/>
    </row>
    <row r="47" spans="1:26" ht="22.5" customHeight="1" x14ac:dyDescent="0.2">
      <c r="A47" s="117" t="s">
        <v>371</v>
      </c>
      <c r="B47" s="117"/>
      <c r="C47" s="117"/>
      <c r="D47" s="108" t="s">
        <v>74</v>
      </c>
      <c r="E47" s="108"/>
      <c r="F47" s="108"/>
      <c r="G47" s="67"/>
      <c r="H47" s="67"/>
      <c r="I47" s="67"/>
      <c r="J47" s="67"/>
      <c r="K47" s="67"/>
      <c r="L47" s="67"/>
      <c r="M47" s="9"/>
      <c r="N47" s="84"/>
      <c r="O47" s="85"/>
      <c r="P47" s="84"/>
      <c r="Q47" s="88"/>
      <c r="R47" s="85"/>
      <c r="S47" s="7"/>
      <c r="T47" s="84"/>
      <c r="U47" s="88"/>
      <c r="V47" s="88"/>
      <c r="W47" s="85"/>
      <c r="X47" s="84"/>
      <c r="Y47" s="88"/>
      <c r="Z47" s="88"/>
    </row>
    <row r="48" spans="1:26" ht="22.5" customHeight="1" x14ac:dyDescent="0.2">
      <c r="A48" s="148" t="s">
        <v>75</v>
      </c>
      <c r="B48" s="148"/>
      <c r="C48" s="148"/>
      <c r="D48" s="147" t="s">
        <v>76</v>
      </c>
      <c r="E48" s="147"/>
      <c r="F48" s="147"/>
      <c r="G48" s="64"/>
      <c r="H48" s="64"/>
      <c r="I48" s="64"/>
      <c r="J48" s="64"/>
      <c r="K48" s="64"/>
      <c r="L48" s="64"/>
    </row>
    <row r="49" spans="1:23" ht="22.5" customHeight="1" x14ac:dyDescent="0.2">
      <c r="A49" s="117" t="s">
        <v>372</v>
      </c>
      <c r="B49" s="117"/>
      <c r="C49" s="117"/>
      <c r="D49" s="108" t="s">
        <v>74</v>
      </c>
      <c r="E49" s="108"/>
      <c r="F49" s="108"/>
      <c r="G49" s="64"/>
      <c r="H49" s="155" t="s">
        <v>183</v>
      </c>
      <c r="I49" s="155"/>
      <c r="J49" s="155"/>
      <c r="K49" s="183" t="s">
        <v>77</v>
      </c>
      <c r="L49" s="183"/>
      <c r="N49" s="150" t="s">
        <v>150</v>
      </c>
      <c r="O49" s="150"/>
      <c r="P49" s="150"/>
      <c r="Q49" s="149" t="s">
        <v>370</v>
      </c>
      <c r="R49" s="149"/>
      <c r="S49" s="149"/>
      <c r="T49" s="149"/>
      <c r="U49" s="149"/>
      <c r="V49" s="149"/>
      <c r="W49" s="1"/>
    </row>
    <row r="50" spans="1:23" ht="22.5" customHeight="1" x14ac:dyDescent="0.2">
      <c r="A50" s="148" t="s">
        <v>75</v>
      </c>
      <c r="B50" s="148"/>
      <c r="C50" s="148"/>
      <c r="D50" s="147" t="s">
        <v>76</v>
      </c>
      <c r="E50" s="147"/>
      <c r="F50" s="147"/>
      <c r="G50" s="75"/>
      <c r="H50" s="185" t="s">
        <v>75</v>
      </c>
      <c r="I50" s="185"/>
      <c r="J50" s="185"/>
      <c r="K50" s="185" t="s">
        <v>76</v>
      </c>
      <c r="L50" s="185"/>
      <c r="S50" s="146" t="s">
        <v>76</v>
      </c>
      <c r="T50" s="146"/>
    </row>
    <row r="51" spans="1:23" ht="20.100000000000001" customHeight="1" x14ac:dyDescent="0.2">
      <c r="A51" s="117" t="s">
        <v>373</v>
      </c>
      <c r="B51" s="117"/>
      <c r="C51" s="117"/>
      <c r="D51" s="108" t="s">
        <v>74</v>
      </c>
      <c r="E51" s="108"/>
      <c r="F51" s="108"/>
      <c r="G51" s="64"/>
      <c r="H51" s="64"/>
      <c r="I51" s="64"/>
      <c r="J51" s="64"/>
      <c r="K51" s="64"/>
      <c r="L51" s="64"/>
    </row>
    <row r="52" spans="1:23" ht="20.100000000000001" customHeight="1" x14ac:dyDescent="0.2">
      <c r="A52" s="147" t="s">
        <v>75</v>
      </c>
      <c r="B52" s="147"/>
      <c r="C52" s="147"/>
      <c r="D52" s="146" t="s">
        <v>76</v>
      </c>
      <c r="E52" s="146"/>
      <c r="F52" s="146"/>
      <c r="G52" s="63"/>
      <c r="H52" s="63"/>
      <c r="I52" s="64"/>
      <c r="J52" s="64"/>
      <c r="K52" s="64"/>
      <c r="L52" s="64"/>
    </row>
  </sheetData>
  <sheetProtection sheet="1" objects="1" scenarios="1"/>
  <mergeCells count="258"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  <mergeCell ref="T46:W46"/>
    <mergeCell ref="T47:W47"/>
    <mergeCell ref="N43:O44"/>
    <mergeCell ref="P43:R44"/>
    <mergeCell ref="R39:S39"/>
    <mergeCell ref="T39:U39"/>
    <mergeCell ref="V39:X39"/>
    <mergeCell ref="Y39:Z39"/>
    <mergeCell ref="S41:S44"/>
    <mergeCell ref="T41:W44"/>
    <mergeCell ref="X41:Z42"/>
    <mergeCell ref="X43:Z44"/>
    <mergeCell ref="Y37:Z37"/>
    <mergeCell ref="V38:X38"/>
    <mergeCell ref="Y38:Z38"/>
    <mergeCell ref="Y35:Z35"/>
    <mergeCell ref="N36:O36"/>
    <mergeCell ref="P36:Q36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N37:O37"/>
    <mergeCell ref="P37:Q37"/>
    <mergeCell ref="R37:S37"/>
    <mergeCell ref="T37:U37"/>
    <mergeCell ref="N38:O38"/>
    <mergeCell ref="P38:Q38"/>
    <mergeCell ref="R38:S38"/>
    <mergeCell ref="T38:U38"/>
    <mergeCell ref="T11:U11"/>
    <mergeCell ref="T12:U12"/>
    <mergeCell ref="T13:U13"/>
    <mergeCell ref="N18:P19"/>
    <mergeCell ref="N23:P23"/>
    <mergeCell ref="N27:P27"/>
    <mergeCell ref="Q27:S27"/>
    <mergeCell ref="T27:V27"/>
    <mergeCell ref="V37:X37"/>
    <mergeCell ref="R34:S34"/>
    <mergeCell ref="T34:U34"/>
    <mergeCell ref="V34:X34"/>
    <mergeCell ref="Q26:S26"/>
    <mergeCell ref="N28:P28"/>
    <mergeCell ref="Q28:S28"/>
    <mergeCell ref="T28:V28"/>
    <mergeCell ref="N26:P26"/>
    <mergeCell ref="N25:P25"/>
    <mergeCell ref="Q25:S25"/>
    <mergeCell ref="T25:V25"/>
    <mergeCell ref="W25:Z25"/>
    <mergeCell ref="Q23:S23"/>
    <mergeCell ref="T23:V23"/>
    <mergeCell ref="W18:Z21"/>
    <mergeCell ref="T26:V26"/>
    <mergeCell ref="N24:P24"/>
    <mergeCell ref="Q24:S24"/>
    <mergeCell ref="W26:Z26"/>
    <mergeCell ref="W23:Z23"/>
    <mergeCell ref="W24:Z24"/>
    <mergeCell ref="N22:P22"/>
    <mergeCell ref="M18:M19"/>
    <mergeCell ref="M20:M21"/>
    <mergeCell ref="Q22:S22"/>
    <mergeCell ref="T22:V22"/>
    <mergeCell ref="Q18:S18"/>
    <mergeCell ref="N20:P21"/>
    <mergeCell ref="T18:V19"/>
    <mergeCell ref="Q19:S19"/>
    <mergeCell ref="Q20:S20"/>
    <mergeCell ref="V9:W9"/>
    <mergeCell ref="R10:S10"/>
    <mergeCell ref="T8:U8"/>
    <mergeCell ref="T9:U9"/>
    <mergeCell ref="T10:U10"/>
    <mergeCell ref="W28:Z28"/>
    <mergeCell ref="T24:V24"/>
    <mergeCell ref="W22:Z22"/>
    <mergeCell ref="T20:V21"/>
    <mergeCell ref="Q21:S21"/>
    <mergeCell ref="W27:Z27"/>
    <mergeCell ref="X9:Z9"/>
    <mergeCell ref="X10:Z10"/>
    <mergeCell ref="X11:Z11"/>
    <mergeCell ref="X12:Z12"/>
    <mergeCell ref="X13:Z13"/>
    <mergeCell ref="X14:Z14"/>
    <mergeCell ref="X15:Z15"/>
    <mergeCell ref="X16:Z16"/>
    <mergeCell ref="V14:W14"/>
    <mergeCell ref="V11:W11"/>
    <mergeCell ref="V12:W12"/>
    <mergeCell ref="V13:W13"/>
    <mergeCell ref="V10:W10"/>
    <mergeCell ref="X8:Z8"/>
    <mergeCell ref="R16:S16"/>
    <mergeCell ref="V15:W15"/>
    <mergeCell ref="V16:W16"/>
    <mergeCell ref="T16:U16"/>
    <mergeCell ref="T7:U7"/>
    <mergeCell ref="N7:O7"/>
    <mergeCell ref="V7:W7"/>
    <mergeCell ref="P11:Q11"/>
    <mergeCell ref="R7:S7"/>
    <mergeCell ref="R8:S8"/>
    <mergeCell ref="R9:S9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V8:W8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31:M32"/>
    <mergeCell ref="T33:U33"/>
    <mergeCell ref="R31:S31"/>
    <mergeCell ref="R32:S32"/>
    <mergeCell ref="N31:O32"/>
    <mergeCell ref="N33:O34"/>
    <mergeCell ref="P31:Q31"/>
    <mergeCell ref="P32:Q32"/>
    <mergeCell ref="P33:Q33"/>
    <mergeCell ref="P34:Q34"/>
    <mergeCell ref="H10:L10"/>
    <mergeCell ref="J16:J17"/>
    <mergeCell ref="K16:K17"/>
    <mergeCell ref="A13:A17"/>
    <mergeCell ref="N10:O10"/>
    <mergeCell ref="N11:O11"/>
    <mergeCell ref="P7:Q7"/>
    <mergeCell ref="P8:Q8"/>
    <mergeCell ref="P9:Q9"/>
    <mergeCell ref="P10:Q10"/>
    <mergeCell ref="N8:O8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N9:O9"/>
    <mergeCell ref="P16:Q16"/>
    <mergeCell ref="M17:Z17"/>
    <mergeCell ref="X7:Z7"/>
    <mergeCell ref="A51:C51"/>
    <mergeCell ref="A52:C52"/>
    <mergeCell ref="D52:F52"/>
    <mergeCell ref="D51:F51"/>
    <mergeCell ref="A44:C44"/>
    <mergeCell ref="D47:F47"/>
    <mergeCell ref="H49:J49"/>
    <mergeCell ref="K49:L49"/>
    <mergeCell ref="A7:L7"/>
    <mergeCell ref="F13:G13"/>
    <mergeCell ref="I11:L11"/>
    <mergeCell ref="B14:C14"/>
    <mergeCell ref="D14:E14"/>
    <mergeCell ref="A8:L8"/>
    <mergeCell ref="H50:J50"/>
    <mergeCell ref="K50:L50"/>
    <mergeCell ref="D49:F49"/>
    <mergeCell ref="A48:C48"/>
    <mergeCell ref="A49:C49"/>
    <mergeCell ref="A50:C50"/>
    <mergeCell ref="D50:F50"/>
    <mergeCell ref="D48:F48"/>
    <mergeCell ref="A47:C47"/>
    <mergeCell ref="D13:E13"/>
    <mergeCell ref="G1:H2"/>
    <mergeCell ref="A9:L9"/>
    <mergeCell ref="G46:L46"/>
    <mergeCell ref="G3:H4"/>
    <mergeCell ref="I3:L4"/>
    <mergeCell ref="A1:F1"/>
    <mergeCell ref="A2:F2"/>
    <mergeCell ref="A3:F3"/>
    <mergeCell ref="A4:F4"/>
    <mergeCell ref="A5:F5"/>
    <mergeCell ref="A6:F6"/>
    <mergeCell ref="F14:G14"/>
    <mergeCell ref="F15:G15"/>
    <mergeCell ref="A11:D11"/>
    <mergeCell ref="E11:H11"/>
    <mergeCell ref="A10:D10"/>
    <mergeCell ref="E10:G10"/>
    <mergeCell ref="A43:C43"/>
    <mergeCell ref="E16:E17"/>
    <mergeCell ref="B15:C15"/>
    <mergeCell ref="D15:E15"/>
    <mergeCell ref="B13:C13"/>
    <mergeCell ref="A46:F46"/>
    <mergeCell ref="A12:L1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1:Z52"/>
  <sheetViews>
    <sheetView view="pageBreakPreview" topLeftCell="A9" zoomScale="75" zoomScaleNormal="50" zoomScaleSheetLayoutView="75" workbookViewId="0">
      <selection activeCell="K19" sqref="K19:K42"/>
    </sheetView>
  </sheetViews>
  <sheetFormatPr defaultRowHeight="18.75" x14ac:dyDescent="0.2"/>
  <cols>
    <col min="1" max="1" width="11.140625" style="2" customWidth="1"/>
    <col min="2" max="2" width="15.8554687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9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4" t="s">
        <v>157</v>
      </c>
      <c r="B1" s="94"/>
      <c r="C1" s="94"/>
      <c r="D1" s="94"/>
      <c r="E1" s="94"/>
      <c r="F1" s="94"/>
      <c r="G1" s="123" t="s">
        <v>154</v>
      </c>
      <c r="H1" s="123"/>
      <c r="I1" s="94" t="s">
        <v>160</v>
      </c>
      <c r="J1" s="94"/>
      <c r="K1" s="94"/>
      <c r="L1" s="94"/>
      <c r="M1" s="99" t="s">
        <v>96</v>
      </c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ht="21.75" customHeight="1" x14ac:dyDescent="0.2">
      <c r="A2" s="119" t="s">
        <v>45</v>
      </c>
      <c r="B2" s="119"/>
      <c r="C2" s="119"/>
      <c r="D2" s="119"/>
      <c r="E2" s="119"/>
      <c r="F2" s="119"/>
      <c r="G2" s="123"/>
      <c r="H2" s="123"/>
      <c r="I2" s="94"/>
      <c r="J2" s="94"/>
      <c r="K2" s="94"/>
      <c r="L2" s="94"/>
      <c r="M2" s="99" t="s">
        <v>78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ht="21.75" customHeight="1" x14ac:dyDescent="0.2">
      <c r="A3" s="94" t="s">
        <v>158</v>
      </c>
      <c r="B3" s="120"/>
      <c r="C3" s="120"/>
      <c r="D3" s="120"/>
      <c r="E3" s="120"/>
      <c r="F3" s="120"/>
      <c r="G3" s="123" t="s">
        <v>155</v>
      </c>
      <c r="H3" s="123"/>
      <c r="I3" s="94" t="s">
        <v>200</v>
      </c>
      <c r="J3" s="94"/>
      <c r="K3" s="94"/>
      <c r="L3" s="94"/>
      <c r="M3" s="100" t="s">
        <v>79</v>
      </c>
      <c r="N3" s="101" t="s">
        <v>81</v>
      </c>
      <c r="O3" s="100"/>
      <c r="P3" s="101" t="s">
        <v>65</v>
      </c>
      <c r="Q3" s="100"/>
      <c r="R3" s="101" t="s">
        <v>82</v>
      </c>
      <c r="S3" s="100"/>
      <c r="T3" s="101" t="s">
        <v>85</v>
      </c>
      <c r="U3" s="100"/>
      <c r="V3" s="101" t="s">
        <v>87</v>
      </c>
      <c r="W3" s="100"/>
      <c r="X3" s="86" t="s">
        <v>91</v>
      </c>
      <c r="Y3" s="105"/>
      <c r="Z3" s="105"/>
    </row>
    <row r="4" spans="1:26" ht="29.25" customHeight="1" x14ac:dyDescent="0.2">
      <c r="A4" s="119" t="s">
        <v>46</v>
      </c>
      <c r="B4" s="119"/>
      <c r="C4" s="119"/>
      <c r="D4" s="119"/>
      <c r="E4" s="119"/>
      <c r="F4" s="119"/>
      <c r="G4" s="123"/>
      <c r="H4" s="123"/>
      <c r="I4" s="94"/>
      <c r="J4" s="94"/>
      <c r="K4" s="94"/>
      <c r="L4" s="94"/>
      <c r="M4" s="95"/>
      <c r="N4" s="90"/>
      <c r="O4" s="95"/>
      <c r="P4" s="90"/>
      <c r="Q4" s="95"/>
      <c r="R4" s="90" t="s">
        <v>83</v>
      </c>
      <c r="S4" s="95"/>
      <c r="T4" s="90" t="s">
        <v>86</v>
      </c>
      <c r="U4" s="95"/>
      <c r="V4" s="90" t="s">
        <v>88</v>
      </c>
      <c r="W4" s="95"/>
      <c r="X4" s="86"/>
      <c r="Y4" s="105"/>
      <c r="Z4" s="105"/>
    </row>
    <row r="5" spans="1:26" ht="21.75" customHeight="1" x14ac:dyDescent="0.2">
      <c r="A5" s="94" t="s">
        <v>177</v>
      </c>
      <c r="B5" s="120"/>
      <c r="C5" s="120"/>
      <c r="D5" s="120"/>
      <c r="E5" s="120"/>
      <c r="F5" s="120"/>
      <c r="G5" s="123" t="s">
        <v>156</v>
      </c>
      <c r="H5" s="123"/>
      <c r="I5" s="94" t="s">
        <v>238</v>
      </c>
      <c r="J5" s="94"/>
      <c r="K5" s="94"/>
      <c r="L5" s="94"/>
      <c r="M5" s="95" t="s">
        <v>80</v>
      </c>
      <c r="N5" s="90"/>
      <c r="O5" s="95"/>
      <c r="P5" s="90" t="s">
        <v>182</v>
      </c>
      <c r="Q5" s="95"/>
      <c r="R5" s="106" t="s">
        <v>84</v>
      </c>
      <c r="S5" s="107"/>
      <c r="T5" s="106" t="s">
        <v>84</v>
      </c>
      <c r="U5" s="107"/>
      <c r="V5" s="90" t="s">
        <v>89</v>
      </c>
      <c r="W5" s="95"/>
      <c r="X5" s="86"/>
      <c r="Y5" s="105"/>
      <c r="Z5" s="105"/>
    </row>
    <row r="6" spans="1:26" ht="21.75" customHeight="1" x14ac:dyDescent="0.2">
      <c r="A6" s="119" t="s">
        <v>47</v>
      </c>
      <c r="B6" s="119"/>
      <c r="C6" s="119"/>
      <c r="D6" s="119"/>
      <c r="E6" s="119"/>
      <c r="F6" s="119"/>
      <c r="G6" s="123"/>
      <c r="H6" s="123"/>
      <c r="I6" s="94"/>
      <c r="J6" s="94"/>
      <c r="K6" s="94"/>
      <c r="L6" s="94"/>
      <c r="M6" s="96"/>
      <c r="N6" s="92"/>
      <c r="O6" s="96"/>
      <c r="P6" s="92"/>
      <c r="Q6" s="96"/>
      <c r="R6" s="92"/>
      <c r="S6" s="96"/>
      <c r="T6" s="92"/>
      <c r="U6" s="96"/>
      <c r="V6" s="92" t="s">
        <v>90</v>
      </c>
      <c r="W6" s="96"/>
      <c r="X6" s="86"/>
      <c r="Y6" s="105"/>
      <c r="Z6" s="105"/>
    </row>
    <row r="7" spans="1:26" ht="21.75" customHeight="1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84"/>
      <c r="O7" s="85"/>
      <c r="P7" s="84"/>
      <c r="Q7" s="85"/>
      <c r="R7" s="84"/>
      <c r="S7" s="85"/>
      <c r="T7" s="84"/>
      <c r="U7" s="85"/>
      <c r="V7" s="84"/>
      <c r="W7" s="85"/>
      <c r="X7" s="84"/>
      <c r="Y7" s="88"/>
      <c r="Z7" s="88"/>
    </row>
    <row r="8" spans="1:26" ht="22.5" customHeight="1" x14ac:dyDescent="0.2">
      <c r="A8" s="116" t="s">
        <v>48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84"/>
      <c r="O8" s="85"/>
      <c r="P8" s="84"/>
      <c r="Q8" s="85"/>
      <c r="R8" s="84"/>
      <c r="S8" s="85"/>
      <c r="T8" s="84"/>
      <c r="U8" s="85"/>
      <c r="V8" s="84"/>
      <c r="W8" s="85"/>
      <c r="X8" s="84"/>
      <c r="Y8" s="88"/>
      <c r="Z8" s="88"/>
    </row>
    <row r="9" spans="1:26" ht="22.5" customHeight="1" x14ac:dyDescent="0.2">
      <c r="A9" s="129" t="s">
        <v>49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9"/>
      <c r="N9" s="84"/>
      <c r="O9" s="85"/>
      <c r="P9" s="84"/>
      <c r="Q9" s="85"/>
      <c r="R9" s="84"/>
      <c r="S9" s="85"/>
      <c r="T9" s="84"/>
      <c r="U9" s="85"/>
      <c r="V9" s="84"/>
      <c r="W9" s="85"/>
      <c r="X9" s="84"/>
      <c r="Y9" s="88"/>
      <c r="Z9" s="88"/>
    </row>
    <row r="10" spans="1:26" ht="22.5" customHeight="1" x14ac:dyDescent="0.2">
      <c r="A10" s="124" t="s">
        <v>112</v>
      </c>
      <c r="B10" s="124"/>
      <c r="C10" s="124"/>
      <c r="D10" s="124"/>
      <c r="E10" s="135" t="s">
        <v>375</v>
      </c>
      <c r="F10" s="136"/>
      <c r="G10" s="136"/>
      <c r="H10" s="111" t="s">
        <v>376</v>
      </c>
      <c r="I10" s="111"/>
      <c r="J10" s="111"/>
      <c r="K10" s="111"/>
      <c r="L10" s="111"/>
      <c r="M10" s="9"/>
      <c r="N10" s="84"/>
      <c r="O10" s="85"/>
      <c r="P10" s="84"/>
      <c r="Q10" s="85"/>
      <c r="R10" s="84"/>
      <c r="S10" s="85"/>
      <c r="T10" s="84"/>
      <c r="U10" s="85"/>
      <c r="V10" s="84"/>
      <c r="W10" s="85"/>
      <c r="X10" s="84"/>
      <c r="Y10" s="88"/>
      <c r="Z10" s="88"/>
    </row>
    <row r="11" spans="1:26" ht="22.5" customHeight="1" x14ac:dyDescent="0.2">
      <c r="A11" s="124" t="s">
        <v>113</v>
      </c>
      <c r="B11" s="124"/>
      <c r="C11" s="124"/>
      <c r="D11" s="124"/>
      <c r="E11" s="134" t="s">
        <v>224</v>
      </c>
      <c r="F11" s="134"/>
      <c r="G11" s="134"/>
      <c r="H11" s="134"/>
      <c r="I11" s="111" t="s">
        <v>114</v>
      </c>
      <c r="J11" s="111"/>
      <c r="K11" s="111"/>
      <c r="L11" s="111"/>
      <c r="M11" s="9"/>
      <c r="N11" s="84"/>
      <c r="O11" s="85"/>
      <c r="P11" s="84"/>
      <c r="Q11" s="85"/>
      <c r="R11" s="84"/>
      <c r="S11" s="85"/>
      <c r="T11" s="84"/>
      <c r="U11" s="85"/>
      <c r="V11" s="84"/>
      <c r="W11" s="85"/>
      <c r="X11" s="84"/>
      <c r="Y11" s="88"/>
      <c r="Z11" s="88"/>
    </row>
    <row r="12" spans="1:26" ht="21.75" customHeight="1" x14ac:dyDescent="0.2">
      <c r="A12" s="188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88"/>
      <c r="M12" s="9"/>
      <c r="N12" s="84"/>
      <c r="O12" s="85"/>
      <c r="P12" s="84"/>
      <c r="Q12" s="85"/>
      <c r="R12" s="84"/>
      <c r="S12" s="85"/>
      <c r="T12" s="84"/>
      <c r="U12" s="85"/>
      <c r="V12" s="84"/>
      <c r="W12" s="85"/>
      <c r="X12" s="84"/>
      <c r="Y12" s="88"/>
      <c r="Z12" s="88"/>
    </row>
    <row r="13" spans="1:26" ht="21.75" customHeight="1" x14ac:dyDescent="0.2">
      <c r="A13" s="171" t="s">
        <v>50</v>
      </c>
      <c r="B13" s="157" t="s">
        <v>56</v>
      </c>
      <c r="C13" s="157"/>
      <c r="D13" s="165" t="s">
        <v>255</v>
      </c>
      <c r="E13" s="166"/>
      <c r="F13" s="156" t="s">
        <v>59</v>
      </c>
      <c r="G13" s="157"/>
      <c r="H13" s="40" t="s">
        <v>255</v>
      </c>
      <c r="I13" s="168" t="s">
        <v>5</v>
      </c>
      <c r="J13" s="156" t="s">
        <v>60</v>
      </c>
      <c r="K13" s="157"/>
      <c r="L13" s="45" t="s">
        <v>65</v>
      </c>
      <c r="M13" s="9"/>
      <c r="N13" s="84"/>
      <c r="O13" s="85"/>
      <c r="P13" s="84"/>
      <c r="Q13" s="85"/>
      <c r="R13" s="84"/>
      <c r="S13" s="85"/>
      <c r="T13" s="84"/>
      <c r="U13" s="85"/>
      <c r="V13" s="84"/>
      <c r="W13" s="85"/>
      <c r="X13" s="84"/>
      <c r="Y13" s="88"/>
      <c r="Z13" s="88"/>
    </row>
    <row r="14" spans="1:26" ht="21.75" customHeight="1" x14ac:dyDescent="0.2">
      <c r="A14" s="172"/>
      <c r="B14" s="159" t="s">
        <v>57</v>
      </c>
      <c r="C14" s="159"/>
      <c r="D14" s="160" t="s">
        <v>265</v>
      </c>
      <c r="E14" s="161"/>
      <c r="F14" s="158" t="s">
        <v>57</v>
      </c>
      <c r="G14" s="159"/>
      <c r="H14" s="42" t="s">
        <v>265</v>
      </c>
      <c r="I14" s="169"/>
      <c r="J14" s="158" t="s">
        <v>61</v>
      </c>
      <c r="K14" s="159"/>
      <c r="L14" s="71" t="s">
        <v>66</v>
      </c>
      <c r="M14" s="9"/>
      <c r="N14" s="84"/>
      <c r="O14" s="85"/>
      <c r="P14" s="84"/>
      <c r="Q14" s="85"/>
      <c r="R14" s="84"/>
      <c r="S14" s="85"/>
      <c r="T14" s="84"/>
      <c r="U14" s="85"/>
      <c r="V14" s="84"/>
      <c r="W14" s="85"/>
      <c r="X14" s="84"/>
      <c r="Y14" s="88"/>
      <c r="Z14" s="88"/>
    </row>
    <row r="15" spans="1:26" ht="21.75" customHeight="1" x14ac:dyDescent="0.2">
      <c r="A15" s="172"/>
      <c r="B15" s="163" t="s">
        <v>58</v>
      </c>
      <c r="C15" s="163"/>
      <c r="D15" s="175">
        <v>2400</v>
      </c>
      <c r="E15" s="176"/>
      <c r="F15" s="162" t="s">
        <v>58</v>
      </c>
      <c r="G15" s="163"/>
      <c r="H15" s="43">
        <v>2400</v>
      </c>
      <c r="I15" s="169"/>
      <c r="J15" s="162" t="s">
        <v>62</v>
      </c>
      <c r="K15" s="163"/>
      <c r="L15" s="71" t="s">
        <v>67</v>
      </c>
      <c r="M15" s="9"/>
      <c r="N15" s="84"/>
      <c r="O15" s="85"/>
      <c r="P15" s="84"/>
      <c r="Q15" s="85"/>
      <c r="R15" s="84"/>
      <c r="S15" s="85"/>
      <c r="T15" s="84"/>
      <c r="U15" s="85"/>
      <c r="V15" s="84"/>
      <c r="W15" s="85"/>
      <c r="X15" s="84"/>
      <c r="Y15" s="88"/>
      <c r="Z15" s="88"/>
    </row>
    <row r="16" spans="1:26" ht="21.75" customHeight="1" x14ac:dyDescent="0.2">
      <c r="A16" s="172"/>
      <c r="B16" s="72" t="s">
        <v>51</v>
      </c>
      <c r="C16" s="44" t="s">
        <v>53</v>
      </c>
      <c r="D16" s="44" t="s">
        <v>54</v>
      </c>
      <c r="E16" s="127"/>
      <c r="F16" s="44" t="s">
        <v>51</v>
      </c>
      <c r="G16" s="44" t="s">
        <v>53</v>
      </c>
      <c r="H16" s="45" t="s">
        <v>54</v>
      </c>
      <c r="I16" s="169"/>
      <c r="J16" s="127" t="s">
        <v>63</v>
      </c>
      <c r="K16" s="127" t="s">
        <v>64</v>
      </c>
      <c r="L16" s="71" t="s">
        <v>68</v>
      </c>
      <c r="M16" s="9"/>
      <c r="N16" s="84"/>
      <c r="O16" s="85"/>
      <c r="P16" s="84"/>
      <c r="Q16" s="85"/>
      <c r="R16" s="84"/>
      <c r="S16" s="85"/>
      <c r="T16" s="84"/>
      <c r="U16" s="85"/>
      <c r="V16" s="84"/>
      <c r="W16" s="85"/>
      <c r="X16" s="84"/>
      <c r="Y16" s="88"/>
      <c r="Z16" s="88"/>
    </row>
    <row r="17" spans="1:26" ht="21.75" customHeight="1" x14ac:dyDescent="0.2">
      <c r="A17" s="173"/>
      <c r="B17" s="44" t="s">
        <v>52</v>
      </c>
      <c r="C17" s="46" t="s">
        <v>51</v>
      </c>
      <c r="D17" s="46" t="s">
        <v>55</v>
      </c>
      <c r="E17" s="174"/>
      <c r="F17" s="46" t="s">
        <v>52</v>
      </c>
      <c r="G17" s="47" t="s">
        <v>51</v>
      </c>
      <c r="H17" s="48" t="s">
        <v>55</v>
      </c>
      <c r="I17" s="170"/>
      <c r="J17" s="128"/>
      <c r="K17" s="128"/>
      <c r="L17" s="48" t="s">
        <v>69</v>
      </c>
      <c r="M17" s="103" t="s">
        <v>92</v>
      </c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spans="1:26" ht="23.25" customHeight="1" x14ac:dyDescent="0.2">
      <c r="A18" s="49" t="s">
        <v>7</v>
      </c>
      <c r="B18" s="82">
        <v>11944.917299999999</v>
      </c>
      <c r="C18" s="25"/>
      <c r="D18" s="24"/>
      <c r="E18" s="81"/>
      <c r="F18" s="82">
        <v>9851.4675000000007</v>
      </c>
      <c r="G18" s="51"/>
      <c r="H18" s="50"/>
      <c r="I18" s="52"/>
      <c r="J18" s="39"/>
      <c r="K18" s="79"/>
      <c r="L18" s="73"/>
      <c r="M18" s="100" t="s">
        <v>79</v>
      </c>
      <c r="N18" s="98" t="s">
        <v>98</v>
      </c>
      <c r="O18" s="98"/>
      <c r="P18" s="98"/>
      <c r="Q18" s="98" t="s">
        <v>107</v>
      </c>
      <c r="R18" s="98"/>
      <c r="S18" s="98"/>
      <c r="T18" s="98" t="s">
        <v>93</v>
      </c>
      <c r="U18" s="98"/>
      <c r="V18" s="98"/>
      <c r="W18" s="101" t="s">
        <v>91</v>
      </c>
      <c r="X18" s="104"/>
      <c r="Y18" s="104"/>
      <c r="Z18" s="104"/>
    </row>
    <row r="19" spans="1:26" ht="23.25" customHeight="1" x14ac:dyDescent="0.2">
      <c r="A19" s="49" t="s">
        <v>8</v>
      </c>
      <c r="B19" s="82">
        <v>11945.0712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0.15390000000115833</v>
      </c>
      <c r="D19" s="24">
        <f t="shared" ref="D19:D42" si="1">IF(C19="","",C19*$D$15)</f>
        <v>369.36000000278</v>
      </c>
      <c r="E19" s="81"/>
      <c r="F19" s="82">
        <v>9851.5980999999992</v>
      </c>
      <c r="G19" s="51">
        <f>F19-ReportObject18_3</f>
        <v>0.13059999999859428</v>
      </c>
      <c r="H19" s="50">
        <f t="shared" ref="H19:H42" si="2">IF(G19="","",G19*$H$15)</f>
        <v>313.43999999662628</v>
      </c>
      <c r="I19" s="52">
        <f t="shared" ref="I19:I42" si="3">IF(H19="","",IF(D19="","",IF(AND(H19=0,D19=0),0,H19/D19)))</f>
        <v>0.84860298893834518</v>
      </c>
      <c r="J19" s="39"/>
      <c r="K19" s="83">
        <v>6.1047349999999998</v>
      </c>
      <c r="L19" s="53"/>
      <c r="M19" s="95"/>
      <c r="N19" s="89"/>
      <c r="O19" s="89"/>
      <c r="P19" s="89"/>
      <c r="Q19" s="89" t="s">
        <v>108</v>
      </c>
      <c r="R19" s="89"/>
      <c r="S19" s="89"/>
      <c r="T19" s="89"/>
      <c r="U19" s="89"/>
      <c r="V19" s="89"/>
      <c r="W19" s="90"/>
      <c r="X19" s="99"/>
      <c r="Y19" s="99"/>
      <c r="Z19" s="99"/>
    </row>
    <row r="20" spans="1:26" ht="23.25" customHeight="1" x14ac:dyDescent="0.2">
      <c r="A20" s="49" t="s">
        <v>9</v>
      </c>
      <c r="B20" s="82">
        <v>11945.224</v>
      </c>
      <c r="C20" s="25">
        <f t="shared" si="0"/>
        <v>0.15279999999984284</v>
      </c>
      <c r="D20" s="24">
        <f t="shared" si="1"/>
        <v>366.71999999962281</v>
      </c>
      <c r="E20" s="81"/>
      <c r="F20" s="82">
        <v>9851.7297999999992</v>
      </c>
      <c r="G20" s="51">
        <f>F20-F19</f>
        <v>0.13169999999990978</v>
      </c>
      <c r="H20" s="50">
        <f t="shared" si="2"/>
        <v>316.07999999978347</v>
      </c>
      <c r="I20" s="52">
        <f t="shared" si="3"/>
        <v>0.86191099476469391</v>
      </c>
      <c r="J20" s="39"/>
      <c r="K20" s="83">
        <v>6.3293100000000004</v>
      </c>
      <c r="L20" s="53"/>
      <c r="M20" s="95" t="s">
        <v>80</v>
      </c>
      <c r="N20" s="89" t="s">
        <v>99</v>
      </c>
      <c r="O20" s="89"/>
      <c r="P20" s="89"/>
      <c r="Q20" s="89" t="s">
        <v>181</v>
      </c>
      <c r="R20" s="89"/>
      <c r="S20" s="89"/>
      <c r="T20" s="89" t="s">
        <v>94</v>
      </c>
      <c r="U20" s="89"/>
      <c r="V20" s="89"/>
      <c r="W20" s="90"/>
      <c r="X20" s="99"/>
      <c r="Y20" s="99"/>
      <c r="Z20" s="99"/>
    </row>
    <row r="21" spans="1:26" ht="23.25" customHeight="1" x14ac:dyDescent="0.2">
      <c r="A21" s="49" t="s">
        <v>10</v>
      </c>
      <c r="B21" s="82">
        <v>11945.372300000001</v>
      </c>
      <c r="C21" s="25">
        <f t="shared" si="0"/>
        <v>0.14830000000074506</v>
      </c>
      <c r="D21" s="24">
        <f t="shared" si="1"/>
        <v>355.92000000178814</v>
      </c>
      <c r="E21" s="81"/>
      <c r="F21" s="82">
        <v>9851.8613999999998</v>
      </c>
      <c r="G21" s="51">
        <f t="shared" ref="G21:G42" si="4">F21-F20</f>
        <v>0.131600000000617</v>
      </c>
      <c r="H21" s="50">
        <f t="shared" si="2"/>
        <v>315.8400000014808</v>
      </c>
      <c r="I21" s="52">
        <f t="shared" si="3"/>
        <v>0.88739042481426733</v>
      </c>
      <c r="J21" s="39"/>
      <c r="K21" s="83">
        <v>6.2096360000000006</v>
      </c>
      <c r="L21" s="53"/>
      <c r="M21" s="96"/>
      <c r="N21" s="91"/>
      <c r="O21" s="91"/>
      <c r="P21" s="91"/>
      <c r="Q21" s="91"/>
      <c r="R21" s="91"/>
      <c r="S21" s="91"/>
      <c r="T21" s="91"/>
      <c r="U21" s="91"/>
      <c r="V21" s="91"/>
      <c r="W21" s="92"/>
      <c r="X21" s="103"/>
      <c r="Y21" s="103"/>
      <c r="Z21" s="103"/>
    </row>
    <row r="22" spans="1:26" ht="23.25" customHeight="1" x14ac:dyDescent="0.2">
      <c r="A22" s="49" t="s">
        <v>11</v>
      </c>
      <c r="B22" s="82">
        <v>11945.5183</v>
      </c>
      <c r="C22" s="25">
        <f t="shared" si="0"/>
        <v>0.14599999999882129</v>
      </c>
      <c r="D22" s="24">
        <f t="shared" si="1"/>
        <v>350.39999999717111</v>
      </c>
      <c r="E22" s="81"/>
      <c r="F22" s="82">
        <v>9851.9940000000006</v>
      </c>
      <c r="G22" s="51">
        <f t="shared" si="4"/>
        <v>0.13260000000082073</v>
      </c>
      <c r="H22" s="50">
        <f t="shared" si="2"/>
        <v>318.24000000196975</v>
      </c>
      <c r="I22" s="52">
        <f t="shared" si="3"/>
        <v>0.90821917809514552</v>
      </c>
      <c r="J22" s="39"/>
      <c r="K22" s="83">
        <v>6.359686</v>
      </c>
      <c r="L22" s="53"/>
      <c r="M22" s="9"/>
      <c r="N22" s="97"/>
      <c r="O22" s="97"/>
      <c r="P22" s="97"/>
      <c r="Q22" s="97"/>
      <c r="R22" s="97"/>
      <c r="S22" s="97"/>
      <c r="T22" s="97"/>
      <c r="U22" s="97"/>
      <c r="V22" s="97"/>
      <c r="W22" s="84"/>
      <c r="X22" s="88"/>
      <c r="Y22" s="88"/>
      <c r="Z22" s="88"/>
    </row>
    <row r="23" spans="1:26" ht="23.25" customHeight="1" x14ac:dyDescent="0.2">
      <c r="A23" s="49" t="s">
        <v>12</v>
      </c>
      <c r="B23" s="82">
        <v>11945.663200000001</v>
      </c>
      <c r="C23" s="25">
        <f t="shared" si="0"/>
        <v>0.14490000000114378</v>
      </c>
      <c r="D23" s="24">
        <f t="shared" si="1"/>
        <v>347.76000000274507</v>
      </c>
      <c r="E23" s="81"/>
      <c r="F23" s="82">
        <v>9852.1270999999997</v>
      </c>
      <c r="G23" s="51">
        <f t="shared" si="4"/>
        <v>0.1330999999991036</v>
      </c>
      <c r="H23" s="50">
        <f t="shared" si="2"/>
        <v>319.43999999784864</v>
      </c>
      <c r="I23" s="52">
        <f t="shared" si="3"/>
        <v>0.91856452724674231</v>
      </c>
      <c r="J23" s="39"/>
      <c r="K23" s="83">
        <v>6.3745510000000003</v>
      </c>
      <c r="L23" s="53"/>
      <c r="M23" s="9"/>
      <c r="N23" s="97"/>
      <c r="O23" s="97"/>
      <c r="P23" s="97"/>
      <c r="Q23" s="97"/>
      <c r="R23" s="97"/>
      <c r="S23" s="97"/>
      <c r="T23" s="97"/>
      <c r="U23" s="97"/>
      <c r="V23" s="97"/>
      <c r="W23" s="84"/>
      <c r="X23" s="88"/>
      <c r="Y23" s="88"/>
      <c r="Z23" s="88"/>
    </row>
    <row r="24" spans="1:26" ht="23.25" customHeight="1" x14ac:dyDescent="0.2">
      <c r="A24" s="49" t="s">
        <v>13</v>
      </c>
      <c r="B24" s="82">
        <v>11945.808000000001</v>
      </c>
      <c r="C24" s="25">
        <f t="shared" si="0"/>
        <v>0.14480000000003201</v>
      </c>
      <c r="D24" s="24">
        <f t="shared" si="1"/>
        <v>347.52000000007683</v>
      </c>
      <c r="E24" s="81"/>
      <c r="F24" s="82">
        <v>9852.2605000000003</v>
      </c>
      <c r="G24" s="51">
        <f t="shared" si="4"/>
        <v>0.13340000000061991</v>
      </c>
      <c r="H24" s="50">
        <f t="shared" si="2"/>
        <v>320.16000000148779</v>
      </c>
      <c r="I24" s="52">
        <f t="shared" si="3"/>
        <v>0.92127071823612172</v>
      </c>
      <c r="J24" s="39"/>
      <c r="K24" s="83">
        <v>6.3800499999999998</v>
      </c>
      <c r="L24" s="53"/>
      <c r="M24" s="9"/>
      <c r="N24" s="97"/>
      <c r="O24" s="97"/>
      <c r="P24" s="97"/>
      <c r="Q24" s="97"/>
      <c r="R24" s="97"/>
      <c r="S24" s="97"/>
      <c r="T24" s="97"/>
      <c r="U24" s="97"/>
      <c r="V24" s="97"/>
      <c r="W24" s="84"/>
      <c r="X24" s="88"/>
      <c r="Y24" s="88"/>
      <c r="Z24" s="88"/>
    </row>
    <row r="25" spans="1:26" ht="23.25" customHeight="1" x14ac:dyDescent="0.2">
      <c r="A25" s="49" t="s">
        <v>14</v>
      </c>
      <c r="B25" s="82">
        <v>11945.9534</v>
      </c>
      <c r="C25" s="25">
        <f t="shared" si="0"/>
        <v>0.14539999999942665</v>
      </c>
      <c r="D25" s="24">
        <f t="shared" si="1"/>
        <v>348.95999999862397</v>
      </c>
      <c r="E25" s="81"/>
      <c r="F25" s="82">
        <v>9852.3919999999998</v>
      </c>
      <c r="G25" s="51">
        <f t="shared" si="4"/>
        <v>0.13149999999950523</v>
      </c>
      <c r="H25" s="50">
        <f t="shared" si="2"/>
        <v>315.59999999881256</v>
      </c>
      <c r="I25" s="52">
        <f t="shared" si="3"/>
        <v>0.90440165061914557</v>
      </c>
      <c r="J25" s="39"/>
      <c r="K25" s="83">
        <v>6.2063869999999994</v>
      </c>
      <c r="L25" s="53"/>
      <c r="M25" s="9"/>
      <c r="N25" s="97"/>
      <c r="O25" s="97"/>
      <c r="P25" s="97"/>
      <c r="Q25" s="97"/>
      <c r="R25" s="97"/>
      <c r="S25" s="97"/>
      <c r="T25" s="97"/>
      <c r="U25" s="97"/>
      <c r="V25" s="97"/>
      <c r="W25" s="84"/>
      <c r="X25" s="88"/>
      <c r="Y25" s="88"/>
      <c r="Z25" s="88"/>
    </row>
    <row r="26" spans="1:26" ht="23.25" customHeight="1" x14ac:dyDescent="0.2">
      <c r="A26" s="49" t="s">
        <v>15</v>
      </c>
      <c r="B26" s="82">
        <v>11946.098099999999</v>
      </c>
      <c r="C26" s="25">
        <f t="shared" si="0"/>
        <v>0.14469999999892025</v>
      </c>
      <c r="D26" s="24">
        <f t="shared" si="1"/>
        <v>347.27999999740859</v>
      </c>
      <c r="E26" s="81"/>
      <c r="F26" s="82">
        <v>9852.5192999999999</v>
      </c>
      <c r="G26" s="51">
        <f t="shared" si="4"/>
        <v>0.12730000000010477</v>
      </c>
      <c r="H26" s="50">
        <f t="shared" si="2"/>
        <v>305.52000000025146</v>
      </c>
      <c r="I26" s="52">
        <f t="shared" si="3"/>
        <v>0.87975120940604479</v>
      </c>
      <c r="J26" s="39"/>
      <c r="K26" s="83">
        <v>6.2681779999999998</v>
      </c>
      <c r="L26" s="53"/>
      <c r="M26" s="9"/>
      <c r="N26" s="97"/>
      <c r="O26" s="97"/>
      <c r="P26" s="97"/>
      <c r="Q26" s="97"/>
      <c r="R26" s="97"/>
      <c r="S26" s="97"/>
      <c r="T26" s="97"/>
      <c r="U26" s="97"/>
      <c r="V26" s="97"/>
      <c r="W26" s="84"/>
      <c r="X26" s="88"/>
      <c r="Y26" s="88"/>
      <c r="Z26" s="88"/>
    </row>
    <row r="27" spans="1:26" ht="23.25" customHeight="1" x14ac:dyDescent="0.2">
      <c r="A27" s="49" t="s">
        <v>16</v>
      </c>
      <c r="B27" s="82">
        <v>11946.2413</v>
      </c>
      <c r="C27" s="25">
        <f t="shared" si="0"/>
        <v>0.14320000000043365</v>
      </c>
      <c r="D27" s="24">
        <f t="shared" si="1"/>
        <v>343.68000000104075</v>
      </c>
      <c r="E27" s="81"/>
      <c r="F27" s="82">
        <v>9852.6409000000003</v>
      </c>
      <c r="G27" s="51">
        <f t="shared" si="4"/>
        <v>0.12160000000039872</v>
      </c>
      <c r="H27" s="50">
        <f t="shared" si="2"/>
        <v>291.84000000095693</v>
      </c>
      <c r="I27" s="52">
        <f t="shared" si="3"/>
        <v>0.84916201117339729</v>
      </c>
      <c r="J27" s="39"/>
      <c r="K27" s="83">
        <v>6.1478770000000003</v>
      </c>
      <c r="L27" s="53"/>
      <c r="M27" s="9"/>
      <c r="N27" s="97"/>
      <c r="O27" s="97"/>
      <c r="P27" s="97"/>
      <c r="Q27" s="97"/>
      <c r="R27" s="97"/>
      <c r="S27" s="97"/>
      <c r="T27" s="97"/>
      <c r="U27" s="97"/>
      <c r="V27" s="97"/>
      <c r="W27" s="84"/>
      <c r="X27" s="88"/>
      <c r="Y27" s="88"/>
      <c r="Z27" s="88"/>
    </row>
    <row r="28" spans="1:26" ht="23.25" customHeight="1" x14ac:dyDescent="0.2">
      <c r="A28" s="49" t="s">
        <v>17</v>
      </c>
      <c r="B28" s="82">
        <v>11946.398300000001</v>
      </c>
      <c r="C28" s="25">
        <f t="shared" si="0"/>
        <v>0.15700000000106229</v>
      </c>
      <c r="D28" s="24">
        <f t="shared" si="1"/>
        <v>376.8000000025495</v>
      </c>
      <c r="E28" s="81"/>
      <c r="F28" s="82">
        <v>9852.7638999999999</v>
      </c>
      <c r="G28" s="51">
        <f t="shared" si="4"/>
        <v>0.12299999999959255</v>
      </c>
      <c r="H28" s="50">
        <f t="shared" si="2"/>
        <v>295.19999999902211</v>
      </c>
      <c r="I28" s="52">
        <f t="shared" si="3"/>
        <v>0.78343949043796368</v>
      </c>
      <c r="J28" s="39"/>
      <c r="K28" s="83">
        <v>6.0924849999999999</v>
      </c>
      <c r="L28" s="53"/>
      <c r="M28" s="9"/>
      <c r="N28" s="97"/>
      <c r="O28" s="97"/>
      <c r="P28" s="97"/>
      <c r="Q28" s="97"/>
      <c r="R28" s="97"/>
      <c r="S28" s="97"/>
      <c r="T28" s="97"/>
      <c r="U28" s="97"/>
      <c r="V28" s="97"/>
      <c r="W28" s="84"/>
      <c r="X28" s="88"/>
      <c r="Y28" s="88"/>
      <c r="Z28" s="88"/>
    </row>
    <row r="29" spans="1:26" ht="23.25" customHeight="1" x14ac:dyDescent="0.2">
      <c r="A29" s="49" t="s">
        <v>18</v>
      </c>
      <c r="B29" s="82">
        <v>11946.5368</v>
      </c>
      <c r="C29" s="25">
        <f t="shared" si="0"/>
        <v>0.13849999999911233</v>
      </c>
      <c r="D29" s="24">
        <f t="shared" si="1"/>
        <v>332.3999999978696</v>
      </c>
      <c r="E29" s="81"/>
      <c r="F29" s="82">
        <v>9852.8812999999991</v>
      </c>
      <c r="G29" s="51">
        <f t="shared" si="4"/>
        <v>0.11739999999917927</v>
      </c>
      <c r="H29" s="50">
        <f t="shared" si="2"/>
        <v>281.75999999803025</v>
      </c>
      <c r="I29" s="52">
        <f t="shared" si="3"/>
        <v>0.84765342960239498</v>
      </c>
      <c r="J29" s="39"/>
      <c r="K29" s="83">
        <v>6.0742060000000002</v>
      </c>
      <c r="L29" s="53"/>
      <c r="M29" s="118" t="s">
        <v>95</v>
      </c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 ht="23.25" customHeight="1" x14ac:dyDescent="0.2">
      <c r="A30" s="49" t="s">
        <v>19</v>
      </c>
      <c r="B30" s="82">
        <v>11946.669</v>
      </c>
      <c r="C30" s="25">
        <f t="shared" si="0"/>
        <v>0.13220000000001164</v>
      </c>
      <c r="D30" s="24">
        <f t="shared" si="1"/>
        <v>317.28000000002794</v>
      </c>
      <c r="E30" s="81"/>
      <c r="F30" s="82">
        <v>9852.9977999999992</v>
      </c>
      <c r="G30" s="51">
        <f t="shared" si="4"/>
        <v>0.11650000000008731</v>
      </c>
      <c r="H30" s="50">
        <f t="shared" si="2"/>
        <v>279.60000000020955</v>
      </c>
      <c r="I30" s="52">
        <f t="shared" si="3"/>
        <v>0.88124054462993229</v>
      </c>
      <c r="J30" s="39"/>
      <c r="K30" s="83">
        <v>6.0951629999999994</v>
      </c>
      <c r="L30" s="53"/>
      <c r="M30" s="99" t="s">
        <v>97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23.25" customHeight="1" x14ac:dyDescent="0.2">
      <c r="A31" s="49" t="s">
        <v>20</v>
      </c>
      <c r="B31" s="82">
        <v>11946.800800000001</v>
      </c>
      <c r="C31" s="25">
        <f t="shared" si="0"/>
        <v>0.13180000000102154</v>
      </c>
      <c r="D31" s="24">
        <f t="shared" si="1"/>
        <v>316.32000000245171</v>
      </c>
      <c r="E31" s="81"/>
      <c r="F31" s="82">
        <v>9853.1154000000006</v>
      </c>
      <c r="G31" s="51">
        <f t="shared" si="4"/>
        <v>0.1176000000014028</v>
      </c>
      <c r="H31" s="50">
        <f t="shared" si="2"/>
        <v>282.24000000336673</v>
      </c>
      <c r="I31" s="52">
        <f t="shared" si="3"/>
        <v>0.89226100152117849</v>
      </c>
      <c r="J31" s="39"/>
      <c r="K31" s="83">
        <v>6.1240600000000001</v>
      </c>
      <c r="L31" s="53"/>
      <c r="M31" s="100" t="s">
        <v>79</v>
      </c>
      <c r="N31" s="98" t="s">
        <v>98</v>
      </c>
      <c r="O31" s="98"/>
      <c r="P31" s="98" t="s">
        <v>100</v>
      </c>
      <c r="Q31" s="98"/>
      <c r="R31" s="98" t="s">
        <v>93</v>
      </c>
      <c r="S31" s="98"/>
      <c r="T31" s="98" t="s">
        <v>103</v>
      </c>
      <c r="U31" s="98"/>
      <c r="V31" s="98" t="s">
        <v>179</v>
      </c>
      <c r="W31" s="98"/>
      <c r="X31" s="98"/>
      <c r="Y31" s="98" t="s">
        <v>91</v>
      </c>
      <c r="Z31" s="101"/>
    </row>
    <row r="32" spans="1:26" ht="23.25" customHeight="1" x14ac:dyDescent="0.2">
      <c r="A32" s="49" t="s">
        <v>21</v>
      </c>
      <c r="B32" s="82">
        <v>11946.9277</v>
      </c>
      <c r="C32" s="25">
        <f t="shared" si="0"/>
        <v>0.12689999999929569</v>
      </c>
      <c r="D32" s="24">
        <f t="shared" si="1"/>
        <v>304.55999999830965</v>
      </c>
      <c r="E32" s="81"/>
      <c r="F32" s="82">
        <v>9853.2245000000003</v>
      </c>
      <c r="G32" s="51">
        <f t="shared" si="4"/>
        <v>0.10909999999967113</v>
      </c>
      <c r="H32" s="50">
        <f t="shared" si="2"/>
        <v>261.8399999992107</v>
      </c>
      <c r="I32" s="52">
        <f t="shared" si="3"/>
        <v>0.85973207250021</v>
      </c>
      <c r="J32" s="39"/>
      <c r="K32" s="83">
        <v>6.082033</v>
      </c>
      <c r="L32" s="53"/>
      <c r="M32" s="95"/>
      <c r="N32" s="89"/>
      <c r="O32" s="89"/>
      <c r="P32" s="89" t="s">
        <v>83</v>
      </c>
      <c r="Q32" s="89"/>
      <c r="R32" s="89" t="s">
        <v>102</v>
      </c>
      <c r="S32" s="89"/>
      <c r="T32" s="89" t="s">
        <v>104</v>
      </c>
      <c r="U32" s="89"/>
      <c r="V32" s="89" t="s">
        <v>105</v>
      </c>
      <c r="W32" s="89"/>
      <c r="X32" s="89"/>
      <c r="Y32" s="89"/>
      <c r="Z32" s="90"/>
    </row>
    <row r="33" spans="1:26" ht="23.25" customHeight="1" x14ac:dyDescent="0.2">
      <c r="A33" s="49" t="s">
        <v>22</v>
      </c>
      <c r="B33" s="82">
        <v>11947.033600000001</v>
      </c>
      <c r="C33" s="25">
        <f t="shared" si="0"/>
        <v>0.10590000000047439</v>
      </c>
      <c r="D33" s="24">
        <f t="shared" si="1"/>
        <v>254.16000000113854</v>
      </c>
      <c r="E33" s="81"/>
      <c r="F33" s="82">
        <v>9853.2926000000007</v>
      </c>
      <c r="G33" s="51">
        <f t="shared" si="4"/>
        <v>6.8100000000413274E-2</v>
      </c>
      <c r="H33" s="50">
        <f t="shared" si="2"/>
        <v>163.44000000099186</v>
      </c>
      <c r="I33" s="52">
        <f t="shared" si="3"/>
        <v>0.64305949008600771</v>
      </c>
      <c r="J33" s="39"/>
      <c r="K33" s="83">
        <v>6.077966</v>
      </c>
      <c r="L33" s="53"/>
      <c r="M33" s="95" t="s">
        <v>80</v>
      </c>
      <c r="N33" s="89" t="s">
        <v>99</v>
      </c>
      <c r="O33" s="89"/>
      <c r="P33" s="89" t="s">
        <v>101</v>
      </c>
      <c r="Q33" s="89"/>
      <c r="R33" s="89" t="s">
        <v>69</v>
      </c>
      <c r="S33" s="89"/>
      <c r="T33" s="89" t="s">
        <v>69</v>
      </c>
      <c r="U33" s="89"/>
      <c r="V33" s="89" t="s">
        <v>106</v>
      </c>
      <c r="W33" s="89"/>
      <c r="X33" s="89"/>
      <c r="Y33" s="89"/>
      <c r="Z33" s="90"/>
    </row>
    <row r="34" spans="1:26" ht="23.25" customHeight="1" x14ac:dyDescent="0.2">
      <c r="A34" s="49" t="s">
        <v>23</v>
      </c>
      <c r="B34" s="82">
        <v>11947.1379</v>
      </c>
      <c r="C34" s="25">
        <f t="shared" si="0"/>
        <v>0.10429999999905704</v>
      </c>
      <c r="D34" s="24">
        <f t="shared" si="1"/>
        <v>250.31999999773689</v>
      </c>
      <c r="E34" s="81"/>
      <c r="F34" s="82">
        <v>9853.3615000000009</v>
      </c>
      <c r="G34" s="51">
        <f t="shared" si="4"/>
        <v>6.8900000000212458E-2</v>
      </c>
      <c r="H34" s="50">
        <f t="shared" si="2"/>
        <v>165.3600000005099</v>
      </c>
      <c r="I34" s="52">
        <f t="shared" si="3"/>
        <v>0.6605944391259384</v>
      </c>
      <c r="J34" s="39"/>
      <c r="K34" s="83">
        <v>6.0986360000000008</v>
      </c>
      <c r="L34" s="53"/>
      <c r="M34" s="96"/>
      <c r="N34" s="91"/>
      <c r="O34" s="91"/>
      <c r="P34" s="91"/>
      <c r="Q34" s="91"/>
      <c r="R34" s="92"/>
      <c r="S34" s="96"/>
      <c r="T34" s="92"/>
      <c r="U34" s="96"/>
      <c r="V34" s="92"/>
      <c r="W34" s="103"/>
      <c r="X34" s="96"/>
      <c r="Y34" s="91"/>
      <c r="Z34" s="92"/>
    </row>
    <row r="35" spans="1:26" ht="23.25" customHeight="1" x14ac:dyDescent="0.2">
      <c r="A35" s="49" t="s">
        <v>24</v>
      </c>
      <c r="B35" s="82">
        <v>11947.2372</v>
      </c>
      <c r="C35" s="25">
        <f t="shared" si="0"/>
        <v>9.9299999999857391E-2</v>
      </c>
      <c r="D35" s="24">
        <f t="shared" si="1"/>
        <v>238.31999999965774</v>
      </c>
      <c r="E35" s="81"/>
      <c r="F35" s="82">
        <v>9853.4297999999999</v>
      </c>
      <c r="G35" s="51">
        <f t="shared" si="4"/>
        <v>6.8299999998998828E-2</v>
      </c>
      <c r="H35" s="50">
        <f t="shared" si="2"/>
        <v>163.91999999759719</v>
      </c>
      <c r="I35" s="52">
        <f t="shared" si="3"/>
        <v>0.68781470291134861</v>
      </c>
      <c r="J35" s="39"/>
      <c r="K35" s="83">
        <v>6.0826789999999997</v>
      </c>
      <c r="L35" s="53"/>
      <c r="M35" s="9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84"/>
    </row>
    <row r="36" spans="1:26" ht="23.25" customHeight="1" x14ac:dyDescent="0.2">
      <c r="A36" s="49" t="s">
        <v>25</v>
      </c>
      <c r="B36" s="82">
        <v>11947.3375</v>
      </c>
      <c r="C36" s="25">
        <f t="shared" si="0"/>
        <v>0.10030000000006112</v>
      </c>
      <c r="D36" s="24">
        <f t="shared" si="1"/>
        <v>240.72000000014668</v>
      </c>
      <c r="E36" s="81"/>
      <c r="F36" s="82">
        <v>9853.4989000000005</v>
      </c>
      <c r="G36" s="51">
        <f t="shared" si="4"/>
        <v>6.9100000000617001E-2</v>
      </c>
      <c r="H36" s="50">
        <f t="shared" si="2"/>
        <v>165.8400000014808</v>
      </c>
      <c r="I36" s="52">
        <f t="shared" si="3"/>
        <v>0.68893320040453532</v>
      </c>
      <c r="J36" s="39"/>
      <c r="K36" s="83">
        <v>6.1604429999999999</v>
      </c>
      <c r="L36" s="53"/>
      <c r="M36" s="9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84"/>
    </row>
    <row r="37" spans="1:26" ht="23.25" customHeight="1" x14ac:dyDescent="0.2">
      <c r="A37" s="49" t="s">
        <v>26</v>
      </c>
      <c r="B37" s="82">
        <v>11947.441800000001</v>
      </c>
      <c r="C37" s="25">
        <f t="shared" si="0"/>
        <v>0.10430000000087603</v>
      </c>
      <c r="D37" s="24">
        <f t="shared" si="1"/>
        <v>250.32000000210246</v>
      </c>
      <c r="E37" s="81"/>
      <c r="F37" s="82">
        <v>9853.5686000000005</v>
      </c>
      <c r="G37" s="51">
        <f t="shared" si="4"/>
        <v>6.9700000000011642E-2</v>
      </c>
      <c r="H37" s="50">
        <f t="shared" si="2"/>
        <v>167.28000000002794</v>
      </c>
      <c r="I37" s="52">
        <f t="shared" si="3"/>
        <v>0.66826462127925434</v>
      </c>
      <c r="J37" s="39"/>
      <c r="K37" s="83">
        <v>5.9476300000000002</v>
      </c>
      <c r="L37" s="53"/>
      <c r="M37" s="9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84"/>
    </row>
    <row r="38" spans="1:26" ht="23.25" customHeight="1" x14ac:dyDescent="0.2">
      <c r="A38" s="49" t="s">
        <v>27</v>
      </c>
      <c r="B38" s="82">
        <v>11947.5452</v>
      </c>
      <c r="C38" s="25">
        <f t="shared" si="0"/>
        <v>0.10339999999996508</v>
      </c>
      <c r="D38" s="24">
        <f t="shared" si="1"/>
        <v>248.15999999991618</v>
      </c>
      <c r="E38" s="81"/>
      <c r="F38" s="82">
        <v>9853.6394999999993</v>
      </c>
      <c r="G38" s="51">
        <f t="shared" si="4"/>
        <v>7.0899999998800922E-2</v>
      </c>
      <c r="H38" s="50">
        <f t="shared" si="2"/>
        <v>170.15999999712221</v>
      </c>
      <c r="I38" s="52">
        <f t="shared" si="3"/>
        <v>0.68568665376039528</v>
      </c>
      <c r="J38" s="39"/>
      <c r="K38" s="83">
        <v>6.2307110000000003</v>
      </c>
      <c r="L38" s="53"/>
      <c r="M38" s="9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84"/>
    </row>
    <row r="39" spans="1:26" ht="23.25" customHeight="1" x14ac:dyDescent="0.2">
      <c r="A39" s="49" t="s">
        <v>28</v>
      </c>
      <c r="B39" s="82">
        <v>11947.6471</v>
      </c>
      <c r="C39" s="25">
        <f t="shared" si="0"/>
        <v>0.10189999999965949</v>
      </c>
      <c r="D39" s="24">
        <f t="shared" si="1"/>
        <v>244.55999999918276</v>
      </c>
      <c r="E39" s="81"/>
      <c r="F39" s="82">
        <v>9853.7109</v>
      </c>
      <c r="G39" s="51">
        <f t="shared" si="4"/>
        <v>7.1400000000721775E-2</v>
      </c>
      <c r="H39" s="50">
        <f t="shared" si="2"/>
        <v>171.36000000173226</v>
      </c>
      <c r="I39" s="52">
        <f t="shared" si="3"/>
        <v>0.70068694799764841</v>
      </c>
      <c r="J39" s="39"/>
      <c r="K39" s="83">
        <v>6.2416780000000003</v>
      </c>
      <c r="L39" s="53"/>
      <c r="M39" s="9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84"/>
    </row>
    <row r="40" spans="1:26" ht="23.25" customHeight="1" x14ac:dyDescent="0.2">
      <c r="A40" s="49" t="s">
        <v>29</v>
      </c>
      <c r="B40" s="82">
        <v>11947.7503</v>
      </c>
      <c r="C40" s="25">
        <f t="shared" si="0"/>
        <v>0.10319999999956053</v>
      </c>
      <c r="D40" s="24">
        <f t="shared" si="1"/>
        <v>247.67999999894528</v>
      </c>
      <c r="E40" s="81"/>
      <c r="F40" s="82">
        <v>9853.7823000000008</v>
      </c>
      <c r="G40" s="51">
        <f t="shared" si="4"/>
        <v>7.1400000000721775E-2</v>
      </c>
      <c r="H40" s="50">
        <f t="shared" si="2"/>
        <v>171.36000000173226</v>
      </c>
      <c r="I40" s="52">
        <f t="shared" si="3"/>
        <v>0.69186046512621924</v>
      </c>
      <c r="J40" s="39"/>
      <c r="K40" s="83">
        <v>6.208564</v>
      </c>
      <c r="L40" s="53"/>
      <c r="M40" s="99" t="s">
        <v>109</v>
      </c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ht="23.25" customHeight="1" x14ac:dyDescent="0.2">
      <c r="A41" s="49" t="s">
        <v>30</v>
      </c>
      <c r="B41" s="82">
        <v>11947.8537</v>
      </c>
      <c r="C41" s="25">
        <f t="shared" si="0"/>
        <v>0.10339999999996508</v>
      </c>
      <c r="D41" s="24">
        <f t="shared" si="1"/>
        <v>248.15999999991618</v>
      </c>
      <c r="E41" s="81"/>
      <c r="F41" s="82">
        <v>9853.8534999999993</v>
      </c>
      <c r="G41" s="51">
        <f t="shared" si="4"/>
        <v>7.1199999998498242E-2</v>
      </c>
      <c r="H41" s="50">
        <f t="shared" si="2"/>
        <v>170.87999999639578</v>
      </c>
      <c r="I41" s="52">
        <f t="shared" si="3"/>
        <v>0.68858800772265272</v>
      </c>
      <c r="J41" s="39"/>
      <c r="K41" s="83">
        <v>6.1922889999999997</v>
      </c>
      <c r="L41" s="53"/>
      <c r="M41" s="100" t="s">
        <v>79</v>
      </c>
      <c r="N41" s="98" t="s">
        <v>98</v>
      </c>
      <c r="O41" s="98"/>
      <c r="P41" s="98" t="s">
        <v>93</v>
      </c>
      <c r="Q41" s="98"/>
      <c r="R41" s="98"/>
      <c r="S41" s="98" t="s">
        <v>111</v>
      </c>
      <c r="T41" s="98" t="s">
        <v>81</v>
      </c>
      <c r="U41" s="98"/>
      <c r="V41" s="98"/>
      <c r="W41" s="98"/>
      <c r="X41" s="98" t="s">
        <v>93</v>
      </c>
      <c r="Y41" s="98"/>
      <c r="Z41" s="101"/>
    </row>
    <row r="42" spans="1:26" ht="23.25" customHeight="1" x14ac:dyDescent="0.2">
      <c r="A42" s="49" t="s">
        <v>31</v>
      </c>
      <c r="B42" s="82">
        <v>11947.957700000001</v>
      </c>
      <c r="C42" s="25">
        <f t="shared" si="0"/>
        <v>0.10400000000117871</v>
      </c>
      <c r="D42" s="24">
        <f t="shared" si="1"/>
        <v>249.60000000282889</v>
      </c>
      <c r="E42" s="81"/>
      <c r="F42" s="82">
        <v>9853.9258000000009</v>
      </c>
      <c r="G42" s="51">
        <f t="shared" si="4"/>
        <v>7.2300000001632725E-2</v>
      </c>
      <c r="H42" s="50">
        <f t="shared" si="2"/>
        <v>173.52000000391854</v>
      </c>
      <c r="I42" s="52">
        <f t="shared" si="3"/>
        <v>0.69519230770012785</v>
      </c>
      <c r="J42" s="39"/>
      <c r="K42" s="83">
        <v>6.2300839999999997</v>
      </c>
      <c r="L42" s="53"/>
      <c r="M42" s="95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90"/>
    </row>
    <row r="43" spans="1:26" ht="22.5" customHeight="1" x14ac:dyDescent="0.2">
      <c r="A43" s="167" t="s">
        <v>70</v>
      </c>
      <c r="B43" s="167"/>
      <c r="C43" s="167"/>
      <c r="D43" s="50">
        <f>SUM(D18:D42)</f>
        <v>7296.9600000040373</v>
      </c>
      <c r="E43" s="39"/>
      <c r="F43" s="54"/>
      <c r="G43" s="39"/>
      <c r="H43" s="50">
        <f>SUM(H18:H42)</f>
        <v>5899.9200000005658</v>
      </c>
      <c r="I43" s="52">
        <f>IF(AND(H43=0,D43=0),0,H43/D43)</f>
        <v>0.80854492829853819</v>
      </c>
      <c r="J43" s="39"/>
      <c r="K43" s="39"/>
      <c r="L43" s="53"/>
      <c r="M43" s="95" t="s">
        <v>80</v>
      </c>
      <c r="N43" s="89" t="s">
        <v>99</v>
      </c>
      <c r="O43" s="89"/>
      <c r="P43" s="89" t="s">
        <v>110</v>
      </c>
      <c r="Q43" s="89"/>
      <c r="R43" s="89"/>
      <c r="S43" s="89"/>
      <c r="T43" s="89"/>
      <c r="U43" s="89"/>
      <c r="V43" s="89"/>
      <c r="W43" s="89"/>
      <c r="X43" s="89" t="s">
        <v>110</v>
      </c>
      <c r="Y43" s="89"/>
      <c r="Z43" s="90"/>
    </row>
    <row r="44" spans="1:26" ht="22.5" customHeight="1" x14ac:dyDescent="0.2">
      <c r="A44" s="164" t="s">
        <v>71</v>
      </c>
      <c r="B44" s="164"/>
      <c r="C44" s="164"/>
      <c r="D44" s="39"/>
      <c r="E44" s="39"/>
      <c r="F44" s="54"/>
      <c r="G44" s="39"/>
      <c r="H44" s="39"/>
      <c r="I44" s="39"/>
      <c r="J44" s="39"/>
      <c r="K44" s="39"/>
      <c r="L44" s="53"/>
      <c r="M44" s="96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2"/>
    </row>
    <row r="45" spans="1:26" ht="22.5" customHeight="1" x14ac:dyDescent="0.2">
      <c r="A45" s="55"/>
      <c r="B45" s="56"/>
      <c r="C45" s="56"/>
      <c r="D45" s="56"/>
      <c r="E45" s="56"/>
      <c r="F45" s="56"/>
      <c r="G45" s="56"/>
      <c r="H45" s="56"/>
      <c r="I45" s="56"/>
      <c r="J45" s="57"/>
      <c r="K45" s="57"/>
      <c r="L45" s="57"/>
      <c r="M45" s="9"/>
      <c r="N45" s="84"/>
      <c r="O45" s="85"/>
      <c r="P45" s="84"/>
      <c r="Q45" s="88"/>
      <c r="R45" s="85"/>
      <c r="S45" s="7"/>
      <c r="T45" s="84"/>
      <c r="U45" s="88"/>
      <c r="V45" s="88"/>
      <c r="W45" s="85"/>
      <c r="X45" s="84"/>
      <c r="Y45" s="88"/>
      <c r="Z45" s="88"/>
    </row>
    <row r="46" spans="1:26" ht="22.5" customHeight="1" x14ac:dyDescent="0.2">
      <c r="A46" s="155" t="s">
        <v>72</v>
      </c>
      <c r="B46" s="155"/>
      <c r="C46" s="155"/>
      <c r="D46" s="155"/>
      <c r="E46" s="155"/>
      <c r="F46" s="155"/>
      <c r="G46" s="177" t="s">
        <v>73</v>
      </c>
      <c r="H46" s="177"/>
      <c r="I46" s="177"/>
      <c r="J46" s="177"/>
      <c r="K46" s="177"/>
      <c r="L46" s="177"/>
      <c r="M46" s="9"/>
      <c r="N46" s="84"/>
      <c r="O46" s="85"/>
      <c r="P46" s="84"/>
      <c r="Q46" s="88"/>
      <c r="R46" s="85"/>
      <c r="S46" s="7"/>
      <c r="T46" s="84"/>
      <c r="U46" s="88"/>
      <c r="V46" s="88"/>
      <c r="W46" s="85"/>
      <c r="X46" s="84"/>
      <c r="Y46" s="88"/>
      <c r="Z46" s="88"/>
    </row>
    <row r="47" spans="1:26" ht="22.5" customHeight="1" x14ac:dyDescent="0.2">
      <c r="A47" s="117" t="s">
        <v>371</v>
      </c>
      <c r="B47" s="117"/>
      <c r="C47" s="117"/>
      <c r="D47" s="108" t="s">
        <v>74</v>
      </c>
      <c r="E47" s="108"/>
      <c r="F47" s="108"/>
      <c r="G47" s="56"/>
      <c r="H47" s="56"/>
      <c r="I47" s="56"/>
      <c r="J47" s="56"/>
      <c r="K47" s="56"/>
      <c r="L47" s="56"/>
      <c r="M47" s="9"/>
      <c r="N47" s="84"/>
      <c r="O47" s="85"/>
      <c r="P47" s="84"/>
      <c r="Q47" s="88"/>
      <c r="R47" s="85"/>
      <c r="S47" s="7"/>
      <c r="T47" s="84"/>
      <c r="U47" s="88"/>
      <c r="V47" s="88"/>
      <c r="W47" s="85"/>
      <c r="X47" s="84"/>
      <c r="Y47" s="88"/>
      <c r="Z47" s="88"/>
    </row>
    <row r="48" spans="1:26" ht="22.5" customHeight="1" x14ac:dyDescent="0.2">
      <c r="A48" s="148" t="s">
        <v>75</v>
      </c>
      <c r="B48" s="148"/>
      <c r="C48" s="148"/>
      <c r="D48" s="147" t="s">
        <v>76</v>
      </c>
      <c r="E48" s="147"/>
      <c r="F48" s="147"/>
      <c r="G48" s="55"/>
      <c r="H48" s="55"/>
      <c r="I48" s="55"/>
      <c r="J48" s="55"/>
      <c r="K48" s="55"/>
      <c r="L48" s="55"/>
    </row>
    <row r="49" spans="1:23" ht="22.5" customHeight="1" x14ac:dyDescent="0.2">
      <c r="A49" s="117" t="s">
        <v>372</v>
      </c>
      <c r="B49" s="117"/>
      <c r="C49" s="117"/>
      <c r="D49" s="108" t="s">
        <v>74</v>
      </c>
      <c r="E49" s="108"/>
      <c r="F49" s="108"/>
      <c r="G49" s="55"/>
      <c r="H49" s="155" t="s">
        <v>183</v>
      </c>
      <c r="I49" s="155"/>
      <c r="J49" s="155"/>
      <c r="K49" s="155" t="s">
        <v>77</v>
      </c>
      <c r="L49" s="155"/>
      <c r="N49" s="150" t="s">
        <v>150</v>
      </c>
      <c r="O49" s="150"/>
      <c r="P49" s="150"/>
      <c r="Q49" s="149" t="s">
        <v>370</v>
      </c>
      <c r="R49" s="149"/>
      <c r="S49" s="149"/>
      <c r="T49" s="149"/>
      <c r="U49" s="149"/>
      <c r="V49" s="149"/>
      <c r="W49" s="1"/>
    </row>
    <row r="50" spans="1:23" ht="22.5" customHeight="1" x14ac:dyDescent="0.2">
      <c r="A50" s="148" t="s">
        <v>75</v>
      </c>
      <c r="B50" s="148"/>
      <c r="C50" s="148"/>
      <c r="D50" s="147" t="s">
        <v>76</v>
      </c>
      <c r="E50" s="147"/>
      <c r="F50" s="147"/>
      <c r="G50" s="58"/>
      <c r="H50" s="148" t="s">
        <v>75</v>
      </c>
      <c r="I50" s="148"/>
      <c r="J50" s="148"/>
      <c r="K50" s="148" t="s">
        <v>76</v>
      </c>
      <c r="L50" s="148"/>
      <c r="S50" s="146" t="s">
        <v>76</v>
      </c>
      <c r="T50" s="146"/>
    </row>
    <row r="51" spans="1:23" ht="20.100000000000001" customHeight="1" x14ac:dyDescent="0.2">
      <c r="A51" s="117" t="s">
        <v>373</v>
      </c>
      <c r="B51" s="117"/>
      <c r="C51" s="117"/>
      <c r="D51" s="108" t="s">
        <v>74</v>
      </c>
      <c r="E51" s="108"/>
      <c r="F51" s="108"/>
      <c r="G51" s="55"/>
      <c r="H51" s="55"/>
      <c r="I51" s="55"/>
      <c r="J51" s="55"/>
      <c r="K51" s="55"/>
      <c r="L51" s="55"/>
    </row>
    <row r="52" spans="1:23" ht="20.100000000000001" customHeight="1" x14ac:dyDescent="0.2">
      <c r="A52" s="147" t="s">
        <v>75</v>
      </c>
      <c r="B52" s="147"/>
      <c r="C52" s="147"/>
      <c r="D52" s="146" t="s">
        <v>76</v>
      </c>
      <c r="E52" s="146"/>
      <c r="F52" s="146"/>
      <c r="G52" s="63"/>
      <c r="H52" s="63"/>
      <c r="I52" s="64"/>
      <c r="J52" s="64"/>
      <c r="K52" s="64"/>
      <c r="L52" s="64"/>
    </row>
  </sheetData>
  <sheetProtection sheet="1" objects="1" scenarios="1"/>
  <mergeCells count="258">
    <mergeCell ref="A52:C52"/>
    <mergeCell ref="D52:F52"/>
    <mergeCell ref="D51:F51"/>
    <mergeCell ref="K16:K17"/>
    <mergeCell ref="A13:A17"/>
    <mergeCell ref="E16:E17"/>
    <mergeCell ref="B15:C15"/>
    <mergeCell ref="D15:E15"/>
    <mergeCell ref="B13:C13"/>
    <mergeCell ref="J16:J17"/>
    <mergeCell ref="A47:C47"/>
    <mergeCell ref="I13:I17"/>
    <mergeCell ref="J13:K13"/>
    <mergeCell ref="J14:K14"/>
    <mergeCell ref="J15:K15"/>
    <mergeCell ref="G1:H2"/>
    <mergeCell ref="G3:H4"/>
    <mergeCell ref="A1:F1"/>
    <mergeCell ref="A2:F2"/>
    <mergeCell ref="A4:F4"/>
    <mergeCell ref="A51:C51"/>
    <mergeCell ref="A6:F6"/>
    <mergeCell ref="D47:F47"/>
    <mergeCell ref="F14:G14"/>
    <mergeCell ref="A9:L9"/>
    <mergeCell ref="G46:L46"/>
    <mergeCell ref="H10:L10"/>
    <mergeCell ref="D13:E13"/>
    <mergeCell ref="E10:G10"/>
    <mergeCell ref="A43:C43"/>
    <mergeCell ref="I3:L4"/>
    <mergeCell ref="A11:D11"/>
    <mergeCell ref="E11:H11"/>
    <mergeCell ref="A10:D10"/>
    <mergeCell ref="F13:G13"/>
    <mergeCell ref="H50:J50"/>
    <mergeCell ref="K50:L50"/>
    <mergeCell ref="D49:F49"/>
    <mergeCell ref="A12:L12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T15:U15"/>
    <mergeCell ref="X7:Z7"/>
    <mergeCell ref="N7:O7"/>
    <mergeCell ref="X8:Z8"/>
    <mergeCell ref="H49:J49"/>
    <mergeCell ref="K49:L49"/>
    <mergeCell ref="A7:L7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N10:O10"/>
    <mergeCell ref="N11:O11"/>
    <mergeCell ref="N14:O14"/>
    <mergeCell ref="N15:O15"/>
    <mergeCell ref="R11:S11"/>
    <mergeCell ref="R12:S12"/>
    <mergeCell ref="P10:Q10"/>
    <mergeCell ref="N13:O13"/>
    <mergeCell ref="T12:U12"/>
    <mergeCell ref="R13:S13"/>
    <mergeCell ref="T9:U9"/>
    <mergeCell ref="T10:U10"/>
    <mergeCell ref="T11:U11"/>
    <mergeCell ref="R8:S8"/>
    <mergeCell ref="R9:S9"/>
    <mergeCell ref="R10:S10"/>
    <mergeCell ref="T8:U8"/>
    <mergeCell ref="P11:Q11"/>
    <mergeCell ref="N12:O12"/>
    <mergeCell ref="P7:Q7"/>
    <mergeCell ref="P8:Q8"/>
    <mergeCell ref="P9:Q9"/>
    <mergeCell ref="R7:S7"/>
    <mergeCell ref="T7:U7"/>
    <mergeCell ref="P12:Q12"/>
    <mergeCell ref="N8:O8"/>
    <mergeCell ref="N9:O9"/>
    <mergeCell ref="M1:Z1"/>
    <mergeCell ref="M2:Z2"/>
    <mergeCell ref="X3:Z6"/>
    <mergeCell ref="M5:M6"/>
    <mergeCell ref="M3:M4"/>
    <mergeCell ref="P3:Q4"/>
    <mergeCell ref="R6:S6"/>
    <mergeCell ref="T4:U4"/>
    <mergeCell ref="T5:U5"/>
    <mergeCell ref="V3:W3"/>
    <mergeCell ref="P5:Q6"/>
    <mergeCell ref="N3:O6"/>
    <mergeCell ref="T3:U3"/>
    <mergeCell ref="R3:S3"/>
    <mergeCell ref="R4:S4"/>
    <mergeCell ref="R5:S5"/>
    <mergeCell ref="T6:U6"/>
    <mergeCell ref="V8:W8"/>
    <mergeCell ref="V9:W9"/>
    <mergeCell ref="V10:W10"/>
    <mergeCell ref="V11:W11"/>
    <mergeCell ref="V12:W12"/>
    <mergeCell ref="V4:W4"/>
    <mergeCell ref="V5:W5"/>
    <mergeCell ref="V6:W6"/>
    <mergeCell ref="V7:W7"/>
    <mergeCell ref="V13:W13"/>
    <mergeCell ref="M20:M21"/>
    <mergeCell ref="Q25:S25"/>
    <mergeCell ref="V14:W14"/>
    <mergeCell ref="T16:U16"/>
    <mergeCell ref="T14:U14"/>
    <mergeCell ref="N18:P19"/>
    <mergeCell ref="W22:Z22"/>
    <mergeCell ref="T20:V21"/>
    <mergeCell ref="W25:Z25"/>
    <mergeCell ref="N24:P24"/>
    <mergeCell ref="Q24:S24"/>
    <mergeCell ref="N23:P23"/>
    <mergeCell ref="W24:Z24"/>
    <mergeCell ref="N25:P25"/>
    <mergeCell ref="Q23:S23"/>
    <mergeCell ref="T24:V24"/>
    <mergeCell ref="Q19:S19"/>
    <mergeCell ref="P13:Q13"/>
    <mergeCell ref="P14:Q14"/>
    <mergeCell ref="T13:U13"/>
    <mergeCell ref="R14:S14"/>
    <mergeCell ref="R15:S15"/>
    <mergeCell ref="P16:Q16"/>
    <mergeCell ref="Q22:S22"/>
    <mergeCell ref="W18:Z21"/>
    <mergeCell ref="Q21:S21"/>
    <mergeCell ref="P15:Q15"/>
    <mergeCell ref="Q26:S26"/>
    <mergeCell ref="Q27:S27"/>
    <mergeCell ref="T27:V27"/>
    <mergeCell ref="T33:U33"/>
    <mergeCell ref="R31:S31"/>
    <mergeCell ref="R32:S32"/>
    <mergeCell ref="W23:Z23"/>
    <mergeCell ref="R16:S16"/>
    <mergeCell ref="V15:W15"/>
    <mergeCell ref="V16:W16"/>
    <mergeCell ref="N22:P22"/>
    <mergeCell ref="T23:V23"/>
    <mergeCell ref="M17:Z17"/>
    <mergeCell ref="M18:M19"/>
    <mergeCell ref="N20:P21"/>
    <mergeCell ref="Q20:S20"/>
    <mergeCell ref="M31:M32"/>
    <mergeCell ref="N16:O16"/>
    <mergeCell ref="N28:P28"/>
    <mergeCell ref="Q28:S28"/>
    <mergeCell ref="V34:X34"/>
    <mergeCell ref="P32:Q32"/>
    <mergeCell ref="P33:Q33"/>
    <mergeCell ref="P31:Q31"/>
    <mergeCell ref="N27:P27"/>
    <mergeCell ref="W27:Z27"/>
    <mergeCell ref="N26:P26"/>
    <mergeCell ref="N31:O32"/>
    <mergeCell ref="N33:O34"/>
    <mergeCell ref="W28:Z28"/>
    <mergeCell ref="R33:S33"/>
    <mergeCell ref="T31:U31"/>
    <mergeCell ref="T32:U32"/>
    <mergeCell ref="V33:X33"/>
    <mergeCell ref="T26:V26"/>
    <mergeCell ref="N38:O38"/>
    <mergeCell ref="P38:Q38"/>
    <mergeCell ref="R38:S38"/>
    <mergeCell ref="T38:U38"/>
    <mergeCell ref="N37:O37"/>
    <mergeCell ref="P37:Q37"/>
    <mergeCell ref="R37:S37"/>
    <mergeCell ref="N35:O35"/>
    <mergeCell ref="P35:Q35"/>
    <mergeCell ref="R35:S35"/>
    <mergeCell ref="T35:U35"/>
    <mergeCell ref="T37:U37"/>
    <mergeCell ref="N36:O36"/>
    <mergeCell ref="P36:Q36"/>
    <mergeCell ref="R36:S36"/>
    <mergeCell ref="T36:U36"/>
    <mergeCell ref="T46:W46"/>
    <mergeCell ref="T47:W47"/>
    <mergeCell ref="N43:O44"/>
    <mergeCell ref="P43:R44"/>
    <mergeCell ref="M40:Z40"/>
    <mergeCell ref="M41:M42"/>
    <mergeCell ref="T41:W44"/>
    <mergeCell ref="X45:Z45"/>
    <mergeCell ref="X46:Z46"/>
    <mergeCell ref="X41:Z42"/>
    <mergeCell ref="X43:Z44"/>
    <mergeCell ref="S41:S44"/>
    <mergeCell ref="I1:L2"/>
    <mergeCell ref="G5:H6"/>
    <mergeCell ref="I5:L6"/>
    <mergeCell ref="S50:T50"/>
    <mergeCell ref="N39:O39"/>
    <mergeCell ref="P39:Q39"/>
    <mergeCell ref="N41:O42"/>
    <mergeCell ref="P41:R42"/>
    <mergeCell ref="Q49:V49"/>
    <mergeCell ref="N49:P49"/>
    <mergeCell ref="P45:R45"/>
    <mergeCell ref="P46:R46"/>
    <mergeCell ref="P47:R47"/>
    <mergeCell ref="N45:O45"/>
    <mergeCell ref="N46:O46"/>
    <mergeCell ref="V38:X38"/>
    <mergeCell ref="P34:Q34"/>
    <mergeCell ref="X9:Z9"/>
    <mergeCell ref="X10:Z10"/>
    <mergeCell ref="X47:Z47"/>
    <mergeCell ref="M43:M44"/>
    <mergeCell ref="N47:O47"/>
    <mergeCell ref="T45:W45"/>
    <mergeCell ref="X11:Z11"/>
    <mergeCell ref="X12:Z12"/>
    <mergeCell ref="X13:Z13"/>
    <mergeCell ref="X14:Z14"/>
    <mergeCell ref="X15:Z15"/>
    <mergeCell ref="R39:S39"/>
    <mergeCell ref="T39:U39"/>
    <mergeCell ref="V39:X39"/>
    <mergeCell ref="Y39:Z39"/>
    <mergeCell ref="Y38:Z38"/>
    <mergeCell ref="V35:X35"/>
    <mergeCell ref="Y35:Z35"/>
    <mergeCell ref="V36:X36"/>
    <mergeCell ref="Y36:Z36"/>
    <mergeCell ref="V37:X37"/>
    <mergeCell ref="Y37:Z37"/>
    <mergeCell ref="X16:Z16"/>
    <mergeCell ref="W26:Z26"/>
    <mergeCell ref="R34:S34"/>
    <mergeCell ref="T34:U34"/>
    <mergeCell ref="T18:V19"/>
    <mergeCell ref="T22:V22"/>
    <mergeCell ref="Q18:S18"/>
    <mergeCell ref="T25:V25"/>
    <mergeCell ref="T28:V28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X51"/>
  <sheetViews>
    <sheetView tabSelected="1" view="pageBreakPreview" topLeftCell="A10" zoomScale="75" zoomScaleNormal="50" zoomScaleSheetLayoutView="75" workbookViewId="0">
      <selection activeCell="V22" sqref="V22"/>
    </sheetView>
  </sheetViews>
  <sheetFormatPr defaultRowHeight="18.75" x14ac:dyDescent="0.2"/>
  <cols>
    <col min="1" max="1" width="17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9.7109375" style="2" customWidth="1"/>
    <col min="13" max="13" width="8.42578125" style="2" customWidth="1"/>
    <col min="14" max="18" width="10.7109375" style="2" customWidth="1"/>
    <col min="19" max="20" width="13.7109375" style="2" customWidth="1"/>
    <col min="21" max="21" width="11.85546875" style="2" customWidth="1"/>
    <col min="22" max="22" width="24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94" t="s">
        <v>161</v>
      </c>
      <c r="B1" s="94"/>
      <c r="C1" s="94"/>
      <c r="D1" s="94"/>
      <c r="E1" s="94"/>
      <c r="F1" s="123" t="s">
        <v>154</v>
      </c>
      <c r="G1" s="123"/>
      <c r="H1" s="123"/>
      <c r="I1" s="94" t="s">
        <v>163</v>
      </c>
      <c r="J1" s="94"/>
      <c r="K1" s="94"/>
      <c r="L1" s="94"/>
      <c r="M1" s="100" t="s">
        <v>115</v>
      </c>
      <c r="N1" s="98" t="s">
        <v>116</v>
      </c>
      <c r="O1" s="98"/>
      <c r="P1" s="98"/>
      <c r="Q1" s="98"/>
      <c r="R1" s="192" t="s">
        <v>117</v>
      </c>
      <c r="S1" s="192"/>
      <c r="T1" s="192"/>
      <c r="U1" s="192" t="s">
        <v>118</v>
      </c>
      <c r="V1" s="192"/>
      <c r="W1" s="86"/>
    </row>
    <row r="2" spans="1:23" ht="18.75" customHeight="1" x14ac:dyDescent="0.2">
      <c r="A2" s="119" t="s">
        <v>45</v>
      </c>
      <c r="B2" s="119"/>
      <c r="C2" s="119"/>
      <c r="D2" s="119"/>
      <c r="E2" s="119"/>
      <c r="F2" s="123"/>
      <c r="G2" s="123"/>
      <c r="H2" s="123"/>
      <c r="I2" s="94"/>
      <c r="J2" s="94"/>
      <c r="K2" s="94"/>
      <c r="L2" s="94"/>
      <c r="M2" s="95"/>
      <c r="N2" s="89"/>
      <c r="O2" s="89"/>
      <c r="P2" s="89"/>
      <c r="Q2" s="89"/>
      <c r="R2" s="89" t="s">
        <v>119</v>
      </c>
      <c r="S2" s="89" t="s">
        <v>120</v>
      </c>
      <c r="T2" s="89"/>
      <c r="U2" s="89" t="s">
        <v>119</v>
      </c>
      <c r="V2" s="89" t="s">
        <v>120</v>
      </c>
      <c r="W2" s="90"/>
    </row>
    <row r="3" spans="1:23" ht="21.75" customHeight="1" x14ac:dyDescent="0.2">
      <c r="A3" s="94" t="s">
        <v>162</v>
      </c>
      <c r="B3" s="94"/>
      <c r="C3" s="94"/>
      <c r="D3" s="94"/>
      <c r="E3" s="94"/>
      <c r="F3" s="123" t="s">
        <v>155</v>
      </c>
      <c r="G3" s="123"/>
      <c r="H3" s="123"/>
      <c r="I3" s="94" t="s">
        <v>225</v>
      </c>
      <c r="J3" s="94"/>
      <c r="K3" s="94"/>
      <c r="L3" s="94"/>
      <c r="M3" s="96"/>
      <c r="N3" s="91"/>
      <c r="O3" s="91"/>
      <c r="P3" s="91"/>
      <c r="Q3" s="91"/>
      <c r="R3" s="91"/>
      <c r="S3" s="91" t="s">
        <v>121</v>
      </c>
      <c r="T3" s="91"/>
      <c r="U3" s="91"/>
      <c r="V3" s="91" t="s">
        <v>121</v>
      </c>
      <c r="W3" s="92"/>
    </row>
    <row r="4" spans="1:23" ht="29.25" customHeight="1" x14ac:dyDescent="0.2">
      <c r="A4" s="119" t="s">
        <v>46</v>
      </c>
      <c r="B4" s="119"/>
      <c r="C4" s="119"/>
      <c r="D4" s="119"/>
      <c r="E4" s="119"/>
      <c r="F4" s="123"/>
      <c r="G4" s="123"/>
      <c r="H4" s="123"/>
      <c r="I4" s="94"/>
      <c r="J4" s="94"/>
      <c r="K4" s="94"/>
      <c r="L4" s="94"/>
      <c r="M4" s="9"/>
      <c r="N4" s="189" t="s">
        <v>122</v>
      </c>
      <c r="O4" s="189"/>
      <c r="P4" s="189"/>
      <c r="Q4" s="189"/>
      <c r="R4" s="7"/>
      <c r="S4" s="8"/>
      <c r="T4" s="7"/>
      <c r="U4" s="7"/>
      <c r="V4" s="7"/>
      <c r="W4" s="18"/>
    </row>
    <row r="5" spans="1:23" ht="18" customHeight="1" x14ac:dyDescent="0.2">
      <c r="A5" s="203" t="s">
        <v>176</v>
      </c>
      <c r="B5" s="203"/>
      <c r="C5" s="203"/>
      <c r="D5" s="203"/>
      <c r="E5" s="203"/>
      <c r="F5" s="123" t="s">
        <v>156</v>
      </c>
      <c r="G5" s="123"/>
      <c r="H5" s="123"/>
      <c r="I5" s="94" t="s">
        <v>253</v>
      </c>
      <c r="J5" s="94"/>
      <c r="K5" s="94"/>
      <c r="L5" s="94"/>
      <c r="M5" s="9"/>
      <c r="N5" s="190" t="s">
        <v>123</v>
      </c>
      <c r="O5" s="190"/>
      <c r="P5" s="190"/>
      <c r="Q5" s="190"/>
      <c r="R5" s="7"/>
      <c r="S5" s="8"/>
      <c r="T5" s="7"/>
      <c r="U5" s="7"/>
      <c r="V5" s="7"/>
      <c r="W5" s="18"/>
    </row>
    <row r="6" spans="1:23" x14ac:dyDescent="0.2">
      <c r="A6" s="119" t="s">
        <v>47</v>
      </c>
      <c r="B6" s="119"/>
      <c r="C6" s="119"/>
      <c r="D6" s="119"/>
      <c r="E6" s="119"/>
      <c r="F6" s="123"/>
      <c r="G6" s="123"/>
      <c r="H6" s="123"/>
      <c r="I6" s="94"/>
      <c r="J6" s="94"/>
      <c r="K6" s="94"/>
      <c r="L6" s="94"/>
      <c r="M6" s="9"/>
      <c r="N6" s="190" t="s">
        <v>124</v>
      </c>
      <c r="O6" s="190"/>
      <c r="P6" s="190"/>
      <c r="Q6" s="190"/>
      <c r="R6" s="7"/>
      <c r="S6" s="8"/>
      <c r="T6" s="7"/>
      <c r="U6" s="7"/>
      <c r="V6" s="7"/>
      <c r="W6" s="18"/>
    </row>
    <row r="7" spans="1:23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191" t="s">
        <v>125</v>
      </c>
      <c r="O7" s="191"/>
      <c r="P7" s="191"/>
      <c r="Q7" s="191"/>
      <c r="R7" s="7"/>
      <c r="S7" s="8"/>
      <c r="T7" s="7"/>
      <c r="U7" s="7"/>
      <c r="V7" s="7"/>
      <c r="W7" s="18"/>
    </row>
    <row r="8" spans="1:23" ht="22.5" x14ac:dyDescent="0.2">
      <c r="A8" s="116" t="s">
        <v>0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190" t="s">
        <v>126</v>
      </c>
      <c r="O8" s="190"/>
      <c r="P8" s="190"/>
      <c r="Q8" s="190"/>
      <c r="R8" s="7"/>
      <c r="S8" s="8"/>
      <c r="T8" s="7"/>
      <c r="U8" s="7"/>
      <c r="V8" s="7"/>
      <c r="W8" s="18"/>
    </row>
    <row r="9" spans="1:23" ht="18.75" customHeight="1" x14ac:dyDescent="0.2">
      <c r="A9" s="193" t="s">
        <v>152</v>
      </c>
      <c r="B9" s="193"/>
      <c r="C9" s="193"/>
      <c r="D9" s="193"/>
      <c r="E9" s="193"/>
      <c r="F9" s="135" t="s">
        <v>375</v>
      </c>
      <c r="G9" s="136"/>
      <c r="H9" s="136"/>
      <c r="I9" s="111" t="s">
        <v>376</v>
      </c>
      <c r="J9" s="111"/>
      <c r="K9" s="111"/>
      <c r="L9" s="111"/>
      <c r="M9" s="111"/>
      <c r="N9" s="190" t="s">
        <v>127</v>
      </c>
      <c r="O9" s="190"/>
      <c r="P9" s="190"/>
      <c r="Q9" s="190"/>
      <c r="R9" s="7"/>
      <c r="S9" s="8"/>
      <c r="T9" s="7"/>
      <c r="U9" s="7"/>
      <c r="V9" s="7"/>
      <c r="W9" s="18"/>
    </row>
    <row r="10" spans="1:23" ht="19.5" customHeight="1" x14ac:dyDescent="0.2">
      <c r="A10" s="193" t="s">
        <v>151</v>
      </c>
      <c r="B10" s="193"/>
      <c r="C10" s="136" t="s">
        <v>252</v>
      </c>
      <c r="D10" s="136"/>
      <c r="E10" s="136"/>
      <c r="F10" s="136"/>
      <c r="G10" s="136"/>
      <c r="H10" s="136"/>
      <c r="I10" s="3"/>
      <c r="J10" s="3"/>
      <c r="K10" s="3"/>
      <c r="L10" s="3"/>
      <c r="M10" s="9"/>
      <c r="N10" s="191" t="s">
        <v>128</v>
      </c>
      <c r="O10" s="191"/>
      <c r="P10" s="191"/>
      <c r="Q10" s="191"/>
      <c r="R10" s="7"/>
      <c r="S10" s="8"/>
      <c r="T10" s="7"/>
      <c r="U10" s="7"/>
      <c r="V10" s="7"/>
      <c r="W10" s="18"/>
    </row>
    <row r="11" spans="1:23" x14ac:dyDescent="0.2">
      <c r="A11" s="188" t="s">
        <v>1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9"/>
      <c r="N11" s="196" t="s">
        <v>129</v>
      </c>
      <c r="O11" s="196"/>
      <c r="P11" s="196"/>
      <c r="Q11" s="196"/>
      <c r="R11" s="7"/>
      <c r="S11" s="8">
        <v>1125</v>
      </c>
      <c r="T11" s="7"/>
      <c r="U11" s="7"/>
      <c r="V11" s="7">
        <v>200</v>
      </c>
      <c r="W11" s="18"/>
    </row>
    <row r="12" spans="1:23" ht="20.100000000000001" customHeight="1" x14ac:dyDescent="0.2">
      <c r="A12" s="87" t="s">
        <v>2</v>
      </c>
      <c r="B12" s="192" t="s">
        <v>36</v>
      </c>
      <c r="C12" s="192"/>
      <c r="D12" s="192"/>
      <c r="E12" s="192"/>
      <c r="F12" s="192" t="s">
        <v>5</v>
      </c>
      <c r="G12" s="192"/>
      <c r="H12" s="101" t="s">
        <v>34</v>
      </c>
      <c r="I12" s="104"/>
      <c r="J12" s="104"/>
      <c r="K12" s="104"/>
      <c r="L12" s="104"/>
      <c r="N12" s="1"/>
      <c r="O12" s="1"/>
      <c r="P12" s="1"/>
      <c r="Q12" s="1"/>
    </row>
    <row r="13" spans="1:23" ht="20.100000000000001" customHeight="1" x14ac:dyDescent="0.2">
      <c r="A13" s="87"/>
      <c r="B13" s="192" t="s">
        <v>3</v>
      </c>
      <c r="C13" s="192"/>
      <c r="D13" s="192" t="s">
        <v>4</v>
      </c>
      <c r="E13" s="192"/>
      <c r="F13" s="192"/>
      <c r="G13" s="192"/>
      <c r="H13" s="92" t="s">
        <v>35</v>
      </c>
      <c r="I13" s="103"/>
      <c r="J13" s="103"/>
      <c r="K13" s="103"/>
      <c r="L13" s="103"/>
    </row>
    <row r="14" spans="1:23" ht="20.100000000000001" customHeight="1" x14ac:dyDescent="0.2">
      <c r="A14" s="5" t="s">
        <v>6</v>
      </c>
      <c r="B14" s="7"/>
      <c r="C14" s="5"/>
      <c r="D14" s="97"/>
      <c r="E14" s="97"/>
      <c r="F14" s="194" t="str">
        <f>IF(OR(B14="",D14=""),"",IF(ISERROR(D14/B14),IF(D14=0,0,""),D14/B14))</f>
        <v/>
      </c>
      <c r="G14" s="194"/>
      <c r="H14" s="97"/>
      <c r="I14" s="97"/>
      <c r="J14" s="97"/>
      <c r="K14" s="97"/>
      <c r="L14" s="97"/>
      <c r="M14" s="87" t="s">
        <v>115</v>
      </c>
      <c r="N14" s="192" t="s">
        <v>116</v>
      </c>
      <c r="O14" s="192"/>
      <c r="P14" s="192"/>
      <c r="Q14" s="192"/>
      <c r="R14" s="192" t="s">
        <v>117</v>
      </c>
      <c r="S14" s="192"/>
      <c r="T14" s="192"/>
      <c r="U14" s="192" t="s">
        <v>130</v>
      </c>
      <c r="V14" s="192" t="s">
        <v>69</v>
      </c>
      <c r="W14" s="86" t="s">
        <v>131</v>
      </c>
    </row>
    <row r="15" spans="1:23" ht="20.100000000000001" customHeight="1" x14ac:dyDescent="0.2">
      <c r="A15" s="5" t="s">
        <v>7</v>
      </c>
      <c r="B15" s="5"/>
      <c r="C15" s="5"/>
      <c r="D15" s="192"/>
      <c r="E15" s="192"/>
      <c r="F15" s="194" t="str">
        <f t="shared" ref="F15:F39" si="0">IF(OR(B15="",D15=""),"",IF(ISERROR(D15/B15),IF(D15=0,0,""),D15/B15))</f>
        <v/>
      </c>
      <c r="G15" s="194"/>
      <c r="H15" s="97"/>
      <c r="I15" s="97"/>
      <c r="J15" s="97"/>
      <c r="K15" s="97"/>
      <c r="L15" s="97"/>
      <c r="M15" s="87"/>
      <c r="N15" s="192"/>
      <c r="O15" s="192"/>
      <c r="P15" s="192"/>
      <c r="Q15" s="192"/>
      <c r="R15" s="197" t="s">
        <v>130</v>
      </c>
      <c r="S15" s="192" t="s">
        <v>69</v>
      </c>
      <c r="T15" s="192" t="s">
        <v>131</v>
      </c>
      <c r="U15" s="192"/>
      <c r="V15" s="192"/>
      <c r="W15" s="86"/>
    </row>
    <row r="16" spans="1:23" ht="20.100000000000001" customHeight="1" x14ac:dyDescent="0.2">
      <c r="A16" s="5" t="s">
        <v>8</v>
      </c>
      <c r="B16" s="21">
        <f>'Ячейка 24'!D19+'Ячейка 2'!D19</f>
        <v>4608.0000000056316</v>
      </c>
      <c r="C16" s="21"/>
      <c r="D16" s="198">
        <f>'Ячейка 24'!H19+'Ячейка 2'!H19</f>
        <v>2291.4000000018859</v>
      </c>
      <c r="E16" s="198"/>
      <c r="F16" s="194">
        <f t="shared" si="0"/>
        <v>0.49726562499980154</v>
      </c>
      <c r="G16" s="194"/>
      <c r="H16" s="97"/>
      <c r="I16" s="97"/>
      <c r="J16" s="97"/>
      <c r="K16" s="97"/>
      <c r="L16" s="97"/>
      <c r="M16" s="87"/>
      <c r="N16" s="192"/>
      <c r="O16" s="192"/>
      <c r="P16" s="192"/>
      <c r="Q16" s="192"/>
      <c r="R16" s="197"/>
      <c r="S16" s="192"/>
      <c r="T16" s="192"/>
      <c r="U16" s="192"/>
      <c r="V16" s="192"/>
      <c r="W16" s="86"/>
    </row>
    <row r="17" spans="1:23" ht="20.100000000000001" customHeight="1" x14ac:dyDescent="0.2">
      <c r="A17" s="5" t="s">
        <v>9</v>
      </c>
      <c r="B17" s="21">
        <f>'Ячейка 24'!D20+'Ячейка 2'!D20</f>
        <v>4608.0000000056316</v>
      </c>
      <c r="C17" s="21"/>
      <c r="D17" s="198">
        <f>'Ячейка 24'!H20+'Ячейка 2'!H20</f>
        <v>2402.9999999902429</v>
      </c>
      <c r="E17" s="198"/>
      <c r="F17" s="194">
        <f t="shared" si="0"/>
        <v>0.52148437499724531</v>
      </c>
      <c r="G17" s="194"/>
      <c r="H17" s="97"/>
      <c r="I17" s="97"/>
      <c r="J17" s="97"/>
      <c r="K17" s="97"/>
      <c r="L17" s="97"/>
      <c r="M17" s="87"/>
      <c r="N17" s="192"/>
      <c r="O17" s="192"/>
      <c r="P17" s="192"/>
      <c r="Q17" s="192"/>
      <c r="R17" s="197"/>
      <c r="S17" s="192"/>
      <c r="T17" s="192"/>
      <c r="U17" s="192"/>
      <c r="V17" s="192"/>
      <c r="W17" s="86"/>
    </row>
    <row r="18" spans="1:23" ht="20.100000000000001" customHeight="1" x14ac:dyDescent="0.2">
      <c r="A18" s="5" t="s">
        <v>10</v>
      </c>
      <c r="B18" s="21">
        <f>'Ячейка 24'!D21+'Ячейка 2'!D21</f>
        <v>4543.1999999891559</v>
      </c>
      <c r="C18" s="21"/>
      <c r="D18" s="198">
        <f>'Ячейка 24'!H21+'Ячейка 2'!H21</f>
        <v>2370.6000000106542</v>
      </c>
      <c r="E18" s="198"/>
      <c r="F18" s="194">
        <f t="shared" si="0"/>
        <v>0.52179080824447799</v>
      </c>
      <c r="G18" s="194"/>
      <c r="H18" s="97"/>
      <c r="I18" s="97"/>
      <c r="J18" s="97"/>
      <c r="K18" s="97"/>
      <c r="L18" s="97"/>
      <c r="M18" s="87"/>
      <c r="N18" s="192"/>
      <c r="O18" s="192"/>
      <c r="P18" s="192"/>
      <c r="Q18" s="192"/>
      <c r="R18" s="197"/>
      <c r="S18" s="192"/>
      <c r="T18" s="192"/>
      <c r="U18" s="192"/>
      <c r="V18" s="192"/>
      <c r="W18" s="86"/>
    </row>
    <row r="19" spans="1:23" ht="20.100000000000001" customHeight="1" x14ac:dyDescent="0.2">
      <c r="A19" s="5" t="s">
        <v>11</v>
      </c>
      <c r="B19" s="21">
        <f>'Ячейка 24'!D22+'Ячейка 2'!D22</f>
        <v>4505.4000000109227</v>
      </c>
      <c r="C19" s="21"/>
      <c r="D19" s="198">
        <f>'Ячейка 24'!H22+'Ячейка 2'!H22</f>
        <v>2374.1999999974723</v>
      </c>
      <c r="E19" s="198"/>
      <c r="F19" s="194">
        <f t="shared" si="0"/>
        <v>0.52696763883156128</v>
      </c>
      <c r="G19" s="194"/>
      <c r="H19" s="97"/>
      <c r="I19" s="97"/>
      <c r="J19" s="97"/>
      <c r="K19" s="97"/>
      <c r="L19" s="97"/>
      <c r="M19" s="9"/>
      <c r="N19" s="189" t="s">
        <v>132</v>
      </c>
      <c r="O19" s="189"/>
      <c r="P19" s="189"/>
      <c r="Q19" s="189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24'!D23+'Ячейка 2'!D23</f>
        <v>4474.7999999981403</v>
      </c>
      <c r="C20" s="21"/>
      <c r="D20" s="198">
        <f>'Ячейка 24'!H23+'Ячейка 2'!H23</f>
        <v>2377.8000000088468</v>
      </c>
      <c r="E20" s="198"/>
      <c r="F20" s="194">
        <f t="shared" si="0"/>
        <v>0.53137570394427347</v>
      </c>
      <c r="G20" s="194"/>
      <c r="H20" s="97"/>
      <c r="I20" s="97"/>
      <c r="J20" s="97"/>
      <c r="K20" s="97"/>
      <c r="L20" s="97"/>
      <c r="M20" s="9"/>
      <c r="N20" s="190" t="s">
        <v>133</v>
      </c>
      <c r="O20" s="190"/>
      <c r="P20" s="190"/>
      <c r="Q20" s="190"/>
      <c r="R20" s="7"/>
      <c r="S20" s="7">
        <v>1240</v>
      </c>
      <c r="T20" s="7"/>
      <c r="U20" s="7"/>
      <c r="V20" s="7">
        <v>500</v>
      </c>
      <c r="W20" s="8"/>
    </row>
    <row r="21" spans="1:23" ht="20.100000000000001" customHeight="1" x14ac:dyDescent="0.2">
      <c r="A21" s="5" t="s">
        <v>13</v>
      </c>
      <c r="B21" s="21">
        <f>'Ячейка 24'!D24+'Ячейка 2'!D24</f>
        <v>4280.399999981455</v>
      </c>
      <c r="C21" s="21"/>
      <c r="D21" s="198">
        <f>'Ячейка 24'!H24+'Ячейка 2'!H24</f>
        <v>2228.3999999890511</v>
      </c>
      <c r="E21" s="198"/>
      <c r="F21" s="194">
        <f t="shared" si="0"/>
        <v>0.5206055508827927</v>
      </c>
      <c r="G21" s="194"/>
      <c r="H21" s="97"/>
      <c r="I21" s="97"/>
      <c r="J21" s="97"/>
      <c r="K21" s="97"/>
      <c r="L21" s="97"/>
      <c r="M21" s="9"/>
      <c r="N21" s="195" t="s">
        <v>134</v>
      </c>
      <c r="O21" s="195"/>
      <c r="P21" s="195"/>
      <c r="Q21" s="195"/>
      <c r="R21" s="7"/>
      <c r="S21" s="7">
        <v>1392</v>
      </c>
      <c r="T21" s="7"/>
      <c r="U21" s="7"/>
      <c r="V21" s="7">
        <v>0</v>
      </c>
      <c r="W21" s="8"/>
    </row>
    <row r="22" spans="1:23" ht="20.100000000000001" customHeight="1" x14ac:dyDescent="0.2">
      <c r="A22" s="5" t="s">
        <v>14</v>
      </c>
      <c r="B22" s="21">
        <f>'Ячейка 24'!D25+'Ячейка 2'!D25</f>
        <v>4640.400000005684</v>
      </c>
      <c r="C22" s="21"/>
      <c r="D22" s="198">
        <f>'Ячейка 24'!H25+'Ячейка 2'!H25</f>
        <v>2273.3999999941261</v>
      </c>
      <c r="E22" s="198"/>
      <c r="F22" s="194">
        <f t="shared" si="0"/>
        <v>0.48991466252722643</v>
      </c>
      <c r="G22" s="194"/>
      <c r="H22" s="97"/>
      <c r="I22" s="97"/>
      <c r="J22" s="97"/>
      <c r="K22" s="97"/>
      <c r="L22" s="97"/>
    </row>
    <row r="23" spans="1:23" ht="20.100000000000001" customHeight="1" x14ac:dyDescent="0.2">
      <c r="A23" s="5" t="s">
        <v>15</v>
      </c>
      <c r="B23" s="21">
        <f>'Ячейка 24'!D26+'Ячейка 2'!D26</f>
        <v>4914.0000000024884</v>
      </c>
      <c r="C23" s="21"/>
      <c r="D23" s="198">
        <f>'Ячейка 24'!H26+'Ячейка 2'!H26</f>
        <v>2295.0000000091677</v>
      </c>
      <c r="E23" s="198"/>
      <c r="F23" s="194">
        <f t="shared" si="0"/>
        <v>0.46703296703459618</v>
      </c>
      <c r="G23" s="194"/>
      <c r="H23" s="97"/>
      <c r="I23" s="97"/>
      <c r="J23" s="97"/>
      <c r="K23" s="97"/>
      <c r="L23" s="97"/>
    </row>
    <row r="24" spans="1:23" ht="20.100000000000001" customHeight="1" x14ac:dyDescent="0.2">
      <c r="A24" s="5" t="s">
        <v>16</v>
      </c>
      <c r="B24" s="21">
        <f>'Ячейка 24'!D27+'Ячейка 2'!D27</f>
        <v>5084.9999999882129</v>
      </c>
      <c r="C24" s="21"/>
      <c r="D24" s="198">
        <f>'Ячейка 24'!H27+'Ячейка 2'!H27</f>
        <v>2392.2000000052321</v>
      </c>
      <c r="E24" s="198"/>
      <c r="F24" s="194">
        <f t="shared" si="0"/>
        <v>0.47044247787822563</v>
      </c>
      <c r="G24" s="194"/>
      <c r="H24" s="97"/>
      <c r="I24" s="97"/>
      <c r="J24" s="97"/>
      <c r="K24" s="97"/>
      <c r="L24" s="97"/>
      <c r="N24" s="118" t="s">
        <v>135</v>
      </c>
      <c r="O24" s="118"/>
      <c r="P24" s="118"/>
      <c r="Q24" s="118"/>
      <c r="R24" s="118"/>
      <c r="S24" s="118"/>
      <c r="T24" s="118"/>
      <c r="U24" s="118"/>
      <c r="V24" s="118"/>
    </row>
    <row r="25" spans="1:23" ht="20.100000000000001" customHeight="1" x14ac:dyDescent="0.2">
      <c r="A25" s="5" t="s">
        <v>17</v>
      </c>
      <c r="B25" s="21">
        <f>'Ячейка 24'!D28+'Ячейка 2'!D28</f>
        <v>5002.2000000171829</v>
      </c>
      <c r="C25" s="21"/>
      <c r="D25" s="198">
        <f>'Ячейка 24'!H28+'Ячейка 2'!H28</f>
        <v>2262.599999984559</v>
      </c>
      <c r="E25" s="198"/>
      <c r="F25" s="194">
        <f t="shared" si="0"/>
        <v>0.4523209787647009</v>
      </c>
      <c r="G25" s="194"/>
      <c r="H25" s="97"/>
      <c r="I25" s="97"/>
      <c r="J25" s="97"/>
      <c r="K25" s="97"/>
      <c r="L25" s="97"/>
      <c r="N25" s="17" t="s">
        <v>136</v>
      </c>
      <c r="O25" s="118" t="s">
        <v>137</v>
      </c>
      <c r="P25" s="118"/>
      <c r="Q25" s="118"/>
      <c r="R25" s="118"/>
      <c r="S25" s="118"/>
      <c r="T25" s="118"/>
      <c r="U25" s="118"/>
      <c r="V25" s="118"/>
    </row>
    <row r="26" spans="1:23" ht="20.100000000000001" customHeight="1" x14ac:dyDescent="0.2">
      <c r="A26" s="5" t="s">
        <v>18</v>
      </c>
      <c r="B26" s="21">
        <f>'Ячейка 24'!D29+'Ячейка 2'!D29</f>
        <v>4876.2000000078842</v>
      </c>
      <c r="C26" s="21"/>
      <c r="D26" s="198">
        <f>'Ячейка 24'!H29+'Ячейка 2'!H29</f>
        <v>2230.2000000049702</v>
      </c>
      <c r="E26" s="198"/>
      <c r="F26" s="194">
        <f t="shared" si="0"/>
        <v>0.45736434108555107</v>
      </c>
      <c r="G26" s="194"/>
      <c r="H26" s="97"/>
      <c r="I26" s="97"/>
      <c r="J26" s="97"/>
      <c r="K26" s="97"/>
      <c r="L26" s="97"/>
      <c r="N26" s="17" t="s">
        <v>138</v>
      </c>
      <c r="O26" s="118" t="s">
        <v>180</v>
      </c>
      <c r="P26" s="118"/>
      <c r="Q26" s="118"/>
      <c r="R26" s="118"/>
      <c r="S26" s="118"/>
      <c r="T26" s="118"/>
      <c r="U26" s="118"/>
      <c r="V26" s="118"/>
    </row>
    <row r="27" spans="1:23" ht="20.100000000000001" customHeight="1" x14ac:dyDescent="0.2">
      <c r="A27" s="5" t="s">
        <v>19</v>
      </c>
      <c r="B27" s="21">
        <f>'Ячейка 24'!D30+'Ячейка 2'!D30</f>
        <v>4818.5999999896012</v>
      </c>
      <c r="C27" s="21"/>
      <c r="D27" s="198">
        <f>'Ячейка 24'!H30+'Ячейка 2'!H30</f>
        <v>2221.1999999990439</v>
      </c>
      <c r="E27" s="198"/>
      <c r="F27" s="194">
        <f t="shared" si="0"/>
        <v>0.46096376540983636</v>
      </c>
      <c r="G27" s="194"/>
      <c r="H27" s="97"/>
      <c r="I27" s="97"/>
      <c r="J27" s="97"/>
      <c r="K27" s="97"/>
      <c r="L27" s="97"/>
      <c r="N27" s="17" t="s">
        <v>139</v>
      </c>
      <c r="O27" s="118" t="s">
        <v>140</v>
      </c>
      <c r="P27" s="118"/>
      <c r="Q27" s="118"/>
      <c r="R27" s="118"/>
      <c r="S27" s="118"/>
      <c r="T27" s="118"/>
      <c r="U27" s="118"/>
      <c r="V27" s="118"/>
    </row>
    <row r="28" spans="1:23" ht="20.100000000000001" customHeight="1" x14ac:dyDescent="0.2">
      <c r="A28" s="5" t="s">
        <v>20</v>
      </c>
      <c r="B28" s="21">
        <f>'Ячейка 24'!D31+'Ячейка 2'!D31</f>
        <v>4672.7999999893655</v>
      </c>
      <c r="C28" s="21"/>
      <c r="D28" s="198">
        <f>'Ячейка 24'!H31+'Ячейка 2'!H31</f>
        <v>2158.1999999984873</v>
      </c>
      <c r="E28" s="198"/>
      <c r="F28" s="194">
        <f t="shared" si="0"/>
        <v>0.46186440678038843</v>
      </c>
      <c r="G28" s="194"/>
      <c r="H28" s="97"/>
      <c r="I28" s="97"/>
      <c r="J28" s="97"/>
      <c r="K28" s="97"/>
      <c r="L28" s="97"/>
      <c r="N28" s="17"/>
      <c r="O28" s="118" t="s">
        <v>141</v>
      </c>
      <c r="P28" s="118"/>
      <c r="Q28" s="118"/>
      <c r="R28" s="118"/>
      <c r="S28" s="118"/>
      <c r="T28" s="118"/>
      <c r="U28" s="118"/>
      <c r="V28" s="118"/>
    </row>
    <row r="29" spans="1:23" ht="20.100000000000001" customHeight="1" x14ac:dyDescent="0.2">
      <c r="A29" s="5" t="s">
        <v>21</v>
      </c>
      <c r="B29" s="21">
        <f>'Ячейка 24'!D32+'Ячейка 2'!D32</f>
        <v>4872.6000000169734</v>
      </c>
      <c r="C29" s="21"/>
      <c r="D29" s="198">
        <f>'Ячейка 24'!H32+'Ячейка 2'!H32</f>
        <v>2259.0000000018335</v>
      </c>
      <c r="E29" s="198"/>
      <c r="F29" s="194">
        <f t="shared" si="0"/>
        <v>0.46361285555842147</v>
      </c>
      <c r="G29" s="194"/>
      <c r="H29" s="97"/>
      <c r="I29" s="97"/>
      <c r="J29" s="97"/>
      <c r="K29" s="97"/>
      <c r="L29" s="97"/>
      <c r="N29" s="17"/>
      <c r="O29" s="118" t="s">
        <v>142</v>
      </c>
      <c r="P29" s="118"/>
      <c r="Q29" s="118"/>
      <c r="R29" s="118"/>
      <c r="S29" s="118"/>
      <c r="T29" s="118"/>
      <c r="U29" s="118"/>
      <c r="V29" s="118"/>
    </row>
    <row r="30" spans="1:23" ht="20.100000000000001" customHeight="1" x14ac:dyDescent="0.2">
      <c r="A30" s="5" t="s">
        <v>22</v>
      </c>
      <c r="B30" s="21">
        <f>'Ячейка 24'!D33+'Ячейка 2'!D33</f>
        <v>4782.5999999986379</v>
      </c>
      <c r="C30" s="21"/>
      <c r="D30" s="198">
        <f>'Ячейка 24'!H33+'Ячейка 2'!H33</f>
        <v>2239.2000000108965</v>
      </c>
      <c r="E30" s="198"/>
      <c r="F30" s="194">
        <f t="shared" si="0"/>
        <v>0.46819721490643879</v>
      </c>
      <c r="G30" s="194"/>
      <c r="H30" s="97"/>
      <c r="I30" s="97"/>
      <c r="J30" s="97"/>
      <c r="K30" s="97"/>
      <c r="L30" s="97"/>
      <c r="N30" s="17" t="s">
        <v>143</v>
      </c>
      <c r="O30" s="118" t="s">
        <v>144</v>
      </c>
      <c r="P30" s="118"/>
      <c r="Q30" s="118"/>
      <c r="R30" s="118"/>
      <c r="S30" s="118"/>
      <c r="T30" s="118"/>
      <c r="U30" s="118"/>
      <c r="V30" s="118"/>
    </row>
    <row r="31" spans="1:23" ht="20.100000000000001" customHeight="1" x14ac:dyDescent="0.2">
      <c r="A31" s="5" t="s">
        <v>23</v>
      </c>
      <c r="B31" s="21">
        <f>'Ячейка 24'!D34+'Ячейка 2'!D34</f>
        <v>4840.1999999841792</v>
      </c>
      <c r="C31" s="21"/>
      <c r="D31" s="198">
        <f>'Ячейка 24'!H34+'Ячейка 2'!H34</f>
        <v>2266.1999999959335</v>
      </c>
      <c r="E31" s="198"/>
      <c r="F31" s="194">
        <f t="shared" si="0"/>
        <v>0.46820379323237488</v>
      </c>
      <c r="G31" s="194"/>
      <c r="H31" s="97"/>
      <c r="I31" s="97"/>
      <c r="J31" s="97"/>
      <c r="K31" s="97"/>
      <c r="L31" s="97"/>
      <c r="N31" s="17"/>
      <c r="O31" s="118" t="s">
        <v>145</v>
      </c>
      <c r="P31" s="118"/>
      <c r="Q31" s="118"/>
      <c r="R31" s="118"/>
      <c r="S31" s="118"/>
      <c r="T31" s="118"/>
      <c r="U31" s="118"/>
      <c r="V31" s="118"/>
    </row>
    <row r="32" spans="1:23" ht="20.100000000000001" customHeight="1" x14ac:dyDescent="0.2">
      <c r="A32" s="5" t="s">
        <v>24</v>
      </c>
      <c r="B32" s="21">
        <f>'Ячейка 24'!D35+'Ячейка 2'!D35</f>
        <v>4847.4000000151136</v>
      </c>
      <c r="C32" s="21"/>
      <c r="D32" s="198">
        <f>'Ячейка 24'!H35+'Ячейка 2'!H35</f>
        <v>2255.399999990459</v>
      </c>
      <c r="E32" s="198"/>
      <c r="F32" s="194">
        <f t="shared" si="0"/>
        <v>0.46528035647634342</v>
      </c>
      <c r="G32" s="194"/>
      <c r="H32" s="97"/>
      <c r="I32" s="97"/>
      <c r="J32" s="97"/>
      <c r="K32" s="97"/>
      <c r="L32" s="97"/>
      <c r="N32" s="17" t="s">
        <v>146</v>
      </c>
      <c r="O32" s="118" t="s">
        <v>147</v>
      </c>
      <c r="P32" s="118"/>
      <c r="Q32" s="118"/>
      <c r="R32" s="118"/>
      <c r="S32" s="118"/>
      <c r="T32" s="118"/>
      <c r="U32" s="118"/>
      <c r="V32" s="118"/>
    </row>
    <row r="33" spans="1:24" ht="20.100000000000001" customHeight="1" x14ac:dyDescent="0.2">
      <c r="A33" s="5" t="s">
        <v>25</v>
      </c>
      <c r="B33" s="21">
        <f>'Ячейка 24'!D36+'Ячейка 2'!D36</f>
        <v>4534.2000000036933</v>
      </c>
      <c r="C33" s="21"/>
      <c r="D33" s="198">
        <f>'Ячейка 24'!H36+'Ячейка 2'!H36</f>
        <v>2160.0000000103137</v>
      </c>
      <c r="E33" s="198"/>
      <c r="F33" s="194">
        <f t="shared" si="0"/>
        <v>0.47637951568271236</v>
      </c>
      <c r="G33" s="194"/>
      <c r="H33" s="97"/>
      <c r="I33" s="97"/>
      <c r="J33" s="97"/>
      <c r="K33" s="97"/>
      <c r="L33" s="97"/>
      <c r="N33" s="17" t="s">
        <v>148</v>
      </c>
      <c r="O33" s="118" t="s">
        <v>149</v>
      </c>
      <c r="P33" s="118"/>
      <c r="Q33" s="118"/>
      <c r="R33" s="118"/>
      <c r="S33" s="118"/>
      <c r="T33" s="118"/>
      <c r="U33" s="118"/>
      <c r="V33" s="118"/>
    </row>
    <row r="34" spans="1:24" ht="20.100000000000001" customHeight="1" x14ac:dyDescent="0.2">
      <c r="A34" s="5" t="s">
        <v>26</v>
      </c>
      <c r="B34" s="21">
        <f>'Ячейка 24'!D37+'Ячейка 2'!D37</f>
        <v>4568.3999999746447</v>
      </c>
      <c r="C34" s="21"/>
      <c r="D34" s="198">
        <f>'Ячейка 24'!H37+'Ячейка 2'!H37</f>
        <v>2158.1999999984873</v>
      </c>
      <c r="E34" s="198"/>
      <c r="F34" s="194">
        <f t="shared" si="0"/>
        <v>0.47241922774066752</v>
      </c>
      <c r="G34" s="194"/>
      <c r="H34" s="97"/>
      <c r="I34" s="97"/>
      <c r="J34" s="97"/>
      <c r="K34" s="97"/>
      <c r="L34" s="97"/>
    </row>
    <row r="35" spans="1:24" ht="20.100000000000001" customHeight="1" x14ac:dyDescent="0.2">
      <c r="A35" s="5" t="s">
        <v>27</v>
      </c>
      <c r="B35" s="21">
        <f>'Ячейка 24'!D38+'Ячейка 2'!D38</f>
        <v>4527.0000000218715</v>
      </c>
      <c r="C35" s="21"/>
      <c r="D35" s="198">
        <f>'Ячейка 24'!H38+'Ячейка 2'!H38</f>
        <v>2086.2000000042826</v>
      </c>
      <c r="E35" s="198"/>
      <c r="F35" s="194">
        <f t="shared" si="0"/>
        <v>0.4608349900583617</v>
      </c>
      <c r="G35" s="194"/>
      <c r="H35" s="97"/>
      <c r="I35" s="97"/>
      <c r="J35" s="97"/>
      <c r="K35" s="97"/>
      <c r="L35" s="97"/>
    </row>
    <row r="36" spans="1:24" ht="20.100000000000001" customHeight="1" x14ac:dyDescent="0.2">
      <c r="A36" s="5" t="s">
        <v>28</v>
      </c>
      <c r="B36" s="21">
        <f>'Ячейка 24'!D39+'Ячейка 2'!D39</f>
        <v>4478.3999999890511</v>
      </c>
      <c r="C36" s="21"/>
      <c r="D36" s="198">
        <f>'Ячейка 24'!H39+'Ячейка 2'!H39</f>
        <v>2111.3999999897715</v>
      </c>
      <c r="E36" s="198"/>
      <c r="F36" s="194">
        <f t="shared" si="0"/>
        <v>0.47146302250690725</v>
      </c>
      <c r="G36" s="194"/>
      <c r="H36" s="97"/>
      <c r="I36" s="97"/>
      <c r="J36" s="97"/>
      <c r="K36" s="97"/>
      <c r="L36" s="97"/>
    </row>
    <row r="37" spans="1:24" ht="20.100000000000001" customHeight="1" x14ac:dyDescent="0.2">
      <c r="A37" s="5" t="s">
        <v>29</v>
      </c>
      <c r="B37" s="21">
        <f>'Ячейка 24'!D40+'Ячейка 2'!D40</f>
        <v>4419.0000000162399</v>
      </c>
      <c r="C37" s="21"/>
      <c r="D37" s="198">
        <f>'Ячейка 24'!H40+'Ячейка 2'!H40</f>
        <v>2053.8000000001375</v>
      </c>
      <c r="E37" s="198"/>
      <c r="F37" s="194">
        <f t="shared" si="0"/>
        <v>0.46476578411237607</v>
      </c>
      <c r="G37" s="194"/>
      <c r="H37" s="97"/>
      <c r="I37" s="97"/>
      <c r="J37" s="97"/>
      <c r="K37" s="97"/>
      <c r="L37" s="97"/>
    </row>
    <row r="38" spans="1:24" ht="20.100000000000001" customHeight="1" x14ac:dyDescent="0.2">
      <c r="A38" s="5" t="s">
        <v>30</v>
      </c>
      <c r="B38" s="21">
        <f>'Ячейка 24'!D41+'Ячейка 2'!D41</f>
        <v>4516.1999999836553</v>
      </c>
      <c r="C38" s="21"/>
      <c r="D38" s="198">
        <f>'Ячейка 24'!H41+'Ячейка 2'!H41</f>
        <v>2082.600000009279</v>
      </c>
      <c r="E38" s="198"/>
      <c r="F38" s="194">
        <f t="shared" si="0"/>
        <v>0.46113989637678054</v>
      </c>
      <c r="G38" s="194"/>
      <c r="H38" s="97"/>
      <c r="I38" s="97"/>
      <c r="J38" s="97"/>
      <c r="K38" s="97"/>
      <c r="L38" s="97"/>
    </row>
    <row r="39" spans="1:24" ht="20.100000000000001" customHeight="1" x14ac:dyDescent="0.2">
      <c r="A39" s="5" t="s">
        <v>31</v>
      </c>
      <c r="B39" s="21">
        <f>'Ячейка 24'!D42+'Ячейка 2'!D42</f>
        <v>4417.1999999962281</v>
      </c>
      <c r="C39" s="21"/>
      <c r="D39" s="198">
        <f>'Ячейка 24'!H42+'Ячейка 2'!H42</f>
        <v>2113.1999999893196</v>
      </c>
      <c r="E39" s="198"/>
      <c r="F39" s="194">
        <f t="shared" si="0"/>
        <v>0.47840260798495066</v>
      </c>
      <c r="G39" s="194"/>
      <c r="H39" s="97"/>
      <c r="I39" s="97"/>
      <c r="J39" s="97"/>
      <c r="K39" s="97"/>
      <c r="L39" s="97"/>
      <c r="P39" s="150" t="s">
        <v>150</v>
      </c>
      <c r="Q39" s="150"/>
      <c r="R39" s="150"/>
      <c r="S39" s="149" t="s">
        <v>370</v>
      </c>
      <c r="T39" s="149"/>
      <c r="U39" s="149"/>
      <c r="V39" s="149"/>
      <c r="W39" s="149"/>
      <c r="X39" s="149"/>
    </row>
    <row r="40" spans="1:24" ht="20.100000000000001" customHeight="1" x14ac:dyDescent="0.2">
      <c r="A40" s="5" t="s">
        <v>32</v>
      </c>
      <c r="B40" s="21">
        <f>SUM(B15:B39)</f>
        <v>111832.19999999164</v>
      </c>
      <c r="C40" s="21"/>
      <c r="D40" s="198">
        <f>SUM(D15:E39)</f>
        <v>53663.39999999445</v>
      </c>
      <c r="E40" s="198"/>
      <c r="F40" s="194">
        <f>IF(OR(B40="",D40=""),"",IF(ISERROR(D40/B40),IF(D40=0,0,""),D40/B40))</f>
        <v>0.47985642775514081</v>
      </c>
      <c r="G40" s="194"/>
      <c r="H40" s="97"/>
      <c r="I40" s="97"/>
      <c r="J40" s="97"/>
      <c r="K40" s="97"/>
      <c r="L40" s="97"/>
    </row>
    <row r="41" spans="1:24" ht="20.100000000000001" customHeight="1" x14ac:dyDescent="0.2">
      <c r="A41" s="5" t="s">
        <v>33</v>
      </c>
      <c r="B41" s="5"/>
      <c r="C41" s="5"/>
      <c r="D41" s="192"/>
      <c r="E41" s="192"/>
      <c r="F41" s="194"/>
      <c r="G41" s="194"/>
      <c r="H41" s="97"/>
      <c r="I41" s="97"/>
      <c r="J41" s="97"/>
      <c r="K41" s="97"/>
      <c r="L41" s="97"/>
    </row>
    <row r="42" spans="1:24" ht="20.100000000000001" customHeight="1" x14ac:dyDescent="0.2">
      <c r="A42" s="87" t="s">
        <v>2</v>
      </c>
      <c r="B42" s="86" t="s">
        <v>37</v>
      </c>
      <c r="C42" s="105"/>
      <c r="D42" s="87"/>
      <c r="E42" s="86" t="s">
        <v>40</v>
      </c>
      <c r="F42" s="105"/>
      <c r="G42" s="105"/>
      <c r="H42" s="105"/>
      <c r="I42" s="87"/>
      <c r="J42" s="101" t="s">
        <v>5</v>
      </c>
      <c r="K42" s="104"/>
      <c r="L42" s="104"/>
    </row>
    <row r="43" spans="1:24" ht="36" customHeight="1" x14ac:dyDescent="0.2">
      <c r="A43" s="87"/>
      <c r="B43" s="192" t="s">
        <v>38</v>
      </c>
      <c r="C43" s="192"/>
      <c r="D43" s="5" t="s">
        <v>39</v>
      </c>
      <c r="E43" s="86" t="s">
        <v>41</v>
      </c>
      <c r="F43" s="105"/>
      <c r="G43" s="87"/>
      <c r="H43" s="86" t="s">
        <v>42</v>
      </c>
      <c r="I43" s="87"/>
      <c r="J43" s="92"/>
      <c r="K43" s="103"/>
      <c r="L43" s="103"/>
    </row>
    <row r="44" spans="1:24" ht="20.100000000000001" customHeight="1" x14ac:dyDescent="0.2">
      <c r="A44" s="4" t="s">
        <v>153</v>
      </c>
      <c r="B44" s="199">
        <f>SUM(B24:B26)</f>
        <v>14963.40000001328</v>
      </c>
      <c r="C44" s="200"/>
      <c r="D44" s="21">
        <f>SUM(D24:E26)</f>
        <v>6884.9999999947613</v>
      </c>
      <c r="E44" s="199">
        <f>B44/3</f>
        <v>4987.8000000044267</v>
      </c>
      <c r="F44" s="204"/>
      <c r="G44" s="200"/>
      <c r="H44" s="199">
        <f>D44/3</f>
        <v>2294.9999999982538</v>
      </c>
      <c r="I44" s="200"/>
      <c r="J44" s="201">
        <f>H44/E44</f>
        <v>0.46012269938574463</v>
      </c>
      <c r="K44" s="202"/>
      <c r="L44" s="202"/>
    </row>
    <row r="45" spans="1:24" ht="20.100000000000001" customHeight="1" x14ac:dyDescent="0.2">
      <c r="A45" s="4" t="s">
        <v>43</v>
      </c>
      <c r="B45" s="199">
        <f>SUM(B33:B36)</f>
        <v>18107.999999989261</v>
      </c>
      <c r="C45" s="200"/>
      <c r="D45" s="21">
        <f>SUM(D33:E36)</f>
        <v>8515.8000000028551</v>
      </c>
      <c r="E45" s="199">
        <f>B45/4</f>
        <v>4526.9999999973152</v>
      </c>
      <c r="F45" s="204"/>
      <c r="G45" s="200"/>
      <c r="H45" s="199">
        <f>D45/4</f>
        <v>2128.9500000007138</v>
      </c>
      <c r="I45" s="200"/>
      <c r="J45" s="201">
        <f>H45/E45</f>
        <v>0.47027833002031727</v>
      </c>
      <c r="K45" s="202"/>
      <c r="L45" s="202"/>
    </row>
    <row r="46" spans="1:24" ht="20.100000000000001" customHeight="1" x14ac:dyDescent="0.2">
      <c r="A46" s="4" t="s">
        <v>44</v>
      </c>
      <c r="B46" s="199">
        <f>SUM(B16:B39)</f>
        <v>111832.19999999164</v>
      </c>
      <c r="C46" s="200"/>
      <c r="D46" s="21">
        <f>SUM(D16:E39)</f>
        <v>53663.39999999445</v>
      </c>
      <c r="E46" s="199">
        <f>B46/24</f>
        <v>4659.6749999996518</v>
      </c>
      <c r="F46" s="204"/>
      <c r="G46" s="200"/>
      <c r="H46" s="199">
        <f>D46/24</f>
        <v>2235.9749999997689</v>
      </c>
      <c r="I46" s="200"/>
      <c r="J46" s="201">
        <f>H46/E46</f>
        <v>0.47985642775514087</v>
      </c>
      <c r="K46" s="202"/>
      <c r="L46" s="202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99" t="s">
        <v>186</v>
      </c>
      <c r="D50" s="99"/>
      <c r="E50" s="99"/>
      <c r="F50" s="99"/>
      <c r="G50" s="99"/>
      <c r="H50" s="99"/>
      <c r="I50" s="99"/>
    </row>
    <row r="51" spans="3:9" ht="20.100000000000001" customHeight="1" x14ac:dyDescent="0.2"/>
  </sheetData>
  <sheetProtection sheet="1" objects="1" scenarios="1"/>
  <mergeCells count="173"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H28:L28"/>
    <mergeCell ref="D22:E22"/>
    <mergeCell ref="F27:G27"/>
    <mergeCell ref="F28:G28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F15:G15"/>
    <mergeCell ref="F16:G16"/>
    <mergeCell ref="F17:G17"/>
    <mergeCell ref="F22:G22"/>
    <mergeCell ref="F18:G18"/>
    <mergeCell ref="F19:G19"/>
    <mergeCell ref="F20:G20"/>
    <mergeCell ref="D14:E14"/>
    <mergeCell ref="D15:E15"/>
    <mergeCell ref="D16:E16"/>
    <mergeCell ref="D17:E17"/>
    <mergeCell ref="D24:E24"/>
    <mergeCell ref="F23:G23"/>
    <mergeCell ref="F24:G24"/>
    <mergeCell ref="F25:G25"/>
    <mergeCell ref="F26:G26"/>
    <mergeCell ref="F33:G33"/>
    <mergeCell ref="D25:E25"/>
    <mergeCell ref="D26:E26"/>
    <mergeCell ref="D29:E29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F21:G21"/>
    <mergeCell ref="D21:E21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S39:X39"/>
    <mergeCell ref="H23:L23"/>
    <mergeCell ref="H24:L24"/>
    <mergeCell ref="H25:L25"/>
    <mergeCell ref="H26:L26"/>
    <mergeCell ref="H27:L27"/>
    <mergeCell ref="F34:G34"/>
    <mergeCell ref="D30:E30"/>
    <mergeCell ref="D31:E31"/>
    <mergeCell ref="D32:E32"/>
    <mergeCell ref="D23:E23"/>
    <mergeCell ref="N19:Q19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N7:Q7"/>
    <mergeCell ref="N8:Q8"/>
    <mergeCell ref="N9:Q9"/>
    <mergeCell ref="M1:M3"/>
    <mergeCell ref="N1:Q3"/>
    <mergeCell ref="R1:T1"/>
    <mergeCell ref="U14:U18"/>
    <mergeCell ref="V14:V18"/>
    <mergeCell ref="W14:W18"/>
    <mergeCell ref="U1:W1"/>
    <mergeCell ref="R2:R3"/>
    <mergeCell ref="U2:U3"/>
    <mergeCell ref="S2:T2"/>
    <mergeCell ref="S3:T3"/>
    <mergeCell ref="V2:W2"/>
    <mergeCell ref="V3:W3"/>
    <mergeCell ref="I9:M9"/>
    <mergeCell ref="A7:L7"/>
    <mergeCell ref="F12:G13"/>
    <mergeCell ref="H12:L12"/>
    <mergeCell ref="F9:H9"/>
    <mergeCell ref="A9:E9"/>
    <mergeCell ref="A8:L8"/>
    <mergeCell ref="F14:G14"/>
    <mergeCell ref="F5:H6"/>
    <mergeCell ref="I5:L6"/>
    <mergeCell ref="F3:H4"/>
    <mergeCell ref="I3:L4"/>
    <mergeCell ref="F1:H2"/>
    <mergeCell ref="I1:L2"/>
    <mergeCell ref="N4:Q4"/>
    <mergeCell ref="N5:Q5"/>
    <mergeCell ref="N6:Q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9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1:X51"/>
  <sheetViews>
    <sheetView view="pageBreakPreview" topLeftCell="A16" zoomScale="75" zoomScaleNormal="100" workbookViewId="0">
      <selection activeCell="Q42" sqref="Q42"/>
    </sheetView>
  </sheetViews>
  <sheetFormatPr defaultRowHeight="18.75" x14ac:dyDescent="0.2"/>
  <cols>
    <col min="1" max="1" width="16.710937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.42578125" style="2" customWidth="1"/>
    <col min="21" max="21" width="12.7109375" style="2" customWidth="1"/>
    <col min="22" max="22" width="11.85546875" style="2" customWidth="1"/>
    <col min="23" max="23" width="14.28515625" style="2" customWidth="1"/>
    <col min="24" max="28" width="10.28515625" style="2" customWidth="1"/>
    <col min="29" max="16384" width="9.140625" style="2"/>
  </cols>
  <sheetData>
    <row r="1" spans="1:23" ht="26.25" x14ac:dyDescent="0.2">
      <c r="A1" s="94" t="s">
        <v>161</v>
      </c>
      <c r="B1" s="94"/>
      <c r="C1" s="94"/>
      <c r="D1" s="94"/>
      <c r="E1" s="94"/>
      <c r="F1" s="123" t="s">
        <v>154</v>
      </c>
      <c r="G1" s="123"/>
      <c r="H1" s="123"/>
      <c r="I1" s="94" t="s">
        <v>163</v>
      </c>
      <c r="J1" s="94"/>
      <c r="K1" s="94"/>
      <c r="L1" s="94"/>
      <c r="M1" s="100" t="s">
        <v>115</v>
      </c>
      <c r="N1" s="98" t="s">
        <v>116</v>
      </c>
      <c r="O1" s="98"/>
      <c r="P1" s="98"/>
      <c r="Q1" s="98"/>
      <c r="R1" s="192" t="s">
        <v>117</v>
      </c>
      <c r="S1" s="192"/>
      <c r="T1" s="192"/>
      <c r="U1" s="192" t="s">
        <v>118</v>
      </c>
      <c r="V1" s="192"/>
      <c r="W1" s="86"/>
    </row>
    <row r="2" spans="1:23" ht="18.75" customHeight="1" x14ac:dyDescent="0.2">
      <c r="A2" s="119" t="s">
        <v>45</v>
      </c>
      <c r="B2" s="119"/>
      <c r="C2" s="119"/>
      <c r="D2" s="119"/>
      <c r="E2" s="119"/>
      <c r="F2" s="123"/>
      <c r="G2" s="123"/>
      <c r="H2" s="123"/>
      <c r="I2" s="94"/>
      <c r="J2" s="94"/>
      <c r="K2" s="94"/>
      <c r="L2" s="94"/>
      <c r="M2" s="95"/>
      <c r="N2" s="89"/>
      <c r="O2" s="89"/>
      <c r="P2" s="89"/>
      <c r="Q2" s="89"/>
      <c r="R2" s="89" t="s">
        <v>119</v>
      </c>
      <c r="S2" s="89" t="s">
        <v>120</v>
      </c>
      <c r="T2" s="89"/>
      <c r="U2" s="89" t="s">
        <v>119</v>
      </c>
      <c r="V2" s="89" t="s">
        <v>120</v>
      </c>
      <c r="W2" s="90"/>
    </row>
    <row r="3" spans="1:23" ht="21.75" customHeight="1" x14ac:dyDescent="0.2">
      <c r="A3" s="94" t="s">
        <v>162</v>
      </c>
      <c r="B3" s="94"/>
      <c r="C3" s="94"/>
      <c r="D3" s="94"/>
      <c r="E3" s="94"/>
      <c r="F3" s="123" t="s">
        <v>155</v>
      </c>
      <c r="G3" s="123"/>
      <c r="H3" s="123"/>
      <c r="I3" s="94" t="s">
        <v>226</v>
      </c>
      <c r="J3" s="94"/>
      <c r="K3" s="94"/>
      <c r="L3" s="94"/>
      <c r="M3" s="96"/>
      <c r="N3" s="91"/>
      <c r="O3" s="91"/>
      <c r="P3" s="91"/>
      <c r="Q3" s="91"/>
      <c r="R3" s="91"/>
      <c r="S3" s="91" t="s">
        <v>121</v>
      </c>
      <c r="T3" s="91"/>
      <c r="U3" s="91"/>
      <c r="V3" s="91" t="s">
        <v>121</v>
      </c>
      <c r="W3" s="92"/>
    </row>
    <row r="4" spans="1:23" ht="29.25" customHeight="1" x14ac:dyDescent="0.2">
      <c r="A4" s="119" t="s">
        <v>46</v>
      </c>
      <c r="B4" s="119"/>
      <c r="C4" s="119"/>
      <c r="D4" s="119"/>
      <c r="E4" s="119"/>
      <c r="F4" s="123"/>
      <c r="G4" s="123"/>
      <c r="H4" s="123"/>
      <c r="I4" s="94"/>
      <c r="J4" s="94"/>
      <c r="K4" s="94"/>
      <c r="L4" s="94"/>
      <c r="M4" s="9"/>
      <c r="N4" s="189" t="s">
        <v>122</v>
      </c>
      <c r="O4" s="189"/>
      <c r="P4" s="189"/>
      <c r="Q4" s="189"/>
      <c r="R4" s="7"/>
      <c r="S4" s="8"/>
      <c r="T4" s="9"/>
      <c r="U4" s="7"/>
      <c r="V4" s="8"/>
      <c r="W4" s="18"/>
    </row>
    <row r="5" spans="1:23" ht="18" customHeight="1" x14ac:dyDescent="0.2">
      <c r="A5" s="203" t="s">
        <v>176</v>
      </c>
      <c r="B5" s="203"/>
      <c r="C5" s="203"/>
      <c r="D5" s="203"/>
      <c r="E5" s="203"/>
      <c r="F5" s="123" t="s">
        <v>156</v>
      </c>
      <c r="G5" s="123"/>
      <c r="H5" s="123"/>
      <c r="I5" s="94" t="s">
        <v>251</v>
      </c>
      <c r="J5" s="94"/>
      <c r="K5" s="94"/>
      <c r="L5" s="94"/>
      <c r="M5" s="9"/>
      <c r="N5" s="190" t="s">
        <v>123</v>
      </c>
      <c r="O5" s="190"/>
      <c r="P5" s="190"/>
      <c r="Q5" s="190"/>
      <c r="R5" s="7"/>
      <c r="S5" s="8"/>
      <c r="T5" s="9"/>
      <c r="U5" s="7"/>
      <c r="V5" s="8"/>
      <c r="W5" s="18"/>
    </row>
    <row r="6" spans="1:23" x14ac:dyDescent="0.2">
      <c r="A6" s="119" t="s">
        <v>47</v>
      </c>
      <c r="B6" s="119"/>
      <c r="C6" s="119"/>
      <c r="D6" s="119"/>
      <c r="E6" s="119"/>
      <c r="F6" s="123"/>
      <c r="G6" s="123"/>
      <c r="H6" s="123"/>
      <c r="I6" s="94"/>
      <c r="J6" s="94"/>
      <c r="K6" s="94"/>
      <c r="L6" s="94"/>
      <c r="M6" s="9"/>
      <c r="N6" s="190" t="s">
        <v>124</v>
      </c>
      <c r="O6" s="190"/>
      <c r="P6" s="190"/>
      <c r="Q6" s="190"/>
      <c r="R6" s="7"/>
      <c r="S6" s="8"/>
      <c r="T6" s="9"/>
      <c r="U6" s="7"/>
      <c r="V6" s="8"/>
      <c r="W6" s="18"/>
    </row>
    <row r="7" spans="1:23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191" t="s">
        <v>125</v>
      </c>
      <c r="O7" s="191"/>
      <c r="P7" s="191"/>
      <c r="Q7" s="191"/>
      <c r="R7" s="7"/>
      <c r="S7" s="8"/>
      <c r="T7" s="9"/>
      <c r="U7" s="7"/>
      <c r="V7" s="8"/>
      <c r="W7" s="18"/>
    </row>
    <row r="8" spans="1:23" ht="22.5" x14ac:dyDescent="0.2">
      <c r="A8" s="116" t="s">
        <v>0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190" t="s">
        <v>126</v>
      </c>
      <c r="O8" s="190"/>
      <c r="P8" s="190"/>
      <c r="Q8" s="190"/>
      <c r="R8" s="7"/>
      <c r="S8" s="8"/>
      <c r="T8" s="9"/>
      <c r="U8" s="7"/>
      <c r="V8" s="8"/>
      <c r="W8" s="18"/>
    </row>
    <row r="9" spans="1:23" ht="18.75" customHeight="1" x14ac:dyDescent="0.2">
      <c r="A9" s="193" t="s">
        <v>152</v>
      </c>
      <c r="B9" s="193"/>
      <c r="C9" s="193"/>
      <c r="D9" s="193"/>
      <c r="E9" s="193"/>
      <c r="F9" s="135" t="s">
        <v>375</v>
      </c>
      <c r="G9" s="136"/>
      <c r="H9" s="136"/>
      <c r="I9" s="111" t="s">
        <v>376</v>
      </c>
      <c r="J9" s="111"/>
      <c r="K9" s="111"/>
      <c r="L9" s="111"/>
      <c r="M9" s="111"/>
      <c r="N9" s="190" t="s">
        <v>127</v>
      </c>
      <c r="O9" s="190"/>
      <c r="P9" s="190"/>
      <c r="Q9" s="190"/>
      <c r="R9" s="7"/>
      <c r="S9" s="8"/>
      <c r="T9" s="9"/>
      <c r="U9" s="7"/>
      <c r="V9" s="8"/>
      <c r="W9" s="18"/>
    </row>
    <row r="10" spans="1:23" ht="19.5" customHeight="1" x14ac:dyDescent="0.2">
      <c r="A10" s="193" t="s">
        <v>151</v>
      </c>
      <c r="B10" s="193"/>
      <c r="C10" s="136" t="s">
        <v>250</v>
      </c>
      <c r="D10" s="136"/>
      <c r="E10" s="136"/>
      <c r="F10" s="136"/>
      <c r="G10" s="136"/>
      <c r="H10" s="136"/>
      <c r="I10" s="3"/>
      <c r="J10" s="3"/>
      <c r="K10" s="3"/>
      <c r="L10" s="3"/>
      <c r="M10" s="9"/>
      <c r="N10" s="191" t="s">
        <v>128</v>
      </c>
      <c r="O10" s="191"/>
      <c r="P10" s="191"/>
      <c r="Q10" s="191"/>
      <c r="R10" s="7"/>
      <c r="S10" s="8"/>
      <c r="T10" s="9"/>
      <c r="U10" s="7"/>
      <c r="V10" s="8"/>
      <c r="W10" s="18"/>
    </row>
    <row r="11" spans="1:23" x14ac:dyDescent="0.2">
      <c r="A11" s="188" t="s">
        <v>1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9"/>
      <c r="N11" s="196" t="s">
        <v>129</v>
      </c>
      <c r="O11" s="196"/>
      <c r="P11" s="196"/>
      <c r="Q11" s="196"/>
      <c r="R11" s="7"/>
      <c r="S11" s="8"/>
      <c r="T11" s="9"/>
      <c r="U11" s="7"/>
      <c r="V11" s="8"/>
      <c r="W11" s="18"/>
    </row>
    <row r="12" spans="1:23" ht="20.100000000000001" customHeight="1" x14ac:dyDescent="0.2">
      <c r="A12" s="87" t="s">
        <v>2</v>
      </c>
      <c r="B12" s="192" t="s">
        <v>36</v>
      </c>
      <c r="C12" s="192"/>
      <c r="D12" s="192"/>
      <c r="E12" s="192"/>
      <c r="F12" s="192" t="s">
        <v>5</v>
      </c>
      <c r="G12" s="192"/>
      <c r="H12" s="101" t="s">
        <v>34</v>
      </c>
      <c r="I12" s="104"/>
      <c r="J12" s="104"/>
      <c r="K12" s="104"/>
      <c r="L12" s="104"/>
      <c r="N12" s="1"/>
      <c r="O12" s="1"/>
      <c r="P12" s="1"/>
      <c r="Q12" s="1"/>
    </row>
    <row r="13" spans="1:23" ht="20.100000000000001" customHeight="1" x14ac:dyDescent="0.2">
      <c r="A13" s="87"/>
      <c r="B13" s="192" t="s">
        <v>3</v>
      </c>
      <c r="C13" s="192"/>
      <c r="D13" s="192" t="s">
        <v>4</v>
      </c>
      <c r="E13" s="192"/>
      <c r="F13" s="192"/>
      <c r="G13" s="192"/>
      <c r="H13" s="92" t="s">
        <v>35</v>
      </c>
      <c r="I13" s="103"/>
      <c r="J13" s="103"/>
      <c r="K13" s="103"/>
      <c r="L13" s="103"/>
    </row>
    <row r="14" spans="1:23" ht="20.100000000000001" customHeight="1" x14ac:dyDescent="0.2">
      <c r="A14" s="5" t="s">
        <v>6</v>
      </c>
      <c r="B14" s="7"/>
      <c r="C14" s="5"/>
      <c r="D14" s="84"/>
      <c r="E14" s="85"/>
      <c r="F14" s="201" t="str">
        <f t="shared" ref="F14:F40" si="0">IF(OR(B14="",D14=""),"",IF(ISERROR(D14/B14),IF(D14=0,0,""),D14/B14))</f>
        <v/>
      </c>
      <c r="G14" s="205"/>
      <c r="H14" s="84"/>
      <c r="I14" s="88"/>
      <c r="J14" s="88"/>
      <c r="K14" s="88"/>
      <c r="L14" s="88"/>
      <c r="M14" s="87" t="s">
        <v>115</v>
      </c>
      <c r="N14" s="192" t="s">
        <v>116</v>
      </c>
      <c r="O14" s="192"/>
      <c r="P14" s="192"/>
      <c r="Q14" s="192"/>
      <c r="R14" s="192" t="s">
        <v>117</v>
      </c>
      <c r="S14" s="192"/>
      <c r="T14" s="192"/>
      <c r="U14" s="192" t="s">
        <v>130</v>
      </c>
      <c r="V14" s="192" t="s">
        <v>69</v>
      </c>
      <c r="W14" s="86" t="s">
        <v>131</v>
      </c>
    </row>
    <row r="15" spans="1:23" ht="20.100000000000001" customHeight="1" x14ac:dyDescent="0.2">
      <c r="A15" s="5" t="s">
        <v>7</v>
      </c>
      <c r="B15" s="5"/>
      <c r="C15" s="5"/>
      <c r="D15" s="86"/>
      <c r="E15" s="87"/>
      <c r="F15" s="201" t="str">
        <f t="shared" si="0"/>
        <v/>
      </c>
      <c r="G15" s="205"/>
      <c r="H15" s="84"/>
      <c r="I15" s="88"/>
      <c r="J15" s="88"/>
      <c r="K15" s="88"/>
      <c r="L15" s="88"/>
      <c r="M15" s="87"/>
      <c r="N15" s="192"/>
      <c r="O15" s="192"/>
      <c r="P15" s="192"/>
      <c r="Q15" s="192"/>
      <c r="R15" s="197" t="s">
        <v>130</v>
      </c>
      <c r="S15" s="192" t="s">
        <v>69</v>
      </c>
      <c r="T15" s="192" t="s">
        <v>131</v>
      </c>
      <c r="U15" s="192"/>
      <c r="V15" s="192"/>
      <c r="W15" s="86"/>
    </row>
    <row r="16" spans="1:23" ht="20.100000000000001" customHeight="1" x14ac:dyDescent="0.2">
      <c r="A16" s="5" t="s">
        <v>8</v>
      </c>
      <c r="B16" s="21">
        <f>'Ячейка 3'!D19+'Ячейка 4'!D19</f>
        <v>2995.2000000012049</v>
      </c>
      <c r="C16" s="21"/>
      <c r="D16" s="199">
        <f>'Ячейка 3'!H19+'Ячейка 4'!H19</f>
        <v>2545.2000000077533</v>
      </c>
      <c r="E16" s="200"/>
      <c r="F16" s="201">
        <f t="shared" si="0"/>
        <v>0.84975961538686207</v>
      </c>
      <c r="G16" s="205"/>
      <c r="H16" s="84"/>
      <c r="I16" s="88"/>
      <c r="J16" s="88"/>
      <c r="K16" s="88"/>
      <c r="L16" s="88"/>
      <c r="M16" s="87"/>
      <c r="N16" s="192"/>
      <c r="O16" s="192"/>
      <c r="P16" s="192"/>
      <c r="Q16" s="192"/>
      <c r="R16" s="197"/>
      <c r="S16" s="192"/>
      <c r="T16" s="192"/>
      <c r="U16" s="192"/>
      <c r="V16" s="192"/>
      <c r="W16" s="86"/>
    </row>
    <row r="17" spans="1:23" ht="20.100000000000001" customHeight="1" x14ac:dyDescent="0.2">
      <c r="A17" s="5" t="s">
        <v>9</v>
      </c>
      <c r="B17" s="21">
        <f>'Ячейка 3'!D20+'Ячейка 4'!D20</f>
        <v>3005.9999999739375</v>
      </c>
      <c r="C17" s="21"/>
      <c r="D17" s="199">
        <f>'Ячейка 3'!H20+'Ячейка 4'!H20</f>
        <v>2588.3999999969092</v>
      </c>
      <c r="E17" s="200"/>
      <c r="F17" s="201">
        <f t="shared" si="0"/>
        <v>0.86107784431781476</v>
      </c>
      <c r="G17" s="205"/>
      <c r="H17" s="84"/>
      <c r="I17" s="88"/>
      <c r="J17" s="88"/>
      <c r="K17" s="88"/>
      <c r="L17" s="88"/>
      <c r="M17" s="87"/>
      <c r="N17" s="192"/>
      <c r="O17" s="192"/>
      <c r="P17" s="192"/>
      <c r="Q17" s="192"/>
      <c r="R17" s="197"/>
      <c r="S17" s="192"/>
      <c r="T17" s="192"/>
      <c r="U17" s="192"/>
      <c r="V17" s="192"/>
      <c r="W17" s="86"/>
    </row>
    <row r="18" spans="1:23" ht="20.100000000000001" customHeight="1" x14ac:dyDescent="0.2">
      <c r="A18" s="5" t="s">
        <v>10</v>
      </c>
      <c r="B18" s="21">
        <f>'Ячейка 3'!D21+'Ячейка 4'!D21</f>
        <v>3002.4000000157685</v>
      </c>
      <c r="C18" s="21"/>
      <c r="D18" s="199">
        <f>'Ячейка 3'!H21+'Ячейка 4'!H21</f>
        <v>2599.2000000023836</v>
      </c>
      <c r="E18" s="200"/>
      <c r="F18" s="201">
        <f t="shared" si="0"/>
        <v>0.86570743404900508</v>
      </c>
      <c r="G18" s="205"/>
      <c r="H18" s="84"/>
      <c r="I18" s="88"/>
      <c r="J18" s="88"/>
      <c r="K18" s="88"/>
      <c r="L18" s="88"/>
      <c r="M18" s="87"/>
      <c r="N18" s="192"/>
      <c r="O18" s="192"/>
      <c r="P18" s="192"/>
      <c r="Q18" s="192"/>
      <c r="R18" s="197"/>
      <c r="S18" s="192"/>
      <c r="T18" s="192"/>
      <c r="U18" s="192"/>
      <c r="V18" s="192"/>
      <c r="W18" s="86"/>
    </row>
    <row r="19" spans="1:23" ht="20.100000000000001" customHeight="1" x14ac:dyDescent="0.2">
      <c r="A19" s="5" t="s">
        <v>11</v>
      </c>
      <c r="B19" s="21">
        <f>'Ячейка 3'!D22+'Ячейка 4'!D22</f>
        <v>3009.5999999975902</v>
      </c>
      <c r="C19" s="21"/>
      <c r="D19" s="199">
        <f>'Ячейка 3'!H22+'Ячейка 4'!H22</f>
        <v>2649.5999999897322</v>
      </c>
      <c r="E19" s="200"/>
      <c r="F19" s="201">
        <f t="shared" si="0"/>
        <v>0.88038277511691043</v>
      </c>
      <c r="G19" s="205"/>
      <c r="H19" s="84"/>
      <c r="I19" s="88"/>
      <c r="J19" s="88"/>
      <c r="K19" s="88"/>
      <c r="L19" s="88"/>
      <c r="M19" s="9"/>
      <c r="N19" s="189" t="s">
        <v>132</v>
      </c>
      <c r="O19" s="189"/>
      <c r="P19" s="189"/>
      <c r="Q19" s="189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3'!D23+'Ячейка 4'!D23</f>
        <v>2944.7999999974854</v>
      </c>
      <c r="C20" s="21"/>
      <c r="D20" s="199">
        <f>'Ячейка 3'!H23+'Ячейка 4'!H23</f>
        <v>2624.4000000042433</v>
      </c>
      <c r="E20" s="200"/>
      <c r="F20" s="201">
        <f t="shared" si="0"/>
        <v>0.89119804401198188</v>
      </c>
      <c r="G20" s="205"/>
      <c r="H20" s="84"/>
      <c r="I20" s="88"/>
      <c r="J20" s="88"/>
      <c r="K20" s="88"/>
      <c r="L20" s="88"/>
      <c r="M20" s="9"/>
      <c r="N20" s="190" t="s">
        <v>133</v>
      </c>
      <c r="O20" s="190"/>
      <c r="P20" s="190"/>
      <c r="Q20" s="190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3'!D24+'Ячейка 4'!D24</f>
        <v>2822.3999999954685</v>
      </c>
      <c r="C21" s="21"/>
      <c r="D21" s="199">
        <f>'Ячейка 3'!H24+'Ячейка 4'!H24</f>
        <v>2545.2000000077533</v>
      </c>
      <c r="E21" s="200"/>
      <c r="F21" s="201">
        <f t="shared" si="0"/>
        <v>0.90178571428990917</v>
      </c>
      <c r="G21" s="205"/>
      <c r="H21" s="84"/>
      <c r="I21" s="88"/>
      <c r="J21" s="88"/>
      <c r="K21" s="88"/>
      <c r="L21" s="88"/>
      <c r="M21" s="9"/>
      <c r="N21" s="195" t="s">
        <v>134</v>
      </c>
      <c r="O21" s="195"/>
      <c r="P21" s="195"/>
      <c r="Q21" s="195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3'!D25+'Ячейка 4'!D25</f>
        <v>2512.8000000240718</v>
      </c>
      <c r="C22" s="21"/>
      <c r="D22" s="199">
        <f>'Ячейка 3'!H25+'Ячейка 4'!H25</f>
        <v>2289.599999998245</v>
      </c>
      <c r="E22" s="200"/>
      <c r="F22" s="201">
        <f t="shared" si="0"/>
        <v>0.91117478509085936</v>
      </c>
      <c r="G22" s="205"/>
      <c r="H22" s="84"/>
      <c r="I22" s="88"/>
      <c r="J22" s="88"/>
      <c r="K22" s="88"/>
      <c r="L22" s="88"/>
    </row>
    <row r="23" spans="1:23" ht="20.100000000000001" customHeight="1" x14ac:dyDescent="0.2">
      <c r="A23" s="5" t="s">
        <v>15</v>
      </c>
      <c r="B23" s="21">
        <f>'Ячейка 3'!D26+'Ячейка 4'!D26</f>
        <v>2519.9999999895226</v>
      </c>
      <c r="C23" s="21"/>
      <c r="D23" s="199">
        <f>'Ячейка 3'!H26+'Ячейка 4'!H26</f>
        <v>2203.2000000035623</v>
      </c>
      <c r="E23" s="200"/>
      <c r="F23" s="201">
        <f t="shared" si="0"/>
        <v>0.87428571429076296</v>
      </c>
      <c r="G23" s="205"/>
      <c r="H23" s="84"/>
      <c r="I23" s="88"/>
      <c r="J23" s="88"/>
      <c r="K23" s="88"/>
      <c r="L23" s="88"/>
    </row>
    <row r="24" spans="1:23" ht="20.100000000000001" customHeight="1" x14ac:dyDescent="0.2">
      <c r="A24" s="5" t="s">
        <v>16</v>
      </c>
      <c r="B24" s="21">
        <f>'Ячейка 3'!D27+'Ячейка 4'!D27</f>
        <v>2447.9999999912252</v>
      </c>
      <c r="C24" s="21"/>
      <c r="D24" s="199">
        <f>'Ячейка 3'!H27+'Ячейка 4'!H27</f>
        <v>2084.3999999924563</v>
      </c>
      <c r="E24" s="200"/>
      <c r="F24" s="201">
        <f t="shared" si="0"/>
        <v>0.85147058823526467</v>
      </c>
      <c r="G24" s="205"/>
      <c r="H24" s="84"/>
      <c r="I24" s="88"/>
      <c r="J24" s="88"/>
      <c r="K24" s="88"/>
      <c r="L24" s="88"/>
      <c r="N24" s="118" t="s">
        <v>135</v>
      </c>
      <c r="O24" s="118"/>
      <c r="P24" s="118"/>
      <c r="Q24" s="118"/>
      <c r="R24" s="118"/>
      <c r="S24" s="118"/>
      <c r="T24" s="118"/>
      <c r="U24" s="118"/>
      <c r="V24" s="118"/>
    </row>
    <row r="25" spans="1:23" ht="20.100000000000001" customHeight="1" x14ac:dyDescent="0.2">
      <c r="A25" s="5" t="s">
        <v>17</v>
      </c>
      <c r="B25" s="21">
        <f>'Ячейка 3'!D28+'Ячейка 4'!D28</f>
        <v>2815.2000000136468</v>
      </c>
      <c r="C25" s="21"/>
      <c r="D25" s="199">
        <f>'Ячейка 3'!H28+'Ячейка 4'!H28</f>
        <v>2206.8000000108441</v>
      </c>
      <c r="E25" s="200"/>
      <c r="F25" s="201">
        <f t="shared" si="0"/>
        <v>0.78388746803074261</v>
      </c>
      <c r="G25" s="205"/>
      <c r="H25" s="84"/>
      <c r="I25" s="88"/>
      <c r="J25" s="88"/>
      <c r="K25" s="88"/>
      <c r="L25" s="88"/>
      <c r="N25" s="17" t="s">
        <v>136</v>
      </c>
      <c r="O25" s="118" t="s">
        <v>137</v>
      </c>
      <c r="P25" s="118"/>
      <c r="Q25" s="118"/>
      <c r="R25" s="118"/>
      <c r="S25" s="118"/>
      <c r="T25" s="118"/>
      <c r="U25" s="118"/>
      <c r="V25" s="118"/>
    </row>
    <row r="26" spans="1:23" ht="20.100000000000001" customHeight="1" x14ac:dyDescent="0.2">
      <c r="A26" s="5" t="s">
        <v>18</v>
      </c>
      <c r="B26" s="21">
        <f>'Ячейка 3'!D29+'Ячейка 4'!D29</f>
        <v>2887.2000000119442</v>
      </c>
      <c r="C26" s="21"/>
      <c r="D26" s="199">
        <f>'Ячейка 3'!H29+'Ячейка 4'!H29</f>
        <v>2221.2000000072294</v>
      </c>
      <c r="E26" s="200"/>
      <c r="F26" s="201">
        <f t="shared" si="0"/>
        <v>0.76932668329109188</v>
      </c>
      <c r="G26" s="205"/>
      <c r="H26" s="84"/>
      <c r="I26" s="88"/>
      <c r="J26" s="88"/>
      <c r="K26" s="88"/>
      <c r="L26" s="88"/>
      <c r="N26" s="17" t="s">
        <v>138</v>
      </c>
      <c r="O26" s="118" t="s">
        <v>180</v>
      </c>
      <c r="P26" s="118"/>
      <c r="Q26" s="118"/>
      <c r="R26" s="118"/>
      <c r="S26" s="118"/>
      <c r="T26" s="118"/>
      <c r="U26" s="118"/>
      <c r="V26" s="118"/>
    </row>
    <row r="27" spans="1:23" ht="20.100000000000001" customHeight="1" x14ac:dyDescent="0.2">
      <c r="A27" s="5" t="s">
        <v>19</v>
      </c>
      <c r="B27" s="21">
        <f>'Ячейка 3'!D30+'Ячейка 4'!D30</f>
        <v>2890.7999999864842</v>
      </c>
      <c r="C27" s="21"/>
      <c r="D27" s="199">
        <f>'Ячейка 3'!H30+'Ячейка 4'!H30</f>
        <v>2242.8000000018073</v>
      </c>
      <c r="E27" s="200"/>
      <c r="F27" s="201">
        <f t="shared" si="0"/>
        <v>0.77584059776265857</v>
      </c>
      <c r="G27" s="205"/>
      <c r="H27" s="84"/>
      <c r="I27" s="88"/>
      <c r="J27" s="88"/>
      <c r="K27" s="88"/>
      <c r="L27" s="88"/>
      <c r="N27" s="17" t="s">
        <v>139</v>
      </c>
      <c r="O27" s="118" t="s">
        <v>140</v>
      </c>
      <c r="P27" s="118"/>
      <c r="Q27" s="118"/>
      <c r="R27" s="118"/>
      <c r="S27" s="118"/>
      <c r="T27" s="118"/>
      <c r="U27" s="118"/>
      <c r="V27" s="118"/>
    </row>
    <row r="28" spans="1:23" ht="20.100000000000001" customHeight="1" x14ac:dyDescent="0.2">
      <c r="A28" s="5" t="s">
        <v>20</v>
      </c>
      <c r="B28" s="21">
        <f>'Ячейка 3'!D31+'Ячейка 4'!D31</f>
        <v>2898.0000000010477</v>
      </c>
      <c r="C28" s="21"/>
      <c r="D28" s="199">
        <f>'Ячейка 3'!H31+'Ячейка 4'!H31</f>
        <v>2260.7999999727326</v>
      </c>
      <c r="E28" s="200"/>
      <c r="F28" s="201">
        <f t="shared" si="0"/>
        <v>0.78012422359279343</v>
      </c>
      <c r="G28" s="205"/>
      <c r="H28" s="84"/>
      <c r="I28" s="88"/>
      <c r="J28" s="88"/>
      <c r="K28" s="88"/>
      <c r="L28" s="88"/>
      <c r="N28" s="17"/>
      <c r="O28" s="118" t="s">
        <v>141</v>
      </c>
      <c r="P28" s="118"/>
      <c r="Q28" s="118"/>
      <c r="R28" s="118"/>
      <c r="S28" s="118"/>
      <c r="T28" s="118"/>
      <c r="U28" s="118"/>
      <c r="V28" s="118"/>
    </row>
    <row r="29" spans="1:23" ht="20.100000000000001" customHeight="1" x14ac:dyDescent="0.2">
      <c r="A29" s="5" t="s">
        <v>21</v>
      </c>
      <c r="B29" s="21">
        <f>'Ячейка 3'!D32+'Ячейка 4'!D32</f>
        <v>2969.9999999829743</v>
      </c>
      <c r="C29" s="21"/>
      <c r="D29" s="199">
        <f>'Ячейка 3'!H32+'Ячейка 4'!H32</f>
        <v>2275.2000000182306</v>
      </c>
      <c r="E29" s="200"/>
      <c r="F29" s="201">
        <f t="shared" si="0"/>
        <v>0.7660606060711358</v>
      </c>
      <c r="G29" s="205"/>
      <c r="H29" s="84"/>
      <c r="I29" s="88"/>
      <c r="J29" s="88"/>
      <c r="K29" s="88"/>
      <c r="L29" s="88"/>
      <c r="N29" s="17"/>
      <c r="O29" s="118" t="s">
        <v>142</v>
      </c>
      <c r="P29" s="118"/>
      <c r="Q29" s="118"/>
      <c r="R29" s="118"/>
      <c r="S29" s="118"/>
      <c r="T29" s="118"/>
      <c r="U29" s="118"/>
      <c r="V29" s="118"/>
    </row>
    <row r="30" spans="1:23" ht="20.100000000000001" customHeight="1" x14ac:dyDescent="0.2">
      <c r="A30" s="5" t="s">
        <v>22</v>
      </c>
      <c r="B30" s="21">
        <f>'Ячейка 3'!D33+'Ячейка 4'!D33</f>
        <v>3020.4000000030646</v>
      </c>
      <c r="C30" s="21"/>
      <c r="D30" s="199">
        <f>'Ячейка 3'!H33+'Ячейка 4'!H33</f>
        <v>2257.1999999981927</v>
      </c>
      <c r="E30" s="200"/>
      <c r="F30" s="201">
        <f t="shared" si="0"/>
        <v>0.74731823599387581</v>
      </c>
      <c r="G30" s="205"/>
      <c r="H30" s="84"/>
      <c r="I30" s="88"/>
      <c r="J30" s="88"/>
      <c r="K30" s="88"/>
      <c r="L30" s="88"/>
      <c r="N30" s="17" t="s">
        <v>143</v>
      </c>
      <c r="O30" s="118" t="s">
        <v>144</v>
      </c>
      <c r="P30" s="118"/>
      <c r="Q30" s="118"/>
      <c r="R30" s="118"/>
      <c r="S30" s="118"/>
      <c r="T30" s="118"/>
      <c r="U30" s="118"/>
      <c r="V30" s="118"/>
    </row>
    <row r="31" spans="1:23" ht="20.100000000000001" customHeight="1" x14ac:dyDescent="0.2">
      <c r="A31" s="5" t="s">
        <v>23</v>
      </c>
      <c r="B31" s="21">
        <f>'Ячейка 3'!D34+'Ячейка 4'!D34</f>
        <v>3060.0000000013097</v>
      </c>
      <c r="C31" s="21"/>
      <c r="D31" s="199">
        <f>'Ячейка 3'!H34+'Ячейка 4'!H34</f>
        <v>2303.9999999946303</v>
      </c>
      <c r="E31" s="200"/>
      <c r="F31" s="201">
        <f t="shared" si="0"/>
        <v>0.75294117646851122</v>
      </c>
      <c r="G31" s="205"/>
      <c r="H31" s="84"/>
      <c r="I31" s="88"/>
      <c r="J31" s="88"/>
      <c r="K31" s="88"/>
      <c r="L31" s="88"/>
      <c r="N31" s="17"/>
      <c r="O31" s="118" t="s">
        <v>145</v>
      </c>
      <c r="P31" s="118"/>
      <c r="Q31" s="118"/>
      <c r="R31" s="118"/>
      <c r="S31" s="118"/>
      <c r="T31" s="118"/>
      <c r="U31" s="118"/>
      <c r="V31" s="118"/>
    </row>
    <row r="32" spans="1:23" ht="20.100000000000001" customHeight="1" x14ac:dyDescent="0.2">
      <c r="A32" s="5" t="s">
        <v>24</v>
      </c>
      <c r="B32" s="21">
        <f>'Ячейка 3'!D35+'Ячейка 4'!D35</f>
        <v>3254.400000001624</v>
      </c>
      <c r="C32" s="21"/>
      <c r="D32" s="199">
        <f>'Ячейка 3'!H35+'Ячейка 4'!H35</f>
        <v>2401.2000000111584</v>
      </c>
      <c r="E32" s="200"/>
      <c r="F32" s="201">
        <f t="shared" si="0"/>
        <v>0.73783185841014021</v>
      </c>
      <c r="G32" s="205"/>
      <c r="H32" s="84"/>
      <c r="I32" s="88"/>
      <c r="J32" s="88"/>
      <c r="K32" s="88"/>
      <c r="L32" s="88"/>
      <c r="N32" s="17" t="s">
        <v>146</v>
      </c>
      <c r="O32" s="118" t="s">
        <v>147</v>
      </c>
      <c r="P32" s="118"/>
      <c r="Q32" s="118"/>
      <c r="R32" s="118"/>
      <c r="S32" s="118"/>
      <c r="T32" s="118"/>
      <c r="U32" s="118"/>
      <c r="V32" s="118"/>
    </row>
    <row r="33" spans="1:24" ht="20.100000000000001" customHeight="1" x14ac:dyDescent="0.2">
      <c r="A33" s="5" t="s">
        <v>25</v>
      </c>
      <c r="B33" s="21">
        <f>'Ячейка 3'!D36+'Ячейка 4'!D36</f>
        <v>3229.2000000161352</v>
      </c>
      <c r="C33" s="21"/>
      <c r="D33" s="199">
        <f>'Ячейка 3'!H36+'Ячейка 4'!H36</f>
        <v>2404.7999999856984</v>
      </c>
      <c r="E33" s="200"/>
      <c r="F33" s="201">
        <f t="shared" si="0"/>
        <v>0.74470457078337748</v>
      </c>
      <c r="G33" s="205"/>
      <c r="H33" s="84"/>
      <c r="I33" s="88"/>
      <c r="J33" s="88"/>
      <c r="K33" s="88"/>
      <c r="L33" s="88"/>
      <c r="N33" s="17" t="s">
        <v>148</v>
      </c>
      <c r="O33" s="118" t="s">
        <v>149</v>
      </c>
      <c r="P33" s="118"/>
      <c r="Q33" s="118"/>
      <c r="R33" s="118"/>
      <c r="S33" s="118"/>
      <c r="T33" s="118"/>
      <c r="U33" s="118"/>
      <c r="V33" s="118"/>
    </row>
    <row r="34" spans="1:24" ht="20.100000000000001" customHeight="1" x14ac:dyDescent="0.2">
      <c r="A34" s="5" t="s">
        <v>26</v>
      </c>
      <c r="B34" s="21">
        <f>'Ячейка 3'!D37+'Ячейка 4'!D37</f>
        <v>3157.1999999850959</v>
      </c>
      <c r="C34" s="21"/>
      <c r="D34" s="199">
        <f>'Ячейка 3'!H37+'Ячейка 4'!H37</f>
        <v>2397.6000000038766</v>
      </c>
      <c r="E34" s="200"/>
      <c r="F34" s="201">
        <f t="shared" si="0"/>
        <v>0.75940706956011494</v>
      </c>
      <c r="G34" s="205"/>
      <c r="H34" s="84"/>
      <c r="I34" s="88"/>
      <c r="J34" s="88"/>
      <c r="K34" s="88"/>
      <c r="L34" s="88"/>
    </row>
    <row r="35" spans="1:24" ht="20.100000000000001" customHeight="1" x14ac:dyDescent="0.2">
      <c r="A35" s="5" t="s">
        <v>27</v>
      </c>
      <c r="B35" s="21">
        <f>'Ячейка 3'!D38+'Ячейка 4'!D38</f>
        <v>3153.600000010556</v>
      </c>
      <c r="C35" s="21"/>
      <c r="D35" s="199">
        <f>'Ячейка 3'!H38+'Ячейка 4'!H38</f>
        <v>2458.8000000130705</v>
      </c>
      <c r="E35" s="200"/>
      <c r="F35" s="201">
        <f t="shared" si="0"/>
        <v>0.77968036529833851</v>
      </c>
      <c r="G35" s="205"/>
      <c r="H35" s="84"/>
      <c r="I35" s="88"/>
      <c r="J35" s="88"/>
      <c r="K35" s="88"/>
      <c r="L35" s="88"/>
    </row>
    <row r="36" spans="1:24" ht="20.100000000000001" customHeight="1" x14ac:dyDescent="0.2">
      <c r="A36" s="5" t="s">
        <v>28</v>
      </c>
      <c r="B36" s="21">
        <f>'Ячейка 3'!D39+'Ячейка 4'!D39</f>
        <v>3006.0000000066793</v>
      </c>
      <c r="C36" s="21"/>
      <c r="D36" s="199">
        <f>'Ячейка 3'!H39+'Ячейка 4'!H39</f>
        <v>2415.5999999911728</v>
      </c>
      <c r="E36" s="200"/>
      <c r="F36" s="201">
        <f t="shared" si="0"/>
        <v>0.8035928143665354</v>
      </c>
      <c r="G36" s="205"/>
      <c r="H36" s="84"/>
      <c r="I36" s="88"/>
      <c r="J36" s="88"/>
      <c r="K36" s="88"/>
      <c r="L36" s="88"/>
    </row>
    <row r="37" spans="1:24" ht="20.100000000000001" customHeight="1" x14ac:dyDescent="0.2">
      <c r="A37" s="5" t="s">
        <v>29</v>
      </c>
      <c r="B37" s="21">
        <f>'Ячейка 3'!D40+'Ячейка 4'!D40</f>
        <v>3052.7999999867461</v>
      </c>
      <c r="C37" s="21"/>
      <c r="D37" s="199">
        <f>'Ячейка 3'!H40+'Ячейка 4'!H40</f>
        <v>2390.400000005684</v>
      </c>
      <c r="E37" s="200"/>
      <c r="F37" s="201">
        <f t="shared" si="0"/>
        <v>0.7830188679297897</v>
      </c>
      <c r="G37" s="205"/>
      <c r="H37" s="84"/>
      <c r="I37" s="88"/>
      <c r="J37" s="88"/>
      <c r="K37" s="88"/>
      <c r="L37" s="88"/>
    </row>
    <row r="38" spans="1:24" ht="20.100000000000001" customHeight="1" x14ac:dyDescent="0.2">
      <c r="A38" s="5" t="s">
        <v>30</v>
      </c>
      <c r="B38" s="21">
        <f>'Ячейка 3'!D41+'Ячейка 4'!D41</f>
        <v>3052.800000003117</v>
      </c>
      <c r="C38" s="21"/>
      <c r="D38" s="199">
        <f>'Ячейка 3'!H41+'Ячейка 4'!H41</f>
        <v>2393.9999999965949</v>
      </c>
      <c r="E38" s="200"/>
      <c r="F38" s="201">
        <f t="shared" si="0"/>
        <v>0.78419811320563104</v>
      </c>
      <c r="G38" s="205"/>
      <c r="H38" s="84"/>
      <c r="I38" s="88"/>
      <c r="J38" s="88"/>
      <c r="K38" s="88"/>
      <c r="L38" s="88"/>
    </row>
    <row r="39" spans="1:24" ht="20.100000000000001" customHeight="1" x14ac:dyDescent="0.2">
      <c r="A39" s="5" t="s">
        <v>31</v>
      </c>
      <c r="B39" s="21">
        <f>'Ячейка 3'!D42+'Ячейка 4'!D42</f>
        <v>3023.9999999939755</v>
      </c>
      <c r="C39" s="21"/>
      <c r="D39" s="199">
        <f>'Ячейка 3'!H42+'Ячейка 4'!H42</f>
        <v>2408.4000000093511</v>
      </c>
      <c r="E39" s="200"/>
      <c r="F39" s="201">
        <f t="shared" si="0"/>
        <v>0.79642857143325041</v>
      </c>
      <c r="G39" s="205"/>
      <c r="H39" s="84"/>
      <c r="I39" s="88"/>
      <c r="J39" s="88"/>
      <c r="K39" s="88"/>
      <c r="L39" s="88"/>
      <c r="P39" s="150" t="s">
        <v>150</v>
      </c>
      <c r="Q39" s="150"/>
      <c r="R39" s="150"/>
      <c r="S39" s="149" t="s">
        <v>370</v>
      </c>
      <c r="T39" s="149"/>
      <c r="U39" s="149"/>
      <c r="V39" s="149"/>
      <c r="W39" s="149"/>
      <c r="X39" s="149"/>
    </row>
    <row r="40" spans="1:24" ht="20.100000000000001" customHeight="1" x14ac:dyDescent="0.2">
      <c r="A40" s="5" t="s">
        <v>32</v>
      </c>
      <c r="B40" s="21">
        <f>SUM(B15:B39)</f>
        <v>70732.799999990675</v>
      </c>
      <c r="C40" s="21"/>
      <c r="D40" s="199">
        <f>SUM(D15:E39)</f>
        <v>57168.000000023312</v>
      </c>
      <c r="E40" s="200"/>
      <c r="F40" s="201">
        <f t="shared" si="0"/>
        <v>0.80822475570076191</v>
      </c>
      <c r="G40" s="205"/>
      <c r="H40" s="84"/>
      <c r="I40" s="88"/>
      <c r="J40" s="88"/>
      <c r="K40" s="88"/>
      <c r="L40" s="88"/>
    </row>
    <row r="41" spans="1:24" ht="20.100000000000001" customHeight="1" x14ac:dyDescent="0.2">
      <c r="A41" s="5" t="s">
        <v>33</v>
      </c>
      <c r="B41" s="5"/>
      <c r="C41" s="5"/>
      <c r="D41" s="86"/>
      <c r="E41" s="87"/>
      <c r="F41" s="201"/>
      <c r="G41" s="205"/>
      <c r="H41" s="84"/>
      <c r="I41" s="88"/>
      <c r="J41" s="88"/>
      <c r="K41" s="88"/>
      <c r="L41" s="88"/>
    </row>
    <row r="42" spans="1:24" ht="20.100000000000001" customHeight="1" x14ac:dyDescent="0.2">
      <c r="A42" s="87" t="s">
        <v>2</v>
      </c>
      <c r="B42" s="86" t="s">
        <v>37</v>
      </c>
      <c r="C42" s="105"/>
      <c r="D42" s="87"/>
      <c r="E42" s="86" t="s">
        <v>40</v>
      </c>
      <c r="F42" s="105"/>
      <c r="G42" s="105"/>
      <c r="H42" s="105"/>
      <c r="I42" s="87"/>
      <c r="J42" s="101" t="s">
        <v>5</v>
      </c>
      <c r="K42" s="104"/>
      <c r="L42" s="104"/>
    </row>
    <row r="43" spans="1:24" ht="39" customHeight="1" x14ac:dyDescent="0.2">
      <c r="A43" s="87"/>
      <c r="B43" s="192" t="s">
        <v>38</v>
      </c>
      <c r="C43" s="192"/>
      <c r="D43" s="5" t="s">
        <v>39</v>
      </c>
      <c r="E43" s="86" t="s">
        <v>41</v>
      </c>
      <c r="F43" s="105"/>
      <c r="G43" s="87"/>
      <c r="H43" s="86" t="s">
        <v>42</v>
      </c>
      <c r="I43" s="87"/>
      <c r="J43" s="92"/>
      <c r="K43" s="103"/>
      <c r="L43" s="103"/>
    </row>
    <row r="44" spans="1:24" ht="20.100000000000001" customHeight="1" x14ac:dyDescent="0.2">
      <c r="A44" s="4" t="s">
        <v>153</v>
      </c>
      <c r="B44" s="199">
        <f>SUM(B24:B26)</f>
        <v>8150.4000000168162</v>
      </c>
      <c r="C44" s="200"/>
      <c r="D44" s="21">
        <f>SUM(D24:E26)</f>
        <v>6512.4000000105298</v>
      </c>
      <c r="E44" s="199">
        <f>B44/3</f>
        <v>2716.8000000056054</v>
      </c>
      <c r="F44" s="204"/>
      <c r="G44" s="200"/>
      <c r="H44" s="199">
        <f>D44/3</f>
        <v>2170.8000000035099</v>
      </c>
      <c r="I44" s="200"/>
      <c r="J44" s="201">
        <f>H44/E44</f>
        <v>0.79902826855088005</v>
      </c>
      <c r="K44" s="202"/>
      <c r="L44" s="202"/>
    </row>
    <row r="45" spans="1:24" ht="20.100000000000001" customHeight="1" x14ac:dyDescent="0.2">
      <c r="A45" s="4" t="s">
        <v>43</v>
      </c>
      <c r="B45" s="199">
        <f>SUM(B33:B36)</f>
        <v>12546.000000018466</v>
      </c>
      <c r="C45" s="200"/>
      <c r="D45" s="21">
        <f>SUM(D33:E36)</f>
        <v>9676.7999999938183</v>
      </c>
      <c r="E45" s="199">
        <f>B45/4</f>
        <v>3136.5000000046166</v>
      </c>
      <c r="F45" s="204"/>
      <c r="G45" s="200"/>
      <c r="H45" s="199">
        <f>D45/4</f>
        <v>2419.1999999984546</v>
      </c>
      <c r="I45" s="200"/>
      <c r="J45" s="201">
        <f>H45/E45</f>
        <v>0.77130559540726729</v>
      </c>
      <c r="K45" s="202"/>
      <c r="L45" s="202"/>
    </row>
    <row r="46" spans="1:24" ht="20.100000000000001" customHeight="1" x14ac:dyDescent="0.2">
      <c r="A46" s="4" t="s">
        <v>44</v>
      </c>
      <c r="B46" s="199">
        <f>SUM(B16:B39)</f>
        <v>70732.799999990675</v>
      </c>
      <c r="C46" s="200"/>
      <c r="D46" s="21">
        <f>SUM(D16:E39)</f>
        <v>57168.000000023312</v>
      </c>
      <c r="E46" s="199">
        <f>B46/24</f>
        <v>2947.1999999996115</v>
      </c>
      <c r="F46" s="204"/>
      <c r="G46" s="200"/>
      <c r="H46" s="199">
        <f>D46/24</f>
        <v>2382.0000000009713</v>
      </c>
      <c r="I46" s="200"/>
      <c r="J46" s="201">
        <f>H46/E46</f>
        <v>0.80822475570076191</v>
      </c>
      <c r="K46" s="202"/>
      <c r="L46" s="202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99" t="s">
        <v>186</v>
      </c>
      <c r="D50" s="99"/>
      <c r="E50" s="99"/>
      <c r="F50" s="99"/>
      <c r="G50" s="99"/>
      <c r="H50" s="99"/>
      <c r="I50" s="99"/>
    </row>
    <row r="51" spans="3:9" ht="20.100000000000001" customHeight="1" x14ac:dyDescent="0.2"/>
  </sheetData>
  <sheetProtection sheet="1" objects="1" scenarios="1"/>
  <mergeCells count="173"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D35:E35"/>
    <mergeCell ref="D36:E36"/>
    <mergeCell ref="F38:G38"/>
    <mergeCell ref="A7:L7"/>
    <mergeCell ref="F12:G13"/>
    <mergeCell ref="H12:L12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H25:L25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I9:M9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X51"/>
  <sheetViews>
    <sheetView view="pageBreakPreview" topLeftCell="A13" zoomScale="75" zoomScaleNormal="100" workbookViewId="0">
      <selection activeCell="H34" sqref="H34:L34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1" width="12.7109375" style="2" customWidth="1"/>
    <col min="22" max="22" width="13.28515625" style="2" customWidth="1"/>
    <col min="23" max="23" width="14.7109375" style="2" customWidth="1"/>
    <col min="24" max="28" width="10.28515625" style="2" customWidth="1"/>
    <col min="29" max="16384" width="9.140625" style="2"/>
  </cols>
  <sheetData>
    <row r="1" spans="1:23" ht="26.25" x14ac:dyDescent="0.2">
      <c r="A1" s="94" t="s">
        <v>161</v>
      </c>
      <c r="B1" s="94"/>
      <c r="C1" s="94"/>
      <c r="D1" s="94"/>
      <c r="E1" s="94"/>
      <c r="F1" s="123" t="s">
        <v>154</v>
      </c>
      <c r="G1" s="123"/>
      <c r="H1" s="123"/>
      <c r="I1" s="94" t="s">
        <v>163</v>
      </c>
      <c r="J1" s="94"/>
      <c r="K1" s="94"/>
      <c r="L1" s="94"/>
      <c r="M1" s="100" t="s">
        <v>115</v>
      </c>
      <c r="N1" s="98" t="s">
        <v>116</v>
      </c>
      <c r="O1" s="98"/>
      <c r="P1" s="98"/>
      <c r="Q1" s="98"/>
      <c r="R1" s="192" t="s">
        <v>117</v>
      </c>
      <c r="S1" s="192"/>
      <c r="T1" s="192"/>
      <c r="U1" s="192" t="s">
        <v>118</v>
      </c>
      <c r="V1" s="192"/>
      <c r="W1" s="86"/>
    </row>
    <row r="2" spans="1:23" ht="18.75" customHeight="1" x14ac:dyDescent="0.2">
      <c r="A2" s="119" t="s">
        <v>45</v>
      </c>
      <c r="B2" s="119"/>
      <c r="C2" s="119"/>
      <c r="D2" s="119"/>
      <c r="E2" s="119"/>
      <c r="F2" s="123"/>
      <c r="G2" s="123"/>
      <c r="H2" s="123"/>
      <c r="I2" s="94"/>
      <c r="J2" s="94"/>
      <c r="K2" s="94"/>
      <c r="L2" s="94"/>
      <c r="M2" s="95"/>
      <c r="N2" s="89"/>
      <c r="O2" s="89"/>
      <c r="P2" s="89"/>
      <c r="Q2" s="89"/>
      <c r="R2" s="89" t="s">
        <v>119</v>
      </c>
      <c r="S2" s="89" t="s">
        <v>120</v>
      </c>
      <c r="T2" s="89"/>
      <c r="U2" s="89" t="s">
        <v>119</v>
      </c>
      <c r="V2" s="89" t="s">
        <v>120</v>
      </c>
      <c r="W2" s="90"/>
    </row>
    <row r="3" spans="1:23" ht="21.75" customHeight="1" x14ac:dyDescent="0.2">
      <c r="A3" s="94" t="s">
        <v>162</v>
      </c>
      <c r="B3" s="94"/>
      <c r="C3" s="94"/>
      <c r="D3" s="94"/>
      <c r="E3" s="94"/>
      <c r="F3" s="123" t="s">
        <v>155</v>
      </c>
      <c r="G3" s="123"/>
      <c r="H3" s="123"/>
      <c r="I3" s="94" t="s">
        <v>226</v>
      </c>
      <c r="J3" s="94"/>
      <c r="K3" s="94"/>
      <c r="L3" s="94"/>
      <c r="M3" s="96"/>
      <c r="N3" s="91"/>
      <c r="O3" s="91"/>
      <c r="P3" s="91"/>
      <c r="Q3" s="91"/>
      <c r="R3" s="91"/>
      <c r="S3" s="91" t="s">
        <v>121</v>
      </c>
      <c r="T3" s="91"/>
      <c r="U3" s="91"/>
      <c r="V3" s="91" t="s">
        <v>121</v>
      </c>
      <c r="W3" s="92"/>
    </row>
    <row r="4" spans="1:23" ht="29.25" customHeight="1" x14ac:dyDescent="0.2">
      <c r="A4" s="119" t="s">
        <v>46</v>
      </c>
      <c r="B4" s="119"/>
      <c r="C4" s="119"/>
      <c r="D4" s="119"/>
      <c r="E4" s="119"/>
      <c r="F4" s="123"/>
      <c r="G4" s="123"/>
      <c r="H4" s="123"/>
      <c r="I4" s="94"/>
      <c r="J4" s="94"/>
      <c r="K4" s="94"/>
      <c r="L4" s="94"/>
      <c r="M4" s="9"/>
      <c r="N4" s="189" t="s">
        <v>122</v>
      </c>
      <c r="O4" s="189"/>
      <c r="P4" s="189"/>
      <c r="Q4" s="189"/>
      <c r="R4" s="7"/>
      <c r="S4" s="8"/>
      <c r="T4" s="9"/>
      <c r="U4" s="7"/>
      <c r="V4" s="8"/>
      <c r="W4" s="18"/>
    </row>
    <row r="5" spans="1:23" ht="18" customHeight="1" x14ac:dyDescent="0.2">
      <c r="A5" s="203" t="s">
        <v>175</v>
      </c>
      <c r="B5" s="203"/>
      <c r="C5" s="203"/>
      <c r="D5" s="203"/>
      <c r="E5" s="203"/>
      <c r="F5" s="123" t="s">
        <v>156</v>
      </c>
      <c r="G5" s="123"/>
      <c r="H5" s="123"/>
      <c r="I5" s="94" t="s">
        <v>249</v>
      </c>
      <c r="J5" s="94"/>
      <c r="K5" s="94"/>
      <c r="L5" s="94"/>
      <c r="M5" s="9"/>
      <c r="N5" s="190" t="s">
        <v>123</v>
      </c>
      <c r="O5" s="190"/>
      <c r="P5" s="190"/>
      <c r="Q5" s="190"/>
      <c r="R5" s="7"/>
      <c r="S5" s="8"/>
      <c r="T5" s="9"/>
      <c r="U5" s="7"/>
      <c r="V5" s="8"/>
      <c r="W5" s="18"/>
    </row>
    <row r="6" spans="1:23" x14ac:dyDescent="0.2">
      <c r="A6" s="119" t="s">
        <v>47</v>
      </c>
      <c r="B6" s="119"/>
      <c r="C6" s="119"/>
      <c r="D6" s="119"/>
      <c r="E6" s="119"/>
      <c r="F6" s="123"/>
      <c r="G6" s="123"/>
      <c r="H6" s="123"/>
      <c r="I6" s="94"/>
      <c r="J6" s="94"/>
      <c r="K6" s="94"/>
      <c r="L6" s="94"/>
      <c r="M6" s="9"/>
      <c r="N6" s="190" t="s">
        <v>124</v>
      </c>
      <c r="O6" s="190"/>
      <c r="P6" s="190"/>
      <c r="Q6" s="190"/>
      <c r="R6" s="7"/>
      <c r="S6" s="8"/>
      <c r="T6" s="9"/>
      <c r="U6" s="7"/>
      <c r="V6" s="8"/>
      <c r="W6" s="18"/>
    </row>
    <row r="7" spans="1:23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191" t="s">
        <v>125</v>
      </c>
      <c r="O7" s="191"/>
      <c r="P7" s="191"/>
      <c r="Q7" s="191"/>
      <c r="R7" s="7"/>
      <c r="S7" s="8"/>
      <c r="T7" s="9"/>
      <c r="U7" s="7"/>
      <c r="V7" s="8"/>
      <c r="W7" s="18"/>
    </row>
    <row r="8" spans="1:23" ht="22.5" x14ac:dyDescent="0.2">
      <c r="A8" s="116" t="s">
        <v>0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190" t="s">
        <v>126</v>
      </c>
      <c r="O8" s="190"/>
      <c r="P8" s="190"/>
      <c r="Q8" s="190"/>
      <c r="R8" s="7"/>
      <c r="S8" s="8"/>
      <c r="T8" s="9"/>
      <c r="U8" s="7"/>
      <c r="V8" s="8"/>
      <c r="W8" s="18"/>
    </row>
    <row r="9" spans="1:23" ht="18.75" customHeight="1" x14ac:dyDescent="0.2">
      <c r="A9" s="193" t="s">
        <v>152</v>
      </c>
      <c r="B9" s="193"/>
      <c r="C9" s="193"/>
      <c r="D9" s="193"/>
      <c r="E9" s="193"/>
      <c r="F9" s="135" t="s">
        <v>375</v>
      </c>
      <c r="G9" s="136"/>
      <c r="H9" s="136"/>
      <c r="I9" s="111" t="s">
        <v>376</v>
      </c>
      <c r="J9" s="111"/>
      <c r="K9" s="111"/>
      <c r="L9" s="111"/>
      <c r="M9" s="111"/>
      <c r="N9" s="190" t="s">
        <v>127</v>
      </c>
      <c r="O9" s="190"/>
      <c r="P9" s="190"/>
      <c r="Q9" s="190"/>
      <c r="R9" s="7"/>
      <c r="S9" s="8"/>
      <c r="T9" s="9"/>
      <c r="U9" s="7"/>
      <c r="V9" s="8"/>
      <c r="W9" s="18"/>
    </row>
    <row r="10" spans="1:23" ht="19.5" customHeight="1" x14ac:dyDescent="0.2">
      <c r="A10" s="193" t="s">
        <v>151</v>
      </c>
      <c r="B10" s="193"/>
      <c r="C10" s="136" t="s">
        <v>248</v>
      </c>
      <c r="D10" s="136"/>
      <c r="E10" s="136"/>
      <c r="F10" s="136"/>
      <c r="G10" s="136"/>
      <c r="H10" s="136"/>
      <c r="I10" s="3"/>
      <c r="J10" s="3"/>
      <c r="K10" s="3"/>
      <c r="L10" s="3"/>
      <c r="M10" s="9"/>
      <c r="N10" s="191" t="s">
        <v>128</v>
      </c>
      <c r="O10" s="191"/>
      <c r="P10" s="191"/>
      <c r="Q10" s="191"/>
      <c r="R10" s="7"/>
      <c r="S10" s="8"/>
      <c r="T10" s="9"/>
      <c r="U10" s="7"/>
      <c r="V10" s="8"/>
      <c r="W10" s="18"/>
    </row>
    <row r="11" spans="1:23" x14ac:dyDescent="0.2">
      <c r="A11" s="188" t="s">
        <v>1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9"/>
      <c r="N11" s="196" t="s">
        <v>129</v>
      </c>
      <c r="O11" s="196"/>
      <c r="P11" s="196"/>
      <c r="Q11" s="196"/>
      <c r="R11" s="7"/>
      <c r="S11" s="8"/>
      <c r="T11" s="9"/>
      <c r="U11" s="7"/>
      <c r="V11" s="8"/>
      <c r="W11" s="18"/>
    </row>
    <row r="12" spans="1:23" ht="20.100000000000001" customHeight="1" x14ac:dyDescent="0.2">
      <c r="A12" s="87" t="s">
        <v>2</v>
      </c>
      <c r="B12" s="192" t="s">
        <v>36</v>
      </c>
      <c r="C12" s="192"/>
      <c r="D12" s="192"/>
      <c r="E12" s="192"/>
      <c r="F12" s="192" t="s">
        <v>5</v>
      </c>
      <c r="G12" s="192"/>
      <c r="H12" s="101" t="s">
        <v>34</v>
      </c>
      <c r="I12" s="104"/>
      <c r="J12" s="104"/>
      <c r="K12" s="104"/>
      <c r="L12" s="104"/>
      <c r="N12" s="1"/>
      <c r="O12" s="1"/>
      <c r="P12" s="1"/>
      <c r="Q12" s="1"/>
    </row>
    <row r="13" spans="1:23" ht="20.100000000000001" customHeight="1" x14ac:dyDescent="0.2">
      <c r="A13" s="87"/>
      <c r="B13" s="192" t="s">
        <v>3</v>
      </c>
      <c r="C13" s="192"/>
      <c r="D13" s="192" t="s">
        <v>4</v>
      </c>
      <c r="E13" s="192"/>
      <c r="F13" s="192"/>
      <c r="G13" s="192"/>
      <c r="H13" s="92" t="s">
        <v>35</v>
      </c>
      <c r="I13" s="103"/>
      <c r="J13" s="103"/>
      <c r="K13" s="103"/>
      <c r="L13" s="103"/>
    </row>
    <row r="14" spans="1:23" ht="20.100000000000001" customHeight="1" x14ac:dyDescent="0.2">
      <c r="A14" s="5" t="s">
        <v>6</v>
      </c>
      <c r="B14" s="7"/>
      <c r="C14" s="5"/>
      <c r="D14" s="84"/>
      <c r="E14" s="85"/>
      <c r="F14" s="201" t="str">
        <f t="shared" ref="F14:F40" si="0">IF(OR(B14="",D14=""),"",IF(ISERROR(D14/B14),IF(D14=0,0,""),D14/B14))</f>
        <v/>
      </c>
      <c r="G14" s="205"/>
      <c r="H14" s="84"/>
      <c r="I14" s="88"/>
      <c r="J14" s="88"/>
      <c r="K14" s="88"/>
      <c r="L14" s="88"/>
      <c r="M14" s="87" t="s">
        <v>115</v>
      </c>
      <c r="N14" s="192" t="s">
        <v>116</v>
      </c>
      <c r="O14" s="192"/>
      <c r="P14" s="192"/>
      <c r="Q14" s="192"/>
      <c r="R14" s="192" t="s">
        <v>117</v>
      </c>
      <c r="S14" s="192"/>
      <c r="T14" s="192"/>
      <c r="U14" s="192" t="s">
        <v>130</v>
      </c>
      <c r="V14" s="192" t="s">
        <v>69</v>
      </c>
      <c r="W14" s="86" t="s">
        <v>131</v>
      </c>
    </row>
    <row r="15" spans="1:23" ht="20.100000000000001" customHeight="1" x14ac:dyDescent="0.2">
      <c r="A15" s="5" t="s">
        <v>7</v>
      </c>
      <c r="B15" s="5"/>
      <c r="C15" s="5"/>
      <c r="D15" s="86"/>
      <c r="E15" s="87"/>
      <c r="F15" s="201" t="str">
        <f t="shared" si="0"/>
        <v/>
      </c>
      <c r="G15" s="205"/>
      <c r="H15" s="84"/>
      <c r="I15" s="88"/>
      <c r="J15" s="88"/>
      <c r="K15" s="88"/>
      <c r="L15" s="88"/>
      <c r="M15" s="87"/>
      <c r="N15" s="192"/>
      <c r="O15" s="192"/>
      <c r="P15" s="192"/>
      <c r="Q15" s="192"/>
      <c r="R15" s="197" t="s">
        <v>130</v>
      </c>
      <c r="S15" s="192" t="s">
        <v>69</v>
      </c>
      <c r="T15" s="192" t="s">
        <v>131</v>
      </c>
      <c r="U15" s="192"/>
      <c r="V15" s="192"/>
      <c r="W15" s="86"/>
    </row>
    <row r="16" spans="1:23" ht="20.100000000000001" customHeight="1" x14ac:dyDescent="0.2">
      <c r="A16" s="5" t="s">
        <v>8</v>
      </c>
      <c r="B16" s="21">
        <f>'Ячейка 36'!D19+'Ячейка 37'!D19</f>
        <v>2390.3999999893131</v>
      </c>
      <c r="C16" s="21"/>
      <c r="D16" s="199">
        <f>'Ячейка 36'!H19+'Ячейка 37'!H19</f>
        <v>1958.3999999995285</v>
      </c>
      <c r="E16" s="200"/>
      <c r="F16" s="201">
        <f t="shared" si="0"/>
        <v>0.81927710843720047</v>
      </c>
      <c r="G16" s="205"/>
      <c r="H16" s="84"/>
      <c r="I16" s="88"/>
      <c r="J16" s="88"/>
      <c r="K16" s="88"/>
      <c r="L16" s="88"/>
      <c r="M16" s="87"/>
      <c r="N16" s="192"/>
      <c r="O16" s="192"/>
      <c r="P16" s="192"/>
      <c r="Q16" s="192"/>
      <c r="R16" s="197"/>
      <c r="S16" s="192"/>
      <c r="T16" s="192"/>
      <c r="U16" s="192"/>
      <c r="V16" s="192"/>
      <c r="W16" s="86"/>
    </row>
    <row r="17" spans="1:23" ht="20.100000000000001" customHeight="1" x14ac:dyDescent="0.2">
      <c r="A17" s="5" t="s">
        <v>9</v>
      </c>
      <c r="B17" s="21">
        <f>'Ячейка 36'!D20+'Ячейка 37'!D20</f>
        <v>2372.4000000020169</v>
      </c>
      <c r="C17" s="21"/>
      <c r="D17" s="199">
        <f>'Ячейка 36'!H20+'Ячейка 37'!H20</f>
        <v>1976.4000000031956</v>
      </c>
      <c r="E17" s="200"/>
      <c r="F17" s="201">
        <f t="shared" si="0"/>
        <v>0.83308042488682998</v>
      </c>
      <c r="G17" s="205"/>
      <c r="H17" s="84"/>
      <c r="I17" s="88"/>
      <c r="J17" s="88"/>
      <c r="K17" s="88"/>
      <c r="L17" s="88"/>
      <c r="M17" s="87"/>
      <c r="N17" s="192"/>
      <c r="O17" s="192"/>
      <c r="P17" s="192"/>
      <c r="Q17" s="192"/>
      <c r="R17" s="197"/>
      <c r="S17" s="192"/>
      <c r="T17" s="192"/>
      <c r="U17" s="192"/>
      <c r="V17" s="192"/>
      <c r="W17" s="86"/>
    </row>
    <row r="18" spans="1:23" ht="20.100000000000001" customHeight="1" x14ac:dyDescent="0.2">
      <c r="A18" s="5" t="s">
        <v>10</v>
      </c>
      <c r="B18" s="21">
        <f>'Ячейка 36'!D21+'Ячейка 37'!D21</f>
        <v>2365.2000000038242</v>
      </c>
      <c r="C18" s="21"/>
      <c r="D18" s="199">
        <f>'Ячейка 36'!H21+'Ячейка 37'!H21</f>
        <v>1980.0000000022919</v>
      </c>
      <c r="E18" s="200"/>
      <c r="F18" s="201">
        <f t="shared" si="0"/>
        <v>0.83713850837100057</v>
      </c>
      <c r="G18" s="205"/>
      <c r="H18" s="84"/>
      <c r="I18" s="88"/>
      <c r="J18" s="88"/>
      <c r="K18" s="88"/>
      <c r="L18" s="88"/>
      <c r="M18" s="87"/>
      <c r="N18" s="192"/>
      <c r="O18" s="192"/>
      <c r="P18" s="192"/>
      <c r="Q18" s="192"/>
      <c r="R18" s="197"/>
      <c r="S18" s="192"/>
      <c r="T18" s="192"/>
      <c r="U18" s="192"/>
      <c r="V18" s="192"/>
      <c r="W18" s="86"/>
    </row>
    <row r="19" spans="1:23" ht="20.100000000000001" customHeight="1" x14ac:dyDescent="0.2">
      <c r="A19" s="5" t="s">
        <v>11</v>
      </c>
      <c r="B19" s="21">
        <f>'Ячейка 36'!D22+'Ячейка 37'!D22</f>
        <v>2340.0000000019645</v>
      </c>
      <c r="C19" s="21"/>
      <c r="D19" s="199">
        <f>'Ячейка 36'!H22+'Ячейка 37'!H22</f>
        <v>1990.8000000077664</v>
      </c>
      <c r="E19" s="200"/>
      <c r="F19" s="201">
        <f t="shared" si="0"/>
        <v>0.85076923077183553</v>
      </c>
      <c r="G19" s="205"/>
      <c r="H19" s="84"/>
      <c r="I19" s="88"/>
      <c r="J19" s="88"/>
      <c r="K19" s="88"/>
      <c r="L19" s="88"/>
      <c r="M19" s="9"/>
      <c r="N19" s="189" t="s">
        <v>132</v>
      </c>
      <c r="O19" s="189"/>
      <c r="P19" s="189"/>
      <c r="Q19" s="189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36'!D23+'Ячейка 37'!D23</f>
        <v>2329.1999999964901</v>
      </c>
      <c r="C20" s="21"/>
      <c r="D20" s="199">
        <f>'Ячейка 36'!H23+'Ячейка 37'!H23</f>
        <v>1997.9999999977736</v>
      </c>
      <c r="E20" s="200"/>
      <c r="F20" s="201">
        <f t="shared" si="0"/>
        <v>0.85780525502352067</v>
      </c>
      <c r="G20" s="205"/>
      <c r="H20" s="84"/>
      <c r="I20" s="88"/>
      <c r="J20" s="88"/>
      <c r="K20" s="88"/>
      <c r="L20" s="88"/>
      <c r="M20" s="9"/>
      <c r="N20" s="190" t="s">
        <v>133</v>
      </c>
      <c r="O20" s="190"/>
      <c r="P20" s="190"/>
      <c r="Q20" s="190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36'!D24+'Ячейка 37'!D24</f>
        <v>2376.0000000092987</v>
      </c>
      <c r="C21" s="21"/>
      <c r="D21" s="199">
        <f>'Ячейка 36'!H24+'Ячейка 37'!H24</f>
        <v>2030.3999999978259</v>
      </c>
      <c r="E21" s="200"/>
      <c r="F21" s="201">
        <f t="shared" si="0"/>
        <v>0.85454545454119524</v>
      </c>
      <c r="G21" s="205"/>
      <c r="H21" s="84"/>
      <c r="I21" s="88"/>
      <c r="J21" s="88"/>
      <c r="K21" s="88"/>
      <c r="L21" s="88"/>
      <c r="M21" s="9"/>
      <c r="N21" s="195" t="s">
        <v>134</v>
      </c>
      <c r="O21" s="195"/>
      <c r="P21" s="195"/>
      <c r="Q21" s="195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36'!D25+'Ячейка 37'!D25</f>
        <v>2440.7999999930325</v>
      </c>
      <c r="C22" s="21"/>
      <c r="D22" s="199">
        <f>'Ячейка 36'!H25+'Ячейка 37'!H25</f>
        <v>2037.600000004204</v>
      </c>
      <c r="E22" s="200"/>
      <c r="F22" s="201">
        <f t="shared" si="0"/>
        <v>0.83480825959112603</v>
      </c>
      <c r="G22" s="205"/>
      <c r="H22" s="84"/>
      <c r="I22" s="88"/>
      <c r="J22" s="88"/>
      <c r="K22" s="88"/>
      <c r="L22" s="88"/>
    </row>
    <row r="23" spans="1:23" ht="20.100000000000001" customHeight="1" x14ac:dyDescent="0.2">
      <c r="A23" s="5" t="s">
        <v>15</v>
      </c>
      <c r="B23" s="21">
        <f>'Ячейка 36'!D26+'Ячейка 37'!D26</f>
        <v>2473.2000000094558</v>
      </c>
      <c r="C23" s="21"/>
      <c r="D23" s="199">
        <f>'Ячейка 36'!H26+'Ячейка 37'!H26</f>
        <v>1936.7999999967651</v>
      </c>
      <c r="E23" s="200"/>
      <c r="F23" s="201">
        <f t="shared" si="0"/>
        <v>0.78311499271767759</v>
      </c>
      <c r="G23" s="205"/>
      <c r="H23" s="84"/>
      <c r="I23" s="88"/>
      <c r="J23" s="88"/>
      <c r="K23" s="88"/>
      <c r="L23" s="88"/>
    </row>
    <row r="24" spans="1:23" ht="20.100000000000001" customHeight="1" x14ac:dyDescent="0.2">
      <c r="A24" s="5" t="s">
        <v>16</v>
      </c>
      <c r="B24" s="21">
        <f>'Ячейка 36'!D27+'Ячейка 37'!D27</f>
        <v>2379.6000000002095</v>
      </c>
      <c r="C24" s="21"/>
      <c r="D24" s="199">
        <f>'Ячейка 36'!H27+'Ячейка 37'!H27</f>
        <v>1810.7999999956519</v>
      </c>
      <c r="E24" s="200"/>
      <c r="F24" s="201">
        <f t="shared" si="0"/>
        <v>0.76096822995271995</v>
      </c>
      <c r="G24" s="205"/>
      <c r="H24" s="84"/>
      <c r="I24" s="88"/>
      <c r="J24" s="88"/>
      <c r="K24" s="88"/>
      <c r="L24" s="88"/>
      <c r="N24" s="118" t="s">
        <v>135</v>
      </c>
      <c r="O24" s="118"/>
      <c r="P24" s="118"/>
      <c r="Q24" s="118"/>
      <c r="R24" s="118"/>
      <c r="S24" s="118"/>
      <c r="T24" s="118"/>
      <c r="U24" s="118"/>
      <c r="V24" s="118"/>
    </row>
    <row r="25" spans="1:23" ht="20.100000000000001" customHeight="1" x14ac:dyDescent="0.2">
      <c r="A25" s="5" t="s">
        <v>17</v>
      </c>
      <c r="B25" s="21">
        <f>'Ячейка 36'!D28+'Ячейка 37'!D28</f>
        <v>2386.7999999820313</v>
      </c>
      <c r="C25" s="21"/>
      <c r="D25" s="199">
        <f>'Ячейка 36'!H28+'Ячейка 37'!H28</f>
        <v>1774.7999999965032</v>
      </c>
      <c r="E25" s="200"/>
      <c r="F25" s="201">
        <f t="shared" si="0"/>
        <v>0.74358974359387653</v>
      </c>
      <c r="G25" s="205"/>
      <c r="H25" s="84"/>
      <c r="I25" s="88"/>
      <c r="J25" s="88"/>
      <c r="K25" s="88"/>
      <c r="L25" s="88"/>
      <c r="N25" s="17" t="s">
        <v>136</v>
      </c>
      <c r="O25" s="118" t="s">
        <v>137</v>
      </c>
      <c r="P25" s="118"/>
      <c r="Q25" s="118"/>
      <c r="R25" s="118"/>
      <c r="S25" s="118"/>
      <c r="T25" s="118"/>
      <c r="U25" s="118"/>
      <c r="V25" s="118"/>
    </row>
    <row r="26" spans="1:23" ht="20.100000000000001" customHeight="1" x14ac:dyDescent="0.2">
      <c r="A26" s="5" t="s">
        <v>18</v>
      </c>
      <c r="B26" s="21">
        <f>'Ячейка 36'!D29+'Ячейка 37'!D29</f>
        <v>2386.7999999984022</v>
      </c>
      <c r="C26" s="21"/>
      <c r="D26" s="199">
        <f>'Ячейка 36'!H29+'Ячейка 37'!H29</f>
        <v>1821.6000000093118</v>
      </c>
      <c r="E26" s="200"/>
      <c r="F26" s="201">
        <f t="shared" si="0"/>
        <v>0.7631975867314108</v>
      </c>
      <c r="G26" s="205"/>
      <c r="H26" s="84"/>
      <c r="I26" s="88"/>
      <c r="J26" s="88"/>
      <c r="K26" s="88"/>
      <c r="L26" s="88"/>
      <c r="N26" s="17" t="s">
        <v>138</v>
      </c>
      <c r="O26" s="118" t="s">
        <v>180</v>
      </c>
      <c r="P26" s="118"/>
      <c r="Q26" s="118"/>
      <c r="R26" s="118"/>
      <c r="S26" s="118"/>
      <c r="T26" s="118"/>
      <c r="U26" s="118"/>
      <c r="V26" s="118"/>
    </row>
    <row r="27" spans="1:23" ht="20.100000000000001" customHeight="1" x14ac:dyDescent="0.2">
      <c r="A27" s="5" t="s">
        <v>19</v>
      </c>
      <c r="B27" s="21">
        <f>'Ячейка 36'!D30+'Ячейка 37'!D30</f>
        <v>2383.2000000074913</v>
      </c>
      <c r="C27" s="21"/>
      <c r="D27" s="199">
        <f>'Ячейка 36'!H30+'Ячейка 37'!H30</f>
        <v>1821.5999999847554</v>
      </c>
      <c r="E27" s="200"/>
      <c r="F27" s="201">
        <f t="shared" si="0"/>
        <v>0.76435045316340611</v>
      </c>
      <c r="G27" s="205"/>
      <c r="H27" s="84"/>
      <c r="I27" s="88"/>
      <c r="J27" s="88"/>
      <c r="K27" s="88"/>
      <c r="L27" s="88"/>
      <c r="N27" s="17" t="s">
        <v>139</v>
      </c>
      <c r="O27" s="118" t="s">
        <v>140</v>
      </c>
      <c r="P27" s="118"/>
      <c r="Q27" s="118"/>
      <c r="R27" s="118"/>
      <c r="S27" s="118"/>
      <c r="T27" s="118"/>
      <c r="U27" s="118"/>
      <c r="V27" s="118"/>
    </row>
    <row r="28" spans="1:23" ht="20.100000000000001" customHeight="1" x14ac:dyDescent="0.2">
      <c r="A28" s="5" t="s">
        <v>20</v>
      </c>
      <c r="B28" s="21">
        <f>'Ячейка 36'!D31+'Ячейка 37'!D31</f>
        <v>2379.6000000002095</v>
      </c>
      <c r="C28" s="21"/>
      <c r="D28" s="199">
        <f>'Ячейка 36'!H31+'Ячейка 37'!H31</f>
        <v>1832.4000000147862</v>
      </c>
      <c r="E28" s="200"/>
      <c r="F28" s="201">
        <f t="shared" si="0"/>
        <v>0.77004538578526849</v>
      </c>
      <c r="G28" s="205"/>
      <c r="H28" s="84"/>
      <c r="I28" s="88"/>
      <c r="J28" s="88"/>
      <c r="K28" s="88"/>
      <c r="L28" s="88"/>
      <c r="N28" s="17"/>
      <c r="O28" s="118" t="s">
        <v>141</v>
      </c>
      <c r="P28" s="118"/>
      <c r="Q28" s="118"/>
      <c r="R28" s="118"/>
      <c r="S28" s="118"/>
      <c r="T28" s="118"/>
      <c r="U28" s="118"/>
      <c r="V28" s="118"/>
    </row>
    <row r="29" spans="1:23" ht="20.100000000000001" customHeight="1" x14ac:dyDescent="0.2">
      <c r="A29" s="5" t="s">
        <v>21</v>
      </c>
      <c r="B29" s="21">
        <f>'Ячейка 36'!D32+'Ячейка 37'!D32</f>
        <v>2300.4000000037195</v>
      </c>
      <c r="C29" s="21"/>
      <c r="D29" s="199">
        <f>'Ячейка 36'!H32+'Ячейка 37'!H32</f>
        <v>1778.399999987414</v>
      </c>
      <c r="E29" s="200"/>
      <c r="F29" s="201">
        <f t="shared" si="0"/>
        <v>0.77308294209030537</v>
      </c>
      <c r="G29" s="205"/>
      <c r="H29" s="84"/>
      <c r="I29" s="88"/>
      <c r="J29" s="88"/>
      <c r="K29" s="88"/>
      <c r="L29" s="88"/>
      <c r="N29" s="17"/>
      <c r="O29" s="118" t="s">
        <v>142</v>
      </c>
      <c r="P29" s="118"/>
      <c r="Q29" s="118"/>
      <c r="R29" s="118"/>
      <c r="S29" s="118"/>
      <c r="T29" s="118"/>
      <c r="U29" s="118"/>
      <c r="V29" s="118"/>
    </row>
    <row r="30" spans="1:23" ht="20.100000000000001" customHeight="1" x14ac:dyDescent="0.2">
      <c r="A30" s="5" t="s">
        <v>22</v>
      </c>
      <c r="B30" s="21">
        <f>'Ячейка 36'!D33+'Ячейка 37'!D33</f>
        <v>2253.5999999909109</v>
      </c>
      <c r="C30" s="21"/>
      <c r="D30" s="199">
        <f>'Ячейка 36'!H33+'Ячейка 37'!H33</f>
        <v>1663.1999999999607</v>
      </c>
      <c r="E30" s="200"/>
      <c r="F30" s="201">
        <f t="shared" si="0"/>
        <v>0.7380191693320326</v>
      </c>
      <c r="G30" s="205"/>
      <c r="H30" s="84"/>
      <c r="I30" s="88"/>
      <c r="J30" s="88"/>
      <c r="K30" s="88"/>
      <c r="L30" s="88"/>
      <c r="N30" s="17" t="s">
        <v>143</v>
      </c>
      <c r="O30" s="118" t="s">
        <v>144</v>
      </c>
      <c r="P30" s="118"/>
      <c r="Q30" s="118"/>
      <c r="R30" s="118"/>
      <c r="S30" s="118"/>
      <c r="T30" s="118"/>
      <c r="U30" s="118"/>
      <c r="V30" s="118"/>
    </row>
    <row r="31" spans="1:23" ht="20.100000000000001" customHeight="1" x14ac:dyDescent="0.2">
      <c r="A31" s="5" t="s">
        <v>23</v>
      </c>
      <c r="B31" s="21">
        <f>'Ячейка 36'!D34+'Ячейка 37'!D34</f>
        <v>2307.6000000019121</v>
      </c>
      <c r="C31" s="21"/>
      <c r="D31" s="199">
        <f>'Ячейка 36'!H34+'Ячейка 37'!H34</f>
        <v>1688.4000000100059</v>
      </c>
      <c r="E31" s="200"/>
      <c r="F31" s="201">
        <f t="shared" si="0"/>
        <v>0.73166926677440058</v>
      </c>
      <c r="G31" s="205"/>
      <c r="H31" s="84"/>
      <c r="I31" s="88"/>
      <c r="J31" s="88"/>
      <c r="K31" s="88"/>
      <c r="L31" s="88"/>
      <c r="N31" s="17"/>
      <c r="O31" s="118" t="s">
        <v>145</v>
      </c>
      <c r="P31" s="118"/>
      <c r="Q31" s="118"/>
      <c r="R31" s="118"/>
      <c r="S31" s="118"/>
      <c r="T31" s="118"/>
      <c r="U31" s="118"/>
      <c r="V31" s="118"/>
    </row>
    <row r="32" spans="1:23" ht="20.100000000000001" customHeight="1" x14ac:dyDescent="0.2">
      <c r="A32" s="5" t="s">
        <v>24</v>
      </c>
      <c r="B32" s="21">
        <f>'Ячейка 36'!D35+'Ячейка 37'!D35</f>
        <v>2332.8000000037719</v>
      </c>
      <c r="C32" s="21"/>
      <c r="D32" s="199">
        <f>'Ячейка 36'!H35+'Ячейка 37'!H35</f>
        <v>1717.2000000027765</v>
      </c>
      <c r="E32" s="200"/>
      <c r="F32" s="201">
        <f t="shared" si="0"/>
        <v>0.73611111111111116</v>
      </c>
      <c r="G32" s="205"/>
      <c r="H32" s="84"/>
      <c r="I32" s="88"/>
      <c r="J32" s="88"/>
      <c r="K32" s="88"/>
      <c r="L32" s="88"/>
      <c r="N32" s="17" t="s">
        <v>146</v>
      </c>
      <c r="O32" s="118" t="s">
        <v>147</v>
      </c>
      <c r="P32" s="118"/>
      <c r="Q32" s="118"/>
      <c r="R32" s="118"/>
      <c r="S32" s="118"/>
      <c r="T32" s="118"/>
      <c r="U32" s="118"/>
      <c r="V32" s="118"/>
    </row>
    <row r="33" spans="1:24" ht="20.100000000000001" customHeight="1" x14ac:dyDescent="0.2">
      <c r="A33" s="5" t="s">
        <v>25</v>
      </c>
      <c r="B33" s="21">
        <f>'Ячейка 36'!D36+'Ячейка 37'!D36</f>
        <v>2221.2000000072294</v>
      </c>
      <c r="C33" s="21"/>
      <c r="D33" s="199">
        <f>'Ячейка 36'!H36+'Ячейка 37'!H36</f>
        <v>1709.9999999963984</v>
      </c>
      <c r="E33" s="200"/>
      <c r="F33" s="201">
        <f t="shared" si="0"/>
        <v>0.76985413289700744</v>
      </c>
      <c r="G33" s="205"/>
      <c r="H33" s="84"/>
      <c r="I33" s="88"/>
      <c r="J33" s="88"/>
      <c r="K33" s="88"/>
      <c r="L33" s="88"/>
      <c r="N33" s="17" t="s">
        <v>148</v>
      </c>
      <c r="O33" s="118" t="s">
        <v>149</v>
      </c>
      <c r="P33" s="118"/>
      <c r="Q33" s="118"/>
      <c r="R33" s="118"/>
      <c r="S33" s="118"/>
      <c r="T33" s="118"/>
      <c r="U33" s="118"/>
      <c r="V33" s="118"/>
    </row>
    <row r="34" spans="1:24" ht="20.100000000000001" customHeight="1" x14ac:dyDescent="0.2">
      <c r="A34" s="5" t="s">
        <v>26</v>
      </c>
      <c r="B34" s="21">
        <f>'Ячейка 36'!D37+'Ячейка 37'!D37</f>
        <v>2300.3999999873486</v>
      </c>
      <c r="C34" s="21"/>
      <c r="D34" s="199">
        <f>'Ячейка 36'!H37+'Ячейка 37'!H37</f>
        <v>1742.4000000046362</v>
      </c>
      <c r="E34" s="200"/>
      <c r="F34" s="201">
        <f t="shared" si="0"/>
        <v>0.75743348983403702</v>
      </c>
      <c r="G34" s="205"/>
      <c r="H34" s="84"/>
      <c r="I34" s="88"/>
      <c r="J34" s="88"/>
      <c r="K34" s="88"/>
      <c r="L34" s="88"/>
    </row>
    <row r="35" spans="1:24" ht="20.100000000000001" customHeight="1" x14ac:dyDescent="0.2">
      <c r="A35" s="5" t="s">
        <v>27</v>
      </c>
      <c r="B35" s="21">
        <f>'Ячейка 36'!D38+'Ячейка 37'!D38</f>
        <v>2350.8000000074389</v>
      </c>
      <c r="C35" s="21"/>
      <c r="D35" s="199">
        <f>'Ячейка 36'!H38+'Ячейка 37'!H38</f>
        <v>1763.9999999910287</v>
      </c>
      <c r="E35" s="200"/>
      <c r="F35" s="201">
        <f t="shared" si="0"/>
        <v>0.75038284838584601</v>
      </c>
      <c r="G35" s="205"/>
      <c r="H35" s="84"/>
      <c r="I35" s="88"/>
      <c r="J35" s="88"/>
      <c r="K35" s="88"/>
      <c r="L35" s="88"/>
    </row>
    <row r="36" spans="1:24" ht="20.100000000000001" customHeight="1" x14ac:dyDescent="0.2">
      <c r="A36" s="5" t="s">
        <v>28</v>
      </c>
      <c r="B36" s="21">
        <f>'Ячейка 36'!D39+'Ячейка 37'!D39</f>
        <v>2239.1999999945256</v>
      </c>
      <c r="C36" s="21"/>
      <c r="D36" s="199">
        <f>'Ячейка 36'!H39+'Ячейка 37'!H39</f>
        <v>1760.4000000001179</v>
      </c>
      <c r="E36" s="200"/>
      <c r="F36" s="201">
        <f t="shared" si="0"/>
        <v>0.78617363344248914</v>
      </c>
      <c r="G36" s="205"/>
      <c r="H36" s="84"/>
      <c r="I36" s="88"/>
      <c r="J36" s="88"/>
      <c r="K36" s="88"/>
      <c r="L36" s="88"/>
    </row>
    <row r="37" spans="1:24" ht="20.100000000000001" customHeight="1" x14ac:dyDescent="0.2">
      <c r="A37" s="5" t="s">
        <v>29</v>
      </c>
      <c r="B37" s="21">
        <f>'Ячейка 36'!D40+'Ячейка 37'!D40</f>
        <v>2231.9999999963329</v>
      </c>
      <c r="C37" s="21"/>
      <c r="D37" s="199">
        <f>'Ячейка 36'!H40+'Ячейка 37'!H40</f>
        <v>1746.0000000037326</v>
      </c>
      <c r="E37" s="200"/>
      <c r="F37" s="201">
        <f t="shared" si="0"/>
        <v>0.78225806451908653</v>
      </c>
      <c r="G37" s="205"/>
      <c r="H37" s="84"/>
      <c r="I37" s="88"/>
      <c r="J37" s="88"/>
      <c r="K37" s="88"/>
      <c r="L37" s="88"/>
    </row>
    <row r="38" spans="1:24" ht="20.100000000000001" customHeight="1" x14ac:dyDescent="0.2">
      <c r="A38" s="5" t="s">
        <v>30</v>
      </c>
      <c r="B38" s="21">
        <f>'Ячейка 36'!D41+'Ячейка 37'!D41</f>
        <v>2271.599999994578</v>
      </c>
      <c r="C38" s="21"/>
      <c r="D38" s="199">
        <f>'Ячейка 36'!H41+'Ячейка 37'!H41</f>
        <v>1756.7999999928361</v>
      </c>
      <c r="E38" s="200"/>
      <c r="F38" s="201">
        <f t="shared" si="0"/>
        <v>0.77337559429346248</v>
      </c>
      <c r="G38" s="205"/>
      <c r="H38" s="84"/>
      <c r="I38" s="88"/>
      <c r="J38" s="88"/>
      <c r="K38" s="88"/>
      <c r="L38" s="88"/>
    </row>
    <row r="39" spans="1:24" ht="20.100000000000001" customHeight="1" x14ac:dyDescent="0.2">
      <c r="A39" s="5" t="s">
        <v>31</v>
      </c>
      <c r="B39" s="21">
        <f>'Ячейка 36'!D42+'Ячейка 37'!D42</f>
        <v>2286.0000000073342</v>
      </c>
      <c r="C39" s="21"/>
      <c r="D39" s="199">
        <f>'Ячейка 36'!H42+'Ячейка 37'!H42</f>
        <v>1810.8000000038373</v>
      </c>
      <c r="E39" s="200"/>
      <c r="F39" s="201">
        <f t="shared" si="0"/>
        <v>0.79212598425110581</v>
      </c>
      <c r="G39" s="205"/>
      <c r="H39" s="84"/>
      <c r="I39" s="88"/>
      <c r="J39" s="88"/>
      <c r="K39" s="88"/>
      <c r="L39" s="88"/>
      <c r="P39" s="150" t="s">
        <v>150</v>
      </c>
      <c r="Q39" s="150"/>
      <c r="R39" s="150"/>
      <c r="S39" s="149" t="s">
        <v>370</v>
      </c>
      <c r="T39" s="149"/>
      <c r="U39" s="149"/>
      <c r="V39" s="149"/>
      <c r="W39" s="149"/>
      <c r="X39" s="149"/>
    </row>
    <row r="40" spans="1:24" ht="20.100000000000001" customHeight="1" x14ac:dyDescent="0.2">
      <c r="A40" s="5" t="s">
        <v>32</v>
      </c>
      <c r="B40" s="21">
        <f>SUM(B15:B39)</f>
        <v>56098.799999988842</v>
      </c>
      <c r="C40" s="21"/>
      <c r="D40" s="199">
        <f>SUM(D15:E39)</f>
        <v>44107.200000003104</v>
      </c>
      <c r="E40" s="200"/>
      <c r="F40" s="201">
        <f t="shared" si="0"/>
        <v>0.78624141692891603</v>
      </c>
      <c r="G40" s="205"/>
      <c r="H40" s="84"/>
      <c r="I40" s="88"/>
      <c r="J40" s="88"/>
      <c r="K40" s="88"/>
      <c r="L40" s="88"/>
    </row>
    <row r="41" spans="1:24" ht="20.100000000000001" customHeight="1" x14ac:dyDescent="0.2">
      <c r="A41" s="5" t="s">
        <v>33</v>
      </c>
      <c r="B41" s="5"/>
      <c r="C41" s="5"/>
      <c r="D41" s="86"/>
      <c r="E41" s="87"/>
      <c r="F41" s="201"/>
      <c r="G41" s="205"/>
      <c r="H41" s="84"/>
      <c r="I41" s="88"/>
      <c r="J41" s="88"/>
      <c r="K41" s="88"/>
      <c r="L41" s="88"/>
    </row>
    <row r="42" spans="1:24" ht="20.100000000000001" customHeight="1" x14ac:dyDescent="0.2">
      <c r="A42" s="87" t="s">
        <v>2</v>
      </c>
      <c r="B42" s="86" t="s">
        <v>37</v>
      </c>
      <c r="C42" s="105"/>
      <c r="D42" s="87"/>
      <c r="E42" s="86" t="s">
        <v>40</v>
      </c>
      <c r="F42" s="105"/>
      <c r="G42" s="105"/>
      <c r="H42" s="105"/>
      <c r="I42" s="87"/>
      <c r="J42" s="101" t="s">
        <v>5</v>
      </c>
      <c r="K42" s="104"/>
      <c r="L42" s="104"/>
    </row>
    <row r="43" spans="1:24" ht="37.5" customHeight="1" x14ac:dyDescent="0.2">
      <c r="A43" s="87"/>
      <c r="B43" s="192" t="s">
        <v>38</v>
      </c>
      <c r="C43" s="192"/>
      <c r="D43" s="5" t="s">
        <v>39</v>
      </c>
      <c r="E43" s="86" t="s">
        <v>41</v>
      </c>
      <c r="F43" s="105"/>
      <c r="G43" s="87"/>
      <c r="H43" s="86" t="s">
        <v>42</v>
      </c>
      <c r="I43" s="87"/>
      <c r="J43" s="92"/>
      <c r="K43" s="103"/>
      <c r="L43" s="103"/>
    </row>
    <row r="44" spans="1:24" ht="20.100000000000001" customHeight="1" x14ac:dyDescent="0.2">
      <c r="A44" s="4" t="s">
        <v>153</v>
      </c>
      <c r="B44" s="199">
        <f>SUM(B24:B26)</f>
        <v>7153.199999980643</v>
      </c>
      <c r="C44" s="200"/>
      <c r="D44" s="21">
        <f>SUM(D24:E26)</f>
        <v>5407.2000000014668</v>
      </c>
      <c r="E44" s="199">
        <f>B44/3</f>
        <v>2384.3999999935477</v>
      </c>
      <c r="F44" s="204"/>
      <c r="G44" s="200"/>
      <c r="H44" s="199">
        <f>D44/3</f>
        <v>1802.4000000004889</v>
      </c>
      <c r="I44" s="200"/>
      <c r="J44" s="201">
        <f>H44/E44</f>
        <v>0.75591343734497829</v>
      </c>
      <c r="K44" s="202"/>
      <c r="L44" s="202"/>
    </row>
    <row r="45" spans="1:24" ht="20.100000000000001" customHeight="1" x14ac:dyDescent="0.2">
      <c r="A45" s="4" t="s">
        <v>43</v>
      </c>
      <c r="B45" s="199">
        <f>SUM(B33:B36)</f>
        <v>9111.5999999965425</v>
      </c>
      <c r="C45" s="200"/>
      <c r="D45" s="21">
        <f>SUM(D33:E36)</f>
        <v>6976.7999999921813</v>
      </c>
      <c r="E45" s="199">
        <f>B45/4</f>
        <v>2277.8999999991356</v>
      </c>
      <c r="F45" s="204"/>
      <c r="G45" s="200"/>
      <c r="H45" s="199">
        <f>D45/4</f>
        <v>1744.1999999980453</v>
      </c>
      <c r="I45" s="200"/>
      <c r="J45" s="201">
        <f>H45/E45</f>
        <v>0.76570525483941665</v>
      </c>
      <c r="K45" s="202"/>
      <c r="L45" s="202"/>
    </row>
    <row r="46" spans="1:24" ht="20.100000000000001" customHeight="1" x14ac:dyDescent="0.2">
      <c r="A46" s="4" t="s">
        <v>44</v>
      </c>
      <c r="B46" s="199">
        <f>SUM(B16:B39)</f>
        <v>56098.799999988842</v>
      </c>
      <c r="C46" s="200"/>
      <c r="D46" s="21">
        <f>SUM(D16:E39)</f>
        <v>44107.200000003104</v>
      </c>
      <c r="E46" s="199">
        <f>B46/24</f>
        <v>2337.4499999995351</v>
      </c>
      <c r="F46" s="204"/>
      <c r="G46" s="200"/>
      <c r="H46" s="199">
        <f>D46/24</f>
        <v>1837.8000000001293</v>
      </c>
      <c r="I46" s="200"/>
      <c r="J46" s="201">
        <f>H46/E46</f>
        <v>0.78624141692891603</v>
      </c>
      <c r="K46" s="202"/>
      <c r="L46" s="202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99" t="s">
        <v>186</v>
      </c>
      <c r="D50" s="99"/>
      <c r="E50" s="99"/>
      <c r="F50" s="99"/>
      <c r="G50" s="99"/>
      <c r="H50" s="99"/>
      <c r="I50" s="99"/>
    </row>
    <row r="51" spans="3:9" ht="20.100000000000001" customHeight="1" x14ac:dyDescent="0.2"/>
  </sheetData>
  <sheetProtection sheet="1" objects="1" scenarios="1"/>
  <mergeCells count="173"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D35:E35"/>
    <mergeCell ref="D36:E36"/>
    <mergeCell ref="F38:G38"/>
    <mergeCell ref="A7:L7"/>
    <mergeCell ref="F12:G13"/>
    <mergeCell ref="H12:L12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H25:L25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I9:M9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X51"/>
  <sheetViews>
    <sheetView view="pageBreakPreview" zoomScale="75" zoomScaleNormal="100" workbookViewId="0">
      <selection activeCell="W27" sqref="W27"/>
    </sheetView>
  </sheetViews>
  <sheetFormatPr defaultRowHeight="18.75" x14ac:dyDescent="0.2"/>
  <cols>
    <col min="1" max="1" width="16.710937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140625" style="2" customWidth="1"/>
    <col min="20" max="20" width="14.28515625" style="2" customWidth="1"/>
    <col min="21" max="21" width="12" style="2" customWidth="1"/>
    <col min="22" max="22" width="14.7109375" style="2" customWidth="1"/>
    <col min="23" max="23" width="12.7109375" style="2" customWidth="1"/>
    <col min="24" max="28" width="10.28515625" style="2" customWidth="1"/>
    <col min="29" max="16384" width="9.140625" style="2"/>
  </cols>
  <sheetData>
    <row r="1" spans="1:23" ht="26.25" x14ac:dyDescent="0.2">
      <c r="A1" s="94" t="s">
        <v>161</v>
      </c>
      <c r="B1" s="94"/>
      <c r="C1" s="94"/>
      <c r="D1" s="94"/>
      <c r="E1" s="94"/>
      <c r="F1" s="123" t="s">
        <v>154</v>
      </c>
      <c r="G1" s="123"/>
      <c r="H1" s="123"/>
      <c r="I1" s="94" t="s">
        <v>163</v>
      </c>
      <c r="J1" s="94"/>
      <c r="K1" s="94"/>
      <c r="L1" s="94"/>
      <c r="M1" s="100" t="s">
        <v>115</v>
      </c>
      <c r="N1" s="98" t="s">
        <v>116</v>
      </c>
      <c r="O1" s="98"/>
      <c r="P1" s="98"/>
      <c r="Q1" s="98"/>
      <c r="R1" s="192" t="s">
        <v>117</v>
      </c>
      <c r="S1" s="192"/>
      <c r="T1" s="192"/>
      <c r="U1" s="192" t="s">
        <v>118</v>
      </c>
      <c r="V1" s="192"/>
      <c r="W1" s="86"/>
    </row>
    <row r="2" spans="1:23" ht="18.75" customHeight="1" x14ac:dyDescent="0.2">
      <c r="A2" s="119" t="s">
        <v>45</v>
      </c>
      <c r="B2" s="119"/>
      <c r="C2" s="119"/>
      <c r="D2" s="119"/>
      <c r="E2" s="119"/>
      <c r="F2" s="123"/>
      <c r="G2" s="123"/>
      <c r="H2" s="123"/>
      <c r="I2" s="94"/>
      <c r="J2" s="94"/>
      <c r="K2" s="94"/>
      <c r="L2" s="94"/>
      <c r="M2" s="95"/>
      <c r="N2" s="89"/>
      <c r="O2" s="89"/>
      <c r="P2" s="89"/>
      <c r="Q2" s="89"/>
      <c r="R2" s="89" t="s">
        <v>119</v>
      </c>
      <c r="S2" s="89" t="s">
        <v>120</v>
      </c>
      <c r="T2" s="89"/>
      <c r="U2" s="89" t="s">
        <v>119</v>
      </c>
      <c r="V2" s="89" t="s">
        <v>120</v>
      </c>
      <c r="W2" s="90"/>
    </row>
    <row r="3" spans="1:23" ht="21.75" customHeight="1" x14ac:dyDescent="0.2">
      <c r="A3" s="94" t="s">
        <v>162</v>
      </c>
      <c r="B3" s="94"/>
      <c r="C3" s="94"/>
      <c r="D3" s="94"/>
      <c r="E3" s="94"/>
      <c r="F3" s="123" t="s">
        <v>155</v>
      </c>
      <c r="G3" s="123"/>
      <c r="H3" s="123"/>
      <c r="I3" s="94" t="s">
        <v>227</v>
      </c>
      <c r="J3" s="94"/>
      <c r="K3" s="94"/>
      <c r="L3" s="94"/>
      <c r="M3" s="96"/>
      <c r="N3" s="91"/>
      <c r="O3" s="91"/>
      <c r="P3" s="91"/>
      <c r="Q3" s="91"/>
      <c r="R3" s="91"/>
      <c r="S3" s="91" t="s">
        <v>121</v>
      </c>
      <c r="T3" s="91"/>
      <c r="U3" s="91"/>
      <c r="V3" s="91" t="s">
        <v>121</v>
      </c>
      <c r="W3" s="92"/>
    </row>
    <row r="4" spans="1:23" ht="29.25" customHeight="1" x14ac:dyDescent="0.2">
      <c r="A4" s="119" t="s">
        <v>46</v>
      </c>
      <c r="B4" s="119"/>
      <c r="C4" s="119"/>
      <c r="D4" s="119"/>
      <c r="E4" s="119"/>
      <c r="F4" s="123"/>
      <c r="G4" s="123"/>
      <c r="H4" s="123"/>
      <c r="I4" s="94"/>
      <c r="J4" s="94"/>
      <c r="K4" s="94"/>
      <c r="L4" s="94"/>
      <c r="M4" s="9"/>
      <c r="N4" s="189" t="s">
        <v>122</v>
      </c>
      <c r="O4" s="189"/>
      <c r="P4" s="189"/>
      <c r="Q4" s="189"/>
      <c r="R4" s="7"/>
      <c r="S4" s="8"/>
      <c r="T4" s="7"/>
      <c r="U4" s="7"/>
      <c r="V4" s="7"/>
      <c r="W4" s="18"/>
    </row>
    <row r="5" spans="1:23" ht="18" customHeight="1" x14ac:dyDescent="0.2">
      <c r="A5" s="203" t="s">
        <v>175</v>
      </c>
      <c r="B5" s="203"/>
      <c r="C5" s="203"/>
      <c r="D5" s="203"/>
      <c r="E5" s="203"/>
      <c r="F5" s="123" t="s">
        <v>156</v>
      </c>
      <c r="G5" s="123"/>
      <c r="H5" s="123"/>
      <c r="I5" s="94" t="s">
        <v>247</v>
      </c>
      <c r="J5" s="94"/>
      <c r="K5" s="94"/>
      <c r="L5" s="94"/>
      <c r="M5" s="9"/>
      <c r="N5" s="190" t="s">
        <v>123</v>
      </c>
      <c r="O5" s="190"/>
      <c r="P5" s="190"/>
      <c r="Q5" s="190"/>
      <c r="R5" s="7"/>
      <c r="S5" s="8"/>
      <c r="T5" s="7"/>
      <c r="U5" s="7"/>
      <c r="V5" s="7"/>
      <c r="W5" s="18"/>
    </row>
    <row r="6" spans="1:23" x14ac:dyDescent="0.2">
      <c r="A6" s="119" t="s">
        <v>47</v>
      </c>
      <c r="B6" s="119"/>
      <c r="C6" s="119"/>
      <c r="D6" s="119"/>
      <c r="E6" s="119"/>
      <c r="F6" s="123"/>
      <c r="G6" s="123"/>
      <c r="H6" s="123"/>
      <c r="I6" s="94"/>
      <c r="J6" s="94"/>
      <c r="K6" s="94"/>
      <c r="L6" s="94"/>
      <c r="M6" s="9"/>
      <c r="N6" s="190" t="s">
        <v>124</v>
      </c>
      <c r="O6" s="190"/>
      <c r="P6" s="190"/>
      <c r="Q6" s="190"/>
      <c r="R6" s="7"/>
      <c r="S6" s="8"/>
      <c r="T6" s="7"/>
      <c r="U6" s="7"/>
      <c r="V6" s="7"/>
      <c r="W6" s="18"/>
    </row>
    <row r="7" spans="1:23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191" t="s">
        <v>125</v>
      </c>
      <c r="O7" s="191"/>
      <c r="P7" s="191"/>
      <c r="Q7" s="191"/>
      <c r="R7" s="7"/>
      <c r="S7" s="8"/>
      <c r="T7" s="7"/>
      <c r="U7" s="7"/>
      <c r="V7" s="7"/>
      <c r="W7" s="18"/>
    </row>
    <row r="8" spans="1:23" ht="22.5" x14ac:dyDescent="0.2">
      <c r="A8" s="116" t="s">
        <v>0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190" t="s">
        <v>126</v>
      </c>
      <c r="O8" s="190"/>
      <c r="P8" s="190"/>
      <c r="Q8" s="190"/>
      <c r="R8" s="7"/>
      <c r="S8" s="8"/>
      <c r="T8" s="7"/>
      <c r="U8" s="7"/>
      <c r="V8" s="7"/>
      <c r="W8" s="18"/>
    </row>
    <row r="9" spans="1:23" ht="18.75" customHeight="1" x14ac:dyDescent="0.2">
      <c r="A9" s="193" t="s">
        <v>152</v>
      </c>
      <c r="B9" s="193"/>
      <c r="C9" s="193"/>
      <c r="D9" s="193"/>
      <c r="E9" s="193"/>
      <c r="F9" s="135" t="s">
        <v>375</v>
      </c>
      <c r="G9" s="136"/>
      <c r="H9" s="136"/>
      <c r="I9" s="111" t="s">
        <v>376</v>
      </c>
      <c r="J9" s="111"/>
      <c r="K9" s="111"/>
      <c r="L9" s="111"/>
      <c r="M9" s="111"/>
      <c r="N9" s="190" t="s">
        <v>127</v>
      </c>
      <c r="O9" s="190"/>
      <c r="P9" s="190"/>
      <c r="Q9" s="190"/>
      <c r="R9" s="7"/>
      <c r="S9" s="8"/>
      <c r="T9" s="7"/>
      <c r="U9" s="7"/>
      <c r="V9" s="7"/>
      <c r="W9" s="18"/>
    </row>
    <row r="10" spans="1:23" ht="19.5" customHeight="1" x14ac:dyDescent="0.2">
      <c r="A10" s="193" t="s">
        <v>151</v>
      </c>
      <c r="B10" s="193"/>
      <c r="C10" s="136" t="s">
        <v>246</v>
      </c>
      <c r="D10" s="136"/>
      <c r="E10" s="136"/>
      <c r="F10" s="136"/>
      <c r="G10" s="136"/>
      <c r="H10" s="136"/>
      <c r="I10" s="3"/>
      <c r="J10" s="3"/>
      <c r="K10" s="3"/>
      <c r="L10" s="3"/>
      <c r="M10" s="9"/>
      <c r="N10" s="191" t="s">
        <v>128</v>
      </c>
      <c r="O10" s="191"/>
      <c r="P10" s="191"/>
      <c r="Q10" s="191"/>
      <c r="R10" s="7"/>
      <c r="S10" s="8"/>
      <c r="T10" s="7"/>
      <c r="U10" s="7"/>
      <c r="V10" s="7"/>
      <c r="W10" s="18"/>
    </row>
    <row r="11" spans="1:23" x14ac:dyDescent="0.2">
      <c r="A11" s="188" t="s">
        <v>1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9"/>
      <c r="N11" s="196" t="s">
        <v>129</v>
      </c>
      <c r="O11" s="196"/>
      <c r="P11" s="196"/>
      <c r="Q11" s="196"/>
      <c r="R11" s="7"/>
      <c r="S11" s="8"/>
      <c r="T11" s="7"/>
      <c r="U11" s="7"/>
      <c r="V11" s="7"/>
      <c r="W11" s="18"/>
    </row>
    <row r="12" spans="1:23" ht="20.100000000000001" customHeight="1" x14ac:dyDescent="0.2">
      <c r="A12" s="87" t="s">
        <v>2</v>
      </c>
      <c r="B12" s="192" t="s">
        <v>36</v>
      </c>
      <c r="C12" s="192"/>
      <c r="D12" s="192"/>
      <c r="E12" s="192"/>
      <c r="F12" s="192" t="s">
        <v>5</v>
      </c>
      <c r="G12" s="192"/>
      <c r="H12" s="101" t="s">
        <v>34</v>
      </c>
      <c r="I12" s="104"/>
      <c r="J12" s="104"/>
      <c r="K12" s="104"/>
      <c r="L12" s="104"/>
      <c r="N12" s="1"/>
      <c r="O12" s="1"/>
      <c r="P12" s="1"/>
      <c r="Q12" s="1"/>
    </row>
    <row r="13" spans="1:23" ht="20.100000000000001" customHeight="1" x14ac:dyDescent="0.2">
      <c r="A13" s="87"/>
      <c r="B13" s="192" t="s">
        <v>3</v>
      </c>
      <c r="C13" s="192"/>
      <c r="D13" s="192" t="s">
        <v>4</v>
      </c>
      <c r="E13" s="192"/>
      <c r="F13" s="192"/>
      <c r="G13" s="192"/>
      <c r="H13" s="92" t="s">
        <v>35</v>
      </c>
      <c r="I13" s="103"/>
      <c r="J13" s="103"/>
      <c r="K13" s="103"/>
      <c r="L13" s="103"/>
    </row>
    <row r="14" spans="1:23" ht="20.100000000000001" customHeight="1" x14ac:dyDescent="0.2">
      <c r="A14" s="5" t="s">
        <v>6</v>
      </c>
      <c r="B14" s="7"/>
      <c r="C14" s="5"/>
      <c r="D14" s="84"/>
      <c r="E14" s="85"/>
      <c r="F14" s="201" t="str">
        <f t="shared" ref="F14:F40" si="0">IF(OR(B14="",D14=""),"",IF(ISERROR(D14/B14),IF(D14=0,0,""),D14/B14))</f>
        <v/>
      </c>
      <c r="G14" s="205"/>
      <c r="H14" s="84"/>
      <c r="I14" s="88"/>
      <c r="J14" s="88"/>
      <c r="K14" s="88"/>
      <c r="L14" s="88"/>
      <c r="M14" s="87" t="s">
        <v>115</v>
      </c>
      <c r="N14" s="192" t="s">
        <v>116</v>
      </c>
      <c r="O14" s="192"/>
      <c r="P14" s="192"/>
      <c r="Q14" s="192"/>
      <c r="R14" s="192" t="s">
        <v>117</v>
      </c>
      <c r="S14" s="192"/>
      <c r="T14" s="192"/>
      <c r="U14" s="192" t="s">
        <v>130</v>
      </c>
      <c r="V14" s="192" t="s">
        <v>69</v>
      </c>
      <c r="W14" s="86" t="s">
        <v>131</v>
      </c>
    </row>
    <row r="15" spans="1:23" ht="20.100000000000001" customHeight="1" x14ac:dyDescent="0.2">
      <c r="A15" s="5" t="s">
        <v>7</v>
      </c>
      <c r="B15" s="5"/>
      <c r="C15" s="5"/>
      <c r="D15" s="86"/>
      <c r="E15" s="87"/>
      <c r="F15" s="201" t="str">
        <f t="shared" si="0"/>
        <v/>
      </c>
      <c r="G15" s="205"/>
      <c r="H15" s="84"/>
      <c r="I15" s="88"/>
      <c r="J15" s="88"/>
      <c r="K15" s="88"/>
      <c r="L15" s="88"/>
      <c r="M15" s="87"/>
      <c r="N15" s="192"/>
      <c r="O15" s="192"/>
      <c r="P15" s="192"/>
      <c r="Q15" s="192"/>
      <c r="R15" s="197" t="s">
        <v>130</v>
      </c>
      <c r="S15" s="192" t="s">
        <v>69</v>
      </c>
      <c r="T15" s="192" t="s">
        <v>131</v>
      </c>
      <c r="U15" s="192"/>
      <c r="V15" s="192"/>
      <c r="W15" s="86"/>
    </row>
    <row r="16" spans="1:23" ht="20.100000000000001" customHeight="1" x14ac:dyDescent="0.2">
      <c r="A16" s="5" t="s">
        <v>8</v>
      </c>
      <c r="B16" s="21">
        <f>'Ячейка 3'!D19+'Ячейка 4'!D19+'Ячейка 36'!D19+'Ячейка 37'!D19</f>
        <v>5385.599999990518</v>
      </c>
      <c r="C16" s="21"/>
      <c r="D16" s="199">
        <f>'Ячейка 3'!H19+'Ячейка 4'!H19+'Ячейка 36'!H19+'Ячейка 37'!H19</f>
        <v>4503.6000000072818</v>
      </c>
      <c r="E16" s="200"/>
      <c r="F16" s="201">
        <f t="shared" si="0"/>
        <v>0.83622994652688853</v>
      </c>
      <c r="G16" s="205"/>
      <c r="H16" s="84"/>
      <c r="I16" s="88"/>
      <c r="J16" s="88"/>
      <c r="K16" s="88"/>
      <c r="L16" s="88"/>
      <c r="M16" s="87"/>
      <c r="N16" s="192"/>
      <c r="O16" s="192"/>
      <c r="P16" s="192"/>
      <c r="Q16" s="192"/>
      <c r="R16" s="197"/>
      <c r="S16" s="192"/>
      <c r="T16" s="192"/>
      <c r="U16" s="192"/>
      <c r="V16" s="192"/>
      <c r="W16" s="86"/>
    </row>
    <row r="17" spans="1:23" ht="20.100000000000001" customHeight="1" x14ac:dyDescent="0.2">
      <c r="A17" s="5" t="s">
        <v>9</v>
      </c>
      <c r="B17" s="21">
        <f>'Ячейка 3'!D20+'Ячейка 4'!D20+'Ячейка 36'!D20+'Ячейка 37'!D20</f>
        <v>5378.3999999759544</v>
      </c>
      <c r="C17" s="21"/>
      <c r="D17" s="199">
        <f>'Ячейка 3'!H20+'Ячейка 4'!H20+'Ячейка 36'!H20+'Ячейка 37'!H20</f>
        <v>4564.8000000001048</v>
      </c>
      <c r="E17" s="200"/>
      <c r="F17" s="201">
        <f t="shared" si="0"/>
        <v>0.84872824632242172</v>
      </c>
      <c r="G17" s="205"/>
      <c r="H17" s="84"/>
      <c r="I17" s="88"/>
      <c r="J17" s="88"/>
      <c r="K17" s="88"/>
      <c r="L17" s="88"/>
      <c r="M17" s="87"/>
      <c r="N17" s="192"/>
      <c r="O17" s="192"/>
      <c r="P17" s="192"/>
      <c r="Q17" s="192"/>
      <c r="R17" s="197"/>
      <c r="S17" s="192"/>
      <c r="T17" s="192"/>
      <c r="U17" s="192"/>
      <c r="V17" s="192"/>
      <c r="W17" s="86"/>
    </row>
    <row r="18" spans="1:23" ht="20.100000000000001" customHeight="1" x14ac:dyDescent="0.2">
      <c r="A18" s="5" t="s">
        <v>10</v>
      </c>
      <c r="B18" s="21">
        <f>'Ячейка 3'!D21+'Ячейка 4'!D21+'Ячейка 36'!D21+'Ячейка 37'!D21</f>
        <v>5367.6000000195927</v>
      </c>
      <c r="C18" s="21"/>
      <c r="D18" s="199">
        <f>'Ячейка 3'!H21+'Ячейка 4'!H21+'Ячейка 36'!H21+'Ячейка 37'!H21</f>
        <v>4579.2000000046755</v>
      </c>
      <c r="E18" s="200"/>
      <c r="F18" s="201">
        <f t="shared" si="0"/>
        <v>0.8531187122713989</v>
      </c>
      <c r="G18" s="205"/>
      <c r="H18" s="84"/>
      <c r="I18" s="88"/>
      <c r="J18" s="88"/>
      <c r="K18" s="88"/>
      <c r="L18" s="88"/>
      <c r="M18" s="87"/>
      <c r="N18" s="192"/>
      <c r="O18" s="192"/>
      <c r="P18" s="192"/>
      <c r="Q18" s="192"/>
      <c r="R18" s="197"/>
      <c r="S18" s="192"/>
      <c r="T18" s="192"/>
      <c r="U18" s="192"/>
      <c r="V18" s="192"/>
      <c r="W18" s="86"/>
    </row>
    <row r="19" spans="1:23" ht="20.100000000000001" customHeight="1" x14ac:dyDescent="0.2">
      <c r="A19" s="5" t="s">
        <v>11</v>
      </c>
      <c r="B19" s="21">
        <f>'Ячейка 3'!D22+'Ячейка 4'!D22+'Ячейка 36'!D22+'Ячейка 37'!D22</f>
        <v>5349.5999999995547</v>
      </c>
      <c r="C19" s="21"/>
      <c r="D19" s="199">
        <f>'Ячейка 3'!H22+'Ячейка 4'!H22+'Ячейка 36'!H22+'Ячейка 37'!H22</f>
        <v>4640.3999999974985</v>
      </c>
      <c r="E19" s="200"/>
      <c r="F19" s="201">
        <f t="shared" si="0"/>
        <v>0.8674293405110447</v>
      </c>
      <c r="G19" s="205"/>
      <c r="H19" s="84"/>
      <c r="I19" s="88"/>
      <c r="J19" s="88"/>
      <c r="K19" s="88"/>
      <c r="L19" s="88"/>
      <c r="M19" s="9"/>
      <c r="N19" s="189" t="s">
        <v>132</v>
      </c>
      <c r="O19" s="189"/>
      <c r="P19" s="189"/>
      <c r="Q19" s="189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3'!D23+'Ячейка 4'!D23+'Ячейка 36'!D23+'Ячейка 37'!D23</f>
        <v>5273.9999999939755</v>
      </c>
      <c r="C20" s="21"/>
      <c r="D20" s="199">
        <f>'Ячейка 3'!H23+'Ячейка 4'!H23+'Ячейка 36'!H23+'Ячейка 37'!H23</f>
        <v>4622.4000000020169</v>
      </c>
      <c r="E20" s="200"/>
      <c r="F20" s="201">
        <f t="shared" si="0"/>
        <v>0.87645051194677603</v>
      </c>
      <c r="G20" s="205"/>
      <c r="H20" s="84" t="s">
        <v>187</v>
      </c>
      <c r="I20" s="88"/>
      <c r="J20" s="88"/>
      <c r="K20" s="88"/>
      <c r="L20" s="88"/>
      <c r="M20" s="9"/>
      <c r="N20" s="190" t="s">
        <v>133</v>
      </c>
      <c r="O20" s="190"/>
      <c r="P20" s="190"/>
      <c r="Q20" s="190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3'!D24+'Ячейка 4'!D24+'Ячейка 36'!D24+'Ячейка 37'!D24</f>
        <v>5198.4000000047672</v>
      </c>
      <c r="C21" s="21"/>
      <c r="D21" s="199">
        <f>'Ячейка 3'!H24+'Ячейка 4'!H24+'Ячейка 36'!H24+'Ячейка 37'!H24</f>
        <v>4575.6000000055792</v>
      </c>
      <c r="E21" s="200"/>
      <c r="F21" s="201">
        <f t="shared" si="0"/>
        <v>0.88019390581744061</v>
      </c>
      <c r="G21" s="205"/>
      <c r="H21" s="84"/>
      <c r="I21" s="88"/>
      <c r="J21" s="88"/>
      <c r="K21" s="88"/>
      <c r="L21" s="88"/>
      <c r="M21" s="9"/>
      <c r="N21" s="195" t="s">
        <v>134</v>
      </c>
      <c r="O21" s="195"/>
      <c r="P21" s="195"/>
      <c r="Q21" s="195"/>
      <c r="R21" s="7"/>
      <c r="S21" s="7">
        <v>1340</v>
      </c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3'!D25+'Ячейка 4'!D25+'Ячейка 36'!D25+'Ячейка 37'!D25</f>
        <v>4953.6000000171043</v>
      </c>
      <c r="C22" s="21"/>
      <c r="D22" s="199">
        <f>'Ячейка 3'!H25+'Ячейка 4'!H25+'Ячейка 36'!H25+'Ячейка 37'!H25</f>
        <v>4327.2000000024491</v>
      </c>
      <c r="E22" s="200"/>
      <c r="F22" s="201">
        <f t="shared" si="0"/>
        <v>0.8735465116253851</v>
      </c>
      <c r="G22" s="205"/>
      <c r="H22" s="84"/>
      <c r="I22" s="88"/>
      <c r="J22" s="88"/>
      <c r="K22" s="88"/>
      <c r="L22" s="88"/>
    </row>
    <row r="23" spans="1:23" ht="20.100000000000001" customHeight="1" x14ac:dyDescent="0.2">
      <c r="A23" s="5" t="s">
        <v>15</v>
      </c>
      <c r="B23" s="21">
        <f>'Ячейка 3'!D26+'Ячейка 4'!D26+'Ячейка 36'!D26+'Ячейка 37'!D26</f>
        <v>4993.1999999989785</v>
      </c>
      <c r="C23" s="21"/>
      <c r="D23" s="199">
        <f>'Ячейка 3'!H26+'Ячейка 4'!H26+'Ячейка 36'!H26+'Ячейка 37'!H26</f>
        <v>4140.0000000003274</v>
      </c>
      <c r="E23" s="200"/>
      <c r="F23" s="201">
        <f t="shared" si="0"/>
        <v>0.82912761355466924</v>
      </c>
      <c r="G23" s="205"/>
      <c r="H23" s="84"/>
      <c r="I23" s="88"/>
      <c r="J23" s="88"/>
      <c r="K23" s="88"/>
      <c r="L23" s="88"/>
    </row>
    <row r="24" spans="1:23" ht="20.100000000000001" customHeight="1" x14ac:dyDescent="0.2">
      <c r="A24" s="5" t="s">
        <v>16</v>
      </c>
      <c r="B24" s="21">
        <f>'Ячейка 3'!D27+'Ячейка 4'!D27+'Ячейка 36'!D27+'Ячейка 37'!D27</f>
        <v>4827.5999999914347</v>
      </c>
      <c r="C24" s="21"/>
      <c r="D24" s="199">
        <f>'Ячейка 3'!H27+'Ячейка 4'!H27+'Ячейка 36'!H27+'Ячейка 37'!H27</f>
        <v>3895.1999999881082</v>
      </c>
      <c r="E24" s="200"/>
      <c r="F24" s="201">
        <f t="shared" si="0"/>
        <v>0.80686055182596306</v>
      </c>
      <c r="G24" s="205"/>
      <c r="H24" s="84"/>
      <c r="I24" s="88"/>
      <c r="J24" s="88"/>
      <c r="K24" s="88"/>
      <c r="L24" s="88"/>
      <c r="N24" s="118" t="s">
        <v>135</v>
      </c>
      <c r="O24" s="118"/>
      <c r="P24" s="118"/>
      <c r="Q24" s="118"/>
      <c r="R24" s="118"/>
      <c r="S24" s="118"/>
      <c r="T24" s="118"/>
      <c r="U24" s="118"/>
      <c r="V24" s="118"/>
    </row>
    <row r="25" spans="1:23" ht="20.100000000000001" customHeight="1" x14ac:dyDescent="0.2">
      <c r="A25" s="5" t="s">
        <v>17</v>
      </c>
      <c r="B25" s="21">
        <f>'Ячейка 3'!D28+'Ячейка 4'!D28+'Ячейка 36'!D28+'Ячейка 37'!D28</f>
        <v>5201.9999999956781</v>
      </c>
      <c r="C25" s="21"/>
      <c r="D25" s="199">
        <f>'Ячейка 3'!H28+'Ячейка 4'!H28+'Ячейка 36'!H28+'Ячейка 37'!H28</f>
        <v>3981.6000000073473</v>
      </c>
      <c r="E25" s="200"/>
      <c r="F25" s="201">
        <f t="shared" si="0"/>
        <v>0.76539792387748085</v>
      </c>
      <c r="G25" s="205"/>
      <c r="H25" s="84"/>
      <c r="I25" s="88"/>
      <c r="J25" s="88"/>
      <c r="K25" s="88"/>
      <c r="L25" s="88"/>
      <c r="N25" s="17" t="s">
        <v>136</v>
      </c>
      <c r="O25" s="118" t="s">
        <v>137</v>
      </c>
      <c r="P25" s="118"/>
      <c r="Q25" s="118"/>
      <c r="R25" s="118"/>
      <c r="S25" s="118"/>
      <c r="T25" s="118"/>
      <c r="U25" s="118"/>
      <c r="V25" s="118"/>
    </row>
    <row r="26" spans="1:23" ht="20.100000000000001" customHeight="1" x14ac:dyDescent="0.2">
      <c r="A26" s="5" t="s">
        <v>18</v>
      </c>
      <c r="B26" s="21">
        <f>'Ячейка 3'!D29+'Ячейка 4'!D29+'Ячейка 36'!D29+'Ячейка 37'!D29</f>
        <v>5274.0000000103464</v>
      </c>
      <c r="C26" s="21"/>
      <c r="D26" s="199">
        <f>'Ячейка 3'!H29+'Ячейка 4'!H29+'Ячейка 36'!H29+'Ячейка 37'!H29</f>
        <v>4042.8000000165412</v>
      </c>
      <c r="E26" s="200"/>
      <c r="F26" s="201">
        <f t="shared" si="0"/>
        <v>0.76655290102552331</v>
      </c>
      <c r="G26" s="205"/>
      <c r="H26" s="84"/>
      <c r="I26" s="88"/>
      <c r="J26" s="88"/>
      <c r="K26" s="88"/>
      <c r="L26" s="88"/>
      <c r="N26" s="17" t="s">
        <v>138</v>
      </c>
      <c r="O26" s="118" t="s">
        <v>180</v>
      </c>
      <c r="P26" s="118"/>
      <c r="Q26" s="118"/>
      <c r="R26" s="118"/>
      <c r="S26" s="118"/>
      <c r="T26" s="118"/>
      <c r="U26" s="118"/>
      <c r="V26" s="118"/>
    </row>
    <row r="27" spans="1:23" ht="20.100000000000001" customHeight="1" x14ac:dyDescent="0.2">
      <c r="A27" s="5" t="s">
        <v>19</v>
      </c>
      <c r="B27" s="21">
        <f>'Ячейка 3'!D30+'Ячейка 4'!D30+'Ячейка 36'!D30+'Ячейка 37'!D30</f>
        <v>5273.9999999939755</v>
      </c>
      <c r="C27" s="21"/>
      <c r="D27" s="199">
        <f>'Ячейка 3'!H30+'Ячейка 4'!H30+'Ячейка 36'!H30+'Ячейка 37'!H30</f>
        <v>4064.3999999865628</v>
      </c>
      <c r="E27" s="200"/>
      <c r="F27" s="201">
        <f t="shared" si="0"/>
        <v>0.77064846416215504</v>
      </c>
      <c r="G27" s="205"/>
      <c r="H27" s="84"/>
      <c r="I27" s="88"/>
      <c r="J27" s="88"/>
      <c r="K27" s="88"/>
      <c r="L27" s="88"/>
      <c r="N27" s="17" t="s">
        <v>139</v>
      </c>
      <c r="O27" s="118" t="s">
        <v>140</v>
      </c>
      <c r="P27" s="118"/>
      <c r="Q27" s="118"/>
      <c r="R27" s="118"/>
      <c r="S27" s="118"/>
      <c r="T27" s="118"/>
      <c r="U27" s="118"/>
      <c r="V27" s="118"/>
    </row>
    <row r="28" spans="1:23" ht="20.100000000000001" customHeight="1" x14ac:dyDescent="0.2">
      <c r="A28" s="5" t="s">
        <v>20</v>
      </c>
      <c r="B28" s="21">
        <f>'Ячейка 3'!D31+'Ячейка 4'!D31+'Ячейка 36'!D31+'Ячейка 37'!D31</f>
        <v>5277.6000000012573</v>
      </c>
      <c r="C28" s="21"/>
      <c r="D28" s="199">
        <f>'Ячейка 3'!H31+'Ячейка 4'!H31+'Ячейка 36'!H31+'Ячейка 37'!H31</f>
        <v>4093.1999999875188</v>
      </c>
      <c r="E28" s="200"/>
      <c r="F28" s="201">
        <f t="shared" si="0"/>
        <v>0.77557980900154311</v>
      </c>
      <c r="G28" s="205"/>
      <c r="H28" s="84"/>
      <c r="I28" s="88"/>
      <c r="J28" s="88"/>
      <c r="K28" s="88"/>
      <c r="L28" s="88"/>
      <c r="N28" s="17"/>
      <c r="O28" s="118" t="s">
        <v>141</v>
      </c>
      <c r="P28" s="118"/>
      <c r="Q28" s="118"/>
      <c r="R28" s="118"/>
      <c r="S28" s="118"/>
      <c r="T28" s="118"/>
      <c r="U28" s="118"/>
      <c r="V28" s="118"/>
    </row>
    <row r="29" spans="1:23" ht="20.100000000000001" customHeight="1" x14ac:dyDescent="0.2">
      <c r="A29" s="5" t="s">
        <v>21</v>
      </c>
      <c r="B29" s="21">
        <f>'Ячейка 3'!D32+'Ячейка 4'!D32+'Ячейка 36'!D32+'Ячейка 37'!D32</f>
        <v>5270.3999999866937</v>
      </c>
      <c r="C29" s="21"/>
      <c r="D29" s="199">
        <f>'Ячейка 3'!H32+'Ячейка 4'!H32+'Ячейка 36'!H32+'Ячейка 37'!H32</f>
        <v>4053.6000000056447</v>
      </c>
      <c r="E29" s="200"/>
      <c r="F29" s="201">
        <f t="shared" si="0"/>
        <v>0.76912568306312212</v>
      </c>
      <c r="G29" s="205"/>
      <c r="H29" s="84"/>
      <c r="I29" s="88"/>
      <c r="J29" s="88"/>
      <c r="K29" s="88"/>
      <c r="L29" s="88"/>
      <c r="N29" s="17"/>
      <c r="O29" s="118" t="s">
        <v>142</v>
      </c>
      <c r="P29" s="118"/>
      <c r="Q29" s="118"/>
      <c r="R29" s="118"/>
      <c r="S29" s="118"/>
      <c r="T29" s="118"/>
      <c r="U29" s="118"/>
      <c r="V29" s="118"/>
    </row>
    <row r="30" spans="1:23" ht="20.100000000000001" customHeight="1" x14ac:dyDescent="0.2">
      <c r="A30" s="5" t="s">
        <v>22</v>
      </c>
      <c r="B30" s="21">
        <f>'Ячейка 3'!D33+'Ячейка 4'!D33+'Ячейка 36'!D33+'Ячейка 37'!D33</f>
        <v>5273.9999999939755</v>
      </c>
      <c r="C30" s="21"/>
      <c r="D30" s="199">
        <f>'Ячейка 3'!H33+'Ячейка 4'!H33+'Ячейка 36'!H33+'Ячейка 37'!H33</f>
        <v>3920.3999999981534</v>
      </c>
      <c r="E30" s="200"/>
      <c r="F30" s="201">
        <f t="shared" si="0"/>
        <v>0.74334470989810986</v>
      </c>
      <c r="G30" s="205"/>
      <c r="H30" s="84"/>
      <c r="I30" s="88"/>
      <c r="J30" s="88"/>
      <c r="K30" s="88"/>
      <c r="L30" s="88"/>
      <c r="N30" s="17" t="s">
        <v>143</v>
      </c>
      <c r="O30" s="118" t="s">
        <v>144</v>
      </c>
      <c r="P30" s="118"/>
      <c r="Q30" s="118"/>
      <c r="R30" s="118"/>
      <c r="S30" s="118"/>
      <c r="T30" s="118"/>
      <c r="U30" s="118"/>
      <c r="V30" s="118"/>
    </row>
    <row r="31" spans="1:23" ht="20.100000000000001" customHeight="1" x14ac:dyDescent="0.2">
      <c r="A31" s="5" t="s">
        <v>23</v>
      </c>
      <c r="B31" s="21">
        <f>'Ячейка 3'!D34+'Ячейка 4'!D34+'Ячейка 36'!D34+'Ячейка 37'!D34</f>
        <v>5367.6000000032218</v>
      </c>
      <c r="C31" s="21"/>
      <c r="D31" s="199">
        <f>'Ячейка 3'!H34+'Ячейка 4'!H34+'Ячейка 36'!H34+'Ячейка 37'!H34</f>
        <v>3992.4000000046362</v>
      </c>
      <c r="E31" s="200"/>
      <c r="F31" s="201">
        <f t="shared" si="0"/>
        <v>0.74379610999371037</v>
      </c>
      <c r="G31" s="205"/>
      <c r="H31" s="84"/>
      <c r="I31" s="88"/>
      <c r="J31" s="88"/>
      <c r="K31" s="88"/>
      <c r="L31" s="88"/>
      <c r="N31" s="17"/>
      <c r="O31" s="118" t="s">
        <v>145</v>
      </c>
      <c r="P31" s="118"/>
      <c r="Q31" s="118"/>
      <c r="R31" s="118"/>
      <c r="S31" s="118"/>
      <c r="T31" s="118"/>
      <c r="U31" s="118"/>
      <c r="V31" s="118"/>
    </row>
    <row r="32" spans="1:23" ht="20.100000000000001" customHeight="1" x14ac:dyDescent="0.2">
      <c r="A32" s="5" t="s">
        <v>24</v>
      </c>
      <c r="B32" s="21">
        <f>'Ячейка 3'!D35+'Ячейка 4'!D35+'Ячейка 36'!D35+'Ячейка 37'!D35</f>
        <v>5587.2000000053959</v>
      </c>
      <c r="C32" s="21"/>
      <c r="D32" s="199">
        <f>'Ячейка 3'!H35+'Ячейка 4'!H35+'Ячейка 36'!H35+'Ячейка 37'!H35</f>
        <v>4118.4000000139349</v>
      </c>
      <c r="E32" s="200"/>
      <c r="F32" s="201">
        <f t="shared" si="0"/>
        <v>0.73711340206363785</v>
      </c>
      <c r="G32" s="205"/>
      <c r="H32" s="84"/>
      <c r="I32" s="88"/>
      <c r="J32" s="88"/>
      <c r="K32" s="88"/>
      <c r="L32" s="88"/>
      <c r="N32" s="17" t="s">
        <v>146</v>
      </c>
      <c r="O32" s="118" t="s">
        <v>147</v>
      </c>
      <c r="P32" s="118"/>
      <c r="Q32" s="118"/>
      <c r="R32" s="118"/>
      <c r="S32" s="118"/>
      <c r="T32" s="118"/>
      <c r="U32" s="118"/>
      <c r="V32" s="118"/>
    </row>
    <row r="33" spans="1:24" ht="20.100000000000001" customHeight="1" x14ac:dyDescent="0.2">
      <c r="A33" s="5" t="s">
        <v>25</v>
      </c>
      <c r="B33" s="21">
        <f>'Ячейка 3'!D36+'Ячейка 4'!D36+'Ячейка 36'!D36+'Ячейка 37'!D36</f>
        <v>5450.4000000233646</v>
      </c>
      <c r="C33" s="21"/>
      <c r="D33" s="199">
        <f>'Ячейка 3'!H36+'Ячейка 4'!H36+'Ячейка 36'!H36+'Ячейка 37'!H36</f>
        <v>4114.7999999820968</v>
      </c>
      <c r="E33" s="200"/>
      <c r="F33" s="201">
        <f t="shared" si="0"/>
        <v>0.7549537648547735</v>
      </c>
      <c r="G33" s="205"/>
      <c r="H33" s="84"/>
      <c r="I33" s="88"/>
      <c r="J33" s="88"/>
      <c r="K33" s="88"/>
      <c r="L33" s="88"/>
      <c r="N33" s="17" t="s">
        <v>148</v>
      </c>
      <c r="O33" s="118" t="s">
        <v>149</v>
      </c>
      <c r="P33" s="118"/>
      <c r="Q33" s="118"/>
      <c r="R33" s="118"/>
      <c r="S33" s="118"/>
      <c r="T33" s="118"/>
      <c r="U33" s="118"/>
      <c r="V33" s="118"/>
    </row>
    <row r="34" spans="1:24" ht="20.100000000000001" customHeight="1" x14ac:dyDescent="0.2">
      <c r="A34" s="5" t="s">
        <v>26</v>
      </c>
      <c r="B34" s="21">
        <f>'Ячейка 3'!D37+'Ячейка 4'!D37+'Ячейка 36'!D37+'Ячейка 37'!D37</f>
        <v>5457.5999999724445</v>
      </c>
      <c r="C34" s="21"/>
      <c r="D34" s="199">
        <f>'Ячейка 3'!H37+'Ячейка 4'!H37+'Ячейка 36'!H37+'Ячейка 37'!H37</f>
        <v>4140.0000000085129</v>
      </c>
      <c r="E34" s="200"/>
      <c r="F34" s="201">
        <f t="shared" si="0"/>
        <v>0.75857519789457195</v>
      </c>
      <c r="G34" s="205"/>
      <c r="H34" s="84"/>
      <c r="I34" s="88"/>
      <c r="J34" s="88"/>
      <c r="K34" s="88"/>
      <c r="L34" s="88"/>
    </row>
    <row r="35" spans="1:24" ht="20.100000000000001" customHeight="1" x14ac:dyDescent="0.2">
      <c r="A35" s="5" t="s">
        <v>27</v>
      </c>
      <c r="B35" s="21">
        <f>'Ячейка 3'!D38+'Ячейка 4'!D38+'Ячейка 36'!D38+'Ячейка 37'!D38</f>
        <v>5504.4000000179949</v>
      </c>
      <c r="C35" s="21"/>
      <c r="D35" s="199">
        <f>'Ячейка 3'!H38+'Ячейка 4'!H38+'Ячейка 36'!H38+'Ячейка 37'!H38</f>
        <v>4222.8000000040993</v>
      </c>
      <c r="E35" s="200"/>
      <c r="F35" s="201">
        <f t="shared" si="0"/>
        <v>0.76716808371308298</v>
      </c>
      <c r="G35" s="205"/>
      <c r="H35" s="84"/>
      <c r="I35" s="88"/>
      <c r="J35" s="88"/>
      <c r="K35" s="88"/>
      <c r="L35" s="88"/>
    </row>
    <row r="36" spans="1:24" ht="20.100000000000001" customHeight="1" x14ac:dyDescent="0.2">
      <c r="A36" s="5" t="s">
        <v>28</v>
      </c>
      <c r="B36" s="21">
        <f>'Ячейка 3'!D39+'Ячейка 4'!D39+'Ячейка 36'!D39+'Ячейка 37'!D39</f>
        <v>5245.2000000012049</v>
      </c>
      <c r="C36" s="21"/>
      <c r="D36" s="199">
        <f>'Ячейка 3'!H39+'Ячейка 4'!H39+'Ячейка 36'!H39+'Ячейка 37'!H39</f>
        <v>4175.9999999912907</v>
      </c>
      <c r="E36" s="200"/>
      <c r="F36" s="201">
        <f t="shared" si="0"/>
        <v>0.7961564859281498</v>
      </c>
      <c r="G36" s="205"/>
      <c r="H36" s="84"/>
      <c r="I36" s="88"/>
      <c r="J36" s="88"/>
      <c r="K36" s="88"/>
      <c r="L36" s="88"/>
    </row>
    <row r="37" spans="1:24" ht="20.100000000000001" customHeight="1" x14ac:dyDescent="0.2">
      <c r="A37" s="5" t="s">
        <v>29</v>
      </c>
      <c r="B37" s="21">
        <f>'Ячейка 3'!D40+'Ячейка 4'!D40+'Ячейка 36'!D40+'Ячейка 37'!D40</f>
        <v>5284.799999983079</v>
      </c>
      <c r="C37" s="21"/>
      <c r="D37" s="199">
        <f>'Ячейка 3'!H40+'Ячейка 4'!H40+'Ячейка 36'!H40+'Ячейка 37'!H40</f>
        <v>4136.4000000094165</v>
      </c>
      <c r="E37" s="200"/>
      <c r="F37" s="201">
        <f t="shared" si="0"/>
        <v>0.78269754768821154</v>
      </c>
      <c r="G37" s="205"/>
      <c r="H37" s="84"/>
      <c r="I37" s="88"/>
      <c r="J37" s="88"/>
      <c r="K37" s="88"/>
      <c r="L37" s="88"/>
    </row>
    <row r="38" spans="1:24" ht="20.100000000000001" customHeight="1" x14ac:dyDescent="0.2">
      <c r="A38" s="5" t="s">
        <v>30</v>
      </c>
      <c r="B38" s="21">
        <f>'Ячейка 3'!D41+'Ячейка 4'!D41+'Ячейка 36'!D41+'Ячейка 37'!D41</f>
        <v>5324.399999997695</v>
      </c>
      <c r="C38" s="21"/>
      <c r="D38" s="199">
        <f>'Ячейка 3'!H41+'Ячейка 4'!H41+'Ячейка 36'!H41+'Ячейка 37'!H41</f>
        <v>4150.7999999894309</v>
      </c>
      <c r="E38" s="200"/>
      <c r="F38" s="201">
        <f t="shared" si="0"/>
        <v>0.77958079783472845</v>
      </c>
      <c r="G38" s="205"/>
      <c r="H38" s="84"/>
      <c r="I38" s="88"/>
      <c r="J38" s="88"/>
      <c r="K38" s="88"/>
      <c r="L38" s="88"/>
    </row>
    <row r="39" spans="1:24" ht="20.100000000000001" customHeight="1" x14ac:dyDescent="0.2">
      <c r="A39" s="5" t="s">
        <v>31</v>
      </c>
      <c r="B39" s="21">
        <f>'Ячейка 3'!D42+'Ячейка 4'!D42+'Ячейка 36'!D42+'Ячейка 37'!D42</f>
        <v>5310.0000000013097</v>
      </c>
      <c r="C39" s="21"/>
      <c r="D39" s="199">
        <f>'Ячейка 3'!H42+'Ячейка 4'!H42+'Ячейка 36'!H42+'Ячейка 37'!H42</f>
        <v>4219.2000000131884</v>
      </c>
      <c r="E39" s="200"/>
      <c r="F39" s="201">
        <f t="shared" si="0"/>
        <v>0.79457627118872842</v>
      </c>
      <c r="G39" s="205"/>
      <c r="H39" s="84"/>
      <c r="I39" s="88"/>
      <c r="J39" s="88"/>
      <c r="K39" s="88"/>
      <c r="L39" s="88"/>
      <c r="P39" s="150" t="s">
        <v>150</v>
      </c>
      <c r="Q39" s="150"/>
      <c r="R39" s="150"/>
      <c r="S39" s="149" t="s">
        <v>370</v>
      </c>
      <c r="T39" s="149"/>
      <c r="U39" s="149"/>
      <c r="V39" s="149"/>
      <c r="W39" s="149"/>
      <c r="X39" s="149"/>
    </row>
    <row r="40" spans="1:24" ht="20.100000000000001" customHeight="1" x14ac:dyDescent="0.2">
      <c r="A40" s="5" t="s">
        <v>32</v>
      </c>
      <c r="B40" s="21">
        <f>SUM(B15:B39)</f>
        <v>126831.59999997952</v>
      </c>
      <c r="C40" s="21"/>
      <c r="D40" s="199">
        <f>SUM(D15:E39)</f>
        <v>101275.20000002644</v>
      </c>
      <c r="E40" s="200"/>
      <c r="F40" s="201">
        <f t="shared" si="0"/>
        <v>0.79850131986068762</v>
      </c>
      <c r="G40" s="205"/>
      <c r="H40" s="84"/>
      <c r="I40" s="88"/>
      <c r="J40" s="88"/>
      <c r="K40" s="88"/>
      <c r="L40" s="88"/>
    </row>
    <row r="41" spans="1:24" ht="20.100000000000001" customHeight="1" x14ac:dyDescent="0.2">
      <c r="A41" s="5" t="s">
        <v>33</v>
      </c>
      <c r="B41" s="5"/>
      <c r="C41" s="5"/>
      <c r="D41" s="86"/>
      <c r="E41" s="87"/>
      <c r="F41" s="201"/>
      <c r="G41" s="205"/>
      <c r="H41" s="84"/>
      <c r="I41" s="88"/>
      <c r="J41" s="88"/>
      <c r="K41" s="88"/>
      <c r="L41" s="88"/>
    </row>
    <row r="42" spans="1:24" ht="20.100000000000001" customHeight="1" x14ac:dyDescent="0.2">
      <c r="A42" s="87" t="s">
        <v>2</v>
      </c>
      <c r="B42" s="86" t="s">
        <v>37</v>
      </c>
      <c r="C42" s="105"/>
      <c r="D42" s="87"/>
      <c r="E42" s="86" t="s">
        <v>40</v>
      </c>
      <c r="F42" s="105"/>
      <c r="G42" s="105"/>
      <c r="H42" s="105"/>
      <c r="I42" s="87"/>
      <c r="J42" s="101" t="s">
        <v>5</v>
      </c>
      <c r="K42" s="104"/>
      <c r="L42" s="104"/>
    </row>
    <row r="43" spans="1:24" ht="34.5" customHeight="1" x14ac:dyDescent="0.2">
      <c r="A43" s="87"/>
      <c r="B43" s="192" t="s">
        <v>38</v>
      </c>
      <c r="C43" s="192"/>
      <c r="D43" s="5" t="s">
        <v>39</v>
      </c>
      <c r="E43" s="86" t="s">
        <v>41</v>
      </c>
      <c r="F43" s="105"/>
      <c r="G43" s="87"/>
      <c r="H43" s="86" t="s">
        <v>42</v>
      </c>
      <c r="I43" s="87"/>
      <c r="J43" s="92"/>
      <c r="K43" s="103"/>
      <c r="L43" s="103"/>
    </row>
    <row r="44" spans="1:24" ht="20.100000000000001" customHeight="1" x14ac:dyDescent="0.2">
      <c r="A44" s="4" t="s">
        <v>153</v>
      </c>
      <c r="B44" s="199">
        <f>SUM(B24:B26)</f>
        <v>15303.599999997459</v>
      </c>
      <c r="C44" s="200"/>
      <c r="D44" s="21">
        <f>SUM(D24:E26)</f>
        <v>11919.600000011997</v>
      </c>
      <c r="E44" s="199">
        <f>B44/3</f>
        <v>5101.1999999991531</v>
      </c>
      <c r="F44" s="204"/>
      <c r="G44" s="200"/>
      <c r="H44" s="199">
        <f>D44/3</f>
        <v>3973.2000000039989</v>
      </c>
      <c r="I44" s="200"/>
      <c r="J44" s="201">
        <f>H44/E44</f>
        <v>0.77887555869298564</v>
      </c>
      <c r="K44" s="202"/>
      <c r="L44" s="202"/>
    </row>
    <row r="45" spans="1:24" ht="20.100000000000001" customHeight="1" x14ac:dyDescent="0.2">
      <c r="A45" s="4" t="s">
        <v>43</v>
      </c>
      <c r="B45" s="199">
        <f>SUM(B33:B36)</f>
        <v>21657.600000015009</v>
      </c>
      <c r="C45" s="200"/>
      <c r="D45" s="21">
        <f>SUM(D33:E36)</f>
        <v>16653.599999986</v>
      </c>
      <c r="E45" s="199">
        <f>B45/4</f>
        <v>5414.4000000037522</v>
      </c>
      <c r="F45" s="204"/>
      <c r="G45" s="200"/>
      <c r="H45" s="199">
        <f>D45/4</f>
        <v>4163.3999999964999</v>
      </c>
      <c r="I45" s="200"/>
      <c r="J45" s="201">
        <f>H45/E45</f>
        <v>0.76894946808392706</v>
      </c>
      <c r="K45" s="202"/>
      <c r="L45" s="202"/>
    </row>
    <row r="46" spans="1:24" ht="20.100000000000001" customHeight="1" x14ac:dyDescent="0.2">
      <c r="A46" s="4" t="s">
        <v>44</v>
      </c>
      <c r="B46" s="199">
        <f>SUM(B16:B39)</f>
        <v>126831.59999997952</v>
      </c>
      <c r="C46" s="200"/>
      <c r="D46" s="21">
        <f>SUM(D16:E39)</f>
        <v>101275.20000002644</v>
      </c>
      <c r="E46" s="199">
        <f>B46/24</f>
        <v>5284.6499999991465</v>
      </c>
      <c r="F46" s="204"/>
      <c r="G46" s="200"/>
      <c r="H46" s="199">
        <f>D46/24</f>
        <v>4219.8000000011016</v>
      </c>
      <c r="I46" s="200"/>
      <c r="J46" s="201">
        <f>H46/E46</f>
        <v>0.79850131986068762</v>
      </c>
      <c r="K46" s="202"/>
      <c r="L46" s="202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99" t="s">
        <v>186</v>
      </c>
      <c r="D50" s="99"/>
      <c r="E50" s="99"/>
      <c r="F50" s="99"/>
      <c r="G50" s="99"/>
      <c r="H50" s="99"/>
      <c r="I50" s="99"/>
    </row>
    <row r="51" spans="3:9" ht="20.100000000000001" customHeight="1" x14ac:dyDescent="0.2"/>
  </sheetData>
  <sheetProtection sheet="1" objects="1" scenarios="1"/>
  <mergeCells count="173"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H28:L28"/>
    <mergeCell ref="D22:E22"/>
    <mergeCell ref="F27:G27"/>
    <mergeCell ref="F28:G28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F15:G15"/>
    <mergeCell ref="F16:G16"/>
    <mergeCell ref="F17:G17"/>
    <mergeCell ref="F22:G22"/>
    <mergeCell ref="F18:G18"/>
    <mergeCell ref="F19:G19"/>
    <mergeCell ref="F20:G20"/>
    <mergeCell ref="D14:E14"/>
    <mergeCell ref="D15:E15"/>
    <mergeCell ref="D16:E16"/>
    <mergeCell ref="D17:E17"/>
    <mergeCell ref="D24:E24"/>
    <mergeCell ref="F23:G23"/>
    <mergeCell ref="F24:G24"/>
    <mergeCell ref="F25:G25"/>
    <mergeCell ref="F26:G26"/>
    <mergeCell ref="F33:G33"/>
    <mergeCell ref="D25:E25"/>
    <mergeCell ref="D26:E26"/>
    <mergeCell ref="D29:E29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F21:G21"/>
    <mergeCell ref="D21:E21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S39:X39"/>
    <mergeCell ref="H23:L23"/>
    <mergeCell ref="H24:L24"/>
    <mergeCell ref="H25:L25"/>
    <mergeCell ref="H26:L26"/>
    <mergeCell ref="H27:L27"/>
    <mergeCell ref="F34:G34"/>
    <mergeCell ref="D30:E30"/>
    <mergeCell ref="D31:E31"/>
    <mergeCell ref="D32:E32"/>
    <mergeCell ref="D23:E23"/>
    <mergeCell ref="N19:Q19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N7:Q7"/>
    <mergeCell ref="N8:Q8"/>
    <mergeCell ref="N9:Q9"/>
    <mergeCell ref="M1:M3"/>
    <mergeCell ref="N1:Q3"/>
    <mergeCell ref="R1:T1"/>
    <mergeCell ref="U14:U18"/>
    <mergeCell ref="V14:V18"/>
    <mergeCell ref="W14:W18"/>
    <mergeCell ref="U1:W1"/>
    <mergeCell ref="R2:R3"/>
    <mergeCell ref="U2:U3"/>
    <mergeCell ref="S2:T2"/>
    <mergeCell ref="S3:T3"/>
    <mergeCell ref="V2:W2"/>
    <mergeCell ref="V3:W3"/>
    <mergeCell ref="I9:M9"/>
    <mergeCell ref="A7:L7"/>
    <mergeCell ref="F12:G13"/>
    <mergeCell ref="H12:L12"/>
    <mergeCell ref="F9:H9"/>
    <mergeCell ref="A9:E9"/>
    <mergeCell ref="A8:L8"/>
    <mergeCell ref="F14:G14"/>
    <mergeCell ref="F5:H6"/>
    <mergeCell ref="I5:L6"/>
    <mergeCell ref="F3:H4"/>
    <mergeCell ref="I3:L4"/>
    <mergeCell ref="F1:H2"/>
    <mergeCell ref="I1:L2"/>
    <mergeCell ref="N4:Q4"/>
    <mergeCell ref="N5:Q5"/>
    <mergeCell ref="N6:Q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colBreaks count="1" manualBreakCount="1">
    <brk id="12" max="49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X51"/>
  <sheetViews>
    <sheetView view="pageBreakPreview" zoomScale="75" zoomScaleNormal="100" workbookViewId="0">
      <selection activeCell="F9" sqref="F9:M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4.42578125" style="2" customWidth="1"/>
    <col min="20" max="20" width="13.7109375" style="2" customWidth="1"/>
    <col min="21" max="21" width="13.140625" style="2" customWidth="1"/>
    <col min="22" max="22" width="13.85546875" style="2" customWidth="1"/>
    <col min="23" max="23" width="14.42578125" style="2" customWidth="1"/>
    <col min="24" max="28" width="10.28515625" style="2" customWidth="1"/>
    <col min="29" max="16384" width="9.140625" style="2"/>
  </cols>
  <sheetData>
    <row r="1" spans="1:23" ht="26.25" x14ac:dyDescent="0.2">
      <c r="A1" s="94" t="s">
        <v>161</v>
      </c>
      <c r="B1" s="94"/>
      <c r="C1" s="94"/>
      <c r="D1" s="94"/>
      <c r="E1" s="94"/>
      <c r="F1" s="123" t="s">
        <v>154</v>
      </c>
      <c r="G1" s="123"/>
      <c r="H1" s="123"/>
      <c r="I1" s="94" t="s">
        <v>163</v>
      </c>
      <c r="J1" s="94"/>
      <c r="K1" s="94"/>
      <c r="L1" s="94"/>
      <c r="M1" s="100" t="s">
        <v>115</v>
      </c>
      <c r="N1" s="98" t="s">
        <v>116</v>
      </c>
      <c r="O1" s="98"/>
      <c r="P1" s="98"/>
      <c r="Q1" s="98"/>
      <c r="R1" s="192" t="s">
        <v>117</v>
      </c>
      <c r="S1" s="192"/>
      <c r="T1" s="192"/>
      <c r="U1" s="192" t="s">
        <v>118</v>
      </c>
      <c r="V1" s="192"/>
      <c r="W1" s="86"/>
    </row>
    <row r="2" spans="1:23" ht="18.75" customHeight="1" x14ac:dyDescent="0.2">
      <c r="A2" s="119" t="s">
        <v>45</v>
      </c>
      <c r="B2" s="119"/>
      <c r="C2" s="119"/>
      <c r="D2" s="119"/>
      <c r="E2" s="119"/>
      <c r="F2" s="123"/>
      <c r="G2" s="123"/>
      <c r="H2" s="123"/>
      <c r="I2" s="94"/>
      <c r="J2" s="94"/>
      <c r="K2" s="94"/>
      <c r="L2" s="94"/>
      <c r="M2" s="95"/>
      <c r="N2" s="89"/>
      <c r="O2" s="89"/>
      <c r="P2" s="89"/>
      <c r="Q2" s="89"/>
      <c r="R2" s="89" t="s">
        <v>119</v>
      </c>
      <c r="S2" s="89" t="s">
        <v>120</v>
      </c>
      <c r="T2" s="89"/>
      <c r="U2" s="89" t="s">
        <v>119</v>
      </c>
      <c r="V2" s="89" t="s">
        <v>120</v>
      </c>
      <c r="W2" s="90"/>
    </row>
    <row r="3" spans="1:23" ht="21.75" customHeight="1" x14ac:dyDescent="0.2">
      <c r="A3" s="94" t="s">
        <v>162</v>
      </c>
      <c r="B3" s="94"/>
      <c r="C3" s="94"/>
      <c r="D3" s="94"/>
      <c r="E3" s="94"/>
      <c r="F3" s="123" t="s">
        <v>155</v>
      </c>
      <c r="G3" s="123"/>
      <c r="H3" s="123"/>
      <c r="I3" s="94" t="s">
        <v>228</v>
      </c>
      <c r="J3" s="94"/>
      <c r="K3" s="94"/>
      <c r="L3" s="94"/>
      <c r="M3" s="96"/>
      <c r="N3" s="91"/>
      <c r="O3" s="91"/>
      <c r="P3" s="91"/>
      <c r="Q3" s="91"/>
      <c r="R3" s="91"/>
      <c r="S3" s="91" t="s">
        <v>121</v>
      </c>
      <c r="T3" s="91"/>
      <c r="U3" s="91"/>
      <c r="V3" s="91" t="s">
        <v>121</v>
      </c>
      <c r="W3" s="92"/>
    </row>
    <row r="4" spans="1:23" ht="29.25" customHeight="1" x14ac:dyDescent="0.2">
      <c r="A4" s="119" t="s">
        <v>46</v>
      </c>
      <c r="B4" s="119"/>
      <c r="C4" s="119"/>
      <c r="D4" s="119"/>
      <c r="E4" s="119"/>
      <c r="F4" s="123"/>
      <c r="G4" s="123"/>
      <c r="H4" s="123"/>
      <c r="I4" s="94"/>
      <c r="J4" s="94"/>
      <c r="K4" s="94"/>
      <c r="L4" s="94"/>
      <c r="M4" s="9"/>
      <c r="N4" s="189" t="s">
        <v>122</v>
      </c>
      <c r="O4" s="189"/>
      <c r="P4" s="189"/>
      <c r="Q4" s="189"/>
      <c r="R4" s="7"/>
      <c r="S4" s="8"/>
      <c r="T4" s="9"/>
      <c r="U4" s="7"/>
      <c r="V4" s="8"/>
      <c r="W4" s="18"/>
    </row>
    <row r="5" spans="1:23" ht="18" customHeight="1" x14ac:dyDescent="0.2">
      <c r="A5" s="203" t="s">
        <v>174</v>
      </c>
      <c r="B5" s="203"/>
      <c r="C5" s="203"/>
      <c r="D5" s="203"/>
      <c r="E5" s="203"/>
      <c r="F5" s="123" t="s">
        <v>156</v>
      </c>
      <c r="G5" s="123"/>
      <c r="H5" s="123"/>
      <c r="I5" s="94" t="s">
        <v>254</v>
      </c>
      <c r="J5" s="94"/>
      <c r="K5" s="94"/>
      <c r="L5" s="94"/>
      <c r="M5" s="9"/>
      <c r="N5" s="190" t="s">
        <v>123</v>
      </c>
      <c r="O5" s="190"/>
      <c r="P5" s="190"/>
      <c r="Q5" s="190"/>
      <c r="R5" s="7"/>
      <c r="S5" s="8"/>
      <c r="T5" s="9"/>
      <c r="U5" s="7"/>
      <c r="V5" s="8"/>
      <c r="W5" s="18"/>
    </row>
    <row r="6" spans="1:23" x14ac:dyDescent="0.2">
      <c r="A6" s="119" t="s">
        <v>47</v>
      </c>
      <c r="B6" s="119"/>
      <c r="C6" s="119"/>
      <c r="D6" s="119"/>
      <c r="E6" s="119"/>
      <c r="F6" s="123"/>
      <c r="G6" s="123"/>
      <c r="H6" s="123"/>
      <c r="I6" s="94"/>
      <c r="J6" s="94"/>
      <c r="K6" s="94"/>
      <c r="L6" s="94"/>
      <c r="M6" s="9"/>
      <c r="N6" s="190" t="s">
        <v>124</v>
      </c>
      <c r="O6" s="190"/>
      <c r="P6" s="190"/>
      <c r="Q6" s="190"/>
      <c r="R6" s="7"/>
      <c r="S6" s="8"/>
      <c r="T6" s="9"/>
      <c r="U6" s="7"/>
      <c r="V6" s="8"/>
      <c r="W6" s="18"/>
    </row>
    <row r="7" spans="1:23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191" t="s">
        <v>125</v>
      </c>
      <c r="O7" s="191"/>
      <c r="P7" s="191"/>
      <c r="Q7" s="191"/>
      <c r="R7" s="7"/>
      <c r="S7" s="8"/>
      <c r="T7" s="9"/>
      <c r="U7" s="7"/>
      <c r="V7" s="8"/>
      <c r="W7" s="18"/>
    </row>
    <row r="8" spans="1:23" ht="22.5" x14ac:dyDescent="0.2">
      <c r="A8" s="116" t="s">
        <v>0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190" t="s">
        <v>126</v>
      </c>
      <c r="O8" s="190"/>
      <c r="P8" s="190"/>
      <c r="Q8" s="190"/>
      <c r="R8" s="7"/>
      <c r="S8" s="8"/>
      <c r="T8" s="9"/>
      <c r="U8" s="7"/>
      <c r="V8" s="8"/>
      <c r="W8" s="18"/>
    </row>
    <row r="9" spans="1:23" ht="18.75" customHeight="1" x14ac:dyDescent="0.2">
      <c r="A9" s="193" t="s">
        <v>152</v>
      </c>
      <c r="B9" s="193"/>
      <c r="C9" s="193"/>
      <c r="D9" s="193"/>
      <c r="E9" s="193"/>
      <c r="F9" s="135" t="s">
        <v>375</v>
      </c>
      <c r="G9" s="136"/>
      <c r="H9" s="136"/>
      <c r="I9" s="111" t="s">
        <v>376</v>
      </c>
      <c r="J9" s="111"/>
      <c r="K9" s="111"/>
      <c r="L9" s="111"/>
      <c r="M9" s="111"/>
      <c r="N9" s="190" t="s">
        <v>127</v>
      </c>
      <c r="O9" s="190"/>
      <c r="P9" s="190"/>
      <c r="Q9" s="190"/>
      <c r="R9" s="7"/>
      <c r="S9" s="8"/>
      <c r="T9" s="9"/>
      <c r="U9" s="7"/>
      <c r="V9" s="8"/>
      <c r="W9" s="18"/>
    </row>
    <row r="10" spans="1:23" ht="19.5" customHeight="1" x14ac:dyDescent="0.2">
      <c r="A10" s="193" t="s">
        <v>151</v>
      </c>
      <c r="B10" s="193"/>
      <c r="C10" s="136" t="s">
        <v>184</v>
      </c>
      <c r="D10" s="136"/>
      <c r="E10" s="136"/>
      <c r="F10" s="136"/>
      <c r="G10" s="136"/>
      <c r="H10" s="136"/>
      <c r="I10" s="3"/>
      <c r="J10" s="3"/>
      <c r="K10" s="3"/>
      <c r="L10" s="3"/>
      <c r="M10" s="9"/>
      <c r="N10" s="191" t="s">
        <v>128</v>
      </c>
      <c r="O10" s="191"/>
      <c r="P10" s="191"/>
      <c r="Q10" s="191"/>
      <c r="R10" s="7"/>
      <c r="S10" s="8"/>
      <c r="T10" s="9"/>
      <c r="U10" s="7"/>
      <c r="V10" s="8"/>
      <c r="W10" s="18"/>
    </row>
    <row r="11" spans="1:23" x14ac:dyDescent="0.2">
      <c r="A11" s="188" t="s">
        <v>1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9"/>
      <c r="N11" s="196" t="s">
        <v>129</v>
      </c>
      <c r="O11" s="196"/>
      <c r="P11" s="196"/>
      <c r="Q11" s="196"/>
      <c r="R11" s="7"/>
      <c r="S11" s="8"/>
      <c r="T11" s="9"/>
      <c r="U11" s="7"/>
      <c r="V11" s="8"/>
      <c r="W11" s="18"/>
    </row>
    <row r="12" spans="1:23" ht="20.100000000000001" customHeight="1" x14ac:dyDescent="0.2">
      <c r="A12" s="87" t="s">
        <v>2</v>
      </c>
      <c r="B12" s="192" t="s">
        <v>36</v>
      </c>
      <c r="C12" s="192"/>
      <c r="D12" s="192"/>
      <c r="E12" s="192"/>
      <c r="F12" s="192" t="s">
        <v>5</v>
      </c>
      <c r="G12" s="192"/>
      <c r="H12" s="101" t="s">
        <v>34</v>
      </c>
      <c r="I12" s="104"/>
      <c r="J12" s="104"/>
      <c r="K12" s="104"/>
      <c r="L12" s="104"/>
      <c r="N12" s="1"/>
      <c r="O12" s="1"/>
      <c r="P12" s="1"/>
      <c r="Q12" s="1"/>
    </row>
    <row r="13" spans="1:23" ht="20.100000000000001" customHeight="1" x14ac:dyDescent="0.2">
      <c r="A13" s="87"/>
      <c r="B13" s="192" t="s">
        <v>3</v>
      </c>
      <c r="C13" s="192"/>
      <c r="D13" s="192" t="s">
        <v>4</v>
      </c>
      <c r="E13" s="192"/>
      <c r="F13" s="192"/>
      <c r="G13" s="192"/>
      <c r="H13" s="92" t="s">
        <v>35</v>
      </c>
      <c r="I13" s="103"/>
      <c r="J13" s="103"/>
      <c r="K13" s="103"/>
      <c r="L13" s="103"/>
    </row>
    <row r="14" spans="1:23" ht="20.100000000000001" customHeight="1" x14ac:dyDescent="0.2">
      <c r="A14" s="5" t="s">
        <v>6</v>
      </c>
      <c r="B14" s="7"/>
      <c r="C14" s="5"/>
      <c r="D14" s="97"/>
      <c r="E14" s="97"/>
      <c r="F14" s="194" t="str">
        <f t="shared" ref="F14:F40" si="0">IF(OR(B14="",D14=""),"",IF(ISERROR(D14/B14),IF(D14=0,0,""),D14/B14))</f>
        <v/>
      </c>
      <c r="G14" s="194"/>
      <c r="H14" s="97"/>
      <c r="I14" s="97"/>
      <c r="J14" s="97"/>
      <c r="K14" s="97"/>
      <c r="L14" s="97"/>
      <c r="M14" s="87" t="s">
        <v>115</v>
      </c>
      <c r="N14" s="192" t="s">
        <v>116</v>
      </c>
      <c r="O14" s="192"/>
      <c r="P14" s="192"/>
      <c r="Q14" s="192"/>
      <c r="R14" s="192" t="s">
        <v>117</v>
      </c>
      <c r="S14" s="192"/>
      <c r="T14" s="192"/>
      <c r="U14" s="192" t="s">
        <v>130</v>
      </c>
      <c r="V14" s="192" t="s">
        <v>69</v>
      </c>
      <c r="W14" s="86" t="s">
        <v>131</v>
      </c>
    </row>
    <row r="15" spans="1:23" ht="20.100000000000001" customHeight="1" x14ac:dyDescent="0.2">
      <c r="A15" s="5" t="s">
        <v>7</v>
      </c>
      <c r="B15" s="5"/>
      <c r="C15" s="5"/>
      <c r="D15" s="192"/>
      <c r="E15" s="192"/>
      <c r="F15" s="194" t="str">
        <f t="shared" si="0"/>
        <v/>
      </c>
      <c r="G15" s="194"/>
      <c r="H15" s="97"/>
      <c r="I15" s="97"/>
      <c r="J15" s="97"/>
      <c r="K15" s="97"/>
      <c r="L15" s="97"/>
      <c r="M15" s="87"/>
      <c r="N15" s="192"/>
      <c r="O15" s="192"/>
      <c r="P15" s="192"/>
      <c r="Q15" s="192"/>
      <c r="R15" s="197" t="s">
        <v>130</v>
      </c>
      <c r="S15" s="192" t="s">
        <v>69</v>
      </c>
      <c r="T15" s="192" t="s">
        <v>131</v>
      </c>
      <c r="U15" s="192"/>
      <c r="V15" s="192"/>
      <c r="W15" s="86"/>
    </row>
    <row r="16" spans="1:23" ht="20.100000000000001" customHeight="1" x14ac:dyDescent="0.2">
      <c r="A16" s="5" t="s">
        <v>8</v>
      </c>
      <c r="B16" s="21">
        <f>'Ячейка 24'!D19+'Ячейка 2'!D19+'Ячейка 3'!D19+'Ячейка 4'!D19+'Ячейка 36'!D19+'Ячейка 37'!D19</f>
        <v>9993.5999999961496</v>
      </c>
      <c r="C16" s="21"/>
      <c r="D16" s="198">
        <f>'Ячейка 24'!H19+'Ячейка 2'!H19+'Ячейка 3'!H19+'Ячейка 4'!H19+'Ячейка 36'!H19+'Ячейка 37'!H19</f>
        <v>6795.0000000091677</v>
      </c>
      <c r="E16" s="198"/>
      <c r="F16" s="194">
        <f t="shared" si="0"/>
        <v>0.67993515850262021</v>
      </c>
      <c r="G16" s="194"/>
      <c r="H16" s="97"/>
      <c r="I16" s="97"/>
      <c r="J16" s="97"/>
      <c r="K16" s="97"/>
      <c r="L16" s="97"/>
      <c r="M16" s="87"/>
      <c r="N16" s="192"/>
      <c r="O16" s="192"/>
      <c r="P16" s="192"/>
      <c r="Q16" s="192"/>
      <c r="R16" s="197"/>
      <c r="S16" s="192"/>
      <c r="T16" s="192"/>
      <c r="U16" s="192"/>
      <c r="V16" s="192"/>
      <c r="W16" s="86"/>
    </row>
    <row r="17" spans="1:23" ht="20.100000000000001" customHeight="1" x14ac:dyDescent="0.2">
      <c r="A17" s="5" t="s">
        <v>9</v>
      </c>
      <c r="B17" s="21">
        <f>'Ячейка 24'!D20+'Ячейка 2'!D20+'Ячейка 3'!D20+'Ячейка 4'!D20+'Ячейка 36'!D20+'Ячейка 37'!D20</f>
        <v>9986.399999981586</v>
      </c>
      <c r="C17" s="21"/>
      <c r="D17" s="198">
        <f>'Ячейка 24'!H20+'Ячейка 2'!H20+'Ячейка 3'!H20+'Ячейка 4'!H20+'Ячейка 36'!H20+'Ячейка 37'!H20</f>
        <v>6967.7999999903477</v>
      </c>
      <c r="E17" s="198"/>
      <c r="F17" s="194">
        <f t="shared" si="0"/>
        <v>0.69772891131971437</v>
      </c>
      <c r="G17" s="194"/>
      <c r="H17" s="97"/>
      <c r="I17" s="97"/>
      <c r="J17" s="97"/>
      <c r="K17" s="97"/>
      <c r="L17" s="97"/>
      <c r="M17" s="87"/>
      <c r="N17" s="192"/>
      <c r="O17" s="192"/>
      <c r="P17" s="192"/>
      <c r="Q17" s="192"/>
      <c r="R17" s="197"/>
      <c r="S17" s="192"/>
      <c r="T17" s="192"/>
      <c r="U17" s="192"/>
      <c r="V17" s="192"/>
      <c r="W17" s="86"/>
    </row>
    <row r="18" spans="1:23" ht="20.100000000000001" customHeight="1" x14ac:dyDescent="0.2">
      <c r="A18" s="5" t="s">
        <v>10</v>
      </c>
      <c r="B18" s="21">
        <f>'Ячейка 24'!D21+'Ячейка 2'!D21+'Ячейка 3'!D21+'Ячейка 4'!D21+'Ячейка 36'!D21+'Ячейка 37'!D21</f>
        <v>9910.8000000087486</v>
      </c>
      <c r="C18" s="21"/>
      <c r="D18" s="198">
        <f>'Ячейка 24'!H21+'Ячейка 2'!H21+'Ячейка 3'!H21+'Ячейка 4'!H21+'Ячейка 36'!H21+'Ячейка 37'!H21</f>
        <v>6949.8000000153297</v>
      </c>
      <c r="E18" s="198"/>
      <c r="F18" s="194">
        <f t="shared" si="0"/>
        <v>0.70123501634673235</v>
      </c>
      <c r="G18" s="194"/>
      <c r="H18" s="97"/>
      <c r="I18" s="97"/>
      <c r="J18" s="97"/>
      <c r="K18" s="97"/>
      <c r="L18" s="97"/>
      <c r="M18" s="87"/>
      <c r="N18" s="192"/>
      <c r="O18" s="192"/>
      <c r="P18" s="192"/>
      <c r="Q18" s="192"/>
      <c r="R18" s="197"/>
      <c r="S18" s="192"/>
      <c r="T18" s="192"/>
      <c r="U18" s="192"/>
      <c r="V18" s="192"/>
      <c r="W18" s="86"/>
    </row>
    <row r="19" spans="1:23" ht="20.100000000000001" customHeight="1" x14ac:dyDescent="0.2">
      <c r="A19" s="5" t="s">
        <v>11</v>
      </c>
      <c r="B19" s="21">
        <f>'Ячейка 24'!D22+'Ячейка 2'!D22+'Ячейка 3'!D22+'Ячейка 4'!D22+'Ячейка 36'!D22+'Ячейка 37'!D22</f>
        <v>9855.0000000104774</v>
      </c>
      <c r="C19" s="21"/>
      <c r="D19" s="198">
        <f>'Ячейка 24'!H22+'Ячейка 2'!H22+'Ячейка 3'!H22+'Ячейка 4'!H22+'Ячейка 36'!H22+'Ячейка 37'!H22</f>
        <v>7014.5999999949709</v>
      </c>
      <c r="E19" s="198"/>
      <c r="F19" s="194">
        <f t="shared" si="0"/>
        <v>0.71178082191654113</v>
      </c>
      <c r="G19" s="194"/>
      <c r="H19" s="97"/>
      <c r="I19" s="97"/>
      <c r="J19" s="97"/>
      <c r="K19" s="97"/>
      <c r="L19" s="97"/>
      <c r="M19" s="9"/>
      <c r="N19" s="189" t="s">
        <v>132</v>
      </c>
      <c r="O19" s="189"/>
      <c r="P19" s="189"/>
      <c r="Q19" s="189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24'!D23+'Ячейка 2'!D23+'Ячейка 3'!D23+'Ячейка 4'!D23+'Ячейка 36'!D23+'Ячейка 37'!D23</f>
        <v>9748.7999999921158</v>
      </c>
      <c r="C20" s="21"/>
      <c r="D20" s="198">
        <f>'Ячейка 24'!H23+'Ячейка 2'!H23+'Ячейка 3'!H23+'Ячейка 4'!H23+'Ячейка 36'!H23+'Ячейка 37'!H23</f>
        <v>7000.2000000108637</v>
      </c>
      <c r="E20" s="198"/>
      <c r="F20" s="194">
        <f t="shared" si="0"/>
        <v>0.71805760709179844</v>
      </c>
      <c r="G20" s="194"/>
      <c r="H20" s="97"/>
      <c r="I20" s="97"/>
      <c r="J20" s="97"/>
      <c r="K20" s="97"/>
      <c r="L20" s="97"/>
      <c r="M20" s="9"/>
      <c r="N20" s="190" t="s">
        <v>133</v>
      </c>
      <c r="O20" s="190"/>
      <c r="P20" s="190"/>
      <c r="Q20" s="190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24'!D24+'Ячейка 2'!D24+'Ячейка 3'!D24+'Ячейка 4'!D24+'Ячейка 36'!D24+'Ячейка 37'!D24</f>
        <v>9478.7999999862222</v>
      </c>
      <c r="C21" s="21"/>
      <c r="D21" s="198">
        <f>'Ячейка 24'!H24+'Ячейка 2'!H24+'Ячейка 3'!H24+'Ячейка 4'!H24+'Ячейка 36'!H24+'Ячейка 37'!H24</f>
        <v>6803.9999999946303</v>
      </c>
      <c r="E21" s="198"/>
      <c r="F21" s="194">
        <f t="shared" si="0"/>
        <v>0.71781238131456726</v>
      </c>
      <c r="G21" s="194"/>
      <c r="H21" s="97"/>
      <c r="I21" s="97"/>
      <c r="J21" s="97"/>
      <c r="K21" s="97"/>
      <c r="L21" s="97"/>
      <c r="M21" s="9"/>
      <c r="N21" s="195" t="s">
        <v>134</v>
      </c>
      <c r="O21" s="195"/>
      <c r="P21" s="195"/>
      <c r="Q21" s="195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24'!D25+'Ячейка 2'!D25+'Ячейка 3'!D25+'Ячейка 4'!D25+'Ячейка 36'!D25+'Ячейка 37'!D25</f>
        <v>9594.0000000227883</v>
      </c>
      <c r="C22" s="21"/>
      <c r="D22" s="198">
        <f>'Ячейка 24'!H25+'Ячейка 2'!H25+'Ячейка 3'!H25+'Ячейка 4'!H25+'Ячейка 36'!H25+'Ячейка 37'!H25</f>
        <v>6600.5999999965752</v>
      </c>
      <c r="E22" s="198"/>
      <c r="F22" s="194">
        <f t="shared" si="0"/>
        <v>0.68799249530757733</v>
      </c>
      <c r="G22" s="194"/>
      <c r="H22" s="97"/>
      <c r="I22" s="97"/>
      <c r="J22" s="97"/>
      <c r="K22" s="97"/>
      <c r="L22" s="97"/>
    </row>
    <row r="23" spans="1:23" ht="20.100000000000001" customHeight="1" x14ac:dyDescent="0.2">
      <c r="A23" s="5" t="s">
        <v>15</v>
      </c>
      <c r="B23" s="21">
        <f>'Ячейка 24'!D26+'Ячейка 2'!D26+'Ячейка 3'!D26+'Ячейка 4'!D26+'Ячейка 36'!D26+'Ячейка 37'!D26</f>
        <v>9907.2000000014668</v>
      </c>
      <c r="C23" s="21"/>
      <c r="D23" s="198">
        <f>'Ячейка 24'!H26+'Ячейка 2'!H26+'Ячейка 3'!H26+'Ячейка 4'!H26+'Ячейка 36'!H26+'Ячейка 37'!H26</f>
        <v>6435.0000000094951</v>
      </c>
      <c r="E23" s="198"/>
      <c r="F23" s="194">
        <f t="shared" si="0"/>
        <v>0.64952761627993205</v>
      </c>
      <c r="G23" s="194"/>
      <c r="H23" s="97"/>
      <c r="I23" s="97"/>
      <c r="J23" s="97"/>
      <c r="K23" s="97"/>
      <c r="L23" s="97"/>
    </row>
    <row r="24" spans="1:23" ht="20.100000000000001" customHeight="1" x14ac:dyDescent="0.2">
      <c r="A24" s="5" t="s">
        <v>16</v>
      </c>
      <c r="B24" s="21">
        <f>'Ячейка 24'!D27+'Ячейка 2'!D27+'Ячейка 3'!D27+'Ячейка 4'!D27+'Ячейка 36'!D27+'Ячейка 37'!D27</f>
        <v>9912.5999999796477</v>
      </c>
      <c r="C24" s="21"/>
      <c r="D24" s="198">
        <f>'Ячейка 24'!H27+'Ячейка 2'!H27+'Ячейка 3'!H27+'Ячейка 4'!H27+'Ячейка 36'!H27+'Ячейка 37'!H27</f>
        <v>6287.3999999933403</v>
      </c>
      <c r="E24" s="198"/>
      <c r="F24" s="194">
        <f t="shared" si="0"/>
        <v>0.63428363900553331</v>
      </c>
      <c r="G24" s="194"/>
      <c r="H24" s="97"/>
      <c r="I24" s="97"/>
      <c r="J24" s="97"/>
      <c r="K24" s="97"/>
      <c r="L24" s="97"/>
      <c r="N24" s="118" t="s">
        <v>135</v>
      </c>
      <c r="O24" s="118"/>
      <c r="P24" s="118"/>
      <c r="Q24" s="118"/>
      <c r="R24" s="118"/>
      <c r="S24" s="118"/>
      <c r="T24" s="118"/>
      <c r="U24" s="118"/>
      <c r="V24" s="118"/>
    </row>
    <row r="25" spans="1:23" ht="20.100000000000001" customHeight="1" x14ac:dyDescent="0.2">
      <c r="A25" s="5" t="s">
        <v>17</v>
      </c>
      <c r="B25" s="21">
        <f>'Ячейка 24'!D28+'Ячейка 2'!D28+'Ячейка 3'!D28+'Ячейка 4'!D28+'Ячейка 36'!D28+'Ячейка 37'!D28</f>
        <v>10204.200000012861</v>
      </c>
      <c r="C25" s="21"/>
      <c r="D25" s="198">
        <f>'Ячейка 24'!H28+'Ячейка 2'!H28+'Ячейка 3'!H28+'Ячейка 4'!H28+'Ячейка 36'!H28+'Ячейка 37'!H28</f>
        <v>6244.1999999919062</v>
      </c>
      <c r="E25" s="198"/>
      <c r="F25" s="194">
        <f t="shared" si="0"/>
        <v>0.61192450167421608</v>
      </c>
      <c r="G25" s="194"/>
      <c r="H25" s="97"/>
      <c r="I25" s="97"/>
      <c r="J25" s="97"/>
      <c r="K25" s="97"/>
      <c r="L25" s="97"/>
      <c r="N25" s="17" t="s">
        <v>136</v>
      </c>
      <c r="O25" s="118" t="s">
        <v>137</v>
      </c>
      <c r="P25" s="118"/>
      <c r="Q25" s="118"/>
      <c r="R25" s="118"/>
      <c r="S25" s="118"/>
      <c r="T25" s="118"/>
      <c r="U25" s="118"/>
      <c r="V25" s="118"/>
    </row>
    <row r="26" spans="1:23" ht="20.100000000000001" customHeight="1" x14ac:dyDescent="0.2">
      <c r="A26" s="5" t="s">
        <v>18</v>
      </c>
      <c r="B26" s="21">
        <f>'Ячейка 24'!D29+'Ячейка 2'!D29+'Ячейка 3'!D29+'Ячейка 4'!D29+'Ячейка 36'!D29+'Ячейка 37'!D29</f>
        <v>10150.200000018231</v>
      </c>
      <c r="C26" s="21"/>
      <c r="D26" s="198">
        <f>'Ячейка 24'!H29+'Ячейка 2'!H29+'Ячейка 3'!H29+'Ячейка 4'!H29+'Ячейка 36'!H29+'Ячейка 37'!H29</f>
        <v>6273.0000000215114</v>
      </c>
      <c r="E26" s="198"/>
      <c r="F26" s="194">
        <f t="shared" si="0"/>
        <v>0.6180173789689114</v>
      </c>
      <c r="G26" s="194"/>
      <c r="H26" s="97"/>
      <c r="I26" s="97"/>
      <c r="J26" s="97"/>
      <c r="K26" s="97"/>
      <c r="L26" s="97"/>
      <c r="N26" s="17" t="s">
        <v>138</v>
      </c>
      <c r="O26" s="118" t="s">
        <v>180</v>
      </c>
      <c r="P26" s="118"/>
      <c r="Q26" s="118"/>
      <c r="R26" s="118"/>
      <c r="S26" s="118"/>
      <c r="T26" s="118"/>
      <c r="U26" s="118"/>
      <c r="V26" s="118"/>
    </row>
    <row r="27" spans="1:23" ht="20.100000000000001" customHeight="1" x14ac:dyDescent="0.2">
      <c r="A27" s="5" t="s">
        <v>19</v>
      </c>
      <c r="B27" s="21">
        <f>'Ячейка 24'!D30+'Ячейка 2'!D30+'Ячейка 3'!D30+'Ячейка 4'!D30+'Ячейка 36'!D30+'Ячейка 37'!D30</f>
        <v>10092.599999983577</v>
      </c>
      <c r="C27" s="21"/>
      <c r="D27" s="198">
        <f>'Ячейка 24'!H30+'Ячейка 2'!H30+'Ячейка 3'!H30+'Ячейка 4'!H30+'Ячейка 36'!H30+'Ячейка 37'!H30</f>
        <v>6285.5999999856067</v>
      </c>
      <c r="E27" s="198"/>
      <c r="F27" s="194">
        <f t="shared" si="0"/>
        <v>0.62279293739926633</v>
      </c>
      <c r="G27" s="194"/>
      <c r="H27" s="97"/>
      <c r="I27" s="97"/>
      <c r="J27" s="97"/>
      <c r="K27" s="97"/>
      <c r="L27" s="97"/>
      <c r="N27" s="17" t="s">
        <v>139</v>
      </c>
      <c r="O27" s="118" t="s">
        <v>140</v>
      </c>
      <c r="P27" s="118"/>
      <c r="Q27" s="118"/>
      <c r="R27" s="118"/>
      <c r="S27" s="118"/>
      <c r="T27" s="118"/>
      <c r="U27" s="118"/>
      <c r="V27" s="118"/>
    </row>
    <row r="28" spans="1:23" ht="20.100000000000001" customHeight="1" x14ac:dyDescent="0.2">
      <c r="A28" s="5" t="s">
        <v>20</v>
      </c>
      <c r="B28" s="21">
        <f>'Ячейка 24'!D31+'Ячейка 2'!D31+'Ячейка 3'!D31+'Ячейка 4'!D31+'Ячейка 36'!D31+'Ячейка 37'!D31</f>
        <v>9950.3999999906227</v>
      </c>
      <c r="C28" s="21"/>
      <c r="D28" s="198">
        <f>'Ячейка 24'!H31+'Ячейка 2'!H31+'Ячейка 3'!H31+'Ячейка 4'!H31+'Ячейка 36'!H31+'Ячейка 37'!H31</f>
        <v>6251.3999999860062</v>
      </c>
      <c r="E28" s="198"/>
      <c r="F28" s="194">
        <f t="shared" si="0"/>
        <v>0.62825615050569805</v>
      </c>
      <c r="G28" s="194"/>
      <c r="H28" s="97"/>
      <c r="I28" s="97"/>
      <c r="J28" s="97"/>
      <c r="K28" s="97"/>
      <c r="L28" s="97"/>
      <c r="N28" s="17"/>
      <c r="O28" s="118" t="s">
        <v>141</v>
      </c>
      <c r="P28" s="118"/>
      <c r="Q28" s="118"/>
      <c r="R28" s="118"/>
      <c r="S28" s="118"/>
      <c r="T28" s="118"/>
      <c r="U28" s="118"/>
      <c r="V28" s="118"/>
    </row>
    <row r="29" spans="1:23" ht="20.100000000000001" customHeight="1" x14ac:dyDescent="0.2">
      <c r="A29" s="5" t="s">
        <v>21</v>
      </c>
      <c r="B29" s="21">
        <f>'Ячейка 24'!D32+'Ячейка 2'!D32+'Ячейка 3'!D32+'Ячейка 4'!D32+'Ячейка 36'!D32+'Ячейка 37'!D32</f>
        <v>10143.000000003667</v>
      </c>
      <c r="C29" s="21"/>
      <c r="D29" s="198">
        <f>'Ячейка 24'!H32+'Ячейка 2'!H32+'Ячейка 3'!H32+'Ячейка 4'!H32+'Ячейка 36'!H32+'Ячейка 37'!H32</f>
        <v>6312.6000000074782</v>
      </c>
      <c r="E29" s="198"/>
      <c r="F29" s="194">
        <f t="shared" si="0"/>
        <v>0.6223602484477172</v>
      </c>
      <c r="G29" s="194"/>
      <c r="H29" s="97"/>
      <c r="I29" s="97"/>
      <c r="J29" s="97"/>
      <c r="K29" s="97"/>
      <c r="L29" s="97"/>
      <c r="N29" s="17"/>
      <c r="O29" s="118" t="s">
        <v>142</v>
      </c>
      <c r="P29" s="118"/>
      <c r="Q29" s="118"/>
      <c r="R29" s="118"/>
      <c r="S29" s="118"/>
      <c r="T29" s="118"/>
      <c r="U29" s="118"/>
      <c r="V29" s="118"/>
    </row>
    <row r="30" spans="1:23" ht="20.100000000000001" customHeight="1" x14ac:dyDescent="0.2">
      <c r="A30" s="5" t="s">
        <v>22</v>
      </c>
      <c r="B30" s="21">
        <f>'Ячейка 24'!D33+'Ячейка 2'!D33+'Ячейка 3'!D33+'Ячейка 4'!D33+'Ячейка 36'!D33+'Ячейка 37'!D33</f>
        <v>10056.599999992613</v>
      </c>
      <c r="C30" s="21"/>
      <c r="D30" s="198">
        <f>'Ячейка 24'!H33+'Ячейка 2'!H33+'Ячейка 3'!H33+'Ячейка 4'!H33+'Ячейка 36'!H33+'Ячейка 37'!H33</f>
        <v>6159.6000000090498</v>
      </c>
      <c r="E30" s="198"/>
      <c r="F30" s="194">
        <f t="shared" si="0"/>
        <v>0.61249328799132652</v>
      </c>
      <c r="G30" s="194"/>
      <c r="H30" s="97"/>
      <c r="I30" s="97"/>
      <c r="J30" s="97"/>
      <c r="K30" s="97"/>
      <c r="L30" s="97"/>
      <c r="N30" s="17" t="s">
        <v>143</v>
      </c>
      <c r="O30" s="118" t="s">
        <v>144</v>
      </c>
      <c r="P30" s="118"/>
      <c r="Q30" s="118"/>
      <c r="R30" s="118"/>
      <c r="S30" s="118"/>
      <c r="T30" s="118"/>
      <c r="U30" s="118"/>
      <c r="V30" s="118"/>
    </row>
    <row r="31" spans="1:23" ht="20.100000000000001" customHeight="1" x14ac:dyDescent="0.2">
      <c r="A31" s="5" t="s">
        <v>23</v>
      </c>
      <c r="B31" s="21">
        <f>'Ячейка 24'!D34+'Ячейка 2'!D34+'Ячейка 3'!D34+'Ячейка 4'!D34+'Ячейка 36'!D34+'Ячейка 37'!D34</f>
        <v>10207.799999987401</v>
      </c>
      <c r="C31" s="21"/>
      <c r="D31" s="198">
        <f>'Ячейка 24'!H34+'Ячейка 2'!H34+'Ячейка 3'!H34+'Ячейка 4'!H34+'Ячейка 36'!H34+'Ячейка 37'!H34</f>
        <v>6258.6000000005697</v>
      </c>
      <c r="E31" s="198"/>
      <c r="F31" s="194">
        <f t="shared" si="0"/>
        <v>0.61311937929899629</v>
      </c>
      <c r="G31" s="194"/>
      <c r="H31" s="97"/>
      <c r="I31" s="97"/>
      <c r="J31" s="97"/>
      <c r="K31" s="97"/>
      <c r="L31" s="97"/>
      <c r="N31" s="17"/>
      <c r="O31" s="118" t="s">
        <v>145</v>
      </c>
      <c r="P31" s="118"/>
      <c r="Q31" s="118"/>
      <c r="R31" s="118"/>
      <c r="S31" s="118"/>
      <c r="T31" s="118"/>
      <c r="U31" s="118"/>
      <c r="V31" s="118"/>
    </row>
    <row r="32" spans="1:23" ht="20.100000000000001" customHeight="1" x14ac:dyDescent="0.2">
      <c r="A32" s="5" t="s">
        <v>24</v>
      </c>
      <c r="B32" s="21">
        <f>'Ячейка 24'!D35+'Ячейка 2'!D35+'Ячейка 3'!D35+'Ячейка 4'!D35+'Ячейка 36'!D35+'Ячейка 37'!D35</f>
        <v>10434.600000020509</v>
      </c>
      <c r="C32" s="21"/>
      <c r="D32" s="198">
        <f>'Ячейка 24'!H35+'Ячейка 2'!H35+'Ячейка 3'!H35+'Ячейка 4'!H35+'Ячейка 36'!H35+'Ячейка 37'!H35</f>
        <v>6373.800000004394</v>
      </c>
      <c r="E32" s="198"/>
      <c r="F32" s="194">
        <f t="shared" si="0"/>
        <v>0.61083318958003818</v>
      </c>
      <c r="G32" s="194"/>
      <c r="H32" s="97"/>
      <c r="I32" s="97"/>
      <c r="J32" s="97"/>
      <c r="K32" s="97"/>
      <c r="L32" s="97"/>
      <c r="N32" s="17" t="s">
        <v>146</v>
      </c>
      <c r="O32" s="118" t="s">
        <v>147</v>
      </c>
      <c r="P32" s="118"/>
      <c r="Q32" s="118"/>
      <c r="R32" s="118"/>
      <c r="S32" s="118"/>
      <c r="T32" s="118"/>
      <c r="U32" s="118"/>
      <c r="V32" s="118"/>
    </row>
    <row r="33" spans="1:24" ht="20.100000000000001" customHeight="1" x14ac:dyDescent="0.2">
      <c r="A33" s="5" t="s">
        <v>25</v>
      </c>
      <c r="B33" s="21">
        <f>'Ячейка 24'!D36+'Ячейка 2'!D36+'Ячейка 3'!D36+'Ячейка 4'!D36+'Ячейка 36'!D36+'Ячейка 37'!D36</f>
        <v>9984.6000000270578</v>
      </c>
      <c r="C33" s="21"/>
      <c r="D33" s="198">
        <f>'Ячейка 24'!H36+'Ячейка 2'!H36+'Ячейка 3'!H36+'Ячейка 4'!H36+'Ячейка 36'!H36+'Ячейка 37'!H36</f>
        <v>6274.7999999924104</v>
      </c>
      <c r="E33" s="198"/>
      <c r="F33" s="194">
        <f t="shared" si="0"/>
        <v>0.62844780962436209</v>
      </c>
      <c r="G33" s="194"/>
      <c r="H33" s="97"/>
      <c r="I33" s="97"/>
      <c r="J33" s="97"/>
      <c r="K33" s="97"/>
      <c r="L33" s="97"/>
      <c r="N33" s="17" t="s">
        <v>148</v>
      </c>
      <c r="O33" s="118" t="s">
        <v>149</v>
      </c>
      <c r="P33" s="118"/>
      <c r="Q33" s="118"/>
      <c r="R33" s="118"/>
      <c r="S33" s="118"/>
      <c r="T33" s="118"/>
      <c r="U33" s="118"/>
      <c r="V33" s="118"/>
    </row>
    <row r="34" spans="1:24" ht="20.100000000000001" customHeight="1" x14ac:dyDescent="0.2">
      <c r="A34" s="5" t="s">
        <v>26</v>
      </c>
      <c r="B34" s="21">
        <f>'Ячейка 24'!D37+'Ячейка 2'!D37+'Ячейка 3'!D37+'Ячейка 4'!D37+'Ячейка 36'!D37+'Ячейка 37'!D37</f>
        <v>10025.999999947089</v>
      </c>
      <c r="C34" s="21"/>
      <c r="D34" s="198">
        <f>'Ячейка 24'!H37+'Ячейка 2'!H37+'Ячейка 3'!H37+'Ячейка 4'!H37+'Ячейка 36'!H37+'Ячейка 37'!H37</f>
        <v>6298.2000000070002</v>
      </c>
      <c r="E34" s="198"/>
      <c r="F34" s="194">
        <f t="shared" si="0"/>
        <v>0.62818671454620367</v>
      </c>
      <c r="G34" s="194"/>
      <c r="H34" s="97"/>
      <c r="I34" s="97"/>
      <c r="J34" s="97"/>
      <c r="K34" s="97"/>
      <c r="L34" s="97"/>
    </row>
    <row r="35" spans="1:24" ht="20.100000000000001" customHeight="1" x14ac:dyDescent="0.2">
      <c r="A35" s="5" t="s">
        <v>27</v>
      </c>
      <c r="B35" s="21">
        <f>'Ячейка 24'!D38+'Ячейка 2'!D38+'Ячейка 3'!D38+'Ячейка 4'!D38+'Ячейка 36'!D38+'Ячейка 37'!D38</f>
        <v>10031.400000039866</v>
      </c>
      <c r="C35" s="21"/>
      <c r="D35" s="198">
        <f>'Ячейка 24'!H38+'Ячейка 2'!H38+'Ячейка 3'!H38+'Ячейка 4'!H38+'Ячейка 36'!H38+'Ячейка 37'!H38</f>
        <v>6309.0000000083819</v>
      </c>
      <c r="E35" s="198"/>
      <c r="F35" s="194">
        <f t="shared" si="0"/>
        <v>0.62892517494899103</v>
      </c>
      <c r="G35" s="194"/>
      <c r="H35" s="97"/>
      <c r="I35" s="97"/>
      <c r="J35" s="97"/>
      <c r="K35" s="97"/>
      <c r="L35" s="97"/>
    </row>
    <row r="36" spans="1:24" ht="20.100000000000001" customHeight="1" x14ac:dyDescent="0.2">
      <c r="A36" s="5" t="s">
        <v>28</v>
      </c>
      <c r="B36" s="21">
        <f>'Ячейка 24'!D39+'Ячейка 2'!D39+'Ячейка 3'!D39+'Ячейка 4'!D39+'Ячейка 36'!D39+'Ячейка 37'!D39</f>
        <v>9723.599999990256</v>
      </c>
      <c r="C36" s="21"/>
      <c r="D36" s="198">
        <f>'Ячейка 24'!H39+'Ячейка 2'!H39+'Ячейка 3'!H39+'Ячейка 4'!H39+'Ячейка 36'!H39+'Ячейка 37'!H39</f>
        <v>6287.3999999810621</v>
      </c>
      <c r="E36" s="198"/>
      <c r="F36" s="194">
        <f t="shared" si="0"/>
        <v>0.64661236578914838</v>
      </c>
      <c r="G36" s="194"/>
      <c r="H36" s="97"/>
      <c r="I36" s="97"/>
      <c r="J36" s="97"/>
      <c r="K36" s="97"/>
      <c r="L36" s="97"/>
    </row>
    <row r="37" spans="1:24" ht="20.100000000000001" customHeight="1" x14ac:dyDescent="0.2">
      <c r="A37" s="5" t="s">
        <v>29</v>
      </c>
      <c r="B37" s="21">
        <f>'Ячейка 24'!D40+'Ячейка 2'!D40+'Ячейка 3'!D40+'Ячейка 4'!D40+'Ячейка 36'!D40+'Ячейка 37'!D40</f>
        <v>9703.799999999319</v>
      </c>
      <c r="C37" s="21"/>
      <c r="D37" s="198">
        <f>'Ячейка 24'!H40+'Ячейка 2'!H40+'Ячейка 3'!H40+'Ячейка 4'!H40+'Ячейка 36'!H40+'Ячейка 37'!H40</f>
        <v>6190.2000000095541</v>
      </c>
      <c r="E37" s="198"/>
      <c r="F37" s="194">
        <f t="shared" si="0"/>
        <v>0.63791504359219986</v>
      </c>
      <c r="G37" s="194"/>
      <c r="H37" s="97"/>
      <c r="I37" s="97"/>
      <c r="J37" s="97"/>
      <c r="K37" s="97"/>
      <c r="L37" s="97"/>
    </row>
    <row r="38" spans="1:24" ht="20.100000000000001" customHeight="1" x14ac:dyDescent="0.2">
      <c r="A38" s="5" t="s">
        <v>30</v>
      </c>
      <c r="B38" s="21">
        <f>'Ячейка 24'!D41+'Ячейка 2'!D41+'Ячейка 3'!D41+'Ячейка 4'!D41+'Ячейка 36'!D41+'Ячейка 37'!D41</f>
        <v>9840.5999999813503</v>
      </c>
      <c r="C38" s="21"/>
      <c r="D38" s="198">
        <f>'Ячейка 24'!H41+'Ячейка 2'!H41+'Ячейка 3'!H41+'Ячейка 4'!H41+'Ячейка 36'!H41+'Ячейка 37'!H41</f>
        <v>6233.39999999871</v>
      </c>
      <c r="E38" s="198"/>
      <c r="F38" s="194">
        <f t="shared" si="0"/>
        <v>0.63343698555073102</v>
      </c>
      <c r="G38" s="194"/>
      <c r="H38" s="97"/>
      <c r="I38" s="97"/>
      <c r="J38" s="97"/>
      <c r="K38" s="97"/>
      <c r="L38" s="97"/>
    </row>
    <row r="39" spans="1:24" ht="20.100000000000001" customHeight="1" x14ac:dyDescent="0.2">
      <c r="A39" s="5" t="s">
        <v>31</v>
      </c>
      <c r="B39" s="21">
        <f>'Ячейка 24'!D42+'Ячейка 2'!D42+'Ячейка 3'!D42+'Ячейка 4'!D42+'Ячейка 36'!D42+'Ячейка 37'!D42</f>
        <v>9727.1999999975378</v>
      </c>
      <c r="C39" s="21"/>
      <c r="D39" s="198">
        <f>'Ячейка 24'!H42+'Ячейка 2'!H42+'Ячейка 3'!H42+'Ячейка 4'!H42+'Ячейка 36'!H42+'Ячейка 37'!H42</f>
        <v>6332.400000002508</v>
      </c>
      <c r="E39" s="198"/>
      <c r="F39" s="194">
        <f t="shared" si="0"/>
        <v>0.65099925980797257</v>
      </c>
      <c r="G39" s="194"/>
      <c r="H39" s="97"/>
      <c r="I39" s="97"/>
      <c r="J39" s="97"/>
      <c r="K39" s="97"/>
      <c r="L39" s="97"/>
      <c r="P39" s="150" t="s">
        <v>150</v>
      </c>
      <c r="Q39" s="150"/>
      <c r="R39" s="150"/>
      <c r="S39" s="149" t="s">
        <v>370</v>
      </c>
      <c r="T39" s="149"/>
      <c r="U39" s="149"/>
      <c r="V39" s="149"/>
      <c r="W39" s="149"/>
      <c r="X39" s="149"/>
    </row>
    <row r="40" spans="1:24" ht="20.100000000000001" customHeight="1" x14ac:dyDescent="0.2">
      <c r="A40" s="5" t="s">
        <v>32</v>
      </c>
      <c r="B40" s="21">
        <f>SUM(B15:B39)</f>
        <v>238663.79999997115</v>
      </c>
      <c r="C40" s="21"/>
      <c r="D40" s="198">
        <f>SUM(D15:E39)</f>
        <v>154938.60000002087</v>
      </c>
      <c r="E40" s="198"/>
      <c r="F40" s="194">
        <f t="shared" si="0"/>
        <v>0.64919187576850623</v>
      </c>
      <c r="G40" s="194"/>
      <c r="H40" s="97"/>
      <c r="I40" s="97"/>
      <c r="J40" s="97"/>
      <c r="K40" s="97"/>
      <c r="L40" s="97"/>
    </row>
    <row r="41" spans="1:24" ht="20.100000000000001" customHeight="1" x14ac:dyDescent="0.2">
      <c r="A41" s="5" t="s">
        <v>33</v>
      </c>
      <c r="B41" s="5"/>
      <c r="C41" s="5"/>
      <c r="D41" s="192"/>
      <c r="E41" s="192"/>
      <c r="F41" s="194"/>
      <c r="G41" s="194"/>
      <c r="H41" s="97"/>
      <c r="I41" s="97"/>
      <c r="J41" s="97"/>
      <c r="K41" s="97"/>
      <c r="L41" s="97"/>
    </row>
    <row r="42" spans="1:24" ht="20.100000000000001" customHeight="1" x14ac:dyDescent="0.2">
      <c r="A42" s="87" t="s">
        <v>2</v>
      </c>
      <c r="B42" s="86" t="s">
        <v>37</v>
      </c>
      <c r="C42" s="105"/>
      <c r="D42" s="87"/>
      <c r="E42" s="86" t="s">
        <v>40</v>
      </c>
      <c r="F42" s="105"/>
      <c r="G42" s="105"/>
      <c r="H42" s="105"/>
      <c r="I42" s="87"/>
      <c r="J42" s="101" t="s">
        <v>5</v>
      </c>
      <c r="K42" s="104"/>
      <c r="L42" s="104"/>
    </row>
    <row r="43" spans="1:24" ht="39" customHeight="1" x14ac:dyDescent="0.2">
      <c r="A43" s="87"/>
      <c r="B43" s="192" t="s">
        <v>38</v>
      </c>
      <c r="C43" s="192"/>
      <c r="D43" s="5" t="s">
        <v>39</v>
      </c>
      <c r="E43" s="86" t="s">
        <v>41</v>
      </c>
      <c r="F43" s="105"/>
      <c r="G43" s="87"/>
      <c r="H43" s="86" t="s">
        <v>42</v>
      </c>
      <c r="I43" s="87"/>
      <c r="J43" s="92"/>
      <c r="K43" s="103"/>
      <c r="L43" s="103"/>
    </row>
    <row r="44" spans="1:24" ht="20.100000000000001" customHeight="1" x14ac:dyDescent="0.2">
      <c r="A44" s="4" t="s">
        <v>153</v>
      </c>
      <c r="B44" s="199">
        <f>SUM(B24:B26)</f>
        <v>30267.000000010739</v>
      </c>
      <c r="C44" s="200"/>
      <c r="D44" s="21">
        <f>SUM(D24:E26)</f>
        <v>18804.600000006758</v>
      </c>
      <c r="E44" s="199">
        <f>B44/3</f>
        <v>10089.00000000358</v>
      </c>
      <c r="F44" s="204"/>
      <c r="G44" s="200"/>
      <c r="H44" s="199">
        <f>D44/3</f>
        <v>6268.2000000022526</v>
      </c>
      <c r="I44" s="200"/>
      <c r="J44" s="201">
        <f>H44/E44</f>
        <v>0.62129051442165018</v>
      </c>
      <c r="K44" s="202"/>
      <c r="L44" s="202"/>
    </row>
    <row r="45" spans="1:24" ht="20.100000000000001" customHeight="1" x14ac:dyDescent="0.2">
      <c r="A45" s="4" t="s">
        <v>43</v>
      </c>
      <c r="B45" s="199">
        <f>SUM(B33:B36)</f>
        <v>39765.60000000427</v>
      </c>
      <c r="C45" s="200"/>
      <c r="D45" s="21">
        <f>SUM(D33:E36)</f>
        <v>25169.399999988855</v>
      </c>
      <c r="E45" s="199">
        <f>B45/4</f>
        <v>9941.4000000010674</v>
      </c>
      <c r="F45" s="204"/>
      <c r="G45" s="200"/>
      <c r="H45" s="199">
        <f>D45/4</f>
        <v>6292.3499999972137</v>
      </c>
      <c r="I45" s="200"/>
      <c r="J45" s="201">
        <f>H45/E45</f>
        <v>0.63294405214522487</v>
      </c>
      <c r="K45" s="202"/>
      <c r="L45" s="202"/>
    </row>
    <row r="46" spans="1:24" ht="20.100000000000001" customHeight="1" x14ac:dyDescent="0.2">
      <c r="A46" s="4" t="s">
        <v>44</v>
      </c>
      <c r="B46" s="199">
        <f>SUM(B16:B39)</f>
        <v>238663.79999997115</v>
      </c>
      <c r="C46" s="200"/>
      <c r="D46" s="21">
        <f>SUM(D16:E39)</f>
        <v>154938.60000002087</v>
      </c>
      <c r="E46" s="199">
        <f>B46/24</f>
        <v>9944.3249999987984</v>
      </c>
      <c r="F46" s="204"/>
      <c r="G46" s="200"/>
      <c r="H46" s="199">
        <f>D46/24</f>
        <v>6455.77500000087</v>
      </c>
      <c r="I46" s="200"/>
      <c r="J46" s="201">
        <f>H46/E46</f>
        <v>0.64919187576850612</v>
      </c>
      <c r="K46" s="202"/>
      <c r="L46" s="202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99" t="s">
        <v>186</v>
      </c>
      <c r="D50" s="99"/>
      <c r="E50" s="99"/>
      <c r="F50" s="99"/>
      <c r="G50" s="99"/>
      <c r="H50" s="99"/>
      <c r="I50" s="99"/>
    </row>
    <row r="51" spans="3:9" ht="20.100000000000001" customHeight="1" x14ac:dyDescent="0.2"/>
  </sheetData>
  <sheetProtection sheet="1" objects="1" scenarios="1"/>
  <mergeCells count="173"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D35:E35"/>
    <mergeCell ref="D36:E36"/>
    <mergeCell ref="F38:G38"/>
    <mergeCell ref="A7:L7"/>
    <mergeCell ref="F12:G13"/>
    <mergeCell ref="H12:L12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H25:L25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I9:M9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3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1:X51"/>
  <sheetViews>
    <sheetView view="pageBreakPreview" topLeftCell="A13" zoomScale="75" zoomScaleNormal="100" workbookViewId="0">
      <selection activeCell="F9" sqref="F9:M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8.71093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94" t="s">
        <v>161</v>
      </c>
      <c r="B1" s="94"/>
      <c r="C1" s="94"/>
      <c r="D1" s="94"/>
      <c r="E1" s="94"/>
      <c r="F1" s="123" t="s">
        <v>154</v>
      </c>
      <c r="G1" s="123"/>
      <c r="H1" s="123"/>
      <c r="I1" s="94" t="s">
        <v>163</v>
      </c>
      <c r="J1" s="94"/>
      <c r="K1" s="94"/>
      <c r="L1" s="94"/>
      <c r="M1" s="100" t="s">
        <v>115</v>
      </c>
      <c r="N1" s="98" t="s">
        <v>116</v>
      </c>
      <c r="O1" s="98"/>
      <c r="P1" s="98"/>
      <c r="Q1" s="98"/>
      <c r="R1" s="192" t="s">
        <v>117</v>
      </c>
      <c r="S1" s="192"/>
      <c r="T1" s="192"/>
      <c r="U1" s="192" t="s">
        <v>118</v>
      </c>
      <c r="V1" s="192"/>
      <c r="W1" s="86"/>
    </row>
    <row r="2" spans="1:23" ht="18.75" customHeight="1" x14ac:dyDescent="0.2">
      <c r="A2" s="119" t="s">
        <v>45</v>
      </c>
      <c r="B2" s="119"/>
      <c r="C2" s="119"/>
      <c r="D2" s="119"/>
      <c r="E2" s="119"/>
      <c r="F2" s="123"/>
      <c r="G2" s="123"/>
      <c r="H2" s="123"/>
      <c r="I2" s="94"/>
      <c r="J2" s="94"/>
      <c r="K2" s="94"/>
      <c r="L2" s="94"/>
      <c r="M2" s="95"/>
      <c r="N2" s="89"/>
      <c r="O2" s="89"/>
      <c r="P2" s="89"/>
      <c r="Q2" s="89"/>
      <c r="R2" s="89" t="s">
        <v>119</v>
      </c>
      <c r="S2" s="89" t="s">
        <v>120</v>
      </c>
      <c r="T2" s="89"/>
      <c r="U2" s="89" t="s">
        <v>119</v>
      </c>
      <c r="V2" s="89" t="s">
        <v>120</v>
      </c>
      <c r="W2" s="90"/>
    </row>
    <row r="3" spans="1:23" ht="21.75" customHeight="1" x14ac:dyDescent="0.2">
      <c r="A3" s="94" t="s">
        <v>173</v>
      </c>
      <c r="B3" s="94"/>
      <c r="C3" s="94"/>
      <c r="D3" s="94"/>
      <c r="E3" s="94"/>
      <c r="F3" s="123" t="s">
        <v>155</v>
      </c>
      <c r="G3" s="123"/>
      <c r="H3" s="123"/>
      <c r="I3" s="94" t="s">
        <v>229</v>
      </c>
      <c r="J3" s="94"/>
      <c r="K3" s="94"/>
      <c r="L3" s="94"/>
      <c r="M3" s="96"/>
      <c r="N3" s="91"/>
      <c r="O3" s="91"/>
      <c r="P3" s="91"/>
      <c r="Q3" s="91"/>
      <c r="R3" s="91"/>
      <c r="S3" s="91" t="s">
        <v>121</v>
      </c>
      <c r="T3" s="91"/>
      <c r="U3" s="91"/>
      <c r="V3" s="91" t="s">
        <v>121</v>
      </c>
      <c r="W3" s="92"/>
    </row>
    <row r="4" spans="1:23" ht="29.25" customHeight="1" x14ac:dyDescent="0.2">
      <c r="A4" s="119" t="s">
        <v>46</v>
      </c>
      <c r="B4" s="119"/>
      <c r="C4" s="119"/>
      <c r="D4" s="119"/>
      <c r="E4" s="119"/>
      <c r="F4" s="123"/>
      <c r="G4" s="123"/>
      <c r="H4" s="123"/>
      <c r="I4" s="94"/>
      <c r="J4" s="94"/>
      <c r="K4" s="94"/>
      <c r="L4" s="94"/>
      <c r="M4" s="9"/>
      <c r="N4" s="189" t="s">
        <v>122</v>
      </c>
      <c r="O4" s="189"/>
      <c r="P4" s="189"/>
      <c r="Q4" s="189"/>
      <c r="R4" s="7"/>
      <c r="S4" s="84"/>
      <c r="T4" s="85"/>
      <c r="U4" s="7"/>
      <c r="V4" s="84"/>
      <c r="W4" s="88"/>
    </row>
    <row r="5" spans="1:23" ht="36.75" customHeight="1" x14ac:dyDescent="0.2">
      <c r="A5" s="206" t="s">
        <v>159</v>
      </c>
      <c r="B5" s="206"/>
      <c r="C5" s="206"/>
      <c r="D5" s="206"/>
      <c r="E5" s="206"/>
      <c r="F5" s="123" t="s">
        <v>156</v>
      </c>
      <c r="G5" s="123"/>
      <c r="H5" s="123"/>
      <c r="I5" s="206" t="s">
        <v>367</v>
      </c>
      <c r="J5" s="206"/>
      <c r="K5" s="206"/>
      <c r="L5" s="206"/>
      <c r="M5" s="9"/>
      <c r="N5" s="190" t="s">
        <v>123</v>
      </c>
      <c r="O5" s="190"/>
      <c r="P5" s="190"/>
      <c r="Q5" s="190"/>
      <c r="R5" s="7"/>
      <c r="S5" s="84"/>
      <c r="T5" s="85"/>
      <c r="U5" s="7"/>
      <c r="V5" s="84"/>
      <c r="W5" s="88"/>
    </row>
    <row r="6" spans="1:23" ht="34.5" customHeight="1" x14ac:dyDescent="0.2">
      <c r="A6" s="119" t="s">
        <v>47</v>
      </c>
      <c r="B6" s="119"/>
      <c r="C6" s="119"/>
      <c r="D6" s="119"/>
      <c r="E6" s="119"/>
      <c r="F6" s="123"/>
      <c r="G6" s="123"/>
      <c r="H6" s="123"/>
      <c r="I6" s="206"/>
      <c r="J6" s="206"/>
      <c r="K6" s="206"/>
      <c r="L6" s="206"/>
      <c r="M6" s="9"/>
      <c r="N6" s="190" t="s">
        <v>124</v>
      </c>
      <c r="O6" s="190"/>
      <c r="P6" s="190"/>
      <c r="Q6" s="190"/>
      <c r="R6" s="7"/>
      <c r="S6" s="84"/>
      <c r="T6" s="85"/>
      <c r="U6" s="7"/>
      <c r="V6" s="84"/>
      <c r="W6" s="88"/>
    </row>
    <row r="7" spans="1:23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191" t="s">
        <v>125</v>
      </c>
      <c r="O7" s="191"/>
      <c r="P7" s="191"/>
      <c r="Q7" s="191"/>
      <c r="R7" s="7"/>
      <c r="S7" s="84"/>
      <c r="T7" s="85"/>
      <c r="U7" s="7"/>
      <c r="V7" s="84"/>
      <c r="W7" s="88"/>
    </row>
    <row r="8" spans="1:23" ht="22.5" x14ac:dyDescent="0.2">
      <c r="A8" s="116" t="s">
        <v>0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190" t="s">
        <v>126</v>
      </c>
      <c r="O8" s="190"/>
      <c r="P8" s="190"/>
      <c r="Q8" s="190"/>
      <c r="R8" s="7"/>
      <c r="S8" s="84"/>
      <c r="T8" s="85"/>
      <c r="U8" s="7"/>
      <c r="V8" s="84"/>
      <c r="W8" s="88"/>
    </row>
    <row r="9" spans="1:23" ht="18.75" customHeight="1" x14ac:dyDescent="0.2">
      <c r="A9" s="193" t="s">
        <v>152</v>
      </c>
      <c r="B9" s="193"/>
      <c r="C9" s="193"/>
      <c r="D9" s="193"/>
      <c r="E9" s="193"/>
      <c r="F9" s="135" t="s">
        <v>375</v>
      </c>
      <c r="G9" s="136"/>
      <c r="H9" s="136"/>
      <c r="I9" s="111" t="s">
        <v>376</v>
      </c>
      <c r="J9" s="111"/>
      <c r="K9" s="111"/>
      <c r="L9" s="111"/>
      <c r="M9" s="111"/>
      <c r="N9" s="190" t="s">
        <v>127</v>
      </c>
      <c r="O9" s="190"/>
      <c r="P9" s="190"/>
      <c r="Q9" s="190"/>
      <c r="R9" s="7"/>
      <c r="S9" s="84"/>
      <c r="T9" s="85"/>
      <c r="U9" s="7"/>
      <c r="V9" s="84"/>
      <c r="W9" s="88"/>
    </row>
    <row r="10" spans="1:23" ht="19.5" customHeight="1" x14ac:dyDescent="0.2">
      <c r="A10" s="193" t="s">
        <v>151</v>
      </c>
      <c r="B10" s="193"/>
      <c r="C10" s="136" t="s">
        <v>185</v>
      </c>
      <c r="D10" s="136"/>
      <c r="E10" s="136"/>
      <c r="F10" s="136"/>
      <c r="G10" s="136"/>
      <c r="H10" s="136"/>
      <c r="I10" s="3"/>
      <c r="J10" s="3"/>
      <c r="K10" s="3"/>
      <c r="L10" s="3"/>
      <c r="M10" s="9"/>
      <c r="N10" s="191" t="s">
        <v>128</v>
      </c>
      <c r="O10" s="191"/>
      <c r="P10" s="191"/>
      <c r="Q10" s="191"/>
      <c r="R10" s="7"/>
      <c r="S10" s="84"/>
      <c r="T10" s="85"/>
      <c r="U10" s="7"/>
      <c r="V10" s="84"/>
      <c r="W10" s="88"/>
    </row>
    <row r="11" spans="1:23" x14ac:dyDescent="0.2">
      <c r="A11" s="188" t="s">
        <v>1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9"/>
      <c r="N11" s="196" t="s">
        <v>129</v>
      </c>
      <c r="O11" s="196"/>
      <c r="P11" s="196"/>
      <c r="Q11" s="196"/>
      <c r="R11" s="7"/>
      <c r="S11" s="84"/>
      <c r="T11" s="85"/>
      <c r="U11" s="7"/>
      <c r="V11" s="84"/>
      <c r="W11" s="88"/>
    </row>
    <row r="12" spans="1:23" ht="20.100000000000001" customHeight="1" x14ac:dyDescent="0.2">
      <c r="A12" s="87" t="s">
        <v>2</v>
      </c>
      <c r="B12" s="192" t="s">
        <v>36</v>
      </c>
      <c r="C12" s="192"/>
      <c r="D12" s="192"/>
      <c r="E12" s="192"/>
      <c r="F12" s="192" t="s">
        <v>5</v>
      </c>
      <c r="G12" s="192"/>
      <c r="H12" s="101" t="s">
        <v>34</v>
      </c>
      <c r="I12" s="104"/>
      <c r="J12" s="104"/>
      <c r="K12" s="104"/>
      <c r="L12" s="104"/>
      <c r="N12" s="1"/>
      <c r="O12" s="1"/>
      <c r="P12" s="1"/>
      <c r="Q12" s="1"/>
    </row>
    <row r="13" spans="1:23" ht="20.100000000000001" customHeight="1" x14ac:dyDescent="0.2">
      <c r="A13" s="87"/>
      <c r="B13" s="192" t="s">
        <v>3</v>
      </c>
      <c r="C13" s="192"/>
      <c r="D13" s="192" t="s">
        <v>4</v>
      </c>
      <c r="E13" s="192"/>
      <c r="F13" s="192"/>
      <c r="G13" s="192"/>
      <c r="H13" s="92" t="s">
        <v>35</v>
      </c>
      <c r="I13" s="103"/>
      <c r="J13" s="103"/>
      <c r="K13" s="103"/>
      <c r="L13" s="103"/>
    </row>
    <row r="14" spans="1:23" ht="20.100000000000001" customHeight="1" x14ac:dyDescent="0.2">
      <c r="A14" s="5" t="s">
        <v>6</v>
      </c>
      <c r="B14" s="7"/>
      <c r="C14" s="5"/>
      <c r="D14" s="97"/>
      <c r="E14" s="97"/>
      <c r="F14" s="194" t="str">
        <f t="shared" ref="F14:F40" si="0">IF(OR(B14="",D14=""),"",IF(ISERROR(D14/B14),IF(D14=0,0,""),D14/B14))</f>
        <v/>
      </c>
      <c r="G14" s="194"/>
      <c r="H14" s="97"/>
      <c r="I14" s="97"/>
      <c r="J14" s="97"/>
      <c r="K14" s="97"/>
      <c r="L14" s="97"/>
      <c r="M14" s="87" t="s">
        <v>115</v>
      </c>
      <c r="N14" s="192" t="s">
        <v>116</v>
      </c>
      <c r="O14" s="192"/>
      <c r="P14" s="192"/>
      <c r="Q14" s="192"/>
      <c r="R14" s="192" t="s">
        <v>117</v>
      </c>
      <c r="S14" s="192"/>
      <c r="T14" s="192"/>
      <c r="U14" s="192" t="s">
        <v>130</v>
      </c>
      <c r="V14" s="192" t="s">
        <v>69</v>
      </c>
      <c r="W14" s="86" t="s">
        <v>131</v>
      </c>
    </row>
    <row r="15" spans="1:23" ht="20.100000000000001" customHeight="1" x14ac:dyDescent="0.2">
      <c r="A15" s="5" t="s">
        <v>7</v>
      </c>
      <c r="B15" s="5"/>
      <c r="C15" s="5"/>
      <c r="D15" s="192"/>
      <c r="E15" s="192"/>
      <c r="F15" s="194" t="str">
        <f t="shared" si="0"/>
        <v/>
      </c>
      <c r="G15" s="194"/>
      <c r="H15" s="97"/>
      <c r="I15" s="97"/>
      <c r="J15" s="97"/>
      <c r="K15" s="97"/>
      <c r="L15" s="97"/>
      <c r="M15" s="87"/>
      <c r="N15" s="192"/>
      <c r="O15" s="192"/>
      <c r="P15" s="192"/>
      <c r="Q15" s="192"/>
      <c r="R15" s="197" t="s">
        <v>130</v>
      </c>
      <c r="S15" s="192" t="s">
        <v>69</v>
      </c>
      <c r="T15" s="192" t="s">
        <v>131</v>
      </c>
      <c r="U15" s="192"/>
      <c r="V15" s="192"/>
      <c r="W15" s="86"/>
    </row>
    <row r="16" spans="1:23" ht="20.100000000000001" customHeight="1" x14ac:dyDescent="0.2">
      <c r="A16" s="5" t="s">
        <v>8</v>
      </c>
      <c r="B16" s="21">
        <f>'Ячейка 30'!D19+'Ячейка 27'!D19+'Ячейка 10'!D19+'Ячейка 16'!D19+'Ячейка 14 '!D19+'Ячейка 13БОС'!D19+'Ячейка 32БОС'!D19+'ячейка 25БОС'!D19+'Ячейка 3Гео'!D19+'Ячейка 26Гео '!D19</f>
        <v>4103.7599999952363</v>
      </c>
      <c r="C16" s="21"/>
      <c r="D16" s="198">
        <f>'Ячейка 30'!H19+'Ячейка 27'!H19+'Ячейка 10'!H19+'Ячейка 16'!H19+'Ячейка 14 '!H19+'Ячейка 13БОС'!H19+'Ячейка 32БОС'!H19+'ячейка 25БОС'!H19+'Ячейка 3Гео'!H19+'Ячейка 26Гео '!H19</f>
        <v>2826.5999999955056</v>
      </c>
      <c r="E16" s="198"/>
      <c r="F16" s="194">
        <f t="shared" si="0"/>
        <v>0.68878296976401809</v>
      </c>
      <c r="G16" s="194"/>
      <c r="H16" s="97"/>
      <c r="I16" s="97"/>
      <c r="J16" s="97"/>
      <c r="K16" s="97"/>
      <c r="L16" s="97"/>
      <c r="M16" s="87"/>
      <c r="N16" s="192"/>
      <c r="O16" s="192"/>
      <c r="P16" s="192"/>
      <c r="Q16" s="192"/>
      <c r="R16" s="197"/>
      <c r="S16" s="192"/>
      <c r="T16" s="192"/>
      <c r="U16" s="192"/>
      <c r="V16" s="192"/>
      <c r="W16" s="86"/>
    </row>
    <row r="17" spans="1:23" ht="20.100000000000001" customHeight="1" x14ac:dyDescent="0.2">
      <c r="A17" s="5" t="s">
        <v>9</v>
      </c>
      <c r="B17" s="38">
        <f>'Ячейка 30'!D20+'Ячейка 27'!D20+'Ячейка 10'!D20+'Ячейка 16'!D20+'Ячейка 14 '!D20+'Ячейка 13БОС'!D20+'Ячейка 32БОС'!D20+'ячейка 25БОС'!D20+'Ячейка 3Гео'!D20+'Ячейка 26Гео '!D20</f>
        <v>4079.5199999909528</v>
      </c>
      <c r="C17" s="21"/>
      <c r="D17" s="198">
        <f>'Ячейка 30'!H20+'Ячейка 27'!H20+'Ячейка 10'!H20+'Ячейка 16'!H20+'Ячейка 14 '!H20+'Ячейка 13БОС'!H20+'Ячейка 32БОС'!H20+'ячейка 25БОС'!H20+'Ячейка 3Гео'!H20+'Ячейка 26Гео '!H20</f>
        <v>2877.9600000049868</v>
      </c>
      <c r="E17" s="198"/>
      <c r="F17" s="194">
        <f t="shared" si="0"/>
        <v>0.70546534886735923</v>
      </c>
      <c r="G17" s="194"/>
      <c r="H17" s="97"/>
      <c r="I17" s="97"/>
      <c r="J17" s="97"/>
      <c r="K17" s="97"/>
      <c r="L17" s="97"/>
      <c r="M17" s="87"/>
      <c r="N17" s="192"/>
      <c r="O17" s="192"/>
      <c r="P17" s="192"/>
      <c r="Q17" s="192"/>
      <c r="R17" s="197"/>
      <c r="S17" s="192"/>
      <c r="T17" s="192"/>
      <c r="U17" s="192"/>
      <c r="V17" s="192"/>
      <c r="W17" s="86"/>
    </row>
    <row r="18" spans="1:23" ht="20.100000000000001" customHeight="1" x14ac:dyDescent="0.2">
      <c r="A18" s="5" t="s">
        <v>10</v>
      </c>
      <c r="B18" s="38">
        <f>'Ячейка 30'!D21+'Ячейка 27'!D21+'Ячейка 10'!D21+'Ячейка 16'!D21+'Ячейка 14 '!D21+'Ячейка 13БОС'!D21+'Ячейка 32БОС'!D21+'ячейка 25БОС'!D21+'Ячейка 3Гео'!D21+'Ячейка 26Гео '!D21</f>
        <v>4020.3600000077131</v>
      </c>
      <c r="C18" s="21"/>
      <c r="D18" s="198">
        <f>'Ячейка 30'!H21+'Ячейка 27'!H21+'Ячейка 10'!H21+'Ячейка 16'!H21+'Ячейка 14 '!H21+'Ячейка 13БОС'!H21+'Ячейка 32БОС'!H21+'ячейка 25БОС'!H21+'Ячейка 3Гео'!H21+'Ячейка 26Гео '!H21</f>
        <v>2873.6400000014328</v>
      </c>
      <c r="E18" s="198"/>
      <c r="F18" s="194">
        <f t="shared" si="0"/>
        <v>0.71477181147855406</v>
      </c>
      <c r="G18" s="194"/>
      <c r="H18" s="97"/>
      <c r="I18" s="97"/>
      <c r="J18" s="97"/>
      <c r="K18" s="97"/>
      <c r="L18" s="97"/>
      <c r="M18" s="87"/>
      <c r="N18" s="192"/>
      <c r="O18" s="192"/>
      <c r="P18" s="192"/>
      <c r="Q18" s="192"/>
      <c r="R18" s="197"/>
      <c r="S18" s="192"/>
      <c r="T18" s="192"/>
      <c r="U18" s="192"/>
      <c r="V18" s="192"/>
      <c r="W18" s="86"/>
    </row>
    <row r="19" spans="1:23" ht="20.100000000000001" customHeight="1" x14ac:dyDescent="0.2">
      <c r="A19" s="5" t="s">
        <v>11</v>
      </c>
      <c r="B19" s="38">
        <f>'Ячейка 30'!D22+'Ячейка 27'!D22+'Ячейка 10'!D22+'Ячейка 16'!D22+'Ячейка 14 '!D22+'Ячейка 13БОС'!D22+'Ячейка 32БОС'!D22+'ячейка 25БОС'!D22+'Ячейка 3Гео'!D22+'Ячейка 26Гео '!D22</f>
        <v>4032.3600000167062</v>
      </c>
      <c r="C19" s="21"/>
      <c r="D19" s="198">
        <f>'Ячейка 30'!H22+'Ячейка 27'!H22+'Ячейка 10'!H22+'Ячейка 16'!H22+'Ячейка 14 '!H22+'Ячейка 13БОС'!H22+'Ячейка 32БОС'!H22+'ячейка 25БОС'!H22+'Ячейка 3Гео'!H22+'Ячейка 26Гео '!H22</f>
        <v>2928.8400000058573</v>
      </c>
      <c r="E19" s="198"/>
      <c r="F19" s="194">
        <f t="shared" si="0"/>
        <v>0.72633395827597813</v>
      </c>
      <c r="G19" s="194"/>
      <c r="H19" s="97"/>
      <c r="I19" s="97"/>
      <c r="J19" s="97"/>
      <c r="K19" s="97"/>
      <c r="L19" s="97"/>
      <c r="M19" s="9"/>
      <c r="N19" s="189" t="s">
        <v>132</v>
      </c>
      <c r="O19" s="189"/>
      <c r="P19" s="189"/>
      <c r="Q19" s="189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38">
        <f>'Ячейка 30'!D23+'Ячейка 27'!D23+'Ячейка 10'!D23+'Ячейка 16'!D23+'Ячейка 14 '!D23+'Ячейка 13БОС'!D23+'Ячейка 32БОС'!D23+'ячейка 25БОС'!D23+'Ячейка 3Гео'!D23+'Ячейка 26Гео '!D23</f>
        <v>3930.9599999860211</v>
      </c>
      <c r="C20" s="21"/>
      <c r="D20" s="198">
        <f>'Ячейка 30'!H23+'Ячейка 27'!H23+'Ячейка 10'!H23+'Ячейка 16'!H23+'Ячейка 14 '!H23+'Ячейка 13БОС'!H23+'Ячейка 32БОС'!H23+'ячейка 25БОС'!H23+'Ячейка 3Гео'!H23+'Ячейка 26Гео '!H23</f>
        <v>2885.7599999970262</v>
      </c>
      <c r="E20" s="198"/>
      <c r="F20" s="194">
        <f t="shared" si="0"/>
        <v>0.73411075157398908</v>
      </c>
      <c r="G20" s="194"/>
      <c r="H20" s="97"/>
      <c r="I20" s="97"/>
      <c r="J20" s="97"/>
      <c r="K20" s="97"/>
      <c r="L20" s="97"/>
      <c r="M20" s="9"/>
      <c r="N20" s="190" t="s">
        <v>133</v>
      </c>
      <c r="O20" s="190"/>
      <c r="P20" s="190"/>
      <c r="Q20" s="190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38">
        <f>'Ячейка 30'!D24+'Ячейка 27'!D24+'Ячейка 10'!D24+'Ячейка 16'!D24+'Ячейка 14 '!D24+'Ячейка 13БОС'!D24+'Ячейка 32БОС'!D24+'ячейка 25БОС'!D24+'Ячейка 3Гео'!D24+'Ячейка 26Гео '!D24</f>
        <v>3751.4400000040041</v>
      </c>
      <c r="C21" s="21"/>
      <c r="D21" s="198">
        <f>'Ячейка 30'!H24+'Ячейка 27'!H24+'Ячейка 10'!H24+'Ячейка 16'!H24+'Ячейка 14 '!H24+'Ячейка 13БОС'!H24+'Ячейка 32БОС'!H24+'ячейка 25БОС'!H24+'Ячейка 3Гео'!H24+'Ячейка 26Гео '!H24</f>
        <v>2778.7199999998847</v>
      </c>
      <c r="E21" s="198"/>
      <c r="F21" s="194">
        <f t="shared" si="0"/>
        <v>0.74070756829295392</v>
      </c>
      <c r="G21" s="194"/>
      <c r="H21" s="97"/>
      <c r="I21" s="97"/>
      <c r="J21" s="97"/>
      <c r="K21" s="97"/>
      <c r="L21" s="97"/>
      <c r="M21" s="9"/>
      <c r="N21" s="195" t="s">
        <v>134</v>
      </c>
      <c r="O21" s="195"/>
      <c r="P21" s="195"/>
      <c r="Q21" s="195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38">
        <f>'Ячейка 30'!D25+'Ячейка 27'!D25+'Ячейка 10'!D25+'Ячейка 16'!D25+'Ячейка 14 '!D25+'Ячейка 13БОС'!D25+'Ячейка 32БОС'!D25+'ячейка 25БОС'!D25+'Ячейка 3Гео'!D25+'Ячейка 26Гео '!D25</f>
        <v>3764.999999992142</v>
      </c>
      <c r="C22" s="21"/>
      <c r="D22" s="198">
        <f>'Ячейка 30'!H25+'Ячейка 27'!H25+'Ячейка 10'!H25+'Ячейка 16'!H25+'Ячейка 14 '!H25+'Ячейка 13БОС'!H25+'Ячейка 32БОС'!H25+'ячейка 25БОС'!H25+'Ячейка 3Гео'!H25+'Ячейка 26Гео '!H25</f>
        <v>2682.5999999950909</v>
      </c>
      <c r="E22" s="198"/>
      <c r="F22" s="194">
        <f t="shared" si="0"/>
        <v>0.71250996015954582</v>
      </c>
      <c r="G22" s="194"/>
      <c r="H22" s="97"/>
      <c r="I22" s="97"/>
      <c r="J22" s="97"/>
      <c r="K22" s="97"/>
      <c r="L22" s="97"/>
    </row>
    <row r="23" spans="1:23" ht="20.100000000000001" customHeight="1" x14ac:dyDescent="0.2">
      <c r="A23" s="5" t="s">
        <v>15</v>
      </c>
      <c r="B23" s="38">
        <f>'Ячейка 30'!D26+'Ячейка 27'!D26+'Ячейка 10'!D26+'Ячейка 16'!D26+'Ячейка 14 '!D26+'Ячейка 13БОС'!D26+'Ячейка 32БОС'!D26+'ячейка 25БОС'!D26+'Ячейка 3Гео'!D26+'Ячейка 26Гео '!D26</f>
        <v>3965.1600000051985</v>
      </c>
      <c r="C23" s="21"/>
      <c r="D23" s="198">
        <f>'Ячейка 30'!H26+'Ячейка 27'!H26+'Ячейка 10'!H26+'Ячейка 16'!H26+'Ячейка 14 '!H26+'Ячейка 13БОС'!H26+'Ячейка 32БОС'!H26+'ячейка 25БОС'!H26+'Ячейка 3Гео'!H26+'Ячейка 26Гео '!H26</f>
        <v>2703.719999997702</v>
      </c>
      <c r="E23" s="198"/>
      <c r="F23" s="194">
        <f t="shared" si="0"/>
        <v>0.68186907968257449</v>
      </c>
      <c r="G23" s="194"/>
      <c r="H23" s="97"/>
      <c r="I23" s="97"/>
      <c r="J23" s="97"/>
      <c r="K23" s="97"/>
      <c r="L23" s="97"/>
    </row>
    <row r="24" spans="1:23" ht="20.100000000000001" customHeight="1" x14ac:dyDescent="0.2">
      <c r="A24" s="5" t="s">
        <v>16</v>
      </c>
      <c r="B24" s="38">
        <f>'Ячейка 30'!D27+'Ячейка 27'!D27+'Ячейка 10'!D27+'Ячейка 16'!D27+'Ячейка 14 '!D27+'Ячейка 13БОС'!D27+'Ячейка 32БОС'!D27+'ячейка 25БОС'!D27+'Ячейка 3Гео'!D27+'Ячейка 26Гео '!D27</f>
        <v>4099.0799999824958</v>
      </c>
      <c r="C24" s="21"/>
      <c r="D24" s="198">
        <f>'Ячейка 30'!H27+'Ячейка 27'!H27+'Ячейка 10'!H27+'Ячейка 16'!H27+'Ячейка 14 '!H27+'Ячейка 13БОС'!H27+'Ячейка 32БОС'!H27+'ячейка 25БОС'!H27+'Ячейка 3Гео'!H27+'Ячейка 26Гео '!H27</f>
        <v>2679.5999999991182</v>
      </c>
      <c r="E24" s="198"/>
      <c r="F24" s="194">
        <f t="shared" si="0"/>
        <v>0.65370766123387702</v>
      </c>
      <c r="G24" s="194"/>
      <c r="H24" s="97"/>
      <c r="I24" s="97"/>
      <c r="J24" s="97"/>
      <c r="K24" s="97"/>
      <c r="L24" s="97"/>
      <c r="N24" s="118" t="s">
        <v>135</v>
      </c>
      <c r="O24" s="118"/>
      <c r="P24" s="118"/>
      <c r="Q24" s="118"/>
      <c r="R24" s="118"/>
      <c r="S24" s="118"/>
      <c r="T24" s="118"/>
      <c r="U24" s="118"/>
      <c r="V24" s="118"/>
    </row>
    <row r="25" spans="1:23" ht="20.100000000000001" customHeight="1" x14ac:dyDescent="0.2">
      <c r="A25" s="5" t="s">
        <v>17</v>
      </c>
      <c r="B25" s="38">
        <f>'Ячейка 30'!D28+'Ячейка 27'!D28+'Ячейка 10'!D28+'Ячейка 16'!D28+'Ячейка 14 '!D28+'Ячейка 13БОС'!D28+'Ячейка 32БОС'!D28+'ячейка 25БОС'!D28+'Ячейка 3Гео'!D28+'Ячейка 26Гео '!D28</f>
        <v>4110.60000001562</v>
      </c>
      <c r="C25" s="21"/>
      <c r="D25" s="198">
        <f>'Ячейка 30'!H28+'Ячейка 27'!H28+'Ячейка 10'!H28+'Ячейка 16'!H28+'Ячейка 14 '!H28+'Ячейка 13БОС'!H28+'Ячейка 32БОС'!H28+'ячейка 25БОС'!H28+'Ячейка 3Гео'!H28+'Ячейка 26Гео '!H28</f>
        <v>2610.1200000045537</v>
      </c>
      <c r="E25" s="198"/>
      <c r="F25" s="194">
        <f t="shared" si="0"/>
        <v>0.63497299664152085</v>
      </c>
      <c r="G25" s="194"/>
      <c r="H25" s="97"/>
      <c r="I25" s="97"/>
      <c r="J25" s="97"/>
      <c r="K25" s="97"/>
      <c r="L25" s="97"/>
      <c r="N25" s="17" t="s">
        <v>136</v>
      </c>
      <c r="O25" s="118" t="s">
        <v>137</v>
      </c>
      <c r="P25" s="118"/>
      <c r="Q25" s="118"/>
      <c r="R25" s="118"/>
      <c r="S25" s="118"/>
      <c r="T25" s="118"/>
      <c r="U25" s="118"/>
      <c r="V25" s="118"/>
    </row>
    <row r="26" spans="1:23" ht="20.100000000000001" customHeight="1" x14ac:dyDescent="0.2">
      <c r="A26" s="5" t="s">
        <v>18</v>
      </c>
      <c r="B26" s="38">
        <f>'Ячейка 30'!D29+'Ячейка 27'!D29+'Ячейка 10'!D29+'Ячейка 16'!D29+'Ячейка 14 '!D29+'Ячейка 13БОС'!D29+'Ячейка 32БОС'!D29+'ячейка 25БОС'!D29+'Ячейка 3Гео'!D29+'Ячейка 26Гео '!D29</f>
        <v>4019.4000000014057</v>
      </c>
      <c r="C26" s="21"/>
      <c r="D26" s="198">
        <f>'Ячейка 30'!H29+'Ячейка 27'!H29+'Ячейка 10'!H29+'Ячейка 16'!H29+'Ячейка 14 '!H29+'Ячейка 13БОС'!H29+'Ячейка 32БОС'!H29+'ячейка 25БОС'!H29+'Ячейка 3Гео'!H29+'Ячейка 26Гео '!H29</f>
        <v>2544.8399999977482</v>
      </c>
      <c r="E26" s="198"/>
      <c r="F26" s="194">
        <f t="shared" si="0"/>
        <v>0.63313927451780316</v>
      </c>
      <c r="G26" s="194"/>
      <c r="H26" s="97"/>
      <c r="I26" s="97"/>
      <c r="J26" s="97"/>
      <c r="K26" s="97"/>
      <c r="L26" s="97"/>
      <c r="N26" s="17" t="s">
        <v>138</v>
      </c>
      <c r="O26" s="118" t="s">
        <v>180</v>
      </c>
      <c r="P26" s="118"/>
      <c r="Q26" s="118"/>
      <c r="R26" s="118"/>
      <c r="S26" s="118"/>
      <c r="T26" s="118"/>
      <c r="U26" s="118"/>
      <c r="V26" s="118"/>
    </row>
    <row r="27" spans="1:23" ht="20.100000000000001" customHeight="1" x14ac:dyDescent="0.2">
      <c r="A27" s="5" t="s">
        <v>19</v>
      </c>
      <c r="B27" s="38">
        <f>'Ячейка 30'!D30+'Ячейка 27'!D30+'Ячейка 10'!D30+'Ячейка 16'!D30+'Ячейка 14 '!D30+'Ячейка 13БОС'!D30+'Ячейка 32БОС'!D30+'ячейка 25БОС'!D30+'Ячейка 3Гео'!D30+'Ячейка 26Гео '!D30</f>
        <v>4071.1199999870587</v>
      </c>
      <c r="C27" s="21"/>
      <c r="D27" s="198">
        <f>'Ячейка 30'!H30+'Ячейка 27'!H30+'Ячейка 10'!H30+'Ячейка 16'!H30+'Ячейка 14 '!H30+'Ячейка 13БОС'!H30+'Ячейка 32БОС'!H30+'ячейка 25БОС'!H30+'Ячейка 3Гео'!H30+'Ячейка 26Гео '!H30</f>
        <v>2587.4400000001515</v>
      </c>
      <c r="E27" s="198"/>
      <c r="F27" s="194">
        <f t="shared" si="0"/>
        <v>0.63555974768819801</v>
      </c>
      <c r="G27" s="194"/>
      <c r="H27" s="97"/>
      <c r="I27" s="97"/>
      <c r="J27" s="97"/>
      <c r="K27" s="97"/>
      <c r="L27" s="97"/>
      <c r="N27" s="17" t="s">
        <v>139</v>
      </c>
      <c r="O27" s="118" t="s">
        <v>140</v>
      </c>
      <c r="P27" s="118"/>
      <c r="Q27" s="118"/>
      <c r="R27" s="118"/>
      <c r="S27" s="118"/>
      <c r="T27" s="118"/>
      <c r="U27" s="118"/>
      <c r="V27" s="118"/>
    </row>
    <row r="28" spans="1:23" ht="20.100000000000001" customHeight="1" x14ac:dyDescent="0.2">
      <c r="A28" s="5" t="s">
        <v>20</v>
      </c>
      <c r="B28" s="38">
        <f>'Ячейка 30'!D31+'Ячейка 27'!D31+'Ячейка 10'!D31+'Ячейка 16'!D31+'Ячейка 14 '!D31+'Ячейка 13БОС'!D31+'Ячейка 32БОС'!D31+'ячейка 25БОС'!D31+'Ячейка 3Гео'!D31+'Ячейка 26Гео '!D31</f>
        <v>4039.9200000014389</v>
      </c>
      <c r="C28" s="21"/>
      <c r="D28" s="198">
        <f>'Ячейка 30'!H31+'Ячейка 27'!H31+'Ячейка 10'!H31+'Ячейка 16'!H31+'Ячейка 14 '!H31+'Ячейка 13БОС'!H31+'Ячейка 32БОС'!H31+'ячейка 25БОС'!H31+'Ячейка 3Гео'!H31+'Ячейка 26Гео '!H31</f>
        <v>2568.9600000077917</v>
      </c>
      <c r="E28" s="198"/>
      <c r="F28" s="194">
        <f t="shared" si="0"/>
        <v>0.63589378007655517</v>
      </c>
      <c r="G28" s="194"/>
      <c r="H28" s="97"/>
      <c r="I28" s="97"/>
      <c r="J28" s="97"/>
      <c r="K28" s="97"/>
      <c r="L28" s="97"/>
      <c r="N28" s="17"/>
      <c r="O28" s="118" t="s">
        <v>141</v>
      </c>
      <c r="P28" s="118"/>
      <c r="Q28" s="118"/>
      <c r="R28" s="118"/>
      <c r="S28" s="118"/>
      <c r="T28" s="118"/>
      <c r="U28" s="118"/>
      <c r="V28" s="118"/>
    </row>
    <row r="29" spans="1:23" ht="20.100000000000001" customHeight="1" x14ac:dyDescent="0.2">
      <c r="A29" s="5" t="s">
        <v>21</v>
      </c>
      <c r="B29" s="38">
        <f>'Ячейка 30'!D32+'Ячейка 27'!D32+'Ячейка 10'!D32+'Ячейка 16'!D32+'Ячейка 14 '!D32+'Ячейка 13БОС'!D32+'Ячейка 32БОС'!D32+'ячейка 25БОС'!D32+'Ячейка 3Гео'!D32+'Ячейка 26Гео '!D32</f>
        <v>4063.6800000025687</v>
      </c>
      <c r="C29" s="21"/>
      <c r="D29" s="198">
        <f>'Ячейка 30'!H32+'Ячейка 27'!H32+'Ячейка 10'!H32+'Ячейка 16'!H32+'Ячейка 14 '!H32+'Ячейка 13БОС'!H32+'Ячейка 32БОС'!H32+'ячейка 25БОС'!H32+'Ячейка 3Гео'!H32+'Ячейка 26Гео '!H32</f>
        <v>2599.4399999900452</v>
      </c>
      <c r="E29" s="198"/>
      <c r="F29" s="194">
        <f t="shared" si="0"/>
        <v>0.63967635246584431</v>
      </c>
      <c r="G29" s="194"/>
      <c r="H29" s="97"/>
      <c r="I29" s="97"/>
      <c r="J29" s="97"/>
      <c r="K29" s="97"/>
      <c r="L29" s="97"/>
      <c r="N29" s="17"/>
      <c r="O29" s="118" t="s">
        <v>142</v>
      </c>
      <c r="P29" s="118"/>
      <c r="Q29" s="118"/>
      <c r="R29" s="118"/>
      <c r="S29" s="118"/>
      <c r="T29" s="118"/>
      <c r="U29" s="118"/>
      <c r="V29" s="118"/>
    </row>
    <row r="30" spans="1:23" ht="20.100000000000001" customHeight="1" x14ac:dyDescent="0.2">
      <c r="A30" s="5" t="s">
        <v>22</v>
      </c>
      <c r="B30" s="38">
        <f>'Ячейка 30'!D33+'Ячейка 27'!D33+'Ячейка 10'!D33+'Ячейка 16'!D33+'Ячейка 14 '!D33+'Ячейка 13БОС'!D33+'Ячейка 32БОС'!D33+'ячейка 25БОС'!D33+'Ячейка 3Гео'!D33+'Ячейка 26Гео '!D33</f>
        <v>3991.1999999989348</v>
      </c>
      <c r="C30" s="21"/>
      <c r="D30" s="198">
        <f>'Ячейка 30'!H33+'Ячейка 27'!H33+'Ячейка 10'!H33+'Ячейка 16'!H33+'Ячейка 14 '!H33+'Ячейка 13БОС'!H33+'Ячейка 32БОС'!H33+'ячейка 25БОС'!H33+'Ячейка 3Гео'!H33+'Ячейка 26Гео '!H33</f>
        <v>2491.6800000009971</v>
      </c>
      <c r="E30" s="198"/>
      <c r="F30" s="194">
        <f t="shared" si="0"/>
        <v>0.624293445580693</v>
      </c>
      <c r="G30" s="194"/>
      <c r="H30" s="97"/>
      <c r="I30" s="97"/>
      <c r="J30" s="97"/>
      <c r="K30" s="97"/>
      <c r="L30" s="97"/>
      <c r="N30" s="17" t="s">
        <v>143</v>
      </c>
      <c r="O30" s="118" t="s">
        <v>144</v>
      </c>
      <c r="P30" s="118"/>
      <c r="Q30" s="118"/>
      <c r="R30" s="118"/>
      <c r="S30" s="118"/>
      <c r="T30" s="118"/>
      <c r="U30" s="118"/>
      <c r="V30" s="118"/>
    </row>
    <row r="31" spans="1:23" ht="20.100000000000001" customHeight="1" x14ac:dyDescent="0.2">
      <c r="A31" s="5" t="s">
        <v>23</v>
      </c>
      <c r="B31" s="38">
        <f>'Ячейка 30'!D34+'Ячейка 27'!D34+'Ячейка 10'!D34+'Ячейка 16'!D34+'Ячейка 14 '!D34+'Ячейка 13БОС'!D34+'Ячейка 32БОС'!D34+'ячейка 25БОС'!D34+'Ячейка 3Гео'!D34+'Ячейка 26Гео '!D34</f>
        <v>4087.1999999901163</v>
      </c>
      <c r="C31" s="21"/>
      <c r="D31" s="198">
        <f>'Ячейка 30'!H34+'Ячейка 27'!H34+'Ячейка 10'!H34+'Ячейка 16'!H34+'Ячейка 14 '!H34+'Ячейка 13БОС'!H34+'Ячейка 32БОС'!H34+'ячейка 25БОС'!H34+'Ячейка 3Гео'!H34+'Ячейка 26Гео '!H34</f>
        <v>2570.7600000059756</v>
      </c>
      <c r="E31" s="198"/>
      <c r="F31" s="194">
        <f t="shared" si="0"/>
        <v>0.62897827363774517</v>
      </c>
      <c r="G31" s="194"/>
      <c r="H31" s="97"/>
      <c r="I31" s="97"/>
      <c r="J31" s="97"/>
      <c r="K31" s="97"/>
      <c r="L31" s="97"/>
      <c r="N31" s="17"/>
      <c r="O31" s="118" t="s">
        <v>145</v>
      </c>
      <c r="P31" s="118"/>
      <c r="Q31" s="118"/>
      <c r="R31" s="118"/>
      <c r="S31" s="118"/>
      <c r="T31" s="118"/>
      <c r="U31" s="118"/>
      <c r="V31" s="118"/>
    </row>
    <row r="32" spans="1:23" ht="20.100000000000001" customHeight="1" x14ac:dyDescent="0.2">
      <c r="A32" s="5" t="s">
        <v>24</v>
      </c>
      <c r="B32" s="38">
        <f>'Ячейка 30'!D35+'Ячейка 27'!D35+'Ячейка 10'!D35+'Ячейка 16'!D35+'Ячейка 14 '!D35+'Ячейка 13БОС'!D35+'Ячейка 32БОС'!D35+'ячейка 25БОС'!D35+'Ячейка 3Гео'!D35+'Ячейка 26Гео '!D35</f>
        <v>4045.2000000001135</v>
      </c>
      <c r="C32" s="21"/>
      <c r="D32" s="198">
        <f>'Ячейка 30'!H35+'Ячейка 27'!H35+'Ячейка 10'!H35+'Ячейка 16'!H35+'Ячейка 14 '!H35+'Ячейка 13БОС'!H35+'Ячейка 32БОС'!H35+'ячейка 25БОС'!H35+'Ячейка 3Гео'!H35+'Ячейка 26Гео '!H35</f>
        <v>2580.959999996594</v>
      </c>
      <c r="E32" s="198"/>
      <c r="F32" s="194">
        <f t="shared" si="0"/>
        <v>0.63803025808279479</v>
      </c>
      <c r="G32" s="194"/>
      <c r="H32" s="97"/>
      <c r="I32" s="97"/>
      <c r="J32" s="97"/>
      <c r="K32" s="97"/>
      <c r="L32" s="97"/>
      <c r="N32" s="17" t="s">
        <v>146</v>
      </c>
      <c r="O32" s="118" t="s">
        <v>147</v>
      </c>
      <c r="P32" s="118"/>
      <c r="Q32" s="118"/>
      <c r="R32" s="118"/>
      <c r="S32" s="118"/>
      <c r="T32" s="118"/>
      <c r="U32" s="118"/>
      <c r="V32" s="118"/>
    </row>
    <row r="33" spans="1:24" ht="20.100000000000001" customHeight="1" x14ac:dyDescent="0.2">
      <c r="A33" s="5" t="s">
        <v>25</v>
      </c>
      <c r="B33" s="38">
        <f>'Ячейка 30'!D36+'Ячейка 27'!D36+'Ячейка 10'!D36+'Ячейка 16'!D36+'Ячейка 14 '!D36+'Ячейка 13БОС'!D36+'Ячейка 32БОС'!D36+'ячейка 25БОС'!D36+'Ячейка 3Гео'!D36+'Ячейка 26Гео '!D36</f>
        <v>3870.8400000021356</v>
      </c>
      <c r="C33" s="21"/>
      <c r="D33" s="198">
        <f>'Ячейка 30'!H36+'Ячейка 27'!H36+'Ячейка 10'!H36+'Ячейка 16'!H36+'Ячейка 14 '!H36+'Ячейка 13БОС'!H36+'Ячейка 32БОС'!H36+'ячейка 25БОС'!H36+'Ячейка 3Гео'!H36+'Ячейка 26Гео '!H36</f>
        <v>2505.2400000003217</v>
      </c>
      <c r="E33" s="198"/>
      <c r="F33" s="194">
        <f t="shared" si="0"/>
        <v>0.64720835787553599</v>
      </c>
      <c r="G33" s="194"/>
      <c r="H33" s="97"/>
      <c r="I33" s="97"/>
      <c r="J33" s="97"/>
      <c r="K33" s="97"/>
      <c r="L33" s="97"/>
      <c r="N33" s="17" t="s">
        <v>148</v>
      </c>
      <c r="O33" s="118" t="s">
        <v>149</v>
      </c>
      <c r="P33" s="118"/>
      <c r="Q33" s="118"/>
      <c r="R33" s="118"/>
      <c r="S33" s="118"/>
      <c r="T33" s="118"/>
      <c r="U33" s="118"/>
      <c r="V33" s="118"/>
    </row>
    <row r="34" spans="1:24" ht="20.100000000000001" customHeight="1" x14ac:dyDescent="0.2">
      <c r="A34" s="5" t="s">
        <v>26</v>
      </c>
      <c r="B34" s="38">
        <f>'Ячейка 30'!D37+'Ячейка 27'!D37+'Ячейка 10'!D37+'Ячейка 16'!D37+'Ячейка 14 '!D37+'Ячейка 13БОС'!D37+'Ячейка 32БОС'!D37+'ячейка 25БОС'!D37+'Ячейка 3Гео'!D37+'Ячейка 26Гео '!D37</f>
        <v>3922.6800000251387</v>
      </c>
      <c r="C34" s="21"/>
      <c r="D34" s="198">
        <f>'Ячейка 30'!H37+'Ячейка 27'!H37+'Ячейка 10'!H37+'Ячейка 16'!H37+'Ячейка 14 '!H37+'Ячейка 13БОС'!H37+'Ячейка 32БОС'!H37+'ячейка 25БОС'!H37+'Ячейка 3Гео'!H37+'Ячейка 26Гео '!H37</f>
        <v>2512.1999999947548</v>
      </c>
      <c r="E34" s="198"/>
      <c r="F34" s="194">
        <f t="shared" si="0"/>
        <v>0.64042950227361273</v>
      </c>
      <c r="G34" s="194"/>
      <c r="H34" s="97"/>
      <c r="I34" s="97"/>
      <c r="J34" s="97"/>
      <c r="K34" s="97"/>
      <c r="L34" s="97"/>
    </row>
    <row r="35" spans="1:24" ht="20.100000000000001" customHeight="1" x14ac:dyDescent="0.2">
      <c r="A35" s="5" t="s">
        <v>27</v>
      </c>
      <c r="B35" s="38">
        <f>'Ячейка 30'!D38+'Ячейка 27'!D38+'Ячейка 10'!D38+'Ячейка 16'!D38+'Ячейка 14 '!D38+'Ячейка 13БОС'!D38+'Ячейка 32БОС'!D38+'ячейка 25БОС'!D38+'Ячейка 3Гео'!D38+'Ячейка 26Гео '!D38</f>
        <v>3934.5599999825936</v>
      </c>
      <c r="C35" s="21"/>
      <c r="D35" s="198">
        <f>'Ячейка 30'!H38+'Ячейка 27'!H38+'Ячейка 10'!H38+'Ячейка 16'!H38+'Ячейка 14 '!H38+'Ячейка 13БОС'!H38+'Ячейка 32БОС'!H38+'ячейка 25БОС'!H38+'Ячейка 3Гео'!H38+'Ячейка 26Гео '!H38</f>
        <v>2562.0000000065374</v>
      </c>
      <c r="E35" s="198"/>
      <c r="F35" s="194">
        <f t="shared" si="0"/>
        <v>0.65115286080727497</v>
      </c>
      <c r="G35" s="194"/>
      <c r="H35" s="97"/>
      <c r="I35" s="97"/>
      <c r="J35" s="97"/>
      <c r="K35" s="97"/>
      <c r="L35" s="97"/>
    </row>
    <row r="36" spans="1:24" ht="20.100000000000001" customHeight="1" x14ac:dyDescent="0.2">
      <c r="A36" s="5" t="s">
        <v>28</v>
      </c>
      <c r="B36" s="38">
        <f>'Ячейка 30'!D39+'Ячейка 27'!D39+'Ячейка 10'!D39+'Ячейка 16'!D39+'Ячейка 14 '!D39+'Ячейка 13БОС'!D39+'Ячейка 32БОС'!D39+'ячейка 25БОС'!D39+'Ячейка 3Гео'!D39+'Ячейка 26Гео '!D39</f>
        <v>3786.1199999901146</v>
      </c>
      <c r="C36" s="21"/>
      <c r="D36" s="198">
        <f>'Ячейка 30'!H39+'Ячейка 27'!H39+'Ячейка 10'!H39+'Ячейка 16'!H39+'Ячейка 14 '!H39+'Ячейка 13БОС'!H39+'Ячейка 32БОС'!H39+'ячейка 25БОС'!H39+'Ячейка 3Гео'!H39+'Ячейка 26Гео '!H39</f>
        <v>2450.6399999949281</v>
      </c>
      <c r="E36" s="198"/>
      <c r="F36" s="194">
        <f t="shared" si="0"/>
        <v>0.64726950017467133</v>
      </c>
      <c r="G36" s="194"/>
      <c r="H36" s="97"/>
      <c r="I36" s="97"/>
      <c r="J36" s="97"/>
      <c r="K36" s="97"/>
      <c r="L36" s="97"/>
    </row>
    <row r="37" spans="1:24" ht="20.100000000000001" customHeight="1" x14ac:dyDescent="0.2">
      <c r="A37" s="5" t="s">
        <v>29</v>
      </c>
      <c r="B37" s="38">
        <f>'Ячейка 30'!D40+'Ячейка 27'!D40+'Ячейка 10'!D40+'Ячейка 16'!D40+'Ячейка 14 '!D40+'Ячейка 13БОС'!D40+'Ячейка 32БОС'!D40+'ячейка 25БОС'!D40+'Ячейка 3Гео'!D40+'Ячейка 26Гео '!D40</f>
        <v>3741.8400000083066</v>
      </c>
      <c r="C37" s="21"/>
      <c r="D37" s="198">
        <f>'Ячейка 30'!H40+'Ячейка 27'!H40+'Ячейка 10'!H40+'Ячейка 16'!H40+'Ячейка 14 '!H40+'Ячейка 13БОС'!H40+'Ячейка 32БОС'!H40+'ячейка 25БОС'!H40+'Ячейка 3Гео'!H40+'Ячейка 26Гео '!H40</f>
        <v>2366.5200000024015</v>
      </c>
      <c r="E37" s="198"/>
      <c r="F37" s="194">
        <f t="shared" si="0"/>
        <v>0.63244820729832063</v>
      </c>
      <c r="G37" s="194"/>
      <c r="H37" s="97"/>
      <c r="I37" s="97"/>
      <c r="J37" s="97"/>
      <c r="K37" s="97"/>
      <c r="L37" s="97"/>
    </row>
    <row r="38" spans="1:24" ht="20.100000000000001" customHeight="1" x14ac:dyDescent="0.2">
      <c r="A38" s="5" t="s">
        <v>30</v>
      </c>
      <c r="B38" s="38">
        <f>'Ячейка 30'!D41+'Ячейка 27'!D41+'Ячейка 10'!D41+'Ячейка 16'!D41+'Ячейка 14 '!D41+'Ячейка 13БОС'!D41+'Ячейка 32БОС'!D41+'ячейка 25БОС'!D41+'Ячейка 3Гео'!D41+'Ячейка 26Гео '!D41</f>
        <v>3943.5599999920669</v>
      </c>
      <c r="C38" s="21"/>
      <c r="D38" s="198">
        <f>'Ячейка 30'!H41+'Ячейка 27'!H41+'Ячейка 10'!H41+'Ячейка 16'!H41+'Ячейка 14 '!H41+'Ячейка 13БОС'!H41+'Ячейка 32БОС'!H41+'ячейка 25БОС'!H41+'Ячейка 3Гео'!H41+'Ячейка 26Гео '!H41</f>
        <v>2444.7599999972226</v>
      </c>
      <c r="E38" s="198"/>
      <c r="F38" s="194">
        <f t="shared" si="0"/>
        <v>0.61993731552255849</v>
      </c>
      <c r="G38" s="194"/>
      <c r="H38" s="97"/>
      <c r="I38" s="97"/>
      <c r="J38" s="97"/>
      <c r="K38" s="97"/>
      <c r="L38" s="97"/>
    </row>
    <row r="39" spans="1:24" ht="20.100000000000001" customHeight="1" x14ac:dyDescent="0.2">
      <c r="A39" s="5" t="s">
        <v>31</v>
      </c>
      <c r="B39" s="38">
        <f>'Ячейка 30'!D42+'Ячейка 27'!D42+'Ячейка 10'!D42+'Ячейка 16'!D42+'Ячейка 14 '!D42+'Ячейка 13БОС'!D42+'Ячейка 32БОС'!D42+'ячейка 25БОС'!D42+'Ячейка 3Гео'!D42+'Ячейка 26Гео '!D42</f>
        <v>3815.1600000215694</v>
      </c>
      <c r="C39" s="21"/>
      <c r="D39" s="198">
        <f>'Ячейка 30'!H42+'Ячейка 27'!H42+'Ячейка 10'!H42+'Ячейка 16'!H42+'Ячейка 14 '!H42+'Ячейка 13БОС'!H42+'Ячейка 32БОС'!H42+'ячейка 25БОС'!H42+'Ячейка 3Гео'!H42+'Ячейка 26Гео '!H42</f>
        <v>2468.5200000032637</v>
      </c>
      <c r="E39" s="198"/>
      <c r="F39" s="194">
        <f t="shared" si="0"/>
        <v>0.64702922026581</v>
      </c>
      <c r="G39" s="194"/>
      <c r="H39" s="97"/>
      <c r="I39" s="97"/>
      <c r="J39" s="97"/>
      <c r="K39" s="97"/>
      <c r="L39" s="97"/>
      <c r="P39" s="150" t="s">
        <v>150</v>
      </c>
      <c r="Q39" s="150"/>
      <c r="R39" s="150"/>
      <c r="S39" s="149" t="s">
        <v>370</v>
      </c>
      <c r="T39" s="149"/>
      <c r="U39" s="149"/>
      <c r="V39" s="149"/>
      <c r="W39" s="149"/>
      <c r="X39" s="149"/>
    </row>
    <row r="40" spans="1:24" ht="20.100000000000001" customHeight="1" x14ac:dyDescent="0.2">
      <c r="A40" s="5" t="s">
        <v>32</v>
      </c>
      <c r="B40" s="21">
        <f>SUM(B15:B39)</f>
        <v>95190.719999999652</v>
      </c>
      <c r="C40" s="21"/>
      <c r="D40" s="198">
        <f>SUM(D15:E39)</f>
        <v>63101.51999999988</v>
      </c>
      <c r="E40" s="198"/>
      <c r="F40" s="194">
        <f t="shared" si="0"/>
        <v>0.66289571084240262</v>
      </c>
      <c r="G40" s="194"/>
      <c r="H40" s="97"/>
      <c r="I40" s="97"/>
      <c r="J40" s="97"/>
      <c r="K40" s="97"/>
      <c r="L40" s="97"/>
    </row>
    <row r="41" spans="1:24" ht="20.100000000000001" customHeight="1" x14ac:dyDescent="0.2">
      <c r="A41" s="5" t="s">
        <v>33</v>
      </c>
      <c r="B41" s="5"/>
      <c r="C41" s="5"/>
      <c r="D41" s="192"/>
      <c r="E41" s="192"/>
      <c r="F41" s="194"/>
      <c r="G41" s="194"/>
      <c r="H41" s="97"/>
      <c r="I41" s="97"/>
      <c r="J41" s="97"/>
      <c r="K41" s="97"/>
      <c r="L41" s="97"/>
    </row>
    <row r="42" spans="1:24" ht="20.100000000000001" customHeight="1" x14ac:dyDescent="0.2">
      <c r="A42" s="87" t="s">
        <v>2</v>
      </c>
      <c r="B42" s="86" t="s">
        <v>37</v>
      </c>
      <c r="C42" s="105"/>
      <c r="D42" s="87"/>
      <c r="E42" s="86" t="s">
        <v>40</v>
      </c>
      <c r="F42" s="105"/>
      <c r="G42" s="105"/>
      <c r="H42" s="105"/>
      <c r="I42" s="87"/>
      <c r="J42" s="101" t="s">
        <v>5</v>
      </c>
      <c r="K42" s="104"/>
      <c r="L42" s="104"/>
    </row>
    <row r="43" spans="1:24" ht="36" customHeight="1" x14ac:dyDescent="0.2">
      <c r="A43" s="87"/>
      <c r="B43" s="192" t="s">
        <v>38</v>
      </c>
      <c r="C43" s="192"/>
      <c r="D43" s="5" t="s">
        <v>39</v>
      </c>
      <c r="E43" s="86" t="s">
        <v>41</v>
      </c>
      <c r="F43" s="105"/>
      <c r="G43" s="87"/>
      <c r="H43" s="86" t="s">
        <v>42</v>
      </c>
      <c r="I43" s="87"/>
      <c r="J43" s="92"/>
      <c r="K43" s="103"/>
      <c r="L43" s="103"/>
    </row>
    <row r="44" spans="1:24" ht="20.100000000000001" customHeight="1" x14ac:dyDescent="0.2">
      <c r="A44" s="4" t="s">
        <v>153</v>
      </c>
      <c r="B44" s="199">
        <f>SUM(B24:B26)</f>
        <v>12229.079999999522</v>
      </c>
      <c r="C44" s="200"/>
      <c r="D44" s="21">
        <f>SUM(D24:E26)</f>
        <v>7834.5600000014201</v>
      </c>
      <c r="E44" s="199">
        <f>B44/3</f>
        <v>4076.3599999998405</v>
      </c>
      <c r="F44" s="204"/>
      <c r="G44" s="200"/>
      <c r="H44" s="199">
        <f>D44/3</f>
        <v>2611.5200000004734</v>
      </c>
      <c r="I44" s="200"/>
      <c r="J44" s="201">
        <f>H44/E44</f>
        <v>0.64064999165936654</v>
      </c>
      <c r="K44" s="202"/>
      <c r="L44" s="202"/>
    </row>
    <row r="45" spans="1:24" ht="20.100000000000001" customHeight="1" x14ac:dyDescent="0.2">
      <c r="A45" s="4" t="s">
        <v>43</v>
      </c>
      <c r="B45" s="199">
        <f>SUM(B33:B36)</f>
        <v>15514.199999999983</v>
      </c>
      <c r="C45" s="200"/>
      <c r="D45" s="21">
        <f>SUM(D33:E36)</f>
        <v>10030.079999996542</v>
      </c>
      <c r="E45" s="199">
        <f>B45/4</f>
        <v>3878.5499999999956</v>
      </c>
      <c r="F45" s="204"/>
      <c r="G45" s="200"/>
      <c r="H45" s="199">
        <f>D45/4</f>
        <v>2507.5199999991355</v>
      </c>
      <c r="I45" s="200"/>
      <c r="J45" s="201">
        <f>H45/E45</f>
        <v>0.64650964922435916</v>
      </c>
      <c r="K45" s="202"/>
      <c r="L45" s="202"/>
    </row>
    <row r="46" spans="1:24" ht="20.100000000000001" customHeight="1" x14ac:dyDescent="0.2">
      <c r="A46" s="4" t="s">
        <v>44</v>
      </c>
      <c r="B46" s="199">
        <f>SUM(B16:B39)</f>
        <v>95190.719999999652</v>
      </c>
      <c r="C46" s="200"/>
      <c r="D46" s="21">
        <f>SUM(D16:E39)</f>
        <v>63101.51999999988</v>
      </c>
      <c r="E46" s="199">
        <f>B46/24</f>
        <v>3966.2799999999856</v>
      </c>
      <c r="F46" s="204"/>
      <c r="G46" s="200"/>
      <c r="H46" s="199">
        <f>D46/24</f>
        <v>2629.229999999995</v>
      </c>
      <c r="I46" s="200"/>
      <c r="J46" s="201">
        <f>H46/E46</f>
        <v>0.66289571084240262</v>
      </c>
      <c r="K46" s="202"/>
      <c r="L46" s="202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99" t="s">
        <v>186</v>
      </c>
      <c r="D50" s="99"/>
      <c r="E50" s="99"/>
      <c r="F50" s="99"/>
      <c r="G50" s="99"/>
      <c r="H50" s="99"/>
      <c r="I50" s="99"/>
    </row>
    <row r="51" spans="3:9" ht="20.100000000000001" customHeight="1" x14ac:dyDescent="0.2"/>
  </sheetData>
  <sheetProtection sheet="1" objects="1" scenarios="1"/>
  <mergeCells count="189">
    <mergeCell ref="B45:C45"/>
    <mergeCell ref="J44:L44"/>
    <mergeCell ref="J45:L45"/>
    <mergeCell ref="D41:E41"/>
    <mergeCell ref="E45:G45"/>
    <mergeCell ref="F40:G40"/>
    <mergeCell ref="F29:G29"/>
    <mergeCell ref="F30:G30"/>
    <mergeCell ref="F31:G31"/>
    <mergeCell ref="F32:G3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H18:L18"/>
    <mergeCell ref="H19:L19"/>
    <mergeCell ref="H20:L20"/>
    <mergeCell ref="H21:L21"/>
    <mergeCell ref="H22:L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N20:Q20"/>
    <mergeCell ref="N21:Q21"/>
    <mergeCell ref="D22:E22"/>
    <mergeCell ref="F27:G27"/>
    <mergeCell ref="F28:G28"/>
    <mergeCell ref="F22:G22"/>
    <mergeCell ref="F35:G35"/>
    <mergeCell ref="F36:G36"/>
    <mergeCell ref="F37:G37"/>
    <mergeCell ref="F38:G38"/>
    <mergeCell ref="F39:G39"/>
    <mergeCell ref="H23:L23"/>
    <mergeCell ref="H24:L24"/>
    <mergeCell ref="H25:L25"/>
    <mergeCell ref="H26:L26"/>
    <mergeCell ref="H27:L27"/>
    <mergeCell ref="H28:L28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I9:M9"/>
    <mergeCell ref="A7:L7"/>
    <mergeCell ref="F12:G13"/>
    <mergeCell ref="H12:L12"/>
    <mergeCell ref="F9:H9"/>
    <mergeCell ref="A9:E9"/>
    <mergeCell ref="A8:L8"/>
    <mergeCell ref="F14:G14"/>
    <mergeCell ref="F15:G15"/>
    <mergeCell ref="F16:G16"/>
    <mergeCell ref="F17:G17"/>
    <mergeCell ref="H14:L14"/>
    <mergeCell ref="H15:L15"/>
    <mergeCell ref="H16:L16"/>
    <mergeCell ref="H17:L17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N7:Q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/>
  <dimension ref="A1:X51"/>
  <sheetViews>
    <sheetView view="pageBreakPreview" topLeftCell="A10" zoomScale="75" zoomScaleNormal="100" workbookViewId="0">
      <selection activeCell="F9" sqref="F9:M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94" t="s">
        <v>161</v>
      </c>
      <c r="B1" s="94"/>
      <c r="C1" s="94"/>
      <c r="D1" s="94"/>
      <c r="E1" s="94"/>
      <c r="F1" s="123" t="s">
        <v>154</v>
      </c>
      <c r="G1" s="123"/>
      <c r="H1" s="123"/>
      <c r="I1" s="94" t="s">
        <v>163</v>
      </c>
      <c r="J1" s="94"/>
      <c r="K1" s="94"/>
      <c r="L1" s="94"/>
      <c r="M1" s="100" t="s">
        <v>115</v>
      </c>
      <c r="N1" s="98" t="s">
        <v>116</v>
      </c>
      <c r="O1" s="98"/>
      <c r="P1" s="98"/>
      <c r="Q1" s="98"/>
      <c r="R1" s="192" t="s">
        <v>117</v>
      </c>
      <c r="S1" s="192"/>
      <c r="T1" s="192"/>
      <c r="U1" s="192" t="s">
        <v>118</v>
      </c>
      <c r="V1" s="192"/>
      <c r="W1" s="86"/>
    </row>
    <row r="2" spans="1:23" ht="18.75" customHeight="1" x14ac:dyDescent="0.2">
      <c r="A2" s="119" t="s">
        <v>45</v>
      </c>
      <c r="B2" s="119"/>
      <c r="C2" s="119"/>
      <c r="D2" s="119"/>
      <c r="E2" s="119"/>
      <c r="F2" s="123"/>
      <c r="G2" s="123"/>
      <c r="H2" s="123"/>
      <c r="I2" s="94"/>
      <c r="J2" s="94"/>
      <c r="K2" s="94"/>
      <c r="L2" s="94"/>
      <c r="M2" s="95"/>
      <c r="N2" s="89"/>
      <c r="O2" s="89"/>
      <c r="P2" s="89"/>
      <c r="Q2" s="89"/>
      <c r="R2" s="89" t="s">
        <v>119</v>
      </c>
      <c r="S2" s="89" t="s">
        <v>120</v>
      </c>
      <c r="T2" s="89"/>
      <c r="U2" s="89" t="s">
        <v>119</v>
      </c>
      <c r="V2" s="89" t="s">
        <v>120</v>
      </c>
      <c r="W2" s="90"/>
    </row>
    <row r="3" spans="1:23" ht="21.75" customHeight="1" x14ac:dyDescent="0.2">
      <c r="A3" s="94" t="s">
        <v>173</v>
      </c>
      <c r="B3" s="94"/>
      <c r="C3" s="94"/>
      <c r="D3" s="94"/>
      <c r="E3" s="94"/>
      <c r="F3" s="123" t="s">
        <v>155</v>
      </c>
      <c r="G3" s="123"/>
      <c r="H3" s="123"/>
      <c r="I3" s="94" t="s">
        <v>229</v>
      </c>
      <c r="J3" s="94"/>
      <c r="K3" s="94"/>
      <c r="L3" s="94"/>
      <c r="M3" s="96"/>
      <c r="N3" s="91"/>
      <c r="O3" s="91"/>
      <c r="P3" s="91"/>
      <c r="Q3" s="91"/>
      <c r="R3" s="91"/>
      <c r="S3" s="91" t="s">
        <v>121</v>
      </c>
      <c r="T3" s="91"/>
      <c r="U3" s="91"/>
      <c r="V3" s="91" t="s">
        <v>121</v>
      </c>
      <c r="W3" s="92"/>
    </row>
    <row r="4" spans="1:23" ht="29.25" customHeight="1" x14ac:dyDescent="0.2">
      <c r="A4" s="119" t="s">
        <v>46</v>
      </c>
      <c r="B4" s="119"/>
      <c r="C4" s="119"/>
      <c r="D4" s="119"/>
      <c r="E4" s="119"/>
      <c r="F4" s="123"/>
      <c r="G4" s="123"/>
      <c r="H4" s="123"/>
      <c r="I4" s="94"/>
      <c r="J4" s="94"/>
      <c r="K4" s="94"/>
      <c r="L4" s="94"/>
      <c r="M4" s="9"/>
      <c r="N4" s="189" t="s">
        <v>122</v>
      </c>
      <c r="O4" s="189"/>
      <c r="P4" s="189"/>
      <c r="Q4" s="189"/>
      <c r="R4" s="7"/>
      <c r="S4" s="84"/>
      <c r="T4" s="85"/>
      <c r="U4" s="7"/>
      <c r="V4" s="84"/>
      <c r="W4" s="88"/>
    </row>
    <row r="5" spans="1:23" ht="21" customHeight="1" x14ac:dyDescent="0.2">
      <c r="A5" s="206" t="s">
        <v>159</v>
      </c>
      <c r="B5" s="206"/>
      <c r="C5" s="206"/>
      <c r="D5" s="206"/>
      <c r="E5" s="206"/>
      <c r="F5" s="123" t="s">
        <v>156</v>
      </c>
      <c r="G5" s="123"/>
      <c r="H5" s="123"/>
      <c r="I5" s="94" t="s">
        <v>242</v>
      </c>
      <c r="J5" s="94"/>
      <c r="K5" s="94"/>
      <c r="L5" s="94"/>
      <c r="M5" s="9"/>
      <c r="N5" s="190" t="s">
        <v>123</v>
      </c>
      <c r="O5" s="190"/>
      <c r="P5" s="190"/>
      <c r="Q5" s="190"/>
      <c r="R5" s="7"/>
      <c r="S5" s="84"/>
      <c r="T5" s="85"/>
      <c r="U5" s="7"/>
      <c r="V5" s="84"/>
      <c r="W5" s="88"/>
    </row>
    <row r="6" spans="1:23" x14ac:dyDescent="0.2">
      <c r="A6" s="119" t="s">
        <v>47</v>
      </c>
      <c r="B6" s="119"/>
      <c r="C6" s="119"/>
      <c r="D6" s="119"/>
      <c r="E6" s="119"/>
      <c r="F6" s="123"/>
      <c r="G6" s="123"/>
      <c r="H6" s="123"/>
      <c r="I6" s="94"/>
      <c r="J6" s="94"/>
      <c r="K6" s="94"/>
      <c r="L6" s="94"/>
      <c r="M6" s="9"/>
      <c r="N6" s="190" t="s">
        <v>124</v>
      </c>
      <c r="O6" s="190"/>
      <c r="P6" s="190"/>
      <c r="Q6" s="190"/>
      <c r="R6" s="7"/>
      <c r="S6" s="84"/>
      <c r="T6" s="85"/>
      <c r="U6" s="7"/>
      <c r="V6" s="84"/>
      <c r="W6" s="88"/>
    </row>
    <row r="7" spans="1:23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191" t="s">
        <v>125</v>
      </c>
      <c r="O7" s="191"/>
      <c r="P7" s="191"/>
      <c r="Q7" s="191"/>
      <c r="R7" s="7"/>
      <c r="S7" s="84"/>
      <c r="T7" s="85"/>
      <c r="U7" s="7"/>
      <c r="V7" s="84"/>
      <c r="W7" s="88"/>
    </row>
    <row r="8" spans="1:23" ht="22.5" x14ac:dyDescent="0.2">
      <c r="A8" s="116" t="s">
        <v>0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190" t="s">
        <v>126</v>
      </c>
      <c r="O8" s="190"/>
      <c r="P8" s="190"/>
      <c r="Q8" s="190"/>
      <c r="R8" s="7"/>
      <c r="S8" s="84"/>
      <c r="T8" s="85"/>
      <c r="U8" s="7"/>
      <c r="V8" s="84"/>
      <c r="W8" s="88"/>
    </row>
    <row r="9" spans="1:23" ht="18.75" customHeight="1" x14ac:dyDescent="0.2">
      <c r="A9" s="193" t="s">
        <v>152</v>
      </c>
      <c r="B9" s="193"/>
      <c r="C9" s="193"/>
      <c r="D9" s="193"/>
      <c r="E9" s="193"/>
      <c r="F9" s="135" t="s">
        <v>375</v>
      </c>
      <c r="G9" s="136"/>
      <c r="H9" s="136"/>
      <c r="I9" s="111" t="s">
        <v>376</v>
      </c>
      <c r="J9" s="111"/>
      <c r="K9" s="111"/>
      <c r="L9" s="111"/>
      <c r="M9" s="111"/>
      <c r="N9" s="190" t="s">
        <v>127</v>
      </c>
      <c r="O9" s="190"/>
      <c r="P9" s="190"/>
      <c r="Q9" s="190"/>
      <c r="R9" s="7"/>
      <c r="S9" s="84"/>
      <c r="T9" s="85"/>
      <c r="U9" s="7"/>
      <c r="V9" s="84"/>
      <c r="W9" s="88"/>
    </row>
    <row r="10" spans="1:23" ht="19.5" customHeight="1" x14ac:dyDescent="0.2">
      <c r="A10" s="193" t="s">
        <v>151</v>
      </c>
      <c r="B10" s="193"/>
      <c r="C10" s="136" t="s">
        <v>374</v>
      </c>
      <c r="D10" s="136"/>
      <c r="E10" s="136"/>
      <c r="F10" s="136"/>
      <c r="G10" s="136"/>
      <c r="H10" s="136"/>
      <c r="I10" s="3"/>
      <c r="J10" s="3"/>
      <c r="K10" s="3"/>
      <c r="L10" s="3"/>
      <c r="M10" s="9"/>
      <c r="N10" s="191" t="s">
        <v>128</v>
      </c>
      <c r="O10" s="191"/>
      <c r="P10" s="191"/>
      <c r="Q10" s="191"/>
      <c r="R10" s="7"/>
      <c r="S10" s="84"/>
      <c r="T10" s="85"/>
      <c r="U10" s="7"/>
      <c r="V10" s="84"/>
      <c r="W10" s="88"/>
    </row>
    <row r="11" spans="1:23" x14ac:dyDescent="0.2">
      <c r="A11" s="188" t="s">
        <v>1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9"/>
      <c r="N11" s="196" t="s">
        <v>129</v>
      </c>
      <c r="O11" s="196"/>
      <c r="P11" s="196"/>
      <c r="Q11" s="196"/>
      <c r="R11" s="7"/>
      <c r="S11" s="84"/>
      <c r="T11" s="85"/>
      <c r="U11" s="7"/>
      <c r="V11" s="84"/>
      <c r="W11" s="88"/>
    </row>
    <row r="12" spans="1:23" ht="20.100000000000001" customHeight="1" x14ac:dyDescent="0.2">
      <c r="A12" s="87" t="s">
        <v>2</v>
      </c>
      <c r="B12" s="192" t="s">
        <v>36</v>
      </c>
      <c r="C12" s="192"/>
      <c r="D12" s="192"/>
      <c r="E12" s="192"/>
      <c r="F12" s="192" t="s">
        <v>5</v>
      </c>
      <c r="G12" s="192"/>
      <c r="H12" s="101" t="s">
        <v>34</v>
      </c>
      <c r="I12" s="104"/>
      <c r="J12" s="104"/>
      <c r="K12" s="104"/>
      <c r="L12" s="104"/>
      <c r="N12" s="1"/>
      <c r="O12" s="1"/>
      <c r="P12" s="1"/>
      <c r="Q12" s="1"/>
    </row>
    <row r="13" spans="1:23" ht="20.100000000000001" customHeight="1" x14ac:dyDescent="0.2">
      <c r="A13" s="87"/>
      <c r="B13" s="192" t="s">
        <v>3</v>
      </c>
      <c r="C13" s="192"/>
      <c r="D13" s="192" t="s">
        <v>4</v>
      </c>
      <c r="E13" s="192"/>
      <c r="F13" s="192"/>
      <c r="G13" s="192"/>
      <c r="H13" s="92" t="s">
        <v>35</v>
      </c>
      <c r="I13" s="103"/>
      <c r="J13" s="103"/>
      <c r="K13" s="103"/>
      <c r="L13" s="103"/>
    </row>
    <row r="14" spans="1:23" ht="20.100000000000001" customHeight="1" x14ac:dyDescent="0.2">
      <c r="A14" s="5" t="s">
        <v>6</v>
      </c>
      <c r="B14" s="7"/>
      <c r="C14" s="5"/>
      <c r="D14" s="97"/>
      <c r="E14" s="97"/>
      <c r="F14" s="194" t="str">
        <f t="shared" ref="F14:F40" si="0">IF(OR(B14="",D14=""),"",IF(ISERROR(D14/B14),IF(D14=0,0,""),D14/B14))</f>
        <v/>
      </c>
      <c r="G14" s="194"/>
      <c r="H14" s="97"/>
      <c r="I14" s="97"/>
      <c r="J14" s="97"/>
      <c r="K14" s="97"/>
      <c r="L14" s="97"/>
      <c r="M14" s="87" t="s">
        <v>115</v>
      </c>
      <c r="N14" s="192" t="s">
        <v>116</v>
      </c>
      <c r="O14" s="192"/>
      <c r="P14" s="192"/>
      <c r="Q14" s="192"/>
      <c r="R14" s="192" t="s">
        <v>117</v>
      </c>
      <c r="S14" s="192"/>
      <c r="T14" s="192"/>
      <c r="U14" s="192" t="s">
        <v>130</v>
      </c>
      <c r="V14" s="192" t="s">
        <v>69</v>
      </c>
      <c r="W14" s="86" t="s">
        <v>131</v>
      </c>
    </row>
    <row r="15" spans="1:23" ht="20.100000000000001" customHeight="1" x14ac:dyDescent="0.2">
      <c r="A15" s="5" t="s">
        <v>7</v>
      </c>
      <c r="B15" s="5"/>
      <c r="C15" s="5"/>
      <c r="D15" s="192"/>
      <c r="E15" s="192"/>
      <c r="F15" s="194" t="str">
        <f t="shared" si="0"/>
        <v/>
      </c>
      <c r="G15" s="194"/>
      <c r="H15" s="97"/>
      <c r="I15" s="97"/>
      <c r="J15" s="97"/>
      <c r="K15" s="97"/>
      <c r="L15" s="97"/>
      <c r="M15" s="87"/>
      <c r="N15" s="192"/>
      <c r="O15" s="192"/>
      <c r="P15" s="192"/>
      <c r="Q15" s="192"/>
      <c r="R15" s="197" t="s">
        <v>130</v>
      </c>
      <c r="S15" s="192" t="s">
        <v>69</v>
      </c>
      <c r="T15" s="192" t="s">
        <v>131</v>
      </c>
      <c r="U15" s="192"/>
      <c r="V15" s="192"/>
      <c r="W15" s="86"/>
    </row>
    <row r="16" spans="1:23" ht="20.100000000000001" customHeight="1" x14ac:dyDescent="0.2">
      <c r="A16" s="5" t="s">
        <v>8</v>
      </c>
      <c r="B16" s="21">
        <f>'Ячейка 30'!D19+'Ячейка 27'!D19+'Ячейка 10'!D19</f>
        <v>1598.6399999921559</v>
      </c>
      <c r="C16" s="21"/>
      <c r="D16" s="198">
        <f>'Ячейка 30'!H19+'Ячейка 27'!H19+'Ячейка 10'!H19</f>
        <v>1286.6399999984424</v>
      </c>
      <c r="E16" s="198"/>
      <c r="F16" s="194">
        <f t="shared" si="0"/>
        <v>0.80483410899561847</v>
      </c>
      <c r="G16" s="194"/>
      <c r="H16" s="97"/>
      <c r="I16" s="97"/>
      <c r="J16" s="97"/>
      <c r="K16" s="97"/>
      <c r="L16" s="97"/>
      <c r="M16" s="87"/>
      <c r="N16" s="192"/>
      <c r="O16" s="192"/>
      <c r="P16" s="192"/>
      <c r="Q16" s="192"/>
      <c r="R16" s="197"/>
      <c r="S16" s="192"/>
      <c r="T16" s="192"/>
      <c r="U16" s="192"/>
      <c r="V16" s="192"/>
      <c r="W16" s="86"/>
    </row>
    <row r="17" spans="1:23" ht="20.100000000000001" customHeight="1" x14ac:dyDescent="0.2">
      <c r="A17" s="5" t="s">
        <v>9</v>
      </c>
      <c r="B17" s="21">
        <f>'Ячейка 30'!D20+'Ячейка 27'!D20+'Ячейка 10'!D20</f>
        <v>1540.3199999942444</v>
      </c>
      <c r="C17" s="21"/>
      <c r="D17" s="198">
        <f>'Ячейка 30'!H20+'Ячейка 27'!H20+'Ячейка 10'!H20</f>
        <v>1295.2800000028219</v>
      </c>
      <c r="E17" s="198"/>
      <c r="F17" s="194">
        <f t="shared" si="0"/>
        <v>0.84091617326767287</v>
      </c>
      <c r="G17" s="194"/>
      <c r="H17" s="97"/>
      <c r="I17" s="97"/>
      <c r="J17" s="97"/>
      <c r="K17" s="97"/>
      <c r="L17" s="97"/>
      <c r="M17" s="87"/>
      <c r="N17" s="192"/>
      <c r="O17" s="192"/>
      <c r="P17" s="192"/>
      <c r="Q17" s="192"/>
      <c r="R17" s="197"/>
      <c r="S17" s="192"/>
      <c r="T17" s="192"/>
      <c r="U17" s="192"/>
      <c r="V17" s="192"/>
      <c r="W17" s="86"/>
    </row>
    <row r="18" spans="1:23" ht="20.100000000000001" customHeight="1" x14ac:dyDescent="0.2">
      <c r="A18" s="5" t="s">
        <v>10</v>
      </c>
      <c r="B18" s="21">
        <f>'Ячейка 30'!D21+'Ячейка 27'!D21+'Ячейка 10'!D21</f>
        <v>1494.2400000058115</v>
      </c>
      <c r="C18" s="21"/>
      <c r="D18" s="198">
        <f>'Ячейка 30'!H21+'Ячейка 27'!H21+'Ячейка 10'!H21</f>
        <v>1279.2000000008557</v>
      </c>
      <c r="E18" s="198"/>
      <c r="F18" s="194">
        <f t="shared" si="0"/>
        <v>0.85608737551924763</v>
      </c>
      <c r="G18" s="194"/>
      <c r="H18" s="97"/>
      <c r="I18" s="97"/>
      <c r="J18" s="97"/>
      <c r="K18" s="97"/>
      <c r="L18" s="97"/>
      <c r="M18" s="87"/>
      <c r="N18" s="192"/>
      <c r="O18" s="192"/>
      <c r="P18" s="192"/>
      <c r="Q18" s="192"/>
      <c r="R18" s="197"/>
      <c r="S18" s="192"/>
      <c r="T18" s="192"/>
      <c r="U18" s="192"/>
      <c r="V18" s="192"/>
      <c r="W18" s="86"/>
    </row>
    <row r="19" spans="1:23" ht="20.100000000000001" customHeight="1" x14ac:dyDescent="0.2">
      <c r="A19" s="5" t="s">
        <v>11</v>
      </c>
      <c r="B19" s="21">
        <f>'Ячейка 30'!D22+'Ячейка 27'!D22+'Ячейка 10'!D22</f>
        <v>1511.2800000162679</v>
      </c>
      <c r="C19" s="21"/>
      <c r="D19" s="198">
        <f>'Ячейка 30'!H22+'Ячейка 27'!H22+'Ячейка 10'!H22</f>
        <v>1317.3600000038277</v>
      </c>
      <c r="E19" s="198"/>
      <c r="F19" s="194">
        <f t="shared" si="0"/>
        <v>0.87168492932457731</v>
      </c>
      <c r="G19" s="194"/>
      <c r="H19" s="97"/>
      <c r="I19" s="97"/>
      <c r="J19" s="97"/>
      <c r="K19" s="97"/>
      <c r="L19" s="97"/>
      <c r="M19" s="9"/>
      <c r="N19" s="189" t="s">
        <v>132</v>
      </c>
      <c r="O19" s="189"/>
      <c r="P19" s="189"/>
      <c r="Q19" s="189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30'!D23+'Ячейка 27'!D23+'Ячейка 10'!D23</f>
        <v>1433.5199999897441</v>
      </c>
      <c r="C20" s="21"/>
      <c r="D20" s="198">
        <f>'Ячейка 30'!H23+'Ячейка 27'!H23+'Ячейка 10'!H23</f>
        <v>1281.3599999986764</v>
      </c>
      <c r="E20" s="198"/>
      <c r="F20" s="194">
        <f t="shared" si="0"/>
        <v>0.89385568391640413</v>
      </c>
      <c r="G20" s="194"/>
      <c r="H20" s="97"/>
      <c r="I20" s="97"/>
      <c r="J20" s="97"/>
      <c r="K20" s="97"/>
      <c r="L20" s="97"/>
      <c r="M20" s="9"/>
      <c r="N20" s="190" t="s">
        <v>133</v>
      </c>
      <c r="O20" s="190"/>
      <c r="P20" s="190"/>
      <c r="Q20" s="190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30'!D24+'Ячейка 27'!D24+'Ячейка 10'!D24</f>
        <v>1262.1600000013132</v>
      </c>
      <c r="C21" s="21"/>
      <c r="D21" s="198">
        <f>'Ячейка 30'!H24+'Ячейка 27'!H24+'Ячейка 10'!H24</f>
        <v>1177.6799999985087</v>
      </c>
      <c r="E21" s="198"/>
      <c r="F21" s="194">
        <f t="shared" si="0"/>
        <v>0.93306712302503914</v>
      </c>
      <c r="G21" s="194"/>
      <c r="H21" s="97"/>
      <c r="I21" s="97"/>
      <c r="J21" s="97"/>
      <c r="K21" s="97"/>
      <c r="L21" s="97"/>
      <c r="M21" s="9"/>
      <c r="N21" s="195" t="s">
        <v>134</v>
      </c>
      <c r="O21" s="195"/>
      <c r="P21" s="195"/>
      <c r="Q21" s="195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30'!D25+'Ячейка 27'!D25+'Ячейка 10'!D25</f>
        <v>1289.999999992142</v>
      </c>
      <c r="C22" s="21"/>
      <c r="D22" s="198">
        <f>'Ячейка 30'!H25+'Ячейка 27'!H25+'Ячейка 10'!H25</f>
        <v>1110.7199999962177</v>
      </c>
      <c r="E22" s="198"/>
      <c r="F22" s="194">
        <f t="shared" si="0"/>
        <v>0.86102325581626638</v>
      </c>
      <c r="G22" s="194"/>
      <c r="H22" s="97"/>
      <c r="I22" s="97"/>
      <c r="J22" s="97"/>
      <c r="K22" s="97"/>
      <c r="L22" s="97"/>
    </row>
    <row r="23" spans="1:23" ht="20.100000000000001" customHeight="1" x14ac:dyDescent="0.2">
      <c r="A23" s="5" t="s">
        <v>15</v>
      </c>
      <c r="B23" s="21">
        <f>'Ячейка 30'!D26+'Ячейка 27'!D26+'Ячейка 10'!D26</f>
        <v>1459.4400000074529</v>
      </c>
      <c r="C23" s="21"/>
      <c r="D23" s="198">
        <f>'Ячейка 30'!H26+'Ячейка 27'!H26+'Ячейка 10'!H26</f>
        <v>1169.039999996312</v>
      </c>
      <c r="E23" s="198"/>
      <c r="F23" s="194">
        <f t="shared" si="0"/>
        <v>0.80101956914319328</v>
      </c>
      <c r="G23" s="194"/>
      <c r="H23" s="97"/>
      <c r="I23" s="97"/>
      <c r="J23" s="97"/>
      <c r="K23" s="97"/>
      <c r="L23" s="97"/>
    </row>
    <row r="24" spans="1:23" ht="20.100000000000001" customHeight="1" x14ac:dyDescent="0.2">
      <c r="A24" s="5" t="s">
        <v>16</v>
      </c>
      <c r="B24" s="21">
        <f>'Ячейка 30'!D27+'Ячейка 27'!D27+'Ячейка 10'!D27</f>
        <v>1610.1599999848986</v>
      </c>
      <c r="C24" s="21"/>
      <c r="D24" s="198">
        <f>'Ячейка 30'!H27+'Ячейка 27'!H27+'Ячейка 10'!H27</f>
        <v>1214.4000000007509</v>
      </c>
      <c r="E24" s="198"/>
      <c r="F24" s="194">
        <f t="shared" si="0"/>
        <v>0.75421076167097711</v>
      </c>
      <c r="G24" s="194"/>
      <c r="H24" s="97"/>
      <c r="I24" s="97"/>
      <c r="J24" s="97"/>
      <c r="K24" s="97"/>
      <c r="L24" s="97"/>
      <c r="N24" s="118" t="s">
        <v>135</v>
      </c>
      <c r="O24" s="118"/>
      <c r="P24" s="118"/>
      <c r="Q24" s="118"/>
      <c r="R24" s="118"/>
      <c r="S24" s="118"/>
      <c r="T24" s="118"/>
      <c r="U24" s="118"/>
      <c r="V24" s="118"/>
    </row>
    <row r="25" spans="1:23" ht="20.100000000000001" customHeight="1" x14ac:dyDescent="0.2">
      <c r="A25" s="5" t="s">
        <v>17</v>
      </c>
      <c r="B25" s="21">
        <f>'Ячейка 30'!D28+'Ячейка 27'!D28+'Ячейка 10'!D28</f>
        <v>1574.8800000117626</v>
      </c>
      <c r="C25" s="21"/>
      <c r="D25" s="198">
        <f>'Ячейка 30'!H28+'Ячейка 27'!H28+'Ячейка 10'!H28</f>
        <v>1155.1200000074459</v>
      </c>
      <c r="E25" s="198"/>
      <c r="F25" s="194">
        <f t="shared" si="0"/>
        <v>0.73346540688739359</v>
      </c>
      <c r="G25" s="194"/>
      <c r="H25" s="97"/>
      <c r="I25" s="97"/>
      <c r="J25" s="97"/>
      <c r="K25" s="97"/>
      <c r="L25" s="97"/>
      <c r="N25" s="17" t="s">
        <v>136</v>
      </c>
      <c r="O25" s="118" t="s">
        <v>137</v>
      </c>
      <c r="P25" s="118"/>
      <c r="Q25" s="118"/>
      <c r="R25" s="118"/>
      <c r="S25" s="118"/>
      <c r="T25" s="118"/>
      <c r="U25" s="118"/>
      <c r="V25" s="118"/>
    </row>
    <row r="26" spans="1:23" ht="20.100000000000001" customHeight="1" x14ac:dyDescent="0.2">
      <c r="A26" s="5" t="s">
        <v>18</v>
      </c>
      <c r="B26" s="21">
        <f>'Ячейка 30'!D29+'Ячейка 27'!D29+'Ячейка 10'!D29</f>
        <v>1582.320000002801</v>
      </c>
      <c r="C26" s="21"/>
      <c r="D26" s="198">
        <f>'Ячейка 30'!H29+'Ячейка 27'!H29+'Ячейка 10'!H29</f>
        <v>1144.3199999986973</v>
      </c>
      <c r="E26" s="198"/>
      <c r="F26" s="194">
        <f t="shared" si="0"/>
        <v>0.72319126345914331</v>
      </c>
      <c r="G26" s="194"/>
      <c r="H26" s="97"/>
      <c r="I26" s="97"/>
      <c r="J26" s="97"/>
      <c r="K26" s="97"/>
      <c r="L26" s="97"/>
      <c r="N26" s="17" t="s">
        <v>138</v>
      </c>
      <c r="O26" s="118" t="s">
        <v>180</v>
      </c>
      <c r="P26" s="118"/>
      <c r="Q26" s="118"/>
      <c r="R26" s="118"/>
      <c r="S26" s="118"/>
      <c r="T26" s="118"/>
      <c r="U26" s="118"/>
      <c r="V26" s="118"/>
    </row>
    <row r="27" spans="1:23" ht="20.100000000000001" customHeight="1" x14ac:dyDescent="0.2">
      <c r="A27" s="5" t="s">
        <v>19</v>
      </c>
      <c r="B27" s="21">
        <f>'Ячейка 30'!D30+'Ячейка 27'!D30+'Ячейка 10'!D30</f>
        <v>1666.7999999903259</v>
      </c>
      <c r="C27" s="21"/>
      <c r="D27" s="198">
        <f>'Ячейка 30'!H30+'Ячейка 27'!H30+'Ячейка 10'!H30</f>
        <v>1210.3200000012293</v>
      </c>
      <c r="E27" s="198"/>
      <c r="F27" s="194">
        <f t="shared" si="0"/>
        <v>0.726133909292209</v>
      </c>
      <c r="G27" s="194"/>
      <c r="H27" s="97"/>
      <c r="I27" s="97"/>
      <c r="J27" s="97"/>
      <c r="K27" s="97"/>
      <c r="L27" s="97"/>
      <c r="N27" s="17" t="s">
        <v>139</v>
      </c>
      <c r="O27" s="118" t="s">
        <v>140</v>
      </c>
      <c r="P27" s="118"/>
      <c r="Q27" s="118"/>
      <c r="R27" s="118"/>
      <c r="S27" s="118"/>
      <c r="T27" s="118"/>
      <c r="U27" s="118"/>
      <c r="V27" s="118"/>
    </row>
    <row r="28" spans="1:23" ht="20.100000000000001" customHeight="1" x14ac:dyDescent="0.2">
      <c r="A28" s="5" t="s">
        <v>20</v>
      </c>
      <c r="B28" s="21">
        <f>'Ячейка 30'!D31+'Ячейка 27'!D31+'Ячейка 10'!D31</f>
        <v>1605.5999999996857</v>
      </c>
      <c r="C28" s="21"/>
      <c r="D28" s="198">
        <f>'Ячейка 30'!H31+'Ячейка 27'!H31+'Ячейка 10'!H31</f>
        <v>1165.4399999999441</v>
      </c>
      <c r="E28" s="198"/>
      <c r="F28" s="194">
        <f t="shared" si="0"/>
        <v>0.72585949177888154</v>
      </c>
      <c r="G28" s="194"/>
      <c r="H28" s="97"/>
      <c r="I28" s="97"/>
      <c r="J28" s="97"/>
      <c r="K28" s="97"/>
      <c r="L28" s="97"/>
      <c r="N28" s="17"/>
      <c r="O28" s="118" t="s">
        <v>141</v>
      </c>
      <c r="P28" s="118"/>
      <c r="Q28" s="118"/>
      <c r="R28" s="118"/>
      <c r="S28" s="118"/>
      <c r="T28" s="118"/>
      <c r="U28" s="118"/>
      <c r="V28" s="118"/>
    </row>
    <row r="29" spans="1:23" ht="20.100000000000001" customHeight="1" x14ac:dyDescent="0.2">
      <c r="A29" s="5" t="s">
        <v>21</v>
      </c>
      <c r="B29" s="21">
        <f>'Ячейка 30'!D32+'Ячейка 27'!D32+'Ячейка 10'!D32</f>
        <v>1645.679999999993</v>
      </c>
      <c r="C29" s="21"/>
      <c r="D29" s="198">
        <f>'Ячейка 30'!H32+'Ячейка 27'!H32+'Ячейка 10'!H32</f>
        <v>1230.7199999922886</v>
      </c>
      <c r="E29" s="198"/>
      <c r="F29" s="194">
        <f t="shared" si="0"/>
        <v>0.74784891351434901</v>
      </c>
      <c r="G29" s="194"/>
      <c r="H29" s="97"/>
      <c r="I29" s="97"/>
      <c r="J29" s="97"/>
      <c r="K29" s="97"/>
      <c r="L29" s="97"/>
      <c r="N29" s="17"/>
      <c r="O29" s="118" t="s">
        <v>142</v>
      </c>
      <c r="P29" s="118"/>
      <c r="Q29" s="118"/>
      <c r="R29" s="118"/>
      <c r="S29" s="118"/>
      <c r="T29" s="118"/>
      <c r="U29" s="118"/>
      <c r="V29" s="118"/>
    </row>
    <row r="30" spans="1:23" ht="20.100000000000001" customHeight="1" x14ac:dyDescent="0.2">
      <c r="A30" s="5" t="s">
        <v>22</v>
      </c>
      <c r="B30" s="21">
        <f>'Ячейка 30'!D33+'Ячейка 27'!D33+'Ячейка 10'!D33</f>
        <v>1617.5999999977648</v>
      </c>
      <c r="C30" s="21"/>
      <c r="D30" s="198">
        <f>'Ячейка 30'!H33+'Ячейка 27'!H33+'Ячейка 10'!H33</f>
        <v>1218.0000000014843</v>
      </c>
      <c r="E30" s="198"/>
      <c r="F30" s="194">
        <f t="shared" si="0"/>
        <v>0.75296735905240308</v>
      </c>
      <c r="G30" s="194"/>
      <c r="H30" s="97"/>
      <c r="I30" s="97"/>
      <c r="J30" s="97"/>
      <c r="K30" s="97"/>
      <c r="L30" s="97"/>
      <c r="N30" s="17" t="s">
        <v>143</v>
      </c>
      <c r="O30" s="118" t="s">
        <v>144</v>
      </c>
      <c r="P30" s="118"/>
      <c r="Q30" s="118"/>
      <c r="R30" s="118"/>
      <c r="S30" s="118"/>
      <c r="T30" s="118"/>
      <c r="U30" s="118"/>
      <c r="V30" s="118"/>
    </row>
    <row r="31" spans="1:23" ht="20.100000000000001" customHeight="1" x14ac:dyDescent="0.2">
      <c r="A31" s="5" t="s">
        <v>23</v>
      </c>
      <c r="B31" s="21">
        <f>'Ячейка 30'!D34+'Ячейка 27'!D34+'Ячейка 10'!D34</f>
        <v>1724.1599999950267</v>
      </c>
      <c r="C31" s="21"/>
      <c r="D31" s="198">
        <f>'Ячейка 30'!H34+'Ячейка 27'!H34+'Ячейка 10'!H34</f>
        <v>1302.0000000055006</v>
      </c>
      <c r="E31" s="198"/>
      <c r="F31" s="194">
        <f t="shared" si="0"/>
        <v>0.75515033408109233</v>
      </c>
      <c r="G31" s="194"/>
      <c r="H31" s="97"/>
      <c r="I31" s="97"/>
      <c r="J31" s="97"/>
      <c r="K31" s="97"/>
      <c r="L31" s="97"/>
      <c r="N31" s="17"/>
      <c r="O31" s="118" t="s">
        <v>145</v>
      </c>
      <c r="P31" s="118"/>
      <c r="Q31" s="118"/>
      <c r="R31" s="118"/>
      <c r="S31" s="118"/>
      <c r="T31" s="118"/>
      <c r="U31" s="118"/>
      <c r="V31" s="118"/>
    </row>
    <row r="32" spans="1:23" ht="20.100000000000001" customHeight="1" x14ac:dyDescent="0.2">
      <c r="A32" s="5" t="s">
        <v>24</v>
      </c>
      <c r="B32" s="21">
        <f>'Ячейка 30'!D35+'Ячейка 27'!D35+'Ячейка 10'!D35</f>
        <v>1698.9600000029895</v>
      </c>
      <c r="C32" s="21"/>
      <c r="D32" s="198">
        <f>'Ячейка 30'!H35+'Ячейка 27'!H35+'Ячейка 10'!H35</f>
        <v>1289.9999999986903</v>
      </c>
      <c r="E32" s="198"/>
      <c r="F32" s="194">
        <f t="shared" si="0"/>
        <v>0.75928803503108988</v>
      </c>
      <c r="G32" s="194"/>
      <c r="H32" s="97"/>
      <c r="I32" s="97"/>
      <c r="J32" s="97"/>
      <c r="K32" s="97"/>
      <c r="L32" s="97"/>
      <c r="N32" s="17" t="s">
        <v>146</v>
      </c>
      <c r="O32" s="118" t="s">
        <v>147</v>
      </c>
      <c r="P32" s="118"/>
      <c r="Q32" s="118"/>
      <c r="R32" s="118"/>
      <c r="S32" s="118"/>
      <c r="T32" s="118"/>
      <c r="U32" s="118"/>
      <c r="V32" s="118"/>
    </row>
    <row r="33" spans="1:24" ht="20.100000000000001" customHeight="1" x14ac:dyDescent="0.2">
      <c r="A33" s="5" t="s">
        <v>25</v>
      </c>
      <c r="B33" s="21">
        <f>'Ячейка 30'!D36+'Ячейка 27'!D36+'Ячейка 10'!D36</f>
        <v>1554.7199999971781</v>
      </c>
      <c r="C33" s="21"/>
      <c r="D33" s="198">
        <f>'Ячейка 30'!H36+'Ячейка 27'!H36+'Ячейка 10'!H36</f>
        <v>1225.4399999968882</v>
      </c>
      <c r="E33" s="198"/>
      <c r="F33" s="194">
        <f t="shared" si="0"/>
        <v>0.78820623649217381</v>
      </c>
      <c r="G33" s="194"/>
      <c r="H33" s="97"/>
      <c r="I33" s="97"/>
      <c r="J33" s="97"/>
      <c r="K33" s="97"/>
      <c r="L33" s="97"/>
      <c r="N33" s="17" t="s">
        <v>148</v>
      </c>
      <c r="O33" s="118" t="s">
        <v>149</v>
      </c>
      <c r="P33" s="118"/>
      <c r="Q33" s="118"/>
      <c r="R33" s="118"/>
      <c r="S33" s="118"/>
      <c r="T33" s="118"/>
      <c r="U33" s="118"/>
      <c r="V33" s="118"/>
    </row>
    <row r="34" spans="1:24" ht="20.100000000000001" customHeight="1" x14ac:dyDescent="0.2">
      <c r="A34" s="5" t="s">
        <v>26</v>
      </c>
      <c r="B34" s="21">
        <f>'Ячейка 30'!D37+'Ячейка 27'!D37+'Ячейка 10'!D37</f>
        <v>1604.88000002224</v>
      </c>
      <c r="C34" s="21"/>
      <c r="D34" s="198">
        <f>'Ячейка 30'!H37+'Ячейка 27'!H37+'Ячейка 10'!H37</f>
        <v>1222.5599999954284</v>
      </c>
      <c r="E34" s="198"/>
      <c r="F34" s="194">
        <f t="shared" si="0"/>
        <v>0.76177658141324367</v>
      </c>
      <c r="G34" s="194"/>
      <c r="H34" s="97"/>
      <c r="I34" s="97"/>
      <c r="J34" s="97"/>
      <c r="K34" s="97"/>
      <c r="L34" s="97"/>
    </row>
    <row r="35" spans="1:24" ht="20.100000000000001" customHeight="1" x14ac:dyDescent="0.2">
      <c r="A35" s="5" t="s">
        <v>27</v>
      </c>
      <c r="B35" s="21">
        <f>'Ячейка 30'!D38+'Ячейка 27'!D38+'Ячейка 10'!D38</f>
        <v>1602.9599999834318</v>
      </c>
      <c r="C35" s="21"/>
      <c r="D35" s="198">
        <f>'Ячейка 30'!H38+'Ячейка 27'!H38+'Ячейка 10'!H38</f>
        <v>1234.3200000104844</v>
      </c>
      <c r="E35" s="198"/>
      <c r="F35" s="194">
        <f t="shared" si="0"/>
        <v>0.77002545292661218</v>
      </c>
      <c r="G35" s="194"/>
      <c r="H35" s="97"/>
      <c r="I35" s="97"/>
      <c r="J35" s="97"/>
      <c r="K35" s="97"/>
      <c r="L35" s="97"/>
    </row>
    <row r="36" spans="1:24" ht="20.100000000000001" customHeight="1" x14ac:dyDescent="0.2">
      <c r="A36" s="5" t="s">
        <v>28</v>
      </c>
      <c r="B36" s="21">
        <f>'Ячейка 30'!D39+'Ячейка 27'!D39+'Ячейка 10'!D39</f>
        <v>1480.319999990752</v>
      </c>
      <c r="C36" s="21"/>
      <c r="D36" s="198">
        <f>'Ячейка 30'!H39+'Ячейка 27'!H39+'Ячейка 10'!H39</f>
        <v>1128.2399999923655</v>
      </c>
      <c r="E36" s="198"/>
      <c r="F36" s="194">
        <f t="shared" si="0"/>
        <v>0.76215953307353412</v>
      </c>
      <c r="G36" s="194"/>
      <c r="H36" s="97"/>
      <c r="I36" s="97"/>
      <c r="J36" s="97"/>
      <c r="K36" s="97"/>
      <c r="L36" s="97"/>
    </row>
    <row r="37" spans="1:24" ht="20.100000000000001" customHeight="1" x14ac:dyDescent="0.2">
      <c r="A37" s="5" t="s">
        <v>29</v>
      </c>
      <c r="B37" s="21">
        <f>'Ячейка 30'!D40+'Ячейка 27'!D40+'Ячейка 10'!D40</f>
        <v>1400.1600000073097</v>
      </c>
      <c r="C37" s="21"/>
      <c r="D37" s="198">
        <f>'Ячейка 30'!H40+'Ячейка 27'!H40+'Ячейка 10'!H40</f>
        <v>1031.2800000014249</v>
      </c>
      <c r="E37" s="198"/>
      <c r="F37" s="194">
        <f t="shared" si="0"/>
        <v>0.73654439492346657</v>
      </c>
      <c r="G37" s="194"/>
      <c r="H37" s="97"/>
      <c r="I37" s="97"/>
      <c r="J37" s="97"/>
      <c r="K37" s="97"/>
      <c r="L37" s="97"/>
    </row>
    <row r="38" spans="1:24" ht="20.100000000000001" customHeight="1" x14ac:dyDescent="0.2">
      <c r="A38" s="5" t="s">
        <v>30</v>
      </c>
      <c r="B38" s="21">
        <f>'Ячейка 30'!D41+'Ячейка 27'!D41+'Ячейка 10'!D41</f>
        <v>1595.5199999923934</v>
      </c>
      <c r="C38" s="21"/>
      <c r="D38" s="198">
        <f>'Ячейка 30'!H41+'Ячейка 27'!H41+'Ячейка 10'!H41</f>
        <v>1117.9200000020501</v>
      </c>
      <c r="E38" s="198"/>
      <c r="F38" s="194">
        <f t="shared" si="0"/>
        <v>0.70066185319355423</v>
      </c>
      <c r="G38" s="194"/>
      <c r="H38" s="97"/>
      <c r="I38" s="97"/>
      <c r="J38" s="97"/>
      <c r="K38" s="97"/>
      <c r="L38" s="97"/>
    </row>
    <row r="39" spans="1:24" ht="20.100000000000001" customHeight="1" x14ac:dyDescent="0.2">
      <c r="A39" s="5" t="s">
        <v>31</v>
      </c>
      <c r="B39" s="21">
        <f>'Ячейка 30'!D42+'Ячейка 27'!D42+'Ячейка 10'!D42</f>
        <v>1489.4400000222959</v>
      </c>
      <c r="C39" s="21"/>
      <c r="D39" s="198">
        <f>'Ячейка 30'!H42+'Ячейка 27'!H42+'Ячейка 10'!H42</f>
        <v>1141.6799999977229</v>
      </c>
      <c r="E39" s="198"/>
      <c r="F39" s="194">
        <f t="shared" si="0"/>
        <v>0.76651627455999083</v>
      </c>
      <c r="G39" s="194"/>
      <c r="H39" s="97"/>
      <c r="I39" s="97"/>
      <c r="J39" s="97"/>
      <c r="K39" s="97"/>
      <c r="L39" s="97"/>
      <c r="P39" s="150" t="s">
        <v>150</v>
      </c>
      <c r="Q39" s="150"/>
      <c r="R39" s="150"/>
      <c r="S39" s="149" t="s">
        <v>370</v>
      </c>
      <c r="T39" s="149"/>
      <c r="U39" s="149"/>
      <c r="V39" s="149"/>
      <c r="W39" s="149"/>
      <c r="X39" s="149"/>
    </row>
    <row r="40" spans="1:24" ht="20.100000000000001" customHeight="1" x14ac:dyDescent="0.2">
      <c r="A40" s="5" t="s">
        <v>32</v>
      </c>
      <c r="B40" s="21">
        <f>SUM(B15:B39)</f>
        <v>37043.75999999998</v>
      </c>
      <c r="C40" s="21"/>
      <c r="D40" s="198">
        <f>SUM(D15:E39)</f>
        <v>28949.039999998058</v>
      </c>
      <c r="E40" s="198"/>
      <c r="F40" s="194">
        <f t="shared" si="0"/>
        <v>0.7814822253464031</v>
      </c>
      <c r="G40" s="194"/>
      <c r="H40" s="97"/>
      <c r="I40" s="97"/>
      <c r="J40" s="97"/>
      <c r="K40" s="97"/>
      <c r="L40" s="97"/>
    </row>
    <row r="41" spans="1:24" ht="20.100000000000001" customHeight="1" x14ac:dyDescent="0.2">
      <c r="A41" s="5" t="s">
        <v>33</v>
      </c>
      <c r="B41" s="5"/>
      <c r="C41" s="5"/>
      <c r="D41" s="192"/>
      <c r="E41" s="192"/>
      <c r="F41" s="194"/>
      <c r="G41" s="194"/>
      <c r="H41" s="97"/>
      <c r="I41" s="97"/>
      <c r="J41" s="97"/>
      <c r="K41" s="97"/>
      <c r="L41" s="97"/>
    </row>
    <row r="42" spans="1:24" ht="20.100000000000001" customHeight="1" x14ac:dyDescent="0.2">
      <c r="A42" s="87" t="s">
        <v>2</v>
      </c>
      <c r="B42" s="86" t="s">
        <v>37</v>
      </c>
      <c r="C42" s="105"/>
      <c r="D42" s="87"/>
      <c r="E42" s="86" t="s">
        <v>40</v>
      </c>
      <c r="F42" s="105"/>
      <c r="G42" s="105"/>
      <c r="H42" s="105"/>
      <c r="I42" s="87"/>
      <c r="J42" s="101" t="s">
        <v>5</v>
      </c>
      <c r="K42" s="104"/>
      <c r="L42" s="104"/>
    </row>
    <row r="43" spans="1:24" ht="36" customHeight="1" x14ac:dyDescent="0.2">
      <c r="A43" s="87"/>
      <c r="B43" s="192" t="s">
        <v>38</v>
      </c>
      <c r="C43" s="192"/>
      <c r="D43" s="5" t="s">
        <v>39</v>
      </c>
      <c r="E43" s="86" t="s">
        <v>41</v>
      </c>
      <c r="F43" s="105"/>
      <c r="G43" s="87"/>
      <c r="H43" s="86" t="s">
        <v>42</v>
      </c>
      <c r="I43" s="87"/>
      <c r="J43" s="92"/>
      <c r="K43" s="103"/>
      <c r="L43" s="103"/>
    </row>
    <row r="44" spans="1:24" ht="20.100000000000001" customHeight="1" x14ac:dyDescent="0.2">
      <c r="A44" s="4" t="s">
        <v>153</v>
      </c>
      <c r="B44" s="199">
        <f>SUM(B24:B26)</f>
        <v>4767.3599999994622</v>
      </c>
      <c r="C44" s="200"/>
      <c r="D44" s="21">
        <f>SUM(D24:E26)</f>
        <v>3513.8400000068941</v>
      </c>
      <c r="E44" s="199">
        <f>B44/3</f>
        <v>1589.1199999998207</v>
      </c>
      <c r="F44" s="204"/>
      <c r="G44" s="200"/>
      <c r="H44" s="199">
        <f>D44/3</f>
        <v>1171.280000002298</v>
      </c>
      <c r="I44" s="200"/>
      <c r="J44" s="201">
        <f>H44/E44</f>
        <v>0.73706202174941493</v>
      </c>
      <c r="K44" s="202"/>
      <c r="L44" s="202"/>
    </row>
    <row r="45" spans="1:24" ht="20.100000000000001" customHeight="1" x14ac:dyDescent="0.2">
      <c r="A45" s="4" t="s">
        <v>43</v>
      </c>
      <c r="B45" s="199">
        <f>SUM(B33:B36)</f>
        <v>6242.8799999936018</v>
      </c>
      <c r="C45" s="200"/>
      <c r="D45" s="21">
        <f>SUM(D33:E36)</f>
        <v>4810.5599999951664</v>
      </c>
      <c r="E45" s="199">
        <f>B45/4</f>
        <v>1560.7199999984005</v>
      </c>
      <c r="F45" s="204"/>
      <c r="G45" s="200"/>
      <c r="H45" s="199">
        <f>D45/4</f>
        <v>1202.6399999987916</v>
      </c>
      <c r="I45" s="200"/>
      <c r="J45" s="201">
        <f>H45/E45</f>
        <v>0.77056743041674625</v>
      </c>
      <c r="K45" s="202"/>
      <c r="L45" s="202"/>
    </row>
    <row r="46" spans="1:24" ht="20.100000000000001" customHeight="1" x14ac:dyDescent="0.2">
      <c r="A46" s="4" t="s">
        <v>44</v>
      </c>
      <c r="B46" s="199">
        <f>SUM(B16:B39)</f>
        <v>37043.75999999998</v>
      </c>
      <c r="C46" s="200"/>
      <c r="D46" s="21">
        <f>SUM(D16:E39)</f>
        <v>28949.039999998058</v>
      </c>
      <c r="E46" s="199">
        <f>B46/24</f>
        <v>1543.4899999999991</v>
      </c>
      <c r="F46" s="204"/>
      <c r="G46" s="200"/>
      <c r="H46" s="199">
        <f>D46/24</f>
        <v>1206.2099999999191</v>
      </c>
      <c r="I46" s="200"/>
      <c r="J46" s="201">
        <f>H46/E46</f>
        <v>0.7814822253464031</v>
      </c>
      <c r="K46" s="202"/>
      <c r="L46" s="202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99" t="s">
        <v>186</v>
      </c>
      <c r="D50" s="99"/>
      <c r="E50" s="99"/>
      <c r="F50" s="99"/>
      <c r="G50" s="99"/>
      <c r="H50" s="99"/>
      <c r="I50" s="99"/>
    </row>
    <row r="51" spans="3:9" ht="20.100000000000001" customHeight="1" x14ac:dyDescent="0.2"/>
  </sheetData>
  <sheetProtection sheet="1" objects="1" scenarios="1"/>
  <mergeCells count="189"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S4:T4"/>
    <mergeCell ref="S5:T5"/>
    <mergeCell ref="S6:T6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V4:W4"/>
    <mergeCell ref="V5:W5"/>
    <mergeCell ref="V6:W6"/>
    <mergeCell ref="V7:W7"/>
    <mergeCell ref="V8:W8"/>
    <mergeCell ref="V9:W9"/>
    <mergeCell ref="S7:T7"/>
    <mergeCell ref="S8:T8"/>
    <mergeCell ref="S9:T9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S10:T10"/>
    <mergeCell ref="S11:T11"/>
    <mergeCell ref="V10:W10"/>
    <mergeCell ref="V11:W11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D35:E35"/>
    <mergeCell ref="D36:E36"/>
    <mergeCell ref="F38:G38"/>
    <mergeCell ref="A7:L7"/>
    <mergeCell ref="F12:G13"/>
    <mergeCell ref="H12:L12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H25:L25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I9:M9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/>
  <dimension ref="A1:X51"/>
  <sheetViews>
    <sheetView view="pageBreakPreview" topLeftCell="A13" zoomScale="75" zoomScaleNormal="100" workbookViewId="0">
      <selection activeCell="F9" sqref="F9:M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94" t="s">
        <v>161</v>
      </c>
      <c r="B1" s="94"/>
      <c r="C1" s="94"/>
      <c r="D1" s="94"/>
      <c r="E1" s="94"/>
      <c r="F1" s="123" t="s">
        <v>154</v>
      </c>
      <c r="G1" s="123"/>
      <c r="H1" s="123"/>
      <c r="I1" s="94" t="s">
        <v>163</v>
      </c>
      <c r="J1" s="94"/>
      <c r="K1" s="94"/>
      <c r="L1" s="94"/>
      <c r="M1" s="100" t="s">
        <v>115</v>
      </c>
      <c r="N1" s="98" t="s">
        <v>116</v>
      </c>
      <c r="O1" s="98"/>
      <c r="P1" s="98"/>
      <c r="Q1" s="98"/>
      <c r="R1" s="192" t="s">
        <v>117</v>
      </c>
      <c r="S1" s="192"/>
      <c r="T1" s="192"/>
      <c r="U1" s="192" t="s">
        <v>118</v>
      </c>
      <c r="V1" s="192"/>
      <c r="W1" s="86"/>
    </row>
    <row r="2" spans="1:23" ht="18.75" customHeight="1" x14ac:dyDescent="0.2">
      <c r="A2" s="119" t="s">
        <v>45</v>
      </c>
      <c r="B2" s="119"/>
      <c r="C2" s="119"/>
      <c r="D2" s="119"/>
      <c r="E2" s="119"/>
      <c r="F2" s="123"/>
      <c r="G2" s="123"/>
      <c r="H2" s="123"/>
      <c r="I2" s="94"/>
      <c r="J2" s="94"/>
      <c r="K2" s="94"/>
      <c r="L2" s="94"/>
      <c r="M2" s="95"/>
      <c r="N2" s="89"/>
      <c r="O2" s="89"/>
      <c r="P2" s="89"/>
      <c r="Q2" s="89"/>
      <c r="R2" s="89" t="s">
        <v>119</v>
      </c>
      <c r="S2" s="89" t="s">
        <v>120</v>
      </c>
      <c r="T2" s="89"/>
      <c r="U2" s="89" t="s">
        <v>119</v>
      </c>
      <c r="V2" s="89" t="s">
        <v>120</v>
      </c>
      <c r="W2" s="90"/>
    </row>
    <row r="3" spans="1:23" ht="21.75" customHeight="1" x14ac:dyDescent="0.2">
      <c r="A3" s="94" t="s">
        <v>173</v>
      </c>
      <c r="B3" s="94"/>
      <c r="C3" s="94"/>
      <c r="D3" s="94"/>
      <c r="E3" s="94"/>
      <c r="F3" s="123" t="s">
        <v>155</v>
      </c>
      <c r="G3" s="123"/>
      <c r="H3" s="123"/>
      <c r="I3" s="94" t="s">
        <v>244</v>
      </c>
      <c r="J3" s="94"/>
      <c r="K3" s="94"/>
      <c r="L3" s="94"/>
      <c r="M3" s="96"/>
      <c r="N3" s="91"/>
      <c r="O3" s="91"/>
      <c r="P3" s="91"/>
      <c r="Q3" s="91"/>
      <c r="R3" s="91"/>
      <c r="S3" s="91" t="s">
        <v>121</v>
      </c>
      <c r="T3" s="91"/>
      <c r="U3" s="91"/>
      <c r="V3" s="91" t="s">
        <v>121</v>
      </c>
      <c r="W3" s="92"/>
    </row>
    <row r="4" spans="1:23" ht="29.25" customHeight="1" x14ac:dyDescent="0.2">
      <c r="A4" s="119" t="s">
        <v>46</v>
      </c>
      <c r="B4" s="119"/>
      <c r="C4" s="119"/>
      <c r="D4" s="119"/>
      <c r="E4" s="119"/>
      <c r="F4" s="123"/>
      <c r="G4" s="123"/>
      <c r="H4" s="123"/>
      <c r="I4" s="94"/>
      <c r="J4" s="94"/>
      <c r="K4" s="94"/>
      <c r="L4" s="94"/>
      <c r="M4" s="9"/>
      <c r="N4" s="189" t="s">
        <v>122</v>
      </c>
      <c r="O4" s="189"/>
      <c r="P4" s="189"/>
      <c r="Q4" s="189"/>
      <c r="R4" s="7"/>
      <c r="S4" s="84"/>
      <c r="T4" s="85"/>
      <c r="U4" s="7"/>
      <c r="V4" s="84"/>
      <c r="W4" s="88"/>
    </row>
    <row r="5" spans="1:23" ht="21" customHeight="1" x14ac:dyDescent="0.2">
      <c r="A5" s="206" t="s">
        <v>159</v>
      </c>
      <c r="B5" s="206"/>
      <c r="C5" s="206"/>
      <c r="D5" s="206"/>
      <c r="E5" s="206"/>
      <c r="F5" s="123" t="s">
        <v>156</v>
      </c>
      <c r="G5" s="123"/>
      <c r="H5" s="123"/>
      <c r="I5" s="94" t="s">
        <v>243</v>
      </c>
      <c r="J5" s="94"/>
      <c r="K5" s="94"/>
      <c r="L5" s="94"/>
      <c r="M5" s="9"/>
      <c r="N5" s="190" t="s">
        <v>123</v>
      </c>
      <c r="O5" s="190"/>
      <c r="P5" s="190"/>
      <c r="Q5" s="190"/>
      <c r="R5" s="7"/>
      <c r="S5" s="84"/>
      <c r="T5" s="85"/>
      <c r="U5" s="7"/>
      <c r="V5" s="84"/>
      <c r="W5" s="88"/>
    </row>
    <row r="6" spans="1:23" x14ac:dyDescent="0.2">
      <c r="A6" s="119" t="s">
        <v>47</v>
      </c>
      <c r="B6" s="119"/>
      <c r="C6" s="119"/>
      <c r="D6" s="119"/>
      <c r="E6" s="119"/>
      <c r="F6" s="123"/>
      <c r="G6" s="123"/>
      <c r="H6" s="123"/>
      <c r="I6" s="94"/>
      <c r="J6" s="94"/>
      <c r="K6" s="94"/>
      <c r="L6" s="94"/>
      <c r="M6" s="9"/>
      <c r="N6" s="190" t="s">
        <v>124</v>
      </c>
      <c r="O6" s="190"/>
      <c r="P6" s="190"/>
      <c r="Q6" s="190"/>
      <c r="R6" s="7"/>
      <c r="S6" s="84"/>
      <c r="T6" s="85"/>
      <c r="U6" s="7"/>
      <c r="V6" s="84"/>
      <c r="W6" s="88"/>
    </row>
    <row r="7" spans="1:23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191" t="s">
        <v>125</v>
      </c>
      <c r="O7" s="191"/>
      <c r="P7" s="191"/>
      <c r="Q7" s="191"/>
      <c r="R7" s="7"/>
      <c r="S7" s="84"/>
      <c r="T7" s="85"/>
      <c r="U7" s="7"/>
      <c r="V7" s="84"/>
      <c r="W7" s="88"/>
    </row>
    <row r="8" spans="1:23" ht="22.5" x14ac:dyDescent="0.2">
      <c r="A8" s="116" t="s">
        <v>0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190" t="s">
        <v>126</v>
      </c>
      <c r="O8" s="190"/>
      <c r="P8" s="190"/>
      <c r="Q8" s="190"/>
      <c r="R8" s="7"/>
      <c r="S8" s="84"/>
      <c r="T8" s="85"/>
      <c r="U8" s="7"/>
      <c r="V8" s="84"/>
      <c r="W8" s="88"/>
    </row>
    <row r="9" spans="1:23" ht="18.75" customHeight="1" x14ac:dyDescent="0.2">
      <c r="A9" s="193" t="s">
        <v>152</v>
      </c>
      <c r="B9" s="193"/>
      <c r="C9" s="193"/>
      <c r="D9" s="193"/>
      <c r="E9" s="193"/>
      <c r="F9" s="135" t="s">
        <v>375</v>
      </c>
      <c r="G9" s="136"/>
      <c r="H9" s="136"/>
      <c r="I9" s="111" t="s">
        <v>376</v>
      </c>
      <c r="J9" s="111"/>
      <c r="K9" s="111"/>
      <c r="L9" s="111"/>
      <c r="M9" s="111"/>
      <c r="N9" s="190" t="s">
        <v>127</v>
      </c>
      <c r="O9" s="190"/>
      <c r="P9" s="190"/>
      <c r="Q9" s="190"/>
      <c r="R9" s="7"/>
      <c r="S9" s="84"/>
      <c r="T9" s="85"/>
      <c r="U9" s="7"/>
      <c r="V9" s="84"/>
      <c r="W9" s="88"/>
    </row>
    <row r="10" spans="1:23" ht="19.5" customHeight="1" x14ac:dyDescent="0.2">
      <c r="A10" s="193" t="s">
        <v>151</v>
      </c>
      <c r="B10" s="193"/>
      <c r="C10" s="136" t="s">
        <v>366</v>
      </c>
      <c r="D10" s="136"/>
      <c r="E10" s="136"/>
      <c r="F10" s="136"/>
      <c r="G10" s="136"/>
      <c r="H10" s="136"/>
      <c r="I10" s="3"/>
      <c r="J10" s="3"/>
      <c r="K10" s="3"/>
      <c r="L10" s="3"/>
      <c r="M10" s="9"/>
      <c r="N10" s="191" t="s">
        <v>128</v>
      </c>
      <c r="O10" s="191"/>
      <c r="P10" s="191"/>
      <c r="Q10" s="191"/>
      <c r="R10" s="7"/>
      <c r="S10" s="84"/>
      <c r="T10" s="85"/>
      <c r="U10" s="7"/>
      <c r="V10" s="84"/>
      <c r="W10" s="88"/>
    </row>
    <row r="11" spans="1:23" x14ac:dyDescent="0.2">
      <c r="A11" s="188" t="s">
        <v>1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9"/>
      <c r="N11" s="196" t="s">
        <v>129</v>
      </c>
      <c r="O11" s="196"/>
      <c r="P11" s="196"/>
      <c r="Q11" s="196"/>
      <c r="R11" s="7"/>
      <c r="S11" s="84"/>
      <c r="T11" s="85"/>
      <c r="U11" s="7"/>
      <c r="V11" s="84"/>
      <c r="W11" s="88"/>
    </row>
    <row r="12" spans="1:23" ht="20.100000000000001" customHeight="1" x14ac:dyDescent="0.2">
      <c r="A12" s="87" t="s">
        <v>2</v>
      </c>
      <c r="B12" s="192" t="s">
        <v>36</v>
      </c>
      <c r="C12" s="192"/>
      <c r="D12" s="192"/>
      <c r="E12" s="192"/>
      <c r="F12" s="192" t="s">
        <v>5</v>
      </c>
      <c r="G12" s="192"/>
      <c r="H12" s="101" t="s">
        <v>34</v>
      </c>
      <c r="I12" s="104"/>
      <c r="J12" s="104"/>
      <c r="K12" s="104"/>
      <c r="L12" s="104"/>
      <c r="N12" s="1"/>
      <c r="O12" s="1"/>
      <c r="P12" s="1"/>
      <c r="Q12" s="1"/>
    </row>
    <row r="13" spans="1:23" ht="20.100000000000001" customHeight="1" x14ac:dyDescent="0.2">
      <c r="A13" s="87"/>
      <c r="B13" s="192" t="s">
        <v>3</v>
      </c>
      <c r="C13" s="192"/>
      <c r="D13" s="192" t="s">
        <v>4</v>
      </c>
      <c r="E13" s="192"/>
      <c r="F13" s="192"/>
      <c r="G13" s="192"/>
      <c r="H13" s="92" t="s">
        <v>35</v>
      </c>
      <c r="I13" s="103"/>
      <c r="J13" s="103"/>
      <c r="K13" s="103"/>
      <c r="L13" s="103"/>
    </row>
    <row r="14" spans="1:23" ht="20.100000000000001" customHeight="1" x14ac:dyDescent="0.2">
      <c r="A14" s="5" t="s">
        <v>6</v>
      </c>
      <c r="B14" s="7"/>
      <c r="C14" s="5"/>
      <c r="D14" s="97"/>
      <c r="E14" s="97"/>
      <c r="F14" s="194" t="str">
        <f t="shared" ref="F14:F40" si="0">IF(OR(B14="",D14=""),"",IF(ISERROR(D14/B14),IF(D14=0,0,""),D14/B14))</f>
        <v/>
      </c>
      <c r="G14" s="194"/>
      <c r="H14" s="97"/>
      <c r="I14" s="97"/>
      <c r="J14" s="97"/>
      <c r="K14" s="97"/>
      <c r="L14" s="97"/>
      <c r="M14" s="87" t="s">
        <v>115</v>
      </c>
      <c r="N14" s="192" t="s">
        <v>116</v>
      </c>
      <c r="O14" s="192"/>
      <c r="P14" s="192"/>
      <c r="Q14" s="192"/>
      <c r="R14" s="192" t="s">
        <v>117</v>
      </c>
      <c r="S14" s="192"/>
      <c r="T14" s="192"/>
      <c r="U14" s="192" t="s">
        <v>130</v>
      </c>
      <c r="V14" s="192" t="s">
        <v>69</v>
      </c>
      <c r="W14" s="86" t="s">
        <v>131</v>
      </c>
    </row>
    <row r="15" spans="1:23" ht="20.100000000000001" customHeight="1" x14ac:dyDescent="0.2">
      <c r="A15" s="5" t="s">
        <v>7</v>
      </c>
      <c r="B15" s="5"/>
      <c r="C15" s="5"/>
      <c r="D15" s="192"/>
      <c r="E15" s="192"/>
      <c r="F15" s="194" t="str">
        <f t="shared" si="0"/>
        <v/>
      </c>
      <c r="G15" s="194"/>
      <c r="H15" s="97"/>
      <c r="I15" s="97"/>
      <c r="J15" s="97"/>
      <c r="K15" s="97"/>
      <c r="L15" s="97"/>
      <c r="M15" s="87"/>
      <c r="N15" s="192"/>
      <c r="O15" s="192"/>
      <c r="P15" s="192"/>
      <c r="Q15" s="192"/>
      <c r="R15" s="197" t="s">
        <v>130</v>
      </c>
      <c r="S15" s="192" t="s">
        <v>69</v>
      </c>
      <c r="T15" s="192" t="s">
        <v>131</v>
      </c>
      <c r="U15" s="192"/>
      <c r="V15" s="192"/>
      <c r="W15" s="86"/>
    </row>
    <row r="16" spans="1:23" ht="20.100000000000001" customHeight="1" x14ac:dyDescent="0.2">
      <c r="A16" s="5" t="s">
        <v>8</v>
      </c>
      <c r="B16" s="21">
        <f>'Ячейка 16'!D19+'Ячейка 14 '!D19</f>
        <v>97.920000001613516</v>
      </c>
      <c r="C16" s="21"/>
      <c r="D16" s="198">
        <f>'Ячейка 16'!H19+'Ячейка 14 '!H19</f>
        <v>116.27999999946041</v>
      </c>
      <c r="E16" s="198"/>
      <c r="F16" s="194">
        <f t="shared" si="0"/>
        <v>1.1874999999749221</v>
      </c>
      <c r="G16" s="194"/>
      <c r="H16" s="97"/>
      <c r="I16" s="97"/>
      <c r="J16" s="97"/>
      <c r="K16" s="97"/>
      <c r="L16" s="97"/>
      <c r="M16" s="87"/>
      <c r="N16" s="192"/>
      <c r="O16" s="192"/>
      <c r="P16" s="192"/>
      <c r="Q16" s="192"/>
      <c r="R16" s="197"/>
      <c r="S16" s="192"/>
      <c r="T16" s="192"/>
      <c r="U16" s="192"/>
      <c r="V16" s="192"/>
      <c r="W16" s="86"/>
    </row>
    <row r="17" spans="1:23" ht="20.100000000000001" customHeight="1" x14ac:dyDescent="0.2">
      <c r="A17" s="5" t="s">
        <v>9</v>
      </c>
      <c r="B17" s="21">
        <f>'Ячейка 16'!D20+'Ячейка 14 '!D20</f>
        <v>124.5599999998376</v>
      </c>
      <c r="C17" s="21"/>
      <c r="D17" s="198">
        <f>'Ячейка 16'!H20+'Ячейка 14 '!H20</f>
        <v>135.72000000112894</v>
      </c>
      <c r="E17" s="198"/>
      <c r="F17" s="194">
        <f t="shared" si="0"/>
        <v>1.0895953757330274</v>
      </c>
      <c r="G17" s="194"/>
      <c r="H17" s="97"/>
      <c r="I17" s="97"/>
      <c r="J17" s="97"/>
      <c r="K17" s="97"/>
      <c r="L17" s="97"/>
      <c r="M17" s="87"/>
      <c r="N17" s="192"/>
      <c r="O17" s="192"/>
      <c r="P17" s="192"/>
      <c r="Q17" s="192"/>
      <c r="R17" s="197"/>
      <c r="S17" s="192"/>
      <c r="T17" s="192"/>
      <c r="U17" s="192"/>
      <c r="V17" s="192"/>
      <c r="W17" s="86"/>
    </row>
    <row r="18" spans="1:23" ht="20.100000000000001" customHeight="1" x14ac:dyDescent="0.2">
      <c r="A18" s="5" t="s">
        <v>10</v>
      </c>
      <c r="B18" s="21">
        <f>'Ячейка 16'!D21+'Ячейка 14 '!D21</f>
        <v>137.88000000058673</v>
      </c>
      <c r="C18" s="21"/>
      <c r="D18" s="198">
        <f>'Ячейка 16'!H21+'Ячейка 14 '!H21</f>
        <v>147.23999999987427</v>
      </c>
      <c r="E18" s="198"/>
      <c r="F18" s="194">
        <f t="shared" si="0"/>
        <v>1.0678851174880164</v>
      </c>
      <c r="G18" s="194"/>
      <c r="H18" s="97"/>
      <c r="I18" s="97"/>
      <c r="J18" s="97"/>
      <c r="K18" s="97"/>
      <c r="L18" s="97"/>
      <c r="M18" s="87"/>
      <c r="N18" s="192"/>
      <c r="O18" s="192"/>
      <c r="P18" s="192"/>
      <c r="Q18" s="192"/>
      <c r="R18" s="197"/>
      <c r="S18" s="192"/>
      <c r="T18" s="192"/>
      <c r="U18" s="192"/>
      <c r="V18" s="192"/>
      <c r="W18" s="86"/>
    </row>
    <row r="19" spans="1:23" ht="20.100000000000001" customHeight="1" x14ac:dyDescent="0.2">
      <c r="A19" s="5" t="s">
        <v>11</v>
      </c>
      <c r="B19" s="21">
        <f>'Ячейка 16'!D22+'Ячейка 14 '!D22</f>
        <v>134.99999999803549</v>
      </c>
      <c r="C19" s="21"/>
      <c r="D19" s="198">
        <f>'Ячейка 16'!H22+'Ячейка 14 '!H22</f>
        <v>151.56000000042695</v>
      </c>
      <c r="E19" s="198"/>
      <c r="F19" s="194">
        <f t="shared" si="0"/>
        <v>1.1226666666861662</v>
      </c>
      <c r="G19" s="194"/>
      <c r="H19" s="97"/>
      <c r="I19" s="97"/>
      <c r="J19" s="97"/>
      <c r="K19" s="97"/>
      <c r="L19" s="97"/>
      <c r="M19" s="9"/>
      <c r="N19" s="189" t="s">
        <v>132</v>
      </c>
      <c r="O19" s="189"/>
      <c r="P19" s="189"/>
      <c r="Q19" s="189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16'!D23+'Ячейка 14 '!D23</f>
        <v>118.80000000128348</v>
      </c>
      <c r="C20" s="21"/>
      <c r="D20" s="198">
        <f>'Ячейка 16'!H23+'Ячейка 14 '!H23</f>
        <v>140.39999999913562</v>
      </c>
      <c r="E20" s="198"/>
      <c r="F20" s="194">
        <f t="shared" si="0"/>
        <v>1.1818181817981379</v>
      </c>
      <c r="G20" s="194"/>
      <c r="H20" s="97"/>
      <c r="I20" s="97"/>
      <c r="J20" s="97"/>
      <c r="K20" s="97"/>
      <c r="L20" s="97"/>
      <c r="M20" s="9"/>
      <c r="N20" s="190" t="s">
        <v>133</v>
      </c>
      <c r="O20" s="190"/>
      <c r="P20" s="190"/>
      <c r="Q20" s="190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16'!D24+'Ячейка 14 '!D24</f>
        <v>99.360000001252047</v>
      </c>
      <c r="C21" s="21"/>
      <c r="D21" s="198">
        <f>'Ячейка 16'!H24+'Ячейка 14 '!H24</f>
        <v>125.99999999947613</v>
      </c>
      <c r="E21" s="198"/>
      <c r="F21" s="194">
        <f t="shared" si="0"/>
        <v>1.2681159420077335</v>
      </c>
      <c r="G21" s="194"/>
      <c r="H21" s="97"/>
      <c r="I21" s="97"/>
      <c r="J21" s="97"/>
      <c r="K21" s="97"/>
      <c r="L21" s="97"/>
      <c r="M21" s="9"/>
      <c r="N21" s="195" t="s">
        <v>134</v>
      </c>
      <c r="O21" s="195"/>
      <c r="P21" s="195"/>
      <c r="Q21" s="195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16'!D25+'Ячейка 14 '!D25</f>
        <v>96.839999999428983</v>
      </c>
      <c r="C22" s="21"/>
      <c r="D22" s="198">
        <f>'Ячейка 16'!H25+'Ячейка 14 '!H25</f>
        <v>122.04000000128872</v>
      </c>
      <c r="E22" s="198"/>
      <c r="F22" s="194">
        <f t="shared" si="0"/>
        <v>1.2602230483478762</v>
      </c>
      <c r="G22" s="194"/>
      <c r="H22" s="97"/>
      <c r="I22" s="97"/>
      <c r="J22" s="97"/>
      <c r="K22" s="97"/>
      <c r="L22" s="97"/>
    </row>
    <row r="23" spans="1:23" ht="20.100000000000001" customHeight="1" x14ac:dyDescent="0.2">
      <c r="A23" s="5" t="s">
        <v>15</v>
      </c>
      <c r="B23" s="21">
        <f>'Ячейка 16'!D26+'Ячейка 14 '!D26</f>
        <v>95.399999999790452</v>
      </c>
      <c r="C23" s="21"/>
      <c r="D23" s="198">
        <f>'Ячейка 16'!H26+'Ячейка 14 '!H26</f>
        <v>112.679999998727</v>
      </c>
      <c r="E23" s="198"/>
      <c r="F23" s="194">
        <f t="shared" si="0"/>
        <v>1.1811320754609487</v>
      </c>
      <c r="G23" s="194"/>
      <c r="H23" s="97"/>
      <c r="I23" s="97"/>
      <c r="J23" s="97"/>
      <c r="K23" s="97"/>
      <c r="L23" s="97"/>
    </row>
    <row r="24" spans="1:23" ht="20.100000000000001" customHeight="1" x14ac:dyDescent="0.2">
      <c r="A24" s="5" t="s">
        <v>16</v>
      </c>
      <c r="B24" s="21">
        <f>'Ячейка 16'!D27+'Ячейка 14 '!D27</f>
        <v>111.96000000054482</v>
      </c>
      <c r="C24" s="21"/>
      <c r="D24" s="198">
        <f>'Ячейка 16'!H27+'Ячейка 14 '!H27</f>
        <v>100.08000000107131</v>
      </c>
      <c r="E24" s="198"/>
      <c r="F24" s="194">
        <f t="shared" si="0"/>
        <v>0.89389067524637633</v>
      </c>
      <c r="G24" s="194"/>
      <c r="H24" s="97"/>
      <c r="I24" s="97"/>
      <c r="J24" s="97"/>
      <c r="K24" s="97"/>
      <c r="L24" s="97"/>
      <c r="N24" s="118" t="s">
        <v>135</v>
      </c>
      <c r="O24" s="118"/>
      <c r="P24" s="118"/>
      <c r="Q24" s="118"/>
      <c r="R24" s="118"/>
      <c r="S24" s="118"/>
      <c r="T24" s="118"/>
      <c r="U24" s="118"/>
      <c r="V24" s="118"/>
    </row>
    <row r="25" spans="1:23" ht="20.100000000000001" customHeight="1" x14ac:dyDescent="0.2">
      <c r="A25" s="5" t="s">
        <v>17</v>
      </c>
      <c r="B25" s="21">
        <f>'Ячейка 16'!D28+'Ячейка 14 '!D28</f>
        <v>112.679999998727</v>
      </c>
      <c r="C25" s="21"/>
      <c r="D25" s="198">
        <f>'Ячейка 16'!H28+'Ячейка 14 '!H28</f>
        <v>92.519999998876301</v>
      </c>
      <c r="E25" s="198"/>
      <c r="F25" s="194">
        <f t="shared" si="0"/>
        <v>0.82108626198013446</v>
      </c>
      <c r="G25" s="194"/>
      <c r="H25" s="97"/>
      <c r="I25" s="97"/>
      <c r="J25" s="97"/>
      <c r="K25" s="97"/>
      <c r="L25" s="97"/>
      <c r="N25" s="17" t="s">
        <v>136</v>
      </c>
      <c r="O25" s="118" t="s">
        <v>137</v>
      </c>
      <c r="P25" s="118"/>
      <c r="Q25" s="118"/>
      <c r="R25" s="118"/>
      <c r="S25" s="118"/>
      <c r="T25" s="118"/>
      <c r="U25" s="118"/>
      <c r="V25" s="118"/>
    </row>
    <row r="26" spans="1:23" ht="20.100000000000001" customHeight="1" x14ac:dyDescent="0.2">
      <c r="A26" s="5" t="s">
        <v>18</v>
      </c>
      <c r="B26" s="21">
        <f>'Ячейка 16'!D29+'Ячейка 14 '!D29</f>
        <v>84.600000000864384</v>
      </c>
      <c r="C26" s="21"/>
      <c r="D26" s="198">
        <f>'Ячейка 16'!H29+'Ячейка 14 '!H29</f>
        <v>73.800000000301225</v>
      </c>
      <c r="E26" s="198"/>
      <c r="F26" s="194">
        <f t="shared" si="0"/>
        <v>0.87234042552656255</v>
      </c>
      <c r="G26" s="194"/>
      <c r="H26" s="97"/>
      <c r="I26" s="97"/>
      <c r="J26" s="97"/>
      <c r="K26" s="97"/>
      <c r="L26" s="97"/>
      <c r="N26" s="17" t="s">
        <v>138</v>
      </c>
      <c r="O26" s="118" t="s">
        <v>180</v>
      </c>
      <c r="P26" s="118"/>
      <c r="Q26" s="118"/>
      <c r="R26" s="118"/>
      <c r="S26" s="118"/>
      <c r="T26" s="118"/>
      <c r="U26" s="118"/>
      <c r="V26" s="118"/>
    </row>
    <row r="27" spans="1:23" ht="20.100000000000001" customHeight="1" x14ac:dyDescent="0.2">
      <c r="A27" s="5" t="s">
        <v>19</v>
      </c>
      <c r="B27" s="21">
        <f>'Ячейка 16'!D30+'Ячейка 14 '!D30</f>
        <v>80.639999999402789</v>
      </c>
      <c r="C27" s="21"/>
      <c r="D27" s="198">
        <f>'Ячейка 16'!H30+'Ячейка 14 '!H30</f>
        <v>66.959999999562569</v>
      </c>
      <c r="E27" s="198"/>
      <c r="F27" s="194">
        <f t="shared" si="0"/>
        <v>0.83035714285786788</v>
      </c>
      <c r="G27" s="194"/>
      <c r="H27" s="97"/>
      <c r="I27" s="97"/>
      <c r="J27" s="97"/>
      <c r="K27" s="97"/>
      <c r="L27" s="97"/>
      <c r="N27" s="17" t="s">
        <v>139</v>
      </c>
      <c r="O27" s="118" t="s">
        <v>140</v>
      </c>
      <c r="P27" s="118"/>
      <c r="Q27" s="118"/>
      <c r="R27" s="118"/>
      <c r="S27" s="118"/>
      <c r="T27" s="118"/>
      <c r="U27" s="118"/>
      <c r="V27" s="118"/>
    </row>
    <row r="28" spans="1:23" ht="20.100000000000001" customHeight="1" x14ac:dyDescent="0.2">
      <c r="A28" s="5" t="s">
        <v>20</v>
      </c>
      <c r="B28" s="21">
        <f>'Ячейка 16'!D31+'Ячейка 14 '!D31</f>
        <v>80.639999999402789</v>
      </c>
      <c r="C28" s="21"/>
      <c r="D28" s="198">
        <f>'Ячейка 16'!H31+'Ячейка 14 '!H31</f>
        <v>69.120000000657456</v>
      </c>
      <c r="E28" s="198"/>
      <c r="F28" s="194">
        <f t="shared" si="0"/>
        <v>0.85714285715735805</v>
      </c>
      <c r="G28" s="194"/>
      <c r="H28" s="97"/>
      <c r="I28" s="97"/>
      <c r="J28" s="97"/>
      <c r="K28" s="97"/>
      <c r="L28" s="97"/>
      <c r="N28" s="17"/>
      <c r="O28" s="118" t="s">
        <v>141</v>
      </c>
      <c r="P28" s="118"/>
      <c r="Q28" s="118"/>
      <c r="R28" s="118"/>
      <c r="S28" s="118"/>
      <c r="T28" s="118"/>
      <c r="U28" s="118"/>
      <c r="V28" s="118"/>
    </row>
    <row r="29" spans="1:23" ht="20.100000000000001" customHeight="1" x14ac:dyDescent="0.2">
      <c r="A29" s="5" t="s">
        <v>21</v>
      </c>
      <c r="B29" s="21">
        <f>'Ячейка 16'!D32+'Ячейка 14 '!D32</f>
        <v>76.320000000487198</v>
      </c>
      <c r="C29" s="21"/>
      <c r="D29" s="198">
        <f>'Ячейка 16'!H32+'Ячейка 14 '!H32</f>
        <v>64.080000000285509</v>
      </c>
      <c r="E29" s="198"/>
      <c r="F29" s="194">
        <f t="shared" si="0"/>
        <v>0.83962264150781507</v>
      </c>
      <c r="G29" s="194"/>
      <c r="H29" s="97"/>
      <c r="I29" s="97"/>
      <c r="J29" s="97"/>
      <c r="K29" s="97"/>
      <c r="L29" s="97"/>
      <c r="N29" s="17"/>
      <c r="O29" s="118" t="s">
        <v>142</v>
      </c>
      <c r="P29" s="118"/>
      <c r="Q29" s="118"/>
      <c r="R29" s="118"/>
      <c r="S29" s="118"/>
      <c r="T29" s="118"/>
      <c r="U29" s="118"/>
      <c r="V29" s="118"/>
    </row>
    <row r="30" spans="1:23" ht="20.100000000000001" customHeight="1" x14ac:dyDescent="0.2">
      <c r="A30" s="5" t="s">
        <v>22</v>
      </c>
      <c r="B30" s="21">
        <f>'Ячейка 16'!D33+'Ячейка 14 '!D33</f>
        <v>63.360000000466243</v>
      </c>
      <c r="C30" s="21"/>
      <c r="D30" s="198">
        <f>'Ячейка 16'!H33+'Ячейка 14 '!H33</f>
        <v>63.360000000466243</v>
      </c>
      <c r="E30" s="198"/>
      <c r="F30" s="194">
        <f t="shared" si="0"/>
        <v>1</v>
      </c>
      <c r="G30" s="194"/>
      <c r="H30" s="97"/>
      <c r="I30" s="97"/>
      <c r="J30" s="97"/>
      <c r="K30" s="97"/>
      <c r="L30" s="97"/>
      <c r="N30" s="17" t="s">
        <v>143</v>
      </c>
      <c r="O30" s="118" t="s">
        <v>144</v>
      </c>
      <c r="P30" s="118"/>
      <c r="Q30" s="118"/>
      <c r="R30" s="118"/>
      <c r="S30" s="118"/>
      <c r="T30" s="118"/>
      <c r="U30" s="118"/>
      <c r="V30" s="118"/>
    </row>
    <row r="31" spans="1:23" ht="20.100000000000001" customHeight="1" x14ac:dyDescent="0.2">
      <c r="A31" s="5" t="s">
        <v>23</v>
      </c>
      <c r="B31" s="21">
        <f>'Ячейка 16'!D34+'Ячейка 14 '!D34</f>
        <v>64.079999998648418</v>
      </c>
      <c r="C31" s="21"/>
      <c r="D31" s="198">
        <f>'Ячейка 16'!H34+'Ячейка 14 '!H34</f>
        <v>65.879999999015126</v>
      </c>
      <c r="E31" s="198"/>
      <c r="F31" s="194">
        <f t="shared" si="0"/>
        <v>1.0280898876467646</v>
      </c>
      <c r="G31" s="194"/>
      <c r="H31" s="97"/>
      <c r="I31" s="97"/>
      <c r="J31" s="97"/>
      <c r="K31" s="97"/>
      <c r="L31" s="97"/>
      <c r="N31" s="17"/>
      <c r="O31" s="118" t="s">
        <v>145</v>
      </c>
      <c r="P31" s="118"/>
      <c r="Q31" s="118"/>
      <c r="R31" s="118"/>
      <c r="S31" s="118"/>
      <c r="T31" s="118"/>
      <c r="U31" s="118"/>
      <c r="V31" s="118"/>
    </row>
    <row r="32" spans="1:23" ht="20.100000000000001" customHeight="1" x14ac:dyDescent="0.2">
      <c r="A32" s="5" t="s">
        <v>24</v>
      </c>
      <c r="B32" s="21">
        <f>'Ячейка 16'!D35+'Ячейка 14 '!D35</f>
        <v>62.640000002284069</v>
      </c>
      <c r="C32" s="21"/>
      <c r="D32" s="198">
        <f>'Ячейка 16'!H35+'Ячейка 14 '!H35</f>
        <v>68.40000000083819</v>
      </c>
      <c r="E32" s="198"/>
      <c r="F32" s="194">
        <f t="shared" si="0"/>
        <v>1.0919540229620703</v>
      </c>
      <c r="G32" s="194"/>
      <c r="H32" s="97"/>
      <c r="I32" s="97"/>
      <c r="J32" s="97"/>
      <c r="K32" s="97"/>
      <c r="L32" s="97"/>
      <c r="N32" s="17" t="s">
        <v>146</v>
      </c>
      <c r="O32" s="118" t="s">
        <v>147</v>
      </c>
      <c r="P32" s="118"/>
      <c r="Q32" s="118"/>
      <c r="R32" s="118"/>
      <c r="S32" s="118"/>
      <c r="T32" s="118"/>
      <c r="U32" s="118"/>
      <c r="V32" s="118"/>
    </row>
    <row r="33" spans="1:24" ht="20.100000000000001" customHeight="1" x14ac:dyDescent="0.2">
      <c r="A33" s="5" t="s">
        <v>25</v>
      </c>
      <c r="B33" s="21">
        <f>'Ячейка 16'!D36+'Ячейка 14 '!D36</f>
        <v>70.199999997930718</v>
      </c>
      <c r="C33" s="21"/>
      <c r="D33" s="198">
        <f>'Ячейка 16'!H36+'Ячейка 14 '!H36</f>
        <v>70.919999999387073</v>
      </c>
      <c r="E33" s="198"/>
      <c r="F33" s="194">
        <f t="shared" si="0"/>
        <v>1.0102564102774585</v>
      </c>
      <c r="G33" s="194"/>
      <c r="H33" s="97"/>
      <c r="I33" s="97"/>
      <c r="J33" s="97"/>
      <c r="K33" s="97"/>
      <c r="L33" s="97"/>
      <c r="N33" s="17" t="s">
        <v>148</v>
      </c>
      <c r="O33" s="118" t="s">
        <v>149</v>
      </c>
      <c r="P33" s="118"/>
      <c r="Q33" s="118"/>
      <c r="R33" s="118"/>
      <c r="S33" s="118"/>
      <c r="T33" s="118"/>
      <c r="U33" s="118"/>
      <c r="V33" s="118"/>
    </row>
    <row r="34" spans="1:24" ht="20.100000000000001" customHeight="1" x14ac:dyDescent="0.2">
      <c r="A34" s="5" t="s">
        <v>26</v>
      </c>
      <c r="B34" s="21">
        <f>'Ячейка 16'!D37+'Ячейка 14 '!D37</f>
        <v>68.760000001566368</v>
      </c>
      <c r="C34" s="21"/>
      <c r="D34" s="198">
        <f>'Ячейка 16'!H37+'Ячейка 14 '!H37</f>
        <v>73.800000000301225</v>
      </c>
      <c r="E34" s="198"/>
      <c r="F34" s="194">
        <f t="shared" si="0"/>
        <v>1.0732984292993026</v>
      </c>
      <c r="G34" s="194"/>
      <c r="H34" s="97"/>
      <c r="I34" s="97"/>
      <c r="J34" s="97"/>
      <c r="K34" s="97"/>
      <c r="L34" s="97"/>
    </row>
    <row r="35" spans="1:24" ht="20.100000000000001" customHeight="1" x14ac:dyDescent="0.2">
      <c r="A35" s="5" t="s">
        <v>27</v>
      </c>
      <c r="B35" s="21">
        <f>'Ячейка 16'!D38+'Ячейка 14 '!D38</f>
        <v>63.360000000466243</v>
      </c>
      <c r="C35" s="21"/>
      <c r="D35" s="198">
        <f>'Ячейка 16'!H38+'Ячейка 14 '!H38</f>
        <v>76.320000000487198</v>
      </c>
      <c r="E35" s="198"/>
      <c r="F35" s="194">
        <f t="shared" si="0"/>
        <v>1.2045454545442802</v>
      </c>
      <c r="G35" s="194"/>
      <c r="H35" s="97"/>
      <c r="I35" s="97"/>
      <c r="J35" s="97"/>
      <c r="K35" s="97"/>
      <c r="L35" s="97"/>
    </row>
    <row r="36" spans="1:24" ht="20.100000000000001" customHeight="1" x14ac:dyDescent="0.2">
      <c r="A36" s="5" t="s">
        <v>28</v>
      </c>
      <c r="B36" s="21">
        <f>'Ячейка 16'!D39+'Ячейка 14 '!D39</f>
        <v>72.359999999025604</v>
      </c>
      <c r="C36" s="21"/>
      <c r="D36" s="198">
        <f>'Ячейка 16'!H39+'Ячейка 14 '!H39</f>
        <v>79.919999999583524</v>
      </c>
      <c r="E36" s="198"/>
      <c r="F36" s="194">
        <f t="shared" si="0"/>
        <v>1.1044776119494157</v>
      </c>
      <c r="G36" s="194"/>
      <c r="H36" s="97"/>
      <c r="I36" s="97"/>
      <c r="J36" s="97"/>
      <c r="K36" s="97"/>
      <c r="L36" s="97"/>
    </row>
    <row r="37" spans="1:24" ht="20.100000000000001" customHeight="1" x14ac:dyDescent="0.2">
      <c r="A37" s="5" t="s">
        <v>29</v>
      </c>
      <c r="B37" s="21">
        <f>'Ячейка 16'!D40+'Ячейка 14 '!D40</f>
        <v>93.599999999423744</v>
      </c>
      <c r="C37" s="21"/>
      <c r="D37" s="198">
        <f>'Ячейка 16'!H40+'Ячейка 14 '!H40</f>
        <v>94.679999999971187</v>
      </c>
      <c r="E37" s="198"/>
      <c r="F37" s="194">
        <f t="shared" si="0"/>
        <v>1.0115384615443814</v>
      </c>
      <c r="G37" s="194"/>
      <c r="H37" s="97"/>
      <c r="I37" s="97"/>
      <c r="J37" s="97"/>
      <c r="K37" s="97"/>
      <c r="L37" s="97"/>
    </row>
    <row r="38" spans="1:24" ht="20.100000000000001" customHeight="1" x14ac:dyDescent="0.2">
      <c r="A38" s="5" t="s">
        <v>30</v>
      </c>
      <c r="B38" s="21">
        <f>'Ячейка 16'!D41+'Ячейка 14 '!D41</f>
        <v>101.16000000161876</v>
      </c>
      <c r="C38" s="21"/>
      <c r="D38" s="198">
        <f>'Ячейка 16'!H41+'Ячейка 14 '!H41</f>
        <v>96.839999999428983</v>
      </c>
      <c r="E38" s="198"/>
      <c r="F38" s="194">
        <f t="shared" si="0"/>
        <v>0.95729537364451711</v>
      </c>
      <c r="G38" s="194"/>
      <c r="H38" s="97"/>
      <c r="I38" s="97"/>
      <c r="J38" s="97"/>
      <c r="K38" s="97"/>
      <c r="L38" s="97"/>
    </row>
    <row r="39" spans="1:24" ht="20.100000000000001" customHeight="1" x14ac:dyDescent="0.2">
      <c r="A39" s="5" t="s">
        <v>31</v>
      </c>
      <c r="B39" s="21">
        <f>'Ячейка 16'!D42+'Ячейка 14 '!D42</f>
        <v>96.119999997972627</v>
      </c>
      <c r="C39" s="21"/>
      <c r="D39" s="198">
        <f>'Ячейка 16'!H42+'Ячейка 14 '!H42</f>
        <v>101.87999999980093</v>
      </c>
      <c r="E39" s="198"/>
      <c r="F39" s="194">
        <f t="shared" si="0"/>
        <v>1.0599250936532438</v>
      </c>
      <c r="G39" s="194"/>
      <c r="H39" s="97"/>
      <c r="I39" s="97"/>
      <c r="J39" s="97"/>
      <c r="K39" s="97"/>
      <c r="L39" s="97"/>
      <c r="P39" s="150" t="s">
        <v>150</v>
      </c>
      <c r="Q39" s="150"/>
      <c r="R39" s="150"/>
      <c r="S39" s="149" t="s">
        <v>370</v>
      </c>
      <c r="T39" s="149"/>
      <c r="U39" s="149"/>
      <c r="V39" s="149"/>
      <c r="W39" s="149"/>
      <c r="X39" s="149"/>
    </row>
    <row r="40" spans="1:24" ht="20.100000000000001" customHeight="1" x14ac:dyDescent="0.2">
      <c r="A40" s="5" t="s">
        <v>32</v>
      </c>
      <c r="B40" s="21">
        <f>SUM(B15:B39)</f>
        <v>2208.2400000006601</v>
      </c>
      <c r="C40" s="21"/>
      <c r="D40" s="198">
        <f>SUM(D15:E39)</f>
        <v>2310.4799999995521</v>
      </c>
      <c r="E40" s="198"/>
      <c r="F40" s="194">
        <f t="shared" si="0"/>
        <v>1.0462993152913005</v>
      </c>
      <c r="G40" s="194"/>
      <c r="H40" s="97"/>
      <c r="I40" s="97"/>
      <c r="J40" s="97"/>
      <c r="K40" s="97"/>
      <c r="L40" s="97"/>
    </row>
    <row r="41" spans="1:24" ht="20.100000000000001" customHeight="1" x14ac:dyDescent="0.2">
      <c r="A41" s="5" t="s">
        <v>33</v>
      </c>
      <c r="B41" s="5"/>
      <c r="C41" s="5"/>
      <c r="D41" s="192"/>
      <c r="E41" s="192"/>
      <c r="F41" s="194"/>
      <c r="G41" s="194"/>
      <c r="H41" s="97"/>
      <c r="I41" s="97"/>
      <c r="J41" s="97"/>
      <c r="K41" s="97"/>
      <c r="L41" s="97"/>
    </row>
    <row r="42" spans="1:24" ht="20.100000000000001" customHeight="1" x14ac:dyDescent="0.2">
      <c r="A42" s="87" t="s">
        <v>2</v>
      </c>
      <c r="B42" s="86" t="s">
        <v>37</v>
      </c>
      <c r="C42" s="105"/>
      <c r="D42" s="87"/>
      <c r="E42" s="86" t="s">
        <v>40</v>
      </c>
      <c r="F42" s="105"/>
      <c r="G42" s="105"/>
      <c r="H42" s="105"/>
      <c r="I42" s="87"/>
      <c r="J42" s="101" t="s">
        <v>5</v>
      </c>
      <c r="K42" s="104"/>
      <c r="L42" s="104"/>
    </row>
    <row r="43" spans="1:24" ht="36" customHeight="1" x14ac:dyDescent="0.2">
      <c r="A43" s="87"/>
      <c r="B43" s="192" t="s">
        <v>38</v>
      </c>
      <c r="C43" s="192"/>
      <c r="D43" s="5" t="s">
        <v>39</v>
      </c>
      <c r="E43" s="86" t="s">
        <v>41</v>
      </c>
      <c r="F43" s="105"/>
      <c r="G43" s="87"/>
      <c r="H43" s="86" t="s">
        <v>42</v>
      </c>
      <c r="I43" s="87"/>
      <c r="J43" s="92"/>
      <c r="K43" s="103"/>
      <c r="L43" s="103"/>
    </row>
    <row r="44" spans="1:24" ht="20.100000000000001" customHeight="1" x14ac:dyDescent="0.2">
      <c r="A44" s="4" t="s">
        <v>153</v>
      </c>
      <c r="B44" s="199">
        <f>SUM(B24:B26)</f>
        <v>309.24000000013621</v>
      </c>
      <c r="C44" s="200"/>
      <c r="D44" s="21">
        <f>SUM(D24:E26)</f>
        <v>266.40000000024884</v>
      </c>
      <c r="E44" s="199">
        <f>B44/3</f>
        <v>103.0800000000454</v>
      </c>
      <c r="F44" s="204"/>
      <c r="G44" s="200"/>
      <c r="H44" s="199">
        <f>D44/3</f>
        <v>88.800000000082946</v>
      </c>
      <c r="I44" s="200"/>
      <c r="J44" s="201">
        <f>H44/E44</f>
        <v>0.86146682188633905</v>
      </c>
      <c r="K44" s="202"/>
      <c r="L44" s="202"/>
    </row>
    <row r="45" spans="1:24" ht="20.100000000000001" customHeight="1" x14ac:dyDescent="0.2">
      <c r="A45" s="4" t="s">
        <v>43</v>
      </c>
      <c r="B45" s="199">
        <f>SUM(B33:B36)</f>
        <v>274.67999999898893</v>
      </c>
      <c r="C45" s="200"/>
      <c r="D45" s="21">
        <f>SUM(D33:E36)</f>
        <v>300.95999999975902</v>
      </c>
      <c r="E45" s="199">
        <f>B45/4</f>
        <v>68.669999999747233</v>
      </c>
      <c r="F45" s="204"/>
      <c r="G45" s="200"/>
      <c r="H45" s="199">
        <f>D45/4</f>
        <v>75.239999999939755</v>
      </c>
      <c r="I45" s="200"/>
      <c r="J45" s="201">
        <f>H45/E45</f>
        <v>1.0956749672377559</v>
      </c>
      <c r="K45" s="202"/>
      <c r="L45" s="202"/>
    </row>
    <row r="46" spans="1:24" ht="20.100000000000001" customHeight="1" x14ac:dyDescent="0.2">
      <c r="A46" s="4" t="s">
        <v>44</v>
      </c>
      <c r="B46" s="199">
        <f>SUM(B16:B39)</f>
        <v>2208.2400000006601</v>
      </c>
      <c r="C46" s="200"/>
      <c r="D46" s="21">
        <f>SUM(D16:E39)</f>
        <v>2310.4799999995521</v>
      </c>
      <c r="E46" s="199">
        <f>B46/24</f>
        <v>92.010000000027503</v>
      </c>
      <c r="F46" s="204"/>
      <c r="G46" s="200"/>
      <c r="H46" s="199">
        <f>D46/24</f>
        <v>96.269999999981337</v>
      </c>
      <c r="I46" s="200"/>
      <c r="J46" s="201">
        <f>H46/E46</f>
        <v>1.0462993152913005</v>
      </c>
      <c r="K46" s="202"/>
      <c r="L46" s="202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99" t="s">
        <v>186</v>
      </c>
      <c r="D50" s="99"/>
      <c r="E50" s="99"/>
      <c r="F50" s="99"/>
      <c r="G50" s="99"/>
      <c r="H50" s="99"/>
      <c r="I50" s="99"/>
    </row>
    <row r="51" spans="3:9" ht="20.100000000000001" customHeight="1" x14ac:dyDescent="0.2"/>
  </sheetData>
  <sheetProtection sheet="1" objects="1" scenarios="1"/>
  <mergeCells count="189">
    <mergeCell ref="B45:C45"/>
    <mergeCell ref="J44:L44"/>
    <mergeCell ref="J45:L45"/>
    <mergeCell ref="D41:E41"/>
    <mergeCell ref="E45:G45"/>
    <mergeCell ref="F40:G40"/>
    <mergeCell ref="F29:G29"/>
    <mergeCell ref="F30:G30"/>
    <mergeCell ref="F31:G31"/>
    <mergeCell ref="F32:G3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H18:L18"/>
    <mergeCell ref="H19:L19"/>
    <mergeCell ref="H20:L20"/>
    <mergeCell ref="H21:L21"/>
    <mergeCell ref="H22:L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N20:Q20"/>
    <mergeCell ref="N21:Q21"/>
    <mergeCell ref="D22:E22"/>
    <mergeCell ref="F27:G27"/>
    <mergeCell ref="F28:G28"/>
    <mergeCell ref="F22:G22"/>
    <mergeCell ref="F35:G35"/>
    <mergeCell ref="F36:G36"/>
    <mergeCell ref="F37:G37"/>
    <mergeCell ref="F38:G38"/>
    <mergeCell ref="F39:G39"/>
    <mergeCell ref="H23:L23"/>
    <mergeCell ref="H24:L24"/>
    <mergeCell ref="H25:L25"/>
    <mergeCell ref="H26:L26"/>
    <mergeCell ref="H27:L27"/>
    <mergeCell ref="H28:L28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I9:M9"/>
    <mergeCell ref="A7:L7"/>
    <mergeCell ref="F12:G13"/>
    <mergeCell ref="H12:L12"/>
    <mergeCell ref="F9:H9"/>
    <mergeCell ref="A9:E9"/>
    <mergeCell ref="A8:L8"/>
    <mergeCell ref="F14:G14"/>
    <mergeCell ref="F15:G15"/>
    <mergeCell ref="F16:G16"/>
    <mergeCell ref="F17:G17"/>
    <mergeCell ref="H14:L14"/>
    <mergeCell ref="H15:L15"/>
    <mergeCell ref="H16:L16"/>
    <mergeCell ref="H17:L17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N7:Q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/>
  <dimension ref="A1:X51"/>
  <sheetViews>
    <sheetView view="pageBreakPreview" topLeftCell="A4" zoomScale="75" zoomScaleNormal="100" workbookViewId="0">
      <selection activeCell="F9" sqref="F9:M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94" t="s">
        <v>161</v>
      </c>
      <c r="B1" s="94"/>
      <c r="C1" s="94"/>
      <c r="D1" s="94"/>
      <c r="E1" s="94"/>
      <c r="F1" s="123" t="s">
        <v>154</v>
      </c>
      <c r="G1" s="123"/>
      <c r="H1" s="123"/>
      <c r="I1" s="94" t="s">
        <v>163</v>
      </c>
      <c r="J1" s="94"/>
      <c r="K1" s="94"/>
      <c r="L1" s="94"/>
      <c r="M1" s="100" t="s">
        <v>115</v>
      </c>
      <c r="N1" s="98" t="s">
        <v>116</v>
      </c>
      <c r="O1" s="98"/>
      <c r="P1" s="98"/>
      <c r="Q1" s="98"/>
      <c r="R1" s="192" t="s">
        <v>117</v>
      </c>
      <c r="S1" s="192"/>
      <c r="T1" s="192"/>
      <c r="U1" s="192" t="s">
        <v>118</v>
      </c>
      <c r="V1" s="192"/>
      <c r="W1" s="86"/>
    </row>
    <row r="2" spans="1:23" ht="18.75" customHeight="1" x14ac:dyDescent="0.2">
      <c r="A2" s="119" t="s">
        <v>45</v>
      </c>
      <c r="B2" s="119"/>
      <c r="C2" s="119"/>
      <c r="D2" s="119"/>
      <c r="E2" s="119"/>
      <c r="F2" s="123"/>
      <c r="G2" s="123"/>
      <c r="H2" s="123"/>
      <c r="I2" s="94"/>
      <c r="J2" s="94"/>
      <c r="K2" s="94"/>
      <c r="L2" s="94"/>
      <c r="M2" s="95"/>
      <c r="N2" s="89"/>
      <c r="O2" s="89"/>
      <c r="P2" s="89"/>
      <c r="Q2" s="89"/>
      <c r="R2" s="89" t="s">
        <v>119</v>
      </c>
      <c r="S2" s="89" t="s">
        <v>120</v>
      </c>
      <c r="T2" s="89"/>
      <c r="U2" s="89" t="s">
        <v>119</v>
      </c>
      <c r="V2" s="89" t="s">
        <v>120</v>
      </c>
      <c r="W2" s="90"/>
    </row>
    <row r="3" spans="1:23" ht="21.75" customHeight="1" x14ac:dyDescent="0.2">
      <c r="A3" s="94" t="s">
        <v>173</v>
      </c>
      <c r="B3" s="94"/>
      <c r="C3" s="94"/>
      <c r="D3" s="94"/>
      <c r="E3" s="94"/>
      <c r="F3" s="123" t="s">
        <v>155</v>
      </c>
      <c r="G3" s="123"/>
      <c r="H3" s="123"/>
      <c r="I3" s="94" t="s">
        <v>244</v>
      </c>
      <c r="J3" s="94"/>
      <c r="K3" s="94"/>
      <c r="L3" s="94"/>
      <c r="M3" s="96"/>
      <c r="N3" s="91"/>
      <c r="O3" s="91"/>
      <c r="P3" s="91"/>
      <c r="Q3" s="91"/>
      <c r="R3" s="91"/>
      <c r="S3" s="91" t="s">
        <v>121</v>
      </c>
      <c r="T3" s="91"/>
      <c r="U3" s="91"/>
      <c r="V3" s="91" t="s">
        <v>121</v>
      </c>
      <c r="W3" s="92"/>
    </row>
    <row r="4" spans="1:23" ht="29.25" customHeight="1" x14ac:dyDescent="0.2">
      <c r="A4" s="119" t="s">
        <v>46</v>
      </c>
      <c r="B4" s="119"/>
      <c r="C4" s="119"/>
      <c r="D4" s="119"/>
      <c r="E4" s="119"/>
      <c r="F4" s="123"/>
      <c r="G4" s="123"/>
      <c r="H4" s="123"/>
      <c r="I4" s="94"/>
      <c r="J4" s="94"/>
      <c r="K4" s="94"/>
      <c r="L4" s="94"/>
      <c r="M4" s="9"/>
      <c r="N4" s="189" t="s">
        <v>122</v>
      </c>
      <c r="O4" s="189"/>
      <c r="P4" s="189"/>
      <c r="Q4" s="189"/>
      <c r="R4" s="7"/>
      <c r="S4" s="84"/>
      <c r="T4" s="85"/>
      <c r="U4" s="7"/>
      <c r="V4" s="84"/>
      <c r="W4" s="88"/>
    </row>
    <row r="5" spans="1:23" ht="21" customHeight="1" x14ac:dyDescent="0.2">
      <c r="A5" s="206" t="s">
        <v>159</v>
      </c>
      <c r="B5" s="206"/>
      <c r="C5" s="206"/>
      <c r="D5" s="206"/>
      <c r="E5" s="206"/>
      <c r="F5" s="123" t="s">
        <v>156</v>
      </c>
      <c r="G5" s="123"/>
      <c r="H5" s="123"/>
      <c r="I5" s="94" t="s">
        <v>245</v>
      </c>
      <c r="J5" s="94"/>
      <c r="K5" s="94"/>
      <c r="L5" s="94"/>
      <c r="M5" s="9"/>
      <c r="N5" s="190" t="s">
        <v>123</v>
      </c>
      <c r="O5" s="190"/>
      <c r="P5" s="190"/>
      <c r="Q5" s="190"/>
      <c r="R5" s="7"/>
      <c r="S5" s="84"/>
      <c r="T5" s="85"/>
      <c r="U5" s="7"/>
      <c r="V5" s="84"/>
      <c r="W5" s="88"/>
    </row>
    <row r="6" spans="1:23" x14ac:dyDescent="0.2">
      <c r="A6" s="119" t="s">
        <v>47</v>
      </c>
      <c r="B6" s="119"/>
      <c r="C6" s="119"/>
      <c r="D6" s="119"/>
      <c r="E6" s="119"/>
      <c r="F6" s="123"/>
      <c r="G6" s="123"/>
      <c r="H6" s="123"/>
      <c r="I6" s="94"/>
      <c r="J6" s="94"/>
      <c r="K6" s="94"/>
      <c r="L6" s="94"/>
      <c r="M6" s="9"/>
      <c r="N6" s="190" t="s">
        <v>124</v>
      </c>
      <c r="O6" s="190"/>
      <c r="P6" s="190"/>
      <c r="Q6" s="190"/>
      <c r="R6" s="7"/>
      <c r="S6" s="84"/>
      <c r="T6" s="85"/>
      <c r="U6" s="7"/>
      <c r="V6" s="84"/>
      <c r="W6" s="88"/>
    </row>
    <row r="7" spans="1:23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191" t="s">
        <v>125</v>
      </c>
      <c r="O7" s="191"/>
      <c r="P7" s="191"/>
      <c r="Q7" s="191"/>
      <c r="R7" s="7"/>
      <c r="S7" s="84"/>
      <c r="T7" s="85"/>
      <c r="U7" s="7"/>
      <c r="V7" s="84"/>
      <c r="W7" s="88"/>
    </row>
    <row r="8" spans="1:23" ht="22.5" x14ac:dyDescent="0.2">
      <c r="A8" s="116" t="s">
        <v>0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190" t="s">
        <v>126</v>
      </c>
      <c r="O8" s="190"/>
      <c r="P8" s="190"/>
      <c r="Q8" s="190"/>
      <c r="R8" s="7"/>
      <c r="S8" s="84"/>
      <c r="T8" s="85"/>
      <c r="U8" s="7"/>
      <c r="V8" s="84"/>
      <c r="W8" s="88"/>
    </row>
    <row r="9" spans="1:23" ht="18.75" customHeight="1" x14ac:dyDescent="0.2">
      <c r="A9" s="193" t="s">
        <v>152</v>
      </c>
      <c r="B9" s="193"/>
      <c r="C9" s="193"/>
      <c r="D9" s="193"/>
      <c r="E9" s="193"/>
      <c r="F9" s="135" t="s">
        <v>375</v>
      </c>
      <c r="G9" s="136"/>
      <c r="H9" s="136"/>
      <c r="I9" s="111" t="s">
        <v>376</v>
      </c>
      <c r="J9" s="111"/>
      <c r="K9" s="111"/>
      <c r="L9" s="111"/>
      <c r="M9" s="111"/>
      <c r="N9" s="190" t="s">
        <v>127</v>
      </c>
      <c r="O9" s="190"/>
      <c r="P9" s="190"/>
      <c r="Q9" s="190"/>
      <c r="R9" s="7"/>
      <c r="S9" s="84"/>
      <c r="T9" s="85"/>
      <c r="U9" s="7"/>
      <c r="V9" s="84"/>
      <c r="W9" s="88"/>
    </row>
    <row r="10" spans="1:23" ht="19.5" customHeight="1" x14ac:dyDescent="0.2">
      <c r="A10" s="193" t="s">
        <v>151</v>
      </c>
      <c r="B10" s="193"/>
      <c r="C10" s="136" t="s">
        <v>369</v>
      </c>
      <c r="D10" s="136"/>
      <c r="E10" s="136"/>
      <c r="F10" s="136"/>
      <c r="G10" s="136"/>
      <c r="H10" s="136"/>
      <c r="I10" s="3"/>
      <c r="J10" s="3"/>
      <c r="K10" s="3"/>
      <c r="L10" s="3"/>
      <c r="M10" s="9"/>
      <c r="N10" s="191" t="s">
        <v>128</v>
      </c>
      <c r="O10" s="191"/>
      <c r="P10" s="191"/>
      <c r="Q10" s="191"/>
      <c r="R10" s="7"/>
      <c r="S10" s="84"/>
      <c r="T10" s="85"/>
      <c r="U10" s="7"/>
      <c r="V10" s="84"/>
      <c r="W10" s="88"/>
    </row>
    <row r="11" spans="1:23" x14ac:dyDescent="0.2">
      <c r="A11" s="188" t="s">
        <v>1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9"/>
      <c r="N11" s="196" t="s">
        <v>129</v>
      </c>
      <c r="O11" s="196"/>
      <c r="P11" s="196"/>
      <c r="Q11" s="196"/>
      <c r="R11" s="7"/>
      <c r="S11" s="84"/>
      <c r="T11" s="85"/>
      <c r="U11" s="7"/>
      <c r="V11" s="84"/>
      <c r="W11" s="88"/>
    </row>
    <row r="12" spans="1:23" ht="20.100000000000001" customHeight="1" x14ac:dyDescent="0.2">
      <c r="A12" s="87" t="s">
        <v>2</v>
      </c>
      <c r="B12" s="192" t="s">
        <v>36</v>
      </c>
      <c r="C12" s="192"/>
      <c r="D12" s="192"/>
      <c r="E12" s="192"/>
      <c r="F12" s="192" t="s">
        <v>5</v>
      </c>
      <c r="G12" s="192"/>
      <c r="H12" s="101" t="s">
        <v>34</v>
      </c>
      <c r="I12" s="104"/>
      <c r="J12" s="104"/>
      <c r="K12" s="104"/>
      <c r="L12" s="104"/>
      <c r="N12" s="1"/>
      <c r="O12" s="1"/>
      <c r="P12" s="1"/>
      <c r="Q12" s="1"/>
    </row>
    <row r="13" spans="1:23" ht="20.100000000000001" customHeight="1" x14ac:dyDescent="0.2">
      <c r="A13" s="87"/>
      <c r="B13" s="192" t="s">
        <v>3</v>
      </c>
      <c r="C13" s="192"/>
      <c r="D13" s="192" t="s">
        <v>4</v>
      </c>
      <c r="E13" s="192"/>
      <c r="F13" s="192"/>
      <c r="G13" s="192"/>
      <c r="H13" s="92" t="s">
        <v>35</v>
      </c>
      <c r="I13" s="103"/>
      <c r="J13" s="103"/>
      <c r="K13" s="103"/>
      <c r="L13" s="103"/>
    </row>
    <row r="14" spans="1:23" ht="20.100000000000001" customHeight="1" x14ac:dyDescent="0.2">
      <c r="A14" s="5" t="s">
        <v>6</v>
      </c>
      <c r="B14" s="7"/>
      <c r="C14" s="5"/>
      <c r="D14" s="97"/>
      <c r="E14" s="97"/>
      <c r="F14" s="194" t="str">
        <f t="shared" ref="F14:F40" si="0">IF(OR(B14="",D14=""),"",IF(ISERROR(D14/B14),IF(D14=0,0,""),D14/B14))</f>
        <v/>
      </c>
      <c r="G14" s="194"/>
      <c r="H14" s="97"/>
      <c r="I14" s="97"/>
      <c r="J14" s="97"/>
      <c r="K14" s="97"/>
      <c r="L14" s="97"/>
      <c r="M14" s="87" t="s">
        <v>115</v>
      </c>
      <c r="N14" s="192" t="s">
        <v>116</v>
      </c>
      <c r="O14" s="192"/>
      <c r="P14" s="192"/>
      <c r="Q14" s="192"/>
      <c r="R14" s="192" t="s">
        <v>117</v>
      </c>
      <c r="S14" s="192"/>
      <c r="T14" s="192"/>
      <c r="U14" s="192" t="s">
        <v>130</v>
      </c>
      <c r="V14" s="192" t="s">
        <v>69</v>
      </c>
      <c r="W14" s="86" t="s">
        <v>131</v>
      </c>
    </row>
    <row r="15" spans="1:23" ht="20.100000000000001" customHeight="1" x14ac:dyDescent="0.2">
      <c r="A15" s="5" t="s">
        <v>7</v>
      </c>
      <c r="B15" s="5"/>
      <c r="C15" s="5"/>
      <c r="D15" s="192"/>
      <c r="E15" s="192"/>
      <c r="F15" s="194" t="str">
        <f t="shared" si="0"/>
        <v/>
      </c>
      <c r="G15" s="194"/>
      <c r="H15" s="97"/>
      <c r="I15" s="97"/>
      <c r="J15" s="97"/>
      <c r="K15" s="97"/>
      <c r="L15" s="97"/>
      <c r="M15" s="87"/>
      <c r="N15" s="192"/>
      <c r="O15" s="192"/>
      <c r="P15" s="192"/>
      <c r="Q15" s="192"/>
      <c r="R15" s="197" t="s">
        <v>130</v>
      </c>
      <c r="S15" s="192" t="s">
        <v>69</v>
      </c>
      <c r="T15" s="192" t="s">
        <v>131</v>
      </c>
      <c r="U15" s="192"/>
      <c r="V15" s="192"/>
      <c r="W15" s="86"/>
    </row>
    <row r="16" spans="1:23" ht="20.100000000000001" customHeight="1" x14ac:dyDescent="0.2">
      <c r="A16" s="5" t="s">
        <v>8</v>
      </c>
      <c r="B16" s="21">
        <f>'Ячейка 13БОС'!D19+'Ячейка 32БОС'!D19+'ячейка 25БОС'!D19</f>
        <v>1003.6800000023504</v>
      </c>
      <c r="C16" s="21"/>
      <c r="D16" s="198">
        <f>'Ячейка 13БОС'!H19+'Ячейка 32БОС'!H19+'ячейка 25БОС'!H19</f>
        <v>765.59999999772117</v>
      </c>
      <c r="E16" s="198"/>
      <c r="F16" s="194">
        <f t="shared" si="0"/>
        <v>0.76279292204281068</v>
      </c>
      <c r="G16" s="194"/>
      <c r="H16" s="97"/>
      <c r="I16" s="97"/>
      <c r="J16" s="97"/>
      <c r="K16" s="97"/>
      <c r="L16" s="97"/>
      <c r="M16" s="87"/>
      <c r="N16" s="192"/>
      <c r="O16" s="192"/>
      <c r="P16" s="192"/>
      <c r="Q16" s="192"/>
      <c r="R16" s="197"/>
      <c r="S16" s="192"/>
      <c r="T16" s="192"/>
      <c r="U16" s="192"/>
      <c r="V16" s="192"/>
      <c r="W16" s="86"/>
    </row>
    <row r="17" spans="1:23" ht="20.100000000000001" customHeight="1" x14ac:dyDescent="0.2">
      <c r="A17" s="5" t="s">
        <v>9</v>
      </c>
      <c r="B17" s="21">
        <f>'Ячейка 13БОС'!D20+'Ячейка 32БОС'!D20+'ячейка 25БОС'!D20</f>
        <v>995.28000000063912</v>
      </c>
      <c r="C17" s="21"/>
      <c r="D17" s="198">
        <f>'Ячейка 13БОС'!H20+'Ячейка 32БОС'!H20+'ячейка 25БОС'!H20</f>
        <v>768.24000000087835</v>
      </c>
      <c r="E17" s="198"/>
      <c r="F17" s="194">
        <f t="shared" si="0"/>
        <v>0.77188328912505533</v>
      </c>
      <c r="G17" s="194"/>
      <c r="H17" s="97"/>
      <c r="I17" s="97"/>
      <c r="J17" s="97"/>
      <c r="K17" s="97"/>
      <c r="L17" s="97"/>
      <c r="M17" s="87"/>
      <c r="N17" s="192"/>
      <c r="O17" s="192"/>
      <c r="P17" s="192"/>
      <c r="Q17" s="192"/>
      <c r="R17" s="197"/>
      <c r="S17" s="192"/>
      <c r="T17" s="192"/>
      <c r="U17" s="192"/>
      <c r="V17" s="192"/>
      <c r="W17" s="86"/>
    </row>
    <row r="18" spans="1:23" ht="20.100000000000001" customHeight="1" x14ac:dyDescent="0.2">
      <c r="A18" s="5" t="s">
        <v>10</v>
      </c>
      <c r="B18" s="21">
        <f>'Ячейка 13БОС'!D21+'Ячейка 32БОС'!D21+'ячейка 25БОС'!D21</f>
        <v>996.71999999809486</v>
      </c>
      <c r="C18" s="21"/>
      <c r="D18" s="198">
        <f>'Ячейка 13БОС'!H21+'Ячейка 32БОС'!H21+'ячейка 25БОС'!H21</f>
        <v>775.20000000076834</v>
      </c>
      <c r="E18" s="198"/>
      <c r="F18" s="194">
        <f t="shared" si="0"/>
        <v>0.77775102335886714</v>
      </c>
      <c r="G18" s="194"/>
      <c r="H18" s="97"/>
      <c r="I18" s="97"/>
      <c r="J18" s="97"/>
      <c r="K18" s="97"/>
      <c r="L18" s="97"/>
      <c r="M18" s="87"/>
      <c r="N18" s="192"/>
      <c r="O18" s="192"/>
      <c r="P18" s="192"/>
      <c r="Q18" s="192"/>
      <c r="R18" s="197"/>
      <c r="S18" s="192"/>
      <c r="T18" s="192"/>
      <c r="U18" s="192"/>
      <c r="V18" s="192"/>
      <c r="W18" s="86"/>
    </row>
    <row r="19" spans="1:23" ht="20.100000000000001" customHeight="1" x14ac:dyDescent="0.2">
      <c r="A19" s="5" t="s">
        <v>11</v>
      </c>
      <c r="B19" s="21">
        <f>'Ячейка 13БОС'!D22+'Ячейка 32БОС'!D22+'ячейка 25БОС'!D22</f>
        <v>984.00000000183354</v>
      </c>
      <c r="C19" s="21"/>
      <c r="D19" s="198">
        <f>'Ячейка 13БОС'!H22+'Ячейка 32БОС'!H22+'ячейка 25БОС'!H22</f>
        <v>779.76000000235217</v>
      </c>
      <c r="E19" s="198"/>
      <c r="F19" s="194">
        <f t="shared" si="0"/>
        <v>0.79243902439115776</v>
      </c>
      <c r="G19" s="194"/>
      <c r="H19" s="97"/>
      <c r="I19" s="97"/>
      <c r="J19" s="97"/>
      <c r="K19" s="97"/>
      <c r="L19" s="97"/>
      <c r="M19" s="9"/>
      <c r="N19" s="189" t="s">
        <v>132</v>
      </c>
      <c r="O19" s="189"/>
      <c r="P19" s="189"/>
      <c r="Q19" s="189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13БОС'!D23+'Ячейка 32БОС'!D23+'ячейка 25БОС'!D23</f>
        <v>971.27999999684107</v>
      </c>
      <c r="C20" s="21"/>
      <c r="D20" s="198">
        <f>'Ячейка 13БОС'!H23+'Ячейка 32БОС'!H23+'ячейка 25БОС'!H23</f>
        <v>778.07999999895401</v>
      </c>
      <c r="E20" s="198"/>
      <c r="F20" s="194">
        <f t="shared" si="0"/>
        <v>0.80108722510654451</v>
      </c>
      <c r="G20" s="194"/>
      <c r="H20" s="97"/>
      <c r="I20" s="97"/>
      <c r="J20" s="97"/>
      <c r="K20" s="97"/>
      <c r="L20" s="97"/>
      <c r="M20" s="9"/>
      <c r="N20" s="190" t="s">
        <v>133</v>
      </c>
      <c r="O20" s="190"/>
      <c r="P20" s="190"/>
      <c r="Q20" s="190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13БОС'!D24+'Ячейка 32БОС'!D24+'ячейка 25БОС'!D24</f>
        <v>996.96000000403728</v>
      </c>
      <c r="C21" s="21"/>
      <c r="D21" s="198">
        <f>'Ячейка 13БОС'!H24+'Ячейка 32БОС'!H24+'ячейка 25БОС'!H24</f>
        <v>791.04000000115775</v>
      </c>
      <c r="E21" s="198"/>
      <c r="F21" s="194">
        <f t="shared" si="0"/>
        <v>0.79345209436482345</v>
      </c>
      <c r="G21" s="194"/>
      <c r="H21" s="97"/>
      <c r="I21" s="97"/>
      <c r="J21" s="97"/>
      <c r="K21" s="97"/>
      <c r="L21" s="97"/>
      <c r="M21" s="9"/>
      <c r="N21" s="195" t="s">
        <v>134</v>
      </c>
      <c r="O21" s="195"/>
      <c r="P21" s="195"/>
      <c r="Q21" s="195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13БОС'!D25+'Ячейка 32БОС'!D25+'ячейка 25БОС'!D25</f>
        <v>990.47999999638705</v>
      </c>
      <c r="C22" s="21"/>
      <c r="D22" s="198">
        <f>'Ячейка 13БОС'!H25+'Ячейка 32БОС'!H25+'ячейка 25БОС'!H25</f>
        <v>774.9599999981001</v>
      </c>
      <c r="E22" s="198"/>
      <c r="F22" s="194">
        <f t="shared" si="0"/>
        <v>0.78240852919890047</v>
      </c>
      <c r="G22" s="194"/>
      <c r="H22" s="97"/>
      <c r="I22" s="97"/>
      <c r="J22" s="97"/>
      <c r="K22" s="97"/>
      <c r="L22" s="97"/>
    </row>
    <row r="23" spans="1:23" ht="20.100000000000001" customHeight="1" x14ac:dyDescent="0.2">
      <c r="A23" s="5" t="s">
        <v>15</v>
      </c>
      <c r="B23" s="21">
        <f>'Ячейка 13БОС'!D26+'Ячейка 32БОС'!D26+'ячейка 25БОС'!D26</f>
        <v>1001.0400000002846</v>
      </c>
      <c r="C23" s="21"/>
      <c r="D23" s="198">
        <f>'Ячейка 13БОС'!H26+'Ячейка 32БОС'!H26+'ячейка 25БОС'!H26</f>
        <v>764.88000000281318</v>
      </c>
      <c r="E23" s="198"/>
      <c r="F23" s="194">
        <f t="shared" si="0"/>
        <v>0.76408535123730892</v>
      </c>
      <c r="G23" s="194"/>
      <c r="H23" s="97"/>
      <c r="I23" s="97"/>
      <c r="J23" s="97"/>
      <c r="K23" s="97"/>
      <c r="L23" s="97"/>
    </row>
    <row r="24" spans="1:23" ht="20.100000000000001" customHeight="1" x14ac:dyDescent="0.2">
      <c r="A24" s="5" t="s">
        <v>16</v>
      </c>
      <c r="B24" s="21">
        <f>'Ячейка 13БОС'!D27+'Ячейка 32БОС'!D27+'ячейка 25БОС'!D27</f>
        <v>985.91999999698601</v>
      </c>
      <c r="C24" s="21"/>
      <c r="D24" s="198">
        <f>'Ячейка 13БОС'!H27+'Ячейка 32БОС'!H27+'ячейка 25БОС'!H27</f>
        <v>738.23999999694934</v>
      </c>
      <c r="E24" s="198"/>
      <c r="F24" s="194">
        <f t="shared" si="0"/>
        <v>0.74878286270610817</v>
      </c>
      <c r="G24" s="194"/>
      <c r="H24" s="97"/>
      <c r="I24" s="97"/>
      <c r="J24" s="97"/>
      <c r="K24" s="97"/>
      <c r="L24" s="97"/>
      <c r="N24" s="118" t="s">
        <v>135</v>
      </c>
      <c r="O24" s="118"/>
      <c r="P24" s="118"/>
      <c r="Q24" s="118"/>
      <c r="R24" s="118"/>
      <c r="S24" s="118"/>
      <c r="T24" s="118"/>
      <c r="U24" s="118"/>
      <c r="V24" s="118"/>
    </row>
    <row r="25" spans="1:23" ht="20.100000000000001" customHeight="1" x14ac:dyDescent="0.2">
      <c r="A25" s="5" t="s">
        <v>17</v>
      </c>
      <c r="B25" s="21">
        <f>'Ячейка 13БОС'!D28+'Ячейка 32БОС'!D28+'ячейка 25БОС'!D28</f>
        <v>1027.6800000028743</v>
      </c>
      <c r="C25" s="21"/>
      <c r="D25" s="198">
        <f>'Ячейка 13БОС'!H28+'Ячейка 32БОС'!H28+'ячейка 25БОС'!H28</f>
        <v>746.63999999866064</v>
      </c>
      <c r="E25" s="198"/>
      <c r="F25" s="194">
        <f t="shared" si="0"/>
        <v>0.72652965903449751</v>
      </c>
      <c r="G25" s="194"/>
      <c r="H25" s="97"/>
      <c r="I25" s="97"/>
      <c r="J25" s="97"/>
      <c r="K25" s="97"/>
      <c r="L25" s="97"/>
      <c r="N25" s="17" t="s">
        <v>136</v>
      </c>
      <c r="O25" s="118" t="s">
        <v>137</v>
      </c>
      <c r="P25" s="118"/>
      <c r="Q25" s="118"/>
      <c r="R25" s="118"/>
      <c r="S25" s="118"/>
      <c r="T25" s="118"/>
      <c r="U25" s="118"/>
      <c r="V25" s="118"/>
    </row>
    <row r="26" spans="1:23" ht="20.100000000000001" customHeight="1" x14ac:dyDescent="0.2">
      <c r="A26" s="5" t="s">
        <v>18</v>
      </c>
      <c r="B26" s="21">
        <f>'Ячейка 13БОС'!D29+'Ячейка 32БОС'!D29+'ячейка 25БОС'!D29</f>
        <v>978.24000000109663</v>
      </c>
      <c r="C26" s="21"/>
      <c r="D26" s="198">
        <f>'Ячейка 13БОС'!H29+'Ячейка 32БОС'!H29+'ячейка 25БОС'!H29</f>
        <v>720.95999999910418</v>
      </c>
      <c r="E26" s="198"/>
      <c r="F26" s="194">
        <f t="shared" si="0"/>
        <v>0.7369970559354514</v>
      </c>
      <c r="G26" s="194"/>
      <c r="H26" s="97"/>
      <c r="I26" s="97"/>
      <c r="J26" s="97"/>
      <c r="K26" s="97"/>
      <c r="L26" s="97"/>
      <c r="N26" s="17" t="s">
        <v>138</v>
      </c>
      <c r="O26" s="118" t="s">
        <v>180</v>
      </c>
      <c r="P26" s="118"/>
      <c r="Q26" s="118"/>
      <c r="R26" s="118"/>
      <c r="S26" s="118"/>
      <c r="T26" s="118"/>
      <c r="U26" s="118"/>
      <c r="V26" s="118"/>
    </row>
    <row r="27" spans="1:23" ht="20.100000000000001" customHeight="1" x14ac:dyDescent="0.2">
      <c r="A27" s="5" t="s">
        <v>19</v>
      </c>
      <c r="B27" s="21">
        <f>'Ячейка 13БОС'!D30+'Ячейка 32БОС'!D30+'ячейка 25БОС'!D30</f>
        <v>958.07999999633466</v>
      </c>
      <c r="C27" s="21"/>
      <c r="D27" s="198">
        <f>'Ячейка 13БОС'!H30+'Ячейка 32БОС'!H30+'ячейка 25БОС'!H30</f>
        <v>714.47999999909371</v>
      </c>
      <c r="E27" s="198"/>
      <c r="F27" s="194">
        <f t="shared" si="0"/>
        <v>0.74574148296783893</v>
      </c>
      <c r="G27" s="194"/>
      <c r="H27" s="97"/>
      <c r="I27" s="97"/>
      <c r="J27" s="97"/>
      <c r="K27" s="97"/>
      <c r="L27" s="97"/>
      <c r="N27" s="17" t="s">
        <v>139</v>
      </c>
      <c r="O27" s="118" t="s">
        <v>140</v>
      </c>
      <c r="P27" s="118"/>
      <c r="Q27" s="118"/>
      <c r="R27" s="118"/>
      <c r="S27" s="118"/>
      <c r="T27" s="118"/>
      <c r="U27" s="118"/>
      <c r="V27" s="118"/>
    </row>
    <row r="28" spans="1:23" ht="20.100000000000001" customHeight="1" x14ac:dyDescent="0.2">
      <c r="A28" s="5" t="s">
        <v>20</v>
      </c>
      <c r="B28" s="21">
        <f>'Ячейка 13БОС'!D31+'Ячейка 32БОС'!D31+'ячейка 25БОС'!D31</f>
        <v>970.80000000350992</v>
      </c>
      <c r="C28" s="21"/>
      <c r="D28" s="198">
        <f>'Ячейка 13БОС'!H31+'Ячейка 32БОС'!H31+'ячейка 25БОС'!H31</f>
        <v>722.88000000735337</v>
      </c>
      <c r="E28" s="198"/>
      <c r="F28" s="194">
        <f t="shared" si="0"/>
        <v>0.74462299135222476</v>
      </c>
      <c r="G28" s="194"/>
      <c r="H28" s="97"/>
      <c r="I28" s="97"/>
      <c r="J28" s="97"/>
      <c r="K28" s="97"/>
      <c r="L28" s="97"/>
      <c r="N28" s="17"/>
      <c r="O28" s="118" t="s">
        <v>141</v>
      </c>
      <c r="P28" s="118"/>
      <c r="Q28" s="118"/>
      <c r="R28" s="118"/>
      <c r="S28" s="118"/>
      <c r="T28" s="118"/>
      <c r="U28" s="118"/>
      <c r="V28" s="118"/>
    </row>
    <row r="29" spans="1:23" ht="20.100000000000001" customHeight="1" x14ac:dyDescent="0.2">
      <c r="A29" s="5" t="s">
        <v>21</v>
      </c>
      <c r="B29" s="21">
        <f>'Ячейка 13БОС'!D32+'Ячейка 32БОС'!D32+'ячейка 25БОС'!D32</f>
        <v>968.3999999986554</v>
      </c>
      <c r="C29" s="21"/>
      <c r="D29" s="198">
        <f>'Ячейка 13БОС'!H32+'Ячейка 32БОС'!H32+'ячейка 25БОС'!H32</f>
        <v>707.51999999702093</v>
      </c>
      <c r="E29" s="198"/>
      <c r="F29" s="194">
        <f t="shared" si="0"/>
        <v>0.73060718711070149</v>
      </c>
      <c r="G29" s="194"/>
      <c r="H29" s="97"/>
      <c r="I29" s="97"/>
      <c r="J29" s="97"/>
      <c r="K29" s="97"/>
      <c r="L29" s="97"/>
      <c r="N29" s="17"/>
      <c r="O29" s="118" t="s">
        <v>142</v>
      </c>
      <c r="P29" s="118"/>
      <c r="Q29" s="118"/>
      <c r="R29" s="118"/>
      <c r="S29" s="118"/>
      <c r="T29" s="118"/>
      <c r="U29" s="118"/>
      <c r="V29" s="118"/>
    </row>
    <row r="30" spans="1:23" ht="20.100000000000001" customHeight="1" x14ac:dyDescent="0.2">
      <c r="A30" s="5" t="s">
        <v>22</v>
      </c>
      <c r="B30" s="21">
        <f>'Ячейка 13БОС'!D33+'Ячейка 32БОС'!D33+'ячейка 25БОС'!D33</f>
        <v>927.36000000404601</v>
      </c>
      <c r="C30" s="21"/>
      <c r="D30" s="198">
        <f>'Ячейка 13БОС'!H33+'Ячейка 32БОС'!H33+'ячейка 25БОС'!H33</f>
        <v>615.59999999881256</v>
      </c>
      <c r="E30" s="198"/>
      <c r="F30" s="194">
        <f t="shared" si="0"/>
        <v>0.6638198757722209</v>
      </c>
      <c r="G30" s="194"/>
      <c r="H30" s="97"/>
      <c r="I30" s="97"/>
      <c r="J30" s="97"/>
      <c r="K30" s="97"/>
      <c r="L30" s="97"/>
      <c r="N30" s="17" t="s">
        <v>143</v>
      </c>
      <c r="O30" s="118" t="s">
        <v>144</v>
      </c>
      <c r="P30" s="118"/>
      <c r="Q30" s="118"/>
      <c r="R30" s="118"/>
      <c r="S30" s="118"/>
      <c r="T30" s="118"/>
      <c r="U30" s="118"/>
      <c r="V30" s="118"/>
    </row>
    <row r="31" spans="1:23" ht="20.100000000000001" customHeight="1" x14ac:dyDescent="0.2">
      <c r="A31" s="5" t="s">
        <v>23</v>
      </c>
      <c r="B31" s="21">
        <f>'Ячейка 13БОС'!D34+'Ячейка 32БОС'!D34+'ячейка 25БОС'!D34</f>
        <v>922.79999999591382</v>
      </c>
      <c r="C31" s="21"/>
      <c r="D31" s="198">
        <f>'Ячейка 13БОС'!H34+'Ячейка 32БОС'!H34+'ячейка 25БОС'!H34</f>
        <v>612.48000000123284</v>
      </c>
      <c r="E31" s="198"/>
      <c r="F31" s="194">
        <f t="shared" si="0"/>
        <v>0.66371911573899534</v>
      </c>
      <c r="G31" s="194"/>
      <c r="H31" s="97"/>
      <c r="I31" s="97"/>
      <c r="J31" s="97"/>
      <c r="K31" s="97"/>
      <c r="L31" s="97"/>
      <c r="N31" s="17"/>
      <c r="O31" s="118" t="s">
        <v>145</v>
      </c>
      <c r="P31" s="118"/>
      <c r="Q31" s="118"/>
      <c r="R31" s="118"/>
      <c r="S31" s="118"/>
      <c r="T31" s="118"/>
      <c r="U31" s="118"/>
      <c r="V31" s="118"/>
    </row>
    <row r="32" spans="1:23" ht="20.100000000000001" customHeight="1" x14ac:dyDescent="0.2">
      <c r="A32" s="5" t="s">
        <v>24</v>
      </c>
      <c r="B32" s="21">
        <f>'Ячейка 13БОС'!D35+'Ячейка 32БОС'!D35+'ячейка 25БОС'!D35</f>
        <v>905.03999999600637</v>
      </c>
      <c r="C32" s="21"/>
      <c r="D32" s="198">
        <f>'Ячейка 13БОС'!H35+'Ячейка 32БОС'!H35+'ячейка 25БОС'!H35</f>
        <v>612.47999999795866</v>
      </c>
      <c r="E32" s="198"/>
      <c r="F32" s="194">
        <f t="shared" si="0"/>
        <v>0.67674356934573199</v>
      </c>
      <c r="G32" s="194"/>
      <c r="H32" s="97"/>
      <c r="I32" s="97"/>
      <c r="J32" s="97"/>
      <c r="K32" s="97"/>
      <c r="L32" s="97"/>
      <c r="N32" s="17" t="s">
        <v>146</v>
      </c>
      <c r="O32" s="118" t="s">
        <v>147</v>
      </c>
      <c r="P32" s="118"/>
      <c r="Q32" s="118"/>
      <c r="R32" s="118"/>
      <c r="S32" s="118"/>
      <c r="T32" s="118"/>
      <c r="U32" s="118"/>
      <c r="V32" s="118"/>
    </row>
    <row r="33" spans="1:24" ht="20.100000000000001" customHeight="1" x14ac:dyDescent="0.2">
      <c r="A33" s="5" t="s">
        <v>25</v>
      </c>
      <c r="B33" s="21">
        <f>'Ячейка 13БОС'!D36+'Ячейка 32БОС'!D36+'ячейка 25БОС'!D36</f>
        <v>883.68000000409666</v>
      </c>
      <c r="C33" s="21"/>
      <c r="D33" s="198">
        <f>'Ячейка 13БОС'!H36+'Ячейка 32БОС'!H36+'ячейка 25БОС'!H36</f>
        <v>600.72000000363914</v>
      </c>
      <c r="E33" s="198"/>
      <c r="F33" s="194">
        <f t="shared" si="0"/>
        <v>0.67979359044094501</v>
      </c>
      <c r="G33" s="194"/>
      <c r="H33" s="97"/>
      <c r="I33" s="97"/>
      <c r="J33" s="97"/>
      <c r="K33" s="97"/>
      <c r="L33" s="97"/>
      <c r="N33" s="17" t="s">
        <v>148</v>
      </c>
      <c r="O33" s="118" t="s">
        <v>149</v>
      </c>
      <c r="P33" s="118"/>
      <c r="Q33" s="118"/>
      <c r="R33" s="118"/>
      <c r="S33" s="118"/>
      <c r="T33" s="118"/>
      <c r="U33" s="118"/>
      <c r="V33" s="118"/>
    </row>
    <row r="34" spans="1:24" ht="20.100000000000001" customHeight="1" x14ac:dyDescent="0.2">
      <c r="A34" s="5" t="s">
        <v>26</v>
      </c>
      <c r="B34" s="21">
        <f>'Ячейка 13БОС'!D37+'Ячейка 32БОС'!D37+'ячейка 25БОС'!D37</f>
        <v>882.480000000578</v>
      </c>
      <c r="C34" s="21"/>
      <c r="D34" s="198">
        <f>'Ячейка 13БОС'!H37+'Ячейка 32БОС'!H37+'ячейка 25БОС'!H37</f>
        <v>597.11999999854015</v>
      </c>
      <c r="E34" s="198"/>
      <c r="F34" s="194">
        <f t="shared" si="0"/>
        <v>0.67663856404467981</v>
      </c>
      <c r="G34" s="194"/>
      <c r="H34" s="97"/>
      <c r="I34" s="97"/>
      <c r="J34" s="97"/>
      <c r="K34" s="97"/>
      <c r="L34" s="97"/>
    </row>
    <row r="35" spans="1:24" ht="20.100000000000001" customHeight="1" x14ac:dyDescent="0.2">
      <c r="A35" s="5" t="s">
        <v>27</v>
      </c>
      <c r="B35" s="21">
        <f>'Ячейка 13БОС'!D38+'Ячейка 32БОС'!D38+'ячейка 25БОС'!D38</f>
        <v>899.75999999842315</v>
      </c>
      <c r="C35" s="21"/>
      <c r="D35" s="198">
        <f>'Ячейка 13БОС'!H38+'Ячейка 32БОС'!H38+'ячейка 25БОС'!H38</f>
        <v>624.4799999960378</v>
      </c>
      <c r="E35" s="198"/>
      <c r="F35" s="194">
        <f t="shared" si="0"/>
        <v>0.69405174712938145</v>
      </c>
      <c r="G35" s="194"/>
      <c r="H35" s="97"/>
      <c r="I35" s="97"/>
      <c r="J35" s="97"/>
      <c r="K35" s="97"/>
      <c r="L35" s="97"/>
    </row>
    <row r="36" spans="1:24" ht="20.100000000000001" customHeight="1" x14ac:dyDescent="0.2">
      <c r="A36" s="5" t="s">
        <v>28</v>
      </c>
      <c r="B36" s="21">
        <f>'Ячейка 13БОС'!D39+'Ячейка 32БОС'!D39+'ячейка 25БОС'!D39</f>
        <v>865.92000000200642</v>
      </c>
      <c r="C36" s="21"/>
      <c r="D36" s="198">
        <f>'Ячейка 13БОС'!H39+'Ячейка 32БОС'!H39+'ячейка 25БОС'!H39</f>
        <v>615.60000000317814</v>
      </c>
      <c r="E36" s="198"/>
      <c r="F36" s="194">
        <f t="shared" si="0"/>
        <v>0.71092017738561497</v>
      </c>
      <c r="G36" s="194"/>
      <c r="H36" s="97"/>
      <c r="I36" s="97"/>
      <c r="J36" s="97"/>
      <c r="K36" s="97"/>
      <c r="L36" s="97"/>
    </row>
    <row r="37" spans="1:24" ht="20.100000000000001" customHeight="1" x14ac:dyDescent="0.2">
      <c r="A37" s="5" t="s">
        <v>29</v>
      </c>
      <c r="B37" s="21">
        <f>'Ячейка 13БОС'!D40+'Ячейка 32БОС'!D40+'ячейка 25БОС'!D40</f>
        <v>874.80000000032305</v>
      </c>
      <c r="C37" s="21"/>
      <c r="D37" s="198">
        <f>'Ячейка 13БОС'!H40+'Ячейка 32БОС'!H40+'ячейка 25БОС'!H40</f>
        <v>611.28000000098837</v>
      </c>
      <c r="E37" s="198"/>
      <c r="F37" s="194">
        <f t="shared" si="0"/>
        <v>0.69876543209963715</v>
      </c>
      <c r="G37" s="194"/>
      <c r="H37" s="97"/>
      <c r="I37" s="97"/>
      <c r="J37" s="97"/>
      <c r="K37" s="97"/>
      <c r="L37" s="97"/>
    </row>
    <row r="38" spans="1:24" ht="20.100000000000001" customHeight="1" x14ac:dyDescent="0.2">
      <c r="A38" s="5" t="s">
        <v>30</v>
      </c>
      <c r="B38" s="21">
        <f>'Ячейка 13БОС'!D41+'Ячейка 32БОС'!D41+'ячейка 25БОС'!D41</f>
        <v>884.63999999730731</v>
      </c>
      <c r="C38" s="21"/>
      <c r="D38" s="198">
        <f>'Ячейка 13БОС'!H41+'Ячейка 32БОС'!H41+'ячейка 25БОС'!H41</f>
        <v>612.23999999529042</v>
      </c>
      <c r="E38" s="198"/>
      <c r="F38" s="194">
        <f t="shared" si="0"/>
        <v>0.69207813347480784</v>
      </c>
      <c r="G38" s="194"/>
      <c r="H38" s="97"/>
      <c r="I38" s="97"/>
      <c r="J38" s="97"/>
      <c r="K38" s="97"/>
      <c r="L38" s="97"/>
    </row>
    <row r="39" spans="1:24" ht="20.100000000000001" customHeight="1" x14ac:dyDescent="0.2">
      <c r="A39" s="5" t="s">
        <v>31</v>
      </c>
      <c r="B39" s="21">
        <f>'Ячейка 13БОС'!D42+'Ячейка 32БОС'!D42+'ячейка 25БОС'!D42</f>
        <v>878.88000000202737</v>
      </c>
      <c r="C39" s="21"/>
      <c r="D39" s="198">
        <f>'Ячейка 13БОС'!H42+'Ячейка 32БОС'!H42+'ячейка 25БОС'!H42</f>
        <v>616.32000000572589</v>
      </c>
      <c r="E39" s="198"/>
      <c r="F39" s="194">
        <f t="shared" si="0"/>
        <v>0.70125614418840365</v>
      </c>
      <c r="G39" s="194"/>
      <c r="H39" s="97"/>
      <c r="I39" s="97"/>
      <c r="J39" s="97"/>
      <c r="K39" s="97"/>
      <c r="L39" s="97"/>
      <c r="P39" s="150" t="s">
        <v>150</v>
      </c>
      <c r="Q39" s="150"/>
      <c r="R39" s="150"/>
      <c r="S39" s="149" t="s">
        <v>370</v>
      </c>
      <c r="T39" s="149"/>
      <c r="U39" s="149"/>
      <c r="V39" s="149"/>
      <c r="W39" s="149"/>
      <c r="X39" s="149"/>
    </row>
    <row r="40" spans="1:24" ht="20.100000000000001" customHeight="1" x14ac:dyDescent="0.2">
      <c r="A40" s="5" t="s">
        <v>32</v>
      </c>
      <c r="B40" s="21">
        <f>SUM(B15:B39)</f>
        <v>22753.920000000653</v>
      </c>
      <c r="C40" s="21"/>
      <c r="D40" s="198">
        <f>SUM(D15:E39)</f>
        <v>16666.800000002331</v>
      </c>
      <c r="E40" s="198"/>
      <c r="F40" s="194">
        <f t="shared" si="0"/>
        <v>0.73248038140249472</v>
      </c>
      <c r="G40" s="194"/>
      <c r="H40" s="97"/>
      <c r="I40" s="97"/>
      <c r="J40" s="97"/>
      <c r="K40" s="97"/>
      <c r="L40" s="97"/>
    </row>
    <row r="41" spans="1:24" ht="20.100000000000001" customHeight="1" x14ac:dyDescent="0.2">
      <c r="A41" s="5" t="s">
        <v>33</v>
      </c>
      <c r="B41" s="5"/>
      <c r="C41" s="5"/>
      <c r="D41" s="192"/>
      <c r="E41" s="192"/>
      <c r="F41" s="194"/>
      <c r="G41" s="194"/>
      <c r="H41" s="97"/>
      <c r="I41" s="97"/>
      <c r="J41" s="97"/>
      <c r="K41" s="97"/>
      <c r="L41" s="97"/>
    </row>
    <row r="42" spans="1:24" ht="20.100000000000001" customHeight="1" x14ac:dyDescent="0.2">
      <c r="A42" s="87" t="s">
        <v>2</v>
      </c>
      <c r="B42" s="86" t="s">
        <v>37</v>
      </c>
      <c r="C42" s="105"/>
      <c r="D42" s="87"/>
      <c r="E42" s="86" t="s">
        <v>40</v>
      </c>
      <c r="F42" s="105"/>
      <c r="G42" s="105"/>
      <c r="H42" s="105"/>
      <c r="I42" s="87"/>
      <c r="J42" s="101" t="s">
        <v>5</v>
      </c>
      <c r="K42" s="104"/>
      <c r="L42" s="104"/>
    </row>
    <row r="43" spans="1:24" ht="36" customHeight="1" x14ac:dyDescent="0.2">
      <c r="A43" s="87"/>
      <c r="B43" s="192" t="s">
        <v>38</v>
      </c>
      <c r="C43" s="192"/>
      <c r="D43" s="5" t="s">
        <v>39</v>
      </c>
      <c r="E43" s="86" t="s">
        <v>41</v>
      </c>
      <c r="F43" s="105"/>
      <c r="G43" s="87"/>
      <c r="H43" s="86" t="s">
        <v>42</v>
      </c>
      <c r="I43" s="87"/>
      <c r="J43" s="92"/>
      <c r="K43" s="103"/>
      <c r="L43" s="103"/>
    </row>
    <row r="44" spans="1:24" ht="20.100000000000001" customHeight="1" x14ac:dyDescent="0.2">
      <c r="A44" s="4" t="s">
        <v>153</v>
      </c>
      <c r="B44" s="199">
        <f>SUM(B24:B26)</f>
        <v>2991.8400000009569</v>
      </c>
      <c r="C44" s="200"/>
      <c r="D44" s="21">
        <f>SUM(D24:E26)</f>
        <v>2205.8399999947142</v>
      </c>
      <c r="E44" s="199">
        <f>B44/3</f>
        <v>997.28000000031898</v>
      </c>
      <c r="F44" s="204"/>
      <c r="G44" s="200"/>
      <c r="H44" s="199">
        <f>D44/3</f>
        <v>735.27999999823805</v>
      </c>
      <c r="I44" s="200"/>
      <c r="J44" s="201">
        <f>H44/E44</f>
        <v>0.73728541633042166</v>
      </c>
      <c r="K44" s="202"/>
      <c r="L44" s="202"/>
    </row>
    <row r="45" spans="1:24" ht="20.100000000000001" customHeight="1" x14ac:dyDescent="0.2">
      <c r="A45" s="4" t="s">
        <v>43</v>
      </c>
      <c r="B45" s="199">
        <f>SUM(B33:B36)</f>
        <v>3531.8400000051042</v>
      </c>
      <c r="C45" s="200"/>
      <c r="D45" s="21">
        <f>SUM(D33:E36)</f>
        <v>2437.9200000013952</v>
      </c>
      <c r="E45" s="199">
        <f>B45/4</f>
        <v>882.96000000127606</v>
      </c>
      <c r="F45" s="204"/>
      <c r="G45" s="200"/>
      <c r="H45" s="199">
        <f>D45/4</f>
        <v>609.48000000034881</v>
      </c>
      <c r="I45" s="200"/>
      <c r="J45" s="201">
        <f>H45/E45</f>
        <v>0.69026909486213195</v>
      </c>
      <c r="K45" s="202"/>
      <c r="L45" s="202"/>
    </row>
    <row r="46" spans="1:24" ht="20.100000000000001" customHeight="1" x14ac:dyDescent="0.2">
      <c r="A46" s="4" t="s">
        <v>44</v>
      </c>
      <c r="B46" s="199">
        <f>SUM(B16:B39)</f>
        <v>22753.920000000653</v>
      </c>
      <c r="C46" s="200"/>
      <c r="D46" s="21">
        <f>SUM(D16:E39)</f>
        <v>16666.800000002331</v>
      </c>
      <c r="E46" s="199">
        <f>B46/24</f>
        <v>948.08000000002721</v>
      </c>
      <c r="F46" s="204"/>
      <c r="G46" s="200"/>
      <c r="H46" s="199">
        <f>D46/24</f>
        <v>694.45000000009713</v>
      </c>
      <c r="I46" s="200"/>
      <c r="J46" s="201">
        <f>H46/E46</f>
        <v>0.73248038140249472</v>
      </c>
      <c r="K46" s="202"/>
      <c r="L46" s="202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99" t="s">
        <v>186</v>
      </c>
      <c r="D50" s="99"/>
      <c r="E50" s="99"/>
      <c r="F50" s="99"/>
      <c r="G50" s="99"/>
      <c r="H50" s="99"/>
      <c r="I50" s="99"/>
    </row>
    <row r="51" spans="3:9" ht="20.100000000000001" customHeight="1" x14ac:dyDescent="0.2"/>
  </sheetData>
  <sheetProtection sheet="1" objects="1" scenarios="1"/>
  <mergeCells count="189"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S4:T4"/>
    <mergeCell ref="S5:T5"/>
    <mergeCell ref="S6:T6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V4:W4"/>
    <mergeCell ref="V5:W5"/>
    <mergeCell ref="V6:W6"/>
    <mergeCell ref="V7:W7"/>
    <mergeCell ref="V8:W8"/>
    <mergeCell ref="V9:W9"/>
    <mergeCell ref="S7:T7"/>
    <mergeCell ref="S8:T8"/>
    <mergeCell ref="S9:T9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S10:T10"/>
    <mergeCell ref="S11:T11"/>
    <mergeCell ref="V10:W10"/>
    <mergeCell ref="V11:W11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D35:E35"/>
    <mergeCell ref="D36:E36"/>
    <mergeCell ref="F38:G38"/>
    <mergeCell ref="A7:L7"/>
    <mergeCell ref="F12:G13"/>
    <mergeCell ref="H12:L12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H25:L25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I9:M9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/>
  <dimension ref="A1:X51"/>
  <sheetViews>
    <sheetView view="pageBreakPreview" topLeftCell="A13" zoomScale="75" zoomScaleNormal="100" workbookViewId="0">
      <selection activeCell="F9" sqref="F9:M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94" t="s">
        <v>161</v>
      </c>
      <c r="B1" s="94"/>
      <c r="C1" s="94"/>
      <c r="D1" s="94"/>
      <c r="E1" s="94"/>
      <c r="F1" s="123" t="s">
        <v>154</v>
      </c>
      <c r="G1" s="123"/>
      <c r="H1" s="123"/>
      <c r="I1" s="94" t="s">
        <v>163</v>
      </c>
      <c r="J1" s="94"/>
      <c r="K1" s="94"/>
      <c r="L1" s="94"/>
      <c r="M1" s="100" t="s">
        <v>115</v>
      </c>
      <c r="N1" s="98" t="s">
        <v>116</v>
      </c>
      <c r="O1" s="98"/>
      <c r="P1" s="98"/>
      <c r="Q1" s="98"/>
      <c r="R1" s="192" t="s">
        <v>117</v>
      </c>
      <c r="S1" s="192"/>
      <c r="T1" s="192"/>
      <c r="U1" s="192" t="s">
        <v>118</v>
      </c>
      <c r="V1" s="192"/>
      <c r="W1" s="86"/>
    </row>
    <row r="2" spans="1:23" ht="18.75" customHeight="1" x14ac:dyDescent="0.2">
      <c r="A2" s="119" t="s">
        <v>45</v>
      </c>
      <c r="B2" s="119"/>
      <c r="C2" s="119"/>
      <c r="D2" s="119"/>
      <c r="E2" s="119"/>
      <c r="F2" s="123"/>
      <c r="G2" s="123"/>
      <c r="H2" s="123"/>
      <c r="I2" s="94"/>
      <c r="J2" s="94"/>
      <c r="K2" s="94"/>
      <c r="L2" s="94"/>
      <c r="M2" s="95"/>
      <c r="N2" s="89"/>
      <c r="O2" s="89"/>
      <c r="P2" s="89"/>
      <c r="Q2" s="89"/>
      <c r="R2" s="89" t="s">
        <v>119</v>
      </c>
      <c r="S2" s="89" t="s">
        <v>120</v>
      </c>
      <c r="T2" s="89"/>
      <c r="U2" s="89" t="s">
        <v>119</v>
      </c>
      <c r="V2" s="89" t="s">
        <v>120</v>
      </c>
      <c r="W2" s="90"/>
    </row>
    <row r="3" spans="1:23" ht="21.75" customHeight="1" x14ac:dyDescent="0.2">
      <c r="A3" s="94" t="s">
        <v>173</v>
      </c>
      <c r="B3" s="94"/>
      <c r="C3" s="94"/>
      <c r="D3" s="94"/>
      <c r="E3" s="94"/>
      <c r="F3" s="123" t="s">
        <v>155</v>
      </c>
      <c r="G3" s="123"/>
      <c r="H3" s="123"/>
      <c r="I3" s="94" t="s">
        <v>257</v>
      </c>
      <c r="J3" s="94"/>
      <c r="K3" s="94"/>
      <c r="L3" s="94"/>
      <c r="M3" s="96"/>
      <c r="N3" s="91"/>
      <c r="O3" s="91"/>
      <c r="P3" s="91"/>
      <c r="Q3" s="91"/>
      <c r="R3" s="91"/>
      <c r="S3" s="91" t="s">
        <v>121</v>
      </c>
      <c r="T3" s="91"/>
      <c r="U3" s="91"/>
      <c r="V3" s="91" t="s">
        <v>121</v>
      </c>
      <c r="W3" s="92"/>
    </row>
    <row r="4" spans="1:23" ht="29.25" customHeight="1" x14ac:dyDescent="0.2">
      <c r="A4" s="119" t="s">
        <v>46</v>
      </c>
      <c r="B4" s="119"/>
      <c r="C4" s="119"/>
      <c r="D4" s="119"/>
      <c r="E4" s="119"/>
      <c r="F4" s="123"/>
      <c r="G4" s="123"/>
      <c r="H4" s="123"/>
      <c r="I4" s="94"/>
      <c r="J4" s="94"/>
      <c r="K4" s="94"/>
      <c r="L4" s="94"/>
      <c r="M4" s="9"/>
      <c r="N4" s="189" t="s">
        <v>122</v>
      </c>
      <c r="O4" s="189"/>
      <c r="P4" s="189"/>
      <c r="Q4" s="189"/>
      <c r="R4" s="7"/>
      <c r="S4" s="84"/>
      <c r="T4" s="85"/>
      <c r="U4" s="7"/>
      <c r="V4" s="84"/>
      <c r="W4" s="88"/>
    </row>
    <row r="5" spans="1:23" ht="21" customHeight="1" x14ac:dyDescent="0.2">
      <c r="A5" s="206" t="s">
        <v>159</v>
      </c>
      <c r="B5" s="206"/>
      <c r="C5" s="206"/>
      <c r="D5" s="206"/>
      <c r="E5" s="206"/>
      <c r="F5" s="123" t="s">
        <v>156</v>
      </c>
      <c r="G5" s="123"/>
      <c r="H5" s="123"/>
      <c r="I5" s="94" t="s">
        <v>368</v>
      </c>
      <c r="J5" s="94"/>
      <c r="K5" s="94"/>
      <c r="L5" s="94"/>
      <c r="M5" s="9"/>
      <c r="N5" s="190" t="s">
        <v>123</v>
      </c>
      <c r="O5" s="190"/>
      <c r="P5" s="190"/>
      <c r="Q5" s="190"/>
      <c r="R5" s="7"/>
      <c r="S5" s="84"/>
      <c r="T5" s="85"/>
      <c r="U5" s="7"/>
      <c r="V5" s="84"/>
      <c r="W5" s="88"/>
    </row>
    <row r="6" spans="1:23" x14ac:dyDescent="0.2">
      <c r="A6" s="119" t="s">
        <v>47</v>
      </c>
      <c r="B6" s="119"/>
      <c r="C6" s="119"/>
      <c r="D6" s="119"/>
      <c r="E6" s="119"/>
      <c r="F6" s="123"/>
      <c r="G6" s="123"/>
      <c r="H6" s="123"/>
      <c r="I6" s="94"/>
      <c r="J6" s="94"/>
      <c r="K6" s="94"/>
      <c r="L6" s="94"/>
      <c r="M6" s="9"/>
      <c r="N6" s="190" t="s">
        <v>124</v>
      </c>
      <c r="O6" s="190"/>
      <c r="P6" s="190"/>
      <c r="Q6" s="190"/>
      <c r="R6" s="7"/>
      <c r="S6" s="84"/>
      <c r="T6" s="85"/>
      <c r="U6" s="7"/>
      <c r="V6" s="84"/>
      <c r="W6" s="88"/>
    </row>
    <row r="7" spans="1:23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191" t="s">
        <v>125</v>
      </c>
      <c r="O7" s="191"/>
      <c r="P7" s="191"/>
      <c r="Q7" s="191"/>
      <c r="R7" s="7"/>
      <c r="S7" s="84"/>
      <c r="T7" s="85"/>
      <c r="U7" s="7"/>
      <c r="V7" s="84"/>
      <c r="W7" s="88"/>
    </row>
    <row r="8" spans="1:23" ht="22.5" x14ac:dyDescent="0.2">
      <c r="A8" s="116" t="s">
        <v>0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190" t="s">
        <v>126</v>
      </c>
      <c r="O8" s="190"/>
      <c r="P8" s="190"/>
      <c r="Q8" s="190"/>
      <c r="R8" s="7"/>
      <c r="S8" s="84"/>
      <c r="T8" s="85"/>
      <c r="U8" s="7"/>
      <c r="V8" s="84"/>
      <c r="W8" s="88"/>
    </row>
    <row r="9" spans="1:23" ht="18.75" customHeight="1" x14ac:dyDescent="0.2">
      <c r="A9" s="193" t="s">
        <v>152</v>
      </c>
      <c r="B9" s="193"/>
      <c r="C9" s="193"/>
      <c r="D9" s="193"/>
      <c r="E9" s="193"/>
      <c r="F9" s="135" t="s">
        <v>375</v>
      </c>
      <c r="G9" s="136"/>
      <c r="H9" s="136"/>
      <c r="I9" s="111" t="s">
        <v>376</v>
      </c>
      <c r="J9" s="111"/>
      <c r="K9" s="111"/>
      <c r="L9" s="111"/>
      <c r="M9" s="111"/>
      <c r="N9" s="190" t="s">
        <v>127</v>
      </c>
      <c r="O9" s="190"/>
      <c r="P9" s="190"/>
      <c r="Q9" s="190"/>
      <c r="R9" s="7"/>
      <c r="S9" s="84"/>
      <c r="T9" s="85"/>
      <c r="U9" s="7"/>
      <c r="V9" s="84"/>
      <c r="W9" s="88"/>
    </row>
    <row r="10" spans="1:23" ht="19.5" customHeight="1" x14ac:dyDescent="0.2">
      <c r="A10" s="193" t="s">
        <v>151</v>
      </c>
      <c r="B10" s="193"/>
      <c r="C10" s="136" t="s">
        <v>258</v>
      </c>
      <c r="D10" s="136"/>
      <c r="E10" s="136"/>
      <c r="F10" s="136"/>
      <c r="G10" s="136"/>
      <c r="H10" s="136"/>
      <c r="I10" s="3"/>
      <c r="J10" s="3"/>
      <c r="K10" s="3"/>
      <c r="L10" s="3"/>
      <c r="M10" s="9"/>
      <c r="N10" s="191" t="s">
        <v>128</v>
      </c>
      <c r="O10" s="191"/>
      <c r="P10" s="191"/>
      <c r="Q10" s="191"/>
      <c r="R10" s="7"/>
      <c r="S10" s="84"/>
      <c r="T10" s="85"/>
      <c r="U10" s="7"/>
      <c r="V10" s="84"/>
      <c r="W10" s="88"/>
    </row>
    <row r="11" spans="1:23" x14ac:dyDescent="0.2">
      <c r="A11" s="188" t="s">
        <v>1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9"/>
      <c r="N11" s="196" t="s">
        <v>129</v>
      </c>
      <c r="O11" s="196"/>
      <c r="P11" s="196"/>
      <c r="Q11" s="196"/>
      <c r="R11" s="7"/>
      <c r="S11" s="84"/>
      <c r="T11" s="85"/>
      <c r="U11" s="7"/>
      <c r="V11" s="84"/>
      <c r="W11" s="88"/>
    </row>
    <row r="12" spans="1:23" ht="20.100000000000001" customHeight="1" x14ac:dyDescent="0.2">
      <c r="A12" s="87" t="s">
        <v>2</v>
      </c>
      <c r="B12" s="192" t="s">
        <v>36</v>
      </c>
      <c r="C12" s="192"/>
      <c r="D12" s="192"/>
      <c r="E12" s="192"/>
      <c r="F12" s="192" t="s">
        <v>5</v>
      </c>
      <c r="G12" s="192"/>
      <c r="H12" s="101" t="s">
        <v>34</v>
      </c>
      <c r="I12" s="104"/>
      <c r="J12" s="104"/>
      <c r="K12" s="104"/>
      <c r="L12" s="104"/>
      <c r="N12" s="1"/>
      <c r="O12" s="1"/>
      <c r="P12" s="1"/>
      <c r="Q12" s="1"/>
    </row>
    <row r="13" spans="1:23" ht="20.100000000000001" customHeight="1" x14ac:dyDescent="0.2">
      <c r="A13" s="87"/>
      <c r="B13" s="192" t="s">
        <v>3</v>
      </c>
      <c r="C13" s="192"/>
      <c r="D13" s="192" t="s">
        <v>4</v>
      </c>
      <c r="E13" s="192"/>
      <c r="F13" s="192"/>
      <c r="G13" s="192"/>
      <c r="H13" s="92" t="s">
        <v>35</v>
      </c>
      <c r="I13" s="103"/>
      <c r="J13" s="103"/>
      <c r="K13" s="103"/>
      <c r="L13" s="103"/>
    </row>
    <row r="14" spans="1:23" ht="20.100000000000001" customHeight="1" x14ac:dyDescent="0.2">
      <c r="A14" s="5" t="s">
        <v>6</v>
      </c>
      <c r="B14" s="7"/>
      <c r="C14" s="5"/>
      <c r="D14" s="97"/>
      <c r="E14" s="97"/>
      <c r="F14" s="194" t="str">
        <f t="shared" ref="F14:F40" si="0">IF(OR(B14="",D14=""),"",IF(ISERROR(D14/B14),IF(D14=0,0,""),D14/B14))</f>
        <v/>
      </c>
      <c r="G14" s="194"/>
      <c r="H14" s="97"/>
      <c r="I14" s="97"/>
      <c r="J14" s="97"/>
      <c r="K14" s="97"/>
      <c r="L14" s="97"/>
      <c r="M14" s="87" t="s">
        <v>115</v>
      </c>
      <c r="N14" s="192" t="s">
        <v>116</v>
      </c>
      <c r="O14" s="192"/>
      <c r="P14" s="192"/>
      <c r="Q14" s="192"/>
      <c r="R14" s="192" t="s">
        <v>117</v>
      </c>
      <c r="S14" s="192"/>
      <c r="T14" s="192"/>
      <c r="U14" s="192" t="s">
        <v>130</v>
      </c>
      <c r="V14" s="192" t="s">
        <v>69</v>
      </c>
      <c r="W14" s="86" t="s">
        <v>131</v>
      </c>
    </row>
    <row r="15" spans="1:23" ht="20.100000000000001" customHeight="1" x14ac:dyDescent="0.2">
      <c r="A15" s="5" t="s">
        <v>7</v>
      </c>
      <c r="B15" s="5"/>
      <c r="C15" s="5"/>
      <c r="D15" s="192"/>
      <c r="E15" s="192"/>
      <c r="F15" s="194" t="str">
        <f t="shared" si="0"/>
        <v/>
      </c>
      <c r="G15" s="194"/>
      <c r="H15" s="97"/>
      <c r="I15" s="97"/>
      <c r="J15" s="97"/>
      <c r="K15" s="97"/>
      <c r="L15" s="97"/>
      <c r="M15" s="87"/>
      <c r="N15" s="192"/>
      <c r="O15" s="192"/>
      <c r="P15" s="192"/>
      <c r="Q15" s="192"/>
      <c r="R15" s="197" t="s">
        <v>130</v>
      </c>
      <c r="S15" s="192" t="s">
        <v>69</v>
      </c>
      <c r="T15" s="192" t="s">
        <v>131</v>
      </c>
      <c r="U15" s="192"/>
      <c r="V15" s="192"/>
      <c r="W15" s="86"/>
    </row>
    <row r="16" spans="1:23" ht="20.100000000000001" customHeight="1" x14ac:dyDescent="0.2">
      <c r="A16" s="5" t="s">
        <v>8</v>
      </c>
      <c r="B16" s="21">
        <f>'Ячейка 3Гео'!D19+'Ячейка 26Гео '!D19</f>
        <v>1403.5199999991164</v>
      </c>
      <c r="C16" s="21"/>
      <c r="D16" s="198">
        <f>'Ячейка 3Гео'!H19+'Ячейка 26Гео '!H19</f>
        <v>658.07999999988169</v>
      </c>
      <c r="E16" s="198"/>
      <c r="F16" s="194">
        <f t="shared" si="0"/>
        <v>0.46887824897421909</v>
      </c>
      <c r="G16" s="194"/>
      <c r="H16" s="97"/>
      <c r="I16" s="97"/>
      <c r="J16" s="97"/>
      <c r="K16" s="97"/>
      <c r="L16" s="97"/>
      <c r="M16" s="87"/>
      <c r="N16" s="192"/>
      <c r="O16" s="192"/>
      <c r="P16" s="192"/>
      <c r="Q16" s="192"/>
      <c r="R16" s="197"/>
      <c r="S16" s="192"/>
      <c r="T16" s="192"/>
      <c r="U16" s="192"/>
      <c r="V16" s="192"/>
      <c r="W16" s="86"/>
    </row>
    <row r="17" spans="1:23" ht="20.100000000000001" customHeight="1" x14ac:dyDescent="0.2">
      <c r="A17" s="5" t="s">
        <v>9</v>
      </c>
      <c r="B17" s="38">
        <f>'Ячейка 3Гео'!D20+'Ячейка 26Гео '!D20</f>
        <v>1419.3599999962316</v>
      </c>
      <c r="C17" s="21"/>
      <c r="D17" s="198">
        <f>'Ячейка 3Гео'!H20+'Ячейка 26Гео '!H20</f>
        <v>678.7200000001576</v>
      </c>
      <c r="E17" s="198"/>
      <c r="F17" s="194">
        <f t="shared" si="0"/>
        <v>0.47818735204737317</v>
      </c>
      <c r="G17" s="194"/>
      <c r="H17" s="97"/>
      <c r="I17" s="97"/>
      <c r="J17" s="97"/>
      <c r="K17" s="97"/>
      <c r="L17" s="97"/>
      <c r="M17" s="87"/>
      <c r="N17" s="192"/>
      <c r="O17" s="192"/>
      <c r="P17" s="192"/>
      <c r="Q17" s="192"/>
      <c r="R17" s="197"/>
      <c r="S17" s="192"/>
      <c r="T17" s="192"/>
      <c r="U17" s="192"/>
      <c r="V17" s="192"/>
      <c r="W17" s="86"/>
    </row>
    <row r="18" spans="1:23" ht="20.100000000000001" customHeight="1" x14ac:dyDescent="0.2">
      <c r="A18" s="5" t="s">
        <v>10</v>
      </c>
      <c r="B18" s="38">
        <f>'Ячейка 3Гео'!D21+'Ячейка 26Гео '!D21</f>
        <v>1391.52000000322</v>
      </c>
      <c r="C18" s="21"/>
      <c r="D18" s="198">
        <f>'Ячейка 3Гео'!H21+'Ячейка 26Гео '!H21</f>
        <v>671.99999999993452</v>
      </c>
      <c r="E18" s="198"/>
      <c r="F18" s="194">
        <f t="shared" si="0"/>
        <v>0.48292514660111208</v>
      </c>
      <c r="G18" s="194"/>
      <c r="H18" s="97"/>
      <c r="I18" s="97"/>
      <c r="J18" s="97"/>
      <c r="K18" s="97"/>
      <c r="L18" s="97"/>
      <c r="M18" s="87"/>
      <c r="N18" s="192"/>
      <c r="O18" s="192"/>
      <c r="P18" s="192"/>
      <c r="Q18" s="192"/>
      <c r="R18" s="197"/>
      <c r="S18" s="192"/>
      <c r="T18" s="192"/>
      <c r="U18" s="192"/>
      <c r="V18" s="192"/>
      <c r="W18" s="86"/>
    </row>
    <row r="19" spans="1:23" ht="20.100000000000001" customHeight="1" x14ac:dyDescent="0.2">
      <c r="A19" s="5" t="s">
        <v>11</v>
      </c>
      <c r="B19" s="38">
        <f>'Ячейка 3Гео'!D22+'Ячейка 26Гео '!D22</f>
        <v>1402.0800000005693</v>
      </c>
      <c r="C19" s="21"/>
      <c r="D19" s="198">
        <f>'Ячейка 3Гео'!H22+'Ячейка 26Гео '!H22</f>
        <v>680.15999999925043</v>
      </c>
      <c r="E19" s="198"/>
      <c r="F19" s="194">
        <f t="shared" si="0"/>
        <v>0.48510783978016536</v>
      </c>
      <c r="G19" s="194"/>
      <c r="H19" s="97"/>
      <c r="I19" s="97"/>
      <c r="J19" s="97"/>
      <c r="K19" s="97"/>
      <c r="L19" s="97"/>
      <c r="M19" s="9"/>
      <c r="N19" s="189" t="s">
        <v>132</v>
      </c>
      <c r="O19" s="189"/>
      <c r="P19" s="189"/>
      <c r="Q19" s="189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38">
        <f>'Ячейка 3Гео'!D23+'Ячейка 26Гео '!D23</f>
        <v>1407.3599999981525</v>
      </c>
      <c r="C20" s="21"/>
      <c r="D20" s="198">
        <f>'Ячейка 3Гео'!H23+'Ячейка 26Гео '!H23</f>
        <v>685.92000000026019</v>
      </c>
      <c r="E20" s="198"/>
      <c r="F20" s="194">
        <f t="shared" si="0"/>
        <v>0.48738062755880557</v>
      </c>
      <c r="G20" s="194"/>
      <c r="H20" s="97"/>
      <c r="I20" s="97"/>
      <c r="J20" s="97"/>
      <c r="K20" s="97"/>
      <c r="L20" s="97"/>
      <c r="M20" s="9"/>
      <c r="N20" s="190" t="s">
        <v>133</v>
      </c>
      <c r="O20" s="190"/>
      <c r="P20" s="190"/>
      <c r="Q20" s="190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38">
        <f>'Ячейка 3Гео'!D24+'Ячейка 26Гео '!D24</f>
        <v>1392.9599999974016</v>
      </c>
      <c r="C21" s="21"/>
      <c r="D21" s="198">
        <f>'Ячейка 3Гео'!H24+'Ячейка 26Гео '!H24</f>
        <v>684.00000000074215</v>
      </c>
      <c r="E21" s="198"/>
      <c r="F21" s="194">
        <f t="shared" si="0"/>
        <v>0.49104066161412968</v>
      </c>
      <c r="G21" s="194"/>
      <c r="H21" s="97"/>
      <c r="I21" s="97"/>
      <c r="J21" s="97"/>
      <c r="K21" s="97"/>
      <c r="L21" s="97"/>
      <c r="M21" s="9"/>
      <c r="N21" s="195" t="s">
        <v>134</v>
      </c>
      <c r="O21" s="195"/>
      <c r="P21" s="195"/>
      <c r="Q21" s="195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38">
        <f>'Ячейка 3Гео'!D25+'Ячейка 26Гео '!D25</f>
        <v>1387.680000004184</v>
      </c>
      <c r="C22" s="21"/>
      <c r="D22" s="198">
        <f>'Ячейка 3Гео'!H25+'Ячейка 26Гео '!H25</f>
        <v>674.87999999948443</v>
      </c>
      <c r="E22" s="198"/>
      <c r="F22" s="194">
        <f t="shared" si="0"/>
        <v>0.48633690764257581</v>
      </c>
      <c r="G22" s="194"/>
      <c r="H22" s="97"/>
      <c r="I22" s="97"/>
      <c r="J22" s="97"/>
      <c r="K22" s="97"/>
      <c r="L22" s="97"/>
    </row>
    <row r="23" spans="1:23" ht="20.100000000000001" customHeight="1" x14ac:dyDescent="0.2">
      <c r="A23" s="5" t="s">
        <v>15</v>
      </c>
      <c r="B23" s="38">
        <f>'Ячейка 3Гео'!D26+'Ячейка 26Гео '!D26</f>
        <v>1409.2799999976705</v>
      </c>
      <c r="C23" s="21"/>
      <c r="D23" s="198">
        <f>'Ячейка 3Гео'!H26+'Ячейка 26Гео '!H26</f>
        <v>657.11999999984982</v>
      </c>
      <c r="E23" s="198"/>
      <c r="F23" s="194">
        <f t="shared" si="0"/>
        <v>0.46628065395161783</v>
      </c>
      <c r="G23" s="194"/>
      <c r="H23" s="97"/>
      <c r="I23" s="97"/>
      <c r="J23" s="97"/>
      <c r="K23" s="97"/>
      <c r="L23" s="97"/>
    </row>
    <row r="24" spans="1:23" ht="20.100000000000001" customHeight="1" x14ac:dyDescent="0.2">
      <c r="A24" s="5" t="s">
        <v>16</v>
      </c>
      <c r="B24" s="38">
        <f>'Ячейка 3Гео'!D27+'Ячейка 26Гео '!D27</f>
        <v>1391.0400000000664</v>
      </c>
      <c r="C24" s="21"/>
      <c r="D24" s="198">
        <f>'Ячейка 3Гео'!H27+'Ячейка 26Гео '!H27</f>
        <v>626.88000000034663</v>
      </c>
      <c r="E24" s="198"/>
      <c r="F24" s="194">
        <f t="shared" si="0"/>
        <v>0.45065562456889574</v>
      </c>
      <c r="G24" s="194"/>
      <c r="H24" s="97"/>
      <c r="I24" s="97"/>
      <c r="J24" s="97"/>
      <c r="K24" s="97"/>
      <c r="L24" s="97"/>
      <c r="N24" s="118" t="s">
        <v>135</v>
      </c>
      <c r="O24" s="118"/>
      <c r="P24" s="118"/>
      <c r="Q24" s="118"/>
      <c r="R24" s="118"/>
      <c r="S24" s="118"/>
      <c r="T24" s="118"/>
      <c r="U24" s="118"/>
      <c r="V24" s="118"/>
    </row>
    <row r="25" spans="1:23" ht="20.100000000000001" customHeight="1" x14ac:dyDescent="0.2">
      <c r="A25" s="5" t="s">
        <v>17</v>
      </c>
      <c r="B25" s="38">
        <f>'Ячейка 3Гео'!D28+'Ячейка 26Гео '!D28</f>
        <v>1395.3600000022561</v>
      </c>
      <c r="C25" s="21"/>
      <c r="D25" s="198">
        <f>'Ячейка 3Гео'!H28+'Ячейка 26Гео '!H28</f>
        <v>615.83999999957086</v>
      </c>
      <c r="E25" s="198"/>
      <c r="F25" s="194">
        <f t="shared" si="0"/>
        <v>0.44134846921122517</v>
      </c>
      <c r="G25" s="194"/>
      <c r="H25" s="97"/>
      <c r="I25" s="97"/>
      <c r="J25" s="97"/>
      <c r="K25" s="97"/>
      <c r="L25" s="97"/>
      <c r="N25" s="17" t="s">
        <v>136</v>
      </c>
      <c r="O25" s="118" t="s">
        <v>137</v>
      </c>
      <c r="P25" s="118"/>
      <c r="Q25" s="118"/>
      <c r="R25" s="118"/>
      <c r="S25" s="118"/>
      <c r="T25" s="118"/>
      <c r="U25" s="118"/>
      <c r="V25" s="118"/>
    </row>
    <row r="26" spans="1:23" ht="20.100000000000001" customHeight="1" x14ac:dyDescent="0.2">
      <c r="A26" s="5" t="s">
        <v>18</v>
      </c>
      <c r="B26" s="38">
        <f>'Ячейка 3Гео'!D29+'Ячейка 26Гео '!D29</f>
        <v>1374.2399999966437</v>
      </c>
      <c r="C26" s="21"/>
      <c r="D26" s="198">
        <f>'Ячейка 3Гео'!H29+'Ячейка 26Гео '!H29</f>
        <v>605.75999999964552</v>
      </c>
      <c r="E26" s="198"/>
      <c r="F26" s="194">
        <f t="shared" si="0"/>
        <v>0.44079636744755279</v>
      </c>
      <c r="G26" s="194"/>
      <c r="H26" s="97"/>
      <c r="I26" s="97"/>
      <c r="J26" s="97"/>
      <c r="K26" s="97"/>
      <c r="L26" s="97"/>
      <c r="N26" s="17" t="s">
        <v>138</v>
      </c>
      <c r="O26" s="118" t="s">
        <v>180</v>
      </c>
      <c r="P26" s="118"/>
      <c r="Q26" s="118"/>
      <c r="R26" s="118"/>
      <c r="S26" s="118"/>
      <c r="T26" s="118"/>
      <c r="U26" s="118"/>
      <c r="V26" s="118"/>
    </row>
    <row r="27" spans="1:23" ht="20.100000000000001" customHeight="1" x14ac:dyDescent="0.2">
      <c r="A27" s="5" t="s">
        <v>19</v>
      </c>
      <c r="B27" s="38">
        <f>'Ячейка 3Гео'!D30+'Ячейка 26Гео '!D30</f>
        <v>1365.6000000009954</v>
      </c>
      <c r="C27" s="21"/>
      <c r="D27" s="198">
        <f>'Ячейка 3Гео'!H30+'Ячейка 26Гео '!H30</f>
        <v>595.68000000026586</v>
      </c>
      <c r="E27" s="198"/>
      <c r="F27" s="194">
        <f t="shared" si="0"/>
        <v>0.4362038664322142</v>
      </c>
      <c r="G27" s="194"/>
      <c r="H27" s="97"/>
      <c r="I27" s="97"/>
      <c r="J27" s="97"/>
      <c r="K27" s="97"/>
      <c r="L27" s="97"/>
      <c r="N27" s="17" t="s">
        <v>139</v>
      </c>
      <c r="O27" s="118" t="s">
        <v>140</v>
      </c>
      <c r="P27" s="118"/>
      <c r="Q27" s="118"/>
      <c r="R27" s="118"/>
      <c r="S27" s="118"/>
      <c r="T27" s="118"/>
      <c r="U27" s="118"/>
      <c r="V27" s="118"/>
    </row>
    <row r="28" spans="1:23" ht="20.100000000000001" customHeight="1" x14ac:dyDescent="0.2">
      <c r="A28" s="5" t="s">
        <v>20</v>
      </c>
      <c r="B28" s="38">
        <f>'Ячейка 3Гео'!D31+'Ячейка 26Гео '!D31</f>
        <v>1382.8799999988405</v>
      </c>
      <c r="C28" s="21"/>
      <c r="D28" s="198">
        <f>'Ячейка 3Гео'!H31+'Ячейка 26Гео '!H31</f>
        <v>611.51999999983673</v>
      </c>
      <c r="E28" s="198"/>
      <c r="F28" s="194">
        <f t="shared" si="0"/>
        <v>0.44220756681733009</v>
      </c>
      <c r="G28" s="194"/>
      <c r="H28" s="97"/>
      <c r="I28" s="97"/>
      <c r="J28" s="97"/>
      <c r="K28" s="97"/>
      <c r="L28" s="97"/>
      <c r="N28" s="17"/>
      <c r="O28" s="118" t="s">
        <v>141</v>
      </c>
      <c r="P28" s="118"/>
      <c r="Q28" s="118"/>
      <c r="R28" s="118"/>
      <c r="S28" s="118"/>
      <c r="T28" s="118"/>
      <c r="U28" s="118"/>
      <c r="V28" s="118"/>
    </row>
    <row r="29" spans="1:23" ht="20.100000000000001" customHeight="1" x14ac:dyDescent="0.2">
      <c r="A29" s="5" t="s">
        <v>21</v>
      </c>
      <c r="B29" s="38">
        <f>'Ячейка 3Гео'!D32+'Ячейка 26Гео '!D32</f>
        <v>1373.2800000034331</v>
      </c>
      <c r="C29" s="21"/>
      <c r="D29" s="198">
        <f>'Ячейка 3Гео'!H32+'Ячейка 26Гео '!H32</f>
        <v>597.12000000045009</v>
      </c>
      <c r="E29" s="198"/>
      <c r="F29" s="194">
        <f t="shared" si="0"/>
        <v>0.43481300244593774</v>
      </c>
      <c r="G29" s="194"/>
      <c r="H29" s="97"/>
      <c r="I29" s="97"/>
      <c r="J29" s="97"/>
      <c r="K29" s="97"/>
      <c r="L29" s="97"/>
      <c r="N29" s="17"/>
      <c r="O29" s="118" t="s">
        <v>142</v>
      </c>
      <c r="P29" s="118"/>
      <c r="Q29" s="118"/>
      <c r="R29" s="118"/>
      <c r="S29" s="118"/>
      <c r="T29" s="118"/>
      <c r="U29" s="118"/>
      <c r="V29" s="118"/>
    </row>
    <row r="30" spans="1:23" ht="20.100000000000001" customHeight="1" x14ac:dyDescent="0.2">
      <c r="A30" s="5" t="s">
        <v>22</v>
      </c>
      <c r="B30" s="38">
        <f>'Ячейка 3Гео'!D33+'Ячейка 26Гео '!D33</f>
        <v>1382.8799999966577</v>
      </c>
      <c r="C30" s="21"/>
      <c r="D30" s="198">
        <f>'Ячейка 3Гео'!H33+'Ячейка 26Гео '!H33</f>
        <v>594.72000000023399</v>
      </c>
      <c r="E30" s="198"/>
      <c r="F30" s="194">
        <f t="shared" si="0"/>
        <v>0.43005900729034435</v>
      </c>
      <c r="G30" s="194"/>
      <c r="H30" s="97"/>
      <c r="I30" s="97"/>
      <c r="J30" s="97"/>
      <c r="K30" s="97"/>
      <c r="L30" s="97"/>
      <c r="N30" s="17" t="s">
        <v>143</v>
      </c>
      <c r="O30" s="118" t="s">
        <v>144</v>
      </c>
      <c r="P30" s="118"/>
      <c r="Q30" s="118"/>
      <c r="R30" s="118"/>
      <c r="S30" s="118"/>
      <c r="T30" s="118"/>
      <c r="U30" s="118"/>
      <c r="V30" s="118"/>
    </row>
    <row r="31" spans="1:23" ht="20.100000000000001" customHeight="1" x14ac:dyDescent="0.2">
      <c r="A31" s="5" t="s">
        <v>23</v>
      </c>
      <c r="B31" s="38">
        <f>'Ячейка 3Гео'!D34+'Ячейка 26Гео '!D34</f>
        <v>1376.1600000005274</v>
      </c>
      <c r="C31" s="21"/>
      <c r="D31" s="198">
        <f>'Ячейка 3Гео'!H34+'Ячейка 26Гео '!H34</f>
        <v>590.40000000022701</v>
      </c>
      <c r="E31" s="198"/>
      <c r="F31" s="194">
        <f t="shared" si="0"/>
        <v>0.42901988140913905</v>
      </c>
      <c r="G31" s="194"/>
      <c r="H31" s="97"/>
      <c r="I31" s="97"/>
      <c r="J31" s="97"/>
      <c r="K31" s="97"/>
      <c r="L31" s="97"/>
      <c r="N31" s="17"/>
      <c r="O31" s="118" t="s">
        <v>145</v>
      </c>
      <c r="P31" s="118"/>
      <c r="Q31" s="118"/>
      <c r="R31" s="118"/>
      <c r="S31" s="118"/>
      <c r="T31" s="118"/>
      <c r="U31" s="118"/>
      <c r="V31" s="118"/>
    </row>
    <row r="32" spans="1:23" ht="20.100000000000001" customHeight="1" x14ac:dyDescent="0.2">
      <c r="A32" s="5" t="s">
        <v>24</v>
      </c>
      <c r="B32" s="38">
        <f>'Ячейка 3Гео'!D35+'Ячейка 26Гео '!D35</f>
        <v>1378.5599999988335</v>
      </c>
      <c r="C32" s="21"/>
      <c r="D32" s="198">
        <f>'Ячейка 3Гео'!H35+'Ячейка 26Гео '!H35</f>
        <v>610.0799999991068</v>
      </c>
      <c r="E32" s="198"/>
      <c r="F32" s="194">
        <f t="shared" si="0"/>
        <v>0.44254874651783238</v>
      </c>
      <c r="G32" s="194"/>
      <c r="H32" s="97"/>
      <c r="I32" s="97"/>
      <c r="J32" s="97"/>
      <c r="K32" s="97"/>
      <c r="L32" s="97"/>
      <c r="N32" s="17" t="s">
        <v>146</v>
      </c>
      <c r="O32" s="118" t="s">
        <v>147</v>
      </c>
      <c r="P32" s="118"/>
      <c r="Q32" s="118"/>
      <c r="R32" s="118"/>
      <c r="S32" s="118"/>
      <c r="T32" s="118"/>
      <c r="U32" s="118"/>
      <c r="V32" s="118"/>
    </row>
    <row r="33" spans="1:24" ht="20.100000000000001" customHeight="1" x14ac:dyDescent="0.2">
      <c r="A33" s="5" t="s">
        <v>25</v>
      </c>
      <c r="B33" s="38">
        <f>'Ячейка 3Гео'!D36+'Ячейка 26Гео '!D36</f>
        <v>1362.2400000029302</v>
      </c>
      <c r="C33" s="21"/>
      <c r="D33" s="198">
        <f>'Ячейка 3Гео'!H36+'Ячейка 26Гео '!H36</f>
        <v>608.16000000040731</v>
      </c>
      <c r="E33" s="198"/>
      <c r="F33" s="194">
        <f t="shared" si="0"/>
        <v>0.44644115574282001</v>
      </c>
      <c r="G33" s="194"/>
      <c r="H33" s="97"/>
      <c r="I33" s="97"/>
      <c r="J33" s="97"/>
      <c r="K33" s="97"/>
      <c r="L33" s="97"/>
      <c r="N33" s="17" t="s">
        <v>148</v>
      </c>
      <c r="O33" s="118" t="s">
        <v>149</v>
      </c>
      <c r="P33" s="118"/>
      <c r="Q33" s="118"/>
      <c r="R33" s="118"/>
      <c r="S33" s="118"/>
      <c r="T33" s="118"/>
      <c r="U33" s="118"/>
      <c r="V33" s="118"/>
    </row>
    <row r="34" spans="1:24" ht="20.100000000000001" customHeight="1" x14ac:dyDescent="0.2">
      <c r="A34" s="5" t="s">
        <v>26</v>
      </c>
      <c r="B34" s="38">
        <f>'Ячейка 3Гео'!D37+'Ячейка 26Гео '!D37</f>
        <v>1366.5600000007544</v>
      </c>
      <c r="C34" s="21"/>
      <c r="D34" s="198">
        <f>'Ячейка 3Гео'!H37+'Ячейка 26Гео '!H37</f>
        <v>618.72000000048502</v>
      </c>
      <c r="E34" s="198"/>
      <c r="F34" s="194">
        <f t="shared" si="0"/>
        <v>0.45275728837383172</v>
      </c>
      <c r="G34" s="194"/>
      <c r="H34" s="97"/>
      <c r="I34" s="97"/>
      <c r="J34" s="97"/>
      <c r="K34" s="97"/>
      <c r="L34" s="97"/>
    </row>
    <row r="35" spans="1:24" ht="20.100000000000001" customHeight="1" x14ac:dyDescent="0.2">
      <c r="A35" s="5" t="s">
        <v>27</v>
      </c>
      <c r="B35" s="38">
        <f>'Ячейка 3Гео'!D38+'Ячейка 26Гео '!D38</f>
        <v>1368.4800000002724</v>
      </c>
      <c r="C35" s="21"/>
      <c r="D35" s="198">
        <f>'Ячейка 3Гео'!H38+'Ячейка 26Гео '!H38</f>
        <v>626.87999999952808</v>
      </c>
      <c r="E35" s="198"/>
      <c r="F35" s="194">
        <f t="shared" si="0"/>
        <v>0.4580848824969333</v>
      </c>
      <c r="G35" s="194"/>
      <c r="H35" s="97"/>
      <c r="I35" s="97"/>
      <c r="J35" s="97"/>
      <c r="K35" s="97"/>
      <c r="L35" s="97"/>
    </row>
    <row r="36" spans="1:24" ht="20.100000000000001" customHeight="1" x14ac:dyDescent="0.2">
      <c r="A36" s="5" t="s">
        <v>28</v>
      </c>
      <c r="B36" s="38">
        <f>'Ячейка 3Гео'!D39+'Ячейка 26Гео '!D39</f>
        <v>1367.5199999983306</v>
      </c>
      <c r="C36" s="21"/>
      <c r="D36" s="198">
        <f>'Ячейка 3Гео'!H39+'Ячейка 26Гео '!H39</f>
        <v>626.87999999980093</v>
      </c>
      <c r="E36" s="198"/>
      <c r="F36" s="194">
        <f t="shared" si="0"/>
        <v>0.45840645840687244</v>
      </c>
      <c r="G36" s="194"/>
      <c r="H36" s="97"/>
      <c r="I36" s="97"/>
      <c r="J36" s="97"/>
      <c r="K36" s="97"/>
      <c r="L36" s="97"/>
    </row>
    <row r="37" spans="1:24" ht="20.100000000000001" customHeight="1" x14ac:dyDescent="0.2">
      <c r="A37" s="5" t="s">
        <v>29</v>
      </c>
      <c r="B37" s="38">
        <f>'Ячейка 3Гео'!D40+'Ячейка 26Гео '!D40</f>
        <v>1373.2800000012503</v>
      </c>
      <c r="C37" s="21"/>
      <c r="D37" s="198">
        <f>'Ячейка 3Гео'!H40+'Ячейка 26Гео '!H40</f>
        <v>629.28000000001703</v>
      </c>
      <c r="E37" s="198"/>
      <c r="F37" s="194">
        <f t="shared" si="0"/>
        <v>0.45823138762629917</v>
      </c>
      <c r="G37" s="194"/>
      <c r="H37" s="97"/>
      <c r="I37" s="97"/>
      <c r="J37" s="97"/>
      <c r="K37" s="97"/>
      <c r="L37" s="97"/>
    </row>
    <row r="38" spans="1:24" ht="20.100000000000001" customHeight="1" x14ac:dyDescent="0.2">
      <c r="A38" s="5" t="s">
        <v>30</v>
      </c>
      <c r="B38" s="38">
        <f>'Ячейка 3Гео'!D41+'Ячейка 26Гео '!D41</f>
        <v>1362.2400000007474</v>
      </c>
      <c r="C38" s="21"/>
      <c r="D38" s="198">
        <f>'Ячейка 3Гео'!H41+'Ячейка 26Гео '!H41</f>
        <v>617.76000000045315</v>
      </c>
      <c r="E38" s="198"/>
      <c r="F38" s="194">
        <f t="shared" si="0"/>
        <v>0.45348837209310711</v>
      </c>
      <c r="G38" s="194"/>
      <c r="H38" s="97"/>
      <c r="I38" s="97"/>
      <c r="J38" s="97"/>
      <c r="K38" s="97"/>
      <c r="L38" s="97"/>
    </row>
    <row r="39" spans="1:24" ht="20.100000000000001" customHeight="1" x14ac:dyDescent="0.2">
      <c r="A39" s="5" t="s">
        <v>31</v>
      </c>
      <c r="B39" s="38">
        <f>'Ячейка 3Гео'!D42+'Ячейка 26Гео '!D42</f>
        <v>1350.7199999992736</v>
      </c>
      <c r="C39" s="21"/>
      <c r="D39" s="198">
        <f>'Ячейка 3Гео'!H42+'Ячейка 26Гео '!H42</f>
        <v>608.64000000001397</v>
      </c>
      <c r="E39" s="198"/>
      <c r="F39" s="194">
        <f t="shared" si="0"/>
        <v>0.45060412224616597</v>
      </c>
      <c r="G39" s="194"/>
      <c r="H39" s="97"/>
      <c r="I39" s="97"/>
      <c r="J39" s="97"/>
      <c r="K39" s="97"/>
      <c r="L39" s="97"/>
      <c r="P39" s="150" t="s">
        <v>150</v>
      </c>
      <c r="Q39" s="150"/>
      <c r="R39" s="150"/>
      <c r="S39" s="149" t="s">
        <v>370</v>
      </c>
      <c r="T39" s="149"/>
      <c r="U39" s="149"/>
      <c r="V39" s="149"/>
      <c r="W39" s="149"/>
      <c r="X39" s="149"/>
    </row>
    <row r="40" spans="1:24" ht="20.100000000000001" customHeight="1" x14ac:dyDescent="0.2">
      <c r="A40" s="5" t="s">
        <v>32</v>
      </c>
      <c r="B40" s="21">
        <f>SUM(B15:B39)</f>
        <v>33184.799999998359</v>
      </c>
      <c r="C40" s="21"/>
      <c r="D40" s="198">
        <f>SUM(D15:E39)</f>
        <v>15175.19999999995</v>
      </c>
      <c r="E40" s="198"/>
      <c r="F40" s="194">
        <f t="shared" si="0"/>
        <v>0.45729370073047604</v>
      </c>
      <c r="G40" s="194"/>
      <c r="H40" s="97"/>
      <c r="I40" s="97"/>
      <c r="J40" s="97"/>
      <c r="K40" s="97"/>
      <c r="L40" s="97"/>
    </row>
    <row r="41" spans="1:24" ht="20.100000000000001" customHeight="1" x14ac:dyDescent="0.2">
      <c r="A41" s="5" t="s">
        <v>33</v>
      </c>
      <c r="B41" s="5"/>
      <c r="C41" s="5"/>
      <c r="D41" s="192"/>
      <c r="E41" s="192"/>
      <c r="F41" s="194"/>
      <c r="G41" s="194"/>
      <c r="H41" s="97"/>
      <c r="I41" s="97"/>
      <c r="J41" s="97"/>
      <c r="K41" s="97"/>
      <c r="L41" s="97"/>
    </row>
    <row r="42" spans="1:24" ht="20.100000000000001" customHeight="1" x14ac:dyDescent="0.2">
      <c r="A42" s="87" t="s">
        <v>2</v>
      </c>
      <c r="B42" s="86" t="s">
        <v>37</v>
      </c>
      <c r="C42" s="105"/>
      <c r="D42" s="87"/>
      <c r="E42" s="86" t="s">
        <v>40</v>
      </c>
      <c r="F42" s="105"/>
      <c r="G42" s="105"/>
      <c r="H42" s="105"/>
      <c r="I42" s="87"/>
      <c r="J42" s="101" t="s">
        <v>5</v>
      </c>
      <c r="K42" s="104"/>
      <c r="L42" s="104"/>
    </row>
    <row r="43" spans="1:24" ht="36" customHeight="1" x14ac:dyDescent="0.2">
      <c r="A43" s="87"/>
      <c r="B43" s="192" t="s">
        <v>38</v>
      </c>
      <c r="C43" s="192"/>
      <c r="D43" s="5" t="s">
        <v>39</v>
      </c>
      <c r="E43" s="86" t="s">
        <v>41</v>
      </c>
      <c r="F43" s="105"/>
      <c r="G43" s="87"/>
      <c r="H43" s="86" t="s">
        <v>42</v>
      </c>
      <c r="I43" s="87"/>
      <c r="J43" s="92"/>
      <c r="K43" s="103"/>
      <c r="L43" s="103"/>
    </row>
    <row r="44" spans="1:24" ht="20.100000000000001" customHeight="1" x14ac:dyDescent="0.2">
      <c r="A44" s="4" t="s">
        <v>153</v>
      </c>
      <c r="B44" s="199">
        <f>SUM(B24:B26)</f>
        <v>4160.6399999989662</v>
      </c>
      <c r="C44" s="200"/>
      <c r="D44" s="21">
        <f>SUM(D24:E26)</f>
        <v>1848.479999999563</v>
      </c>
      <c r="E44" s="199">
        <f>B44/3</f>
        <v>1386.8799999996554</v>
      </c>
      <c r="F44" s="204"/>
      <c r="G44" s="200"/>
      <c r="H44" s="199">
        <f>D44/3</f>
        <v>616.15999999985434</v>
      </c>
      <c r="I44" s="200"/>
      <c r="J44" s="201">
        <f>H44/E44</f>
        <v>0.44427780341486461</v>
      </c>
      <c r="K44" s="202"/>
      <c r="L44" s="202"/>
    </row>
    <row r="45" spans="1:24" ht="20.100000000000001" customHeight="1" x14ac:dyDescent="0.2">
      <c r="A45" s="4" t="s">
        <v>43</v>
      </c>
      <c r="B45" s="199">
        <f>SUM(B33:B36)</f>
        <v>5464.8000000022876</v>
      </c>
      <c r="C45" s="200"/>
      <c r="D45" s="21">
        <f>SUM(D33:E36)</f>
        <v>2480.6400000002213</v>
      </c>
      <c r="E45" s="199">
        <f>B45/4</f>
        <v>1366.2000000005719</v>
      </c>
      <c r="F45" s="204"/>
      <c r="G45" s="200"/>
      <c r="H45" s="199">
        <f>D45/4</f>
        <v>620.16000000005533</v>
      </c>
      <c r="I45" s="200"/>
      <c r="J45" s="201">
        <f>H45/E45</f>
        <v>0.45393061045220007</v>
      </c>
      <c r="K45" s="202"/>
      <c r="L45" s="202"/>
    </row>
    <row r="46" spans="1:24" ht="20.100000000000001" customHeight="1" x14ac:dyDescent="0.2">
      <c r="A46" s="4" t="s">
        <v>44</v>
      </c>
      <c r="B46" s="199">
        <f>SUM(B16:B39)</f>
        <v>33184.799999998359</v>
      </c>
      <c r="C46" s="200"/>
      <c r="D46" s="21">
        <f>SUM(D16:E39)</f>
        <v>15175.19999999995</v>
      </c>
      <c r="E46" s="199">
        <f>B46/24</f>
        <v>1382.6999999999316</v>
      </c>
      <c r="F46" s="204"/>
      <c r="G46" s="200"/>
      <c r="H46" s="199">
        <f>D46/24</f>
        <v>632.29999999999791</v>
      </c>
      <c r="I46" s="200"/>
      <c r="J46" s="201">
        <f>H46/E46</f>
        <v>0.45729370073047604</v>
      </c>
      <c r="K46" s="202"/>
      <c r="L46" s="202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99" t="s">
        <v>186</v>
      </c>
      <c r="D50" s="99"/>
      <c r="E50" s="99"/>
      <c r="F50" s="99"/>
      <c r="G50" s="99"/>
      <c r="H50" s="99"/>
      <c r="I50" s="99"/>
    </row>
    <row r="51" spans="3:9" ht="20.100000000000001" customHeight="1" x14ac:dyDescent="0.2"/>
  </sheetData>
  <sheetProtection sheet="1" objects="1" scenarios="1"/>
  <mergeCells count="189">
    <mergeCell ref="B45:C45"/>
    <mergeCell ref="J44:L44"/>
    <mergeCell ref="J45:L45"/>
    <mergeCell ref="D41:E41"/>
    <mergeCell ref="E45:G45"/>
    <mergeCell ref="F40:G40"/>
    <mergeCell ref="F29:G29"/>
    <mergeCell ref="F30:G30"/>
    <mergeCell ref="F31:G31"/>
    <mergeCell ref="F32:G3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H18:L18"/>
    <mergeCell ref="H19:L19"/>
    <mergeCell ref="H20:L20"/>
    <mergeCell ref="H21:L21"/>
    <mergeCell ref="H22:L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N20:Q20"/>
    <mergeCell ref="N21:Q21"/>
    <mergeCell ref="D22:E22"/>
    <mergeCell ref="F27:G27"/>
    <mergeCell ref="F28:G28"/>
    <mergeCell ref="F22:G22"/>
    <mergeCell ref="F35:G35"/>
    <mergeCell ref="F36:G36"/>
    <mergeCell ref="F37:G37"/>
    <mergeCell ref="F38:G38"/>
    <mergeCell ref="F39:G39"/>
    <mergeCell ref="H23:L23"/>
    <mergeCell ref="H24:L24"/>
    <mergeCell ref="H25:L25"/>
    <mergeCell ref="H26:L26"/>
    <mergeCell ref="H27:L27"/>
    <mergeCell ref="H28:L28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I9:M9"/>
    <mergeCell ref="A7:L7"/>
    <mergeCell ref="F12:G13"/>
    <mergeCell ref="H12:L12"/>
    <mergeCell ref="F9:H9"/>
    <mergeCell ref="A9:E9"/>
    <mergeCell ref="A8:L8"/>
    <mergeCell ref="F14:G14"/>
    <mergeCell ref="F15:G15"/>
    <mergeCell ref="F16:G16"/>
    <mergeCell ref="F17:G17"/>
    <mergeCell ref="H14:L14"/>
    <mergeCell ref="H15:L15"/>
    <mergeCell ref="H16:L16"/>
    <mergeCell ref="H17:L17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N7:Q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/>
  <dimension ref="A1:X51"/>
  <sheetViews>
    <sheetView view="pageBreakPreview" zoomScale="75" zoomScaleNormal="100" zoomScaleSheetLayoutView="75" workbookViewId="0">
      <selection activeCell="O26" sqref="O26:V26"/>
    </sheetView>
  </sheetViews>
  <sheetFormatPr defaultRowHeight="18.75" x14ac:dyDescent="0.2"/>
  <cols>
    <col min="1" max="1" width="15.4257812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8.7109375" style="2" customWidth="1"/>
    <col min="13" max="13" width="8.42578125" style="2" customWidth="1"/>
    <col min="14" max="18" width="10.7109375" style="2" customWidth="1"/>
    <col min="19" max="19" width="11.85546875" style="2" customWidth="1"/>
    <col min="20" max="20" width="15.7109375" style="2" customWidth="1"/>
    <col min="21" max="21" width="12.42578125" style="2" customWidth="1"/>
    <col min="22" max="22" width="12.7109375" style="2" customWidth="1"/>
    <col min="23" max="23" width="14.7109375" style="2" customWidth="1"/>
    <col min="24" max="28" width="10.28515625" style="2" customWidth="1"/>
    <col min="29" max="16384" width="9.140625" style="2"/>
  </cols>
  <sheetData>
    <row r="1" spans="1:23" ht="26.25" x14ac:dyDescent="0.2">
      <c r="A1" s="94" t="s">
        <v>161</v>
      </c>
      <c r="B1" s="94"/>
      <c r="C1" s="94"/>
      <c r="D1" s="94"/>
      <c r="E1" s="94"/>
      <c r="F1" s="123" t="s">
        <v>154</v>
      </c>
      <c r="G1" s="123"/>
      <c r="H1" s="123"/>
      <c r="I1" s="94" t="s">
        <v>163</v>
      </c>
      <c r="J1" s="94"/>
      <c r="K1" s="94"/>
      <c r="L1" s="94"/>
      <c r="M1" s="100" t="s">
        <v>115</v>
      </c>
      <c r="N1" s="98" t="s">
        <v>116</v>
      </c>
      <c r="O1" s="98"/>
      <c r="P1" s="98"/>
      <c r="Q1" s="98"/>
      <c r="R1" s="192" t="s">
        <v>117</v>
      </c>
      <c r="S1" s="192"/>
      <c r="T1" s="192"/>
      <c r="U1" s="192" t="s">
        <v>118</v>
      </c>
      <c r="V1" s="192"/>
      <c r="W1" s="86"/>
    </row>
    <row r="2" spans="1:23" ht="18.75" customHeight="1" x14ac:dyDescent="0.2">
      <c r="A2" s="119" t="s">
        <v>45</v>
      </c>
      <c r="B2" s="119"/>
      <c r="C2" s="119"/>
      <c r="D2" s="119"/>
      <c r="E2" s="119"/>
      <c r="F2" s="123"/>
      <c r="G2" s="123"/>
      <c r="H2" s="123"/>
      <c r="I2" s="94"/>
      <c r="J2" s="94"/>
      <c r="K2" s="94"/>
      <c r="L2" s="94"/>
      <c r="M2" s="95"/>
      <c r="N2" s="89"/>
      <c r="O2" s="89"/>
      <c r="P2" s="89"/>
      <c r="Q2" s="89"/>
      <c r="R2" s="89" t="s">
        <v>119</v>
      </c>
      <c r="S2" s="89" t="s">
        <v>120</v>
      </c>
      <c r="T2" s="89"/>
      <c r="U2" s="89" t="s">
        <v>119</v>
      </c>
      <c r="V2" s="89" t="s">
        <v>120</v>
      </c>
      <c r="W2" s="90"/>
    </row>
    <row r="3" spans="1:23" ht="21.75" customHeight="1" x14ac:dyDescent="0.2">
      <c r="A3" s="94" t="s">
        <v>162</v>
      </c>
      <c r="B3" s="94"/>
      <c r="C3" s="94"/>
      <c r="D3" s="94"/>
      <c r="E3" s="94"/>
      <c r="F3" s="123" t="s">
        <v>155</v>
      </c>
      <c r="G3" s="123"/>
      <c r="H3" s="123"/>
      <c r="I3" s="94" t="s">
        <v>229</v>
      </c>
      <c r="J3" s="94"/>
      <c r="K3" s="94"/>
      <c r="L3" s="94"/>
      <c r="M3" s="96"/>
      <c r="N3" s="91"/>
      <c r="O3" s="91"/>
      <c r="P3" s="91"/>
      <c r="Q3" s="91"/>
      <c r="R3" s="91"/>
      <c r="S3" s="91" t="s">
        <v>121</v>
      </c>
      <c r="T3" s="91"/>
      <c r="U3" s="91"/>
      <c r="V3" s="91" t="s">
        <v>121</v>
      </c>
      <c r="W3" s="92"/>
    </row>
    <row r="4" spans="1:23" ht="29.25" customHeight="1" x14ac:dyDescent="0.2">
      <c r="A4" s="119" t="s">
        <v>46</v>
      </c>
      <c r="B4" s="119"/>
      <c r="C4" s="119"/>
      <c r="D4" s="119"/>
      <c r="E4" s="119"/>
      <c r="F4" s="123"/>
      <c r="G4" s="123"/>
      <c r="H4" s="123"/>
      <c r="I4" s="94"/>
      <c r="J4" s="94"/>
      <c r="K4" s="94"/>
      <c r="L4" s="94"/>
      <c r="M4" s="9"/>
      <c r="N4" s="189" t="s">
        <v>122</v>
      </c>
      <c r="O4" s="189"/>
      <c r="P4" s="189"/>
      <c r="Q4" s="189"/>
      <c r="R4" s="7"/>
      <c r="S4" s="84"/>
      <c r="T4" s="85"/>
      <c r="U4" s="7"/>
      <c r="V4" s="84"/>
      <c r="W4" s="88"/>
    </row>
    <row r="5" spans="1:23" ht="18" customHeight="1" x14ac:dyDescent="0.2">
      <c r="A5" s="203" t="s">
        <v>176</v>
      </c>
      <c r="B5" s="203"/>
      <c r="C5" s="203"/>
      <c r="D5" s="203"/>
      <c r="E5" s="203"/>
      <c r="F5" s="123" t="s">
        <v>156</v>
      </c>
      <c r="G5" s="123"/>
      <c r="H5" s="123"/>
      <c r="I5" s="94" t="s">
        <v>163</v>
      </c>
      <c r="J5" s="94"/>
      <c r="K5" s="94"/>
      <c r="L5" s="94"/>
      <c r="M5" s="9"/>
      <c r="N5" s="190" t="s">
        <v>123</v>
      </c>
      <c r="O5" s="190"/>
      <c r="P5" s="190"/>
      <c r="Q5" s="190"/>
      <c r="R5" s="7">
        <v>4</v>
      </c>
      <c r="S5" s="84">
        <v>110000</v>
      </c>
      <c r="T5" s="85"/>
      <c r="U5" s="7"/>
      <c r="V5" s="84"/>
      <c r="W5" s="88"/>
    </row>
    <row r="6" spans="1:23" x14ac:dyDescent="0.2">
      <c r="A6" s="119" t="s">
        <v>47</v>
      </c>
      <c r="B6" s="119"/>
      <c r="C6" s="119"/>
      <c r="D6" s="119"/>
      <c r="E6" s="119"/>
      <c r="F6" s="123"/>
      <c r="G6" s="123"/>
      <c r="H6" s="123"/>
      <c r="I6" s="94"/>
      <c r="J6" s="94"/>
      <c r="K6" s="94"/>
      <c r="L6" s="94"/>
      <c r="M6" s="9"/>
      <c r="N6" s="190" t="s">
        <v>124</v>
      </c>
      <c r="O6" s="190"/>
      <c r="P6" s="190"/>
      <c r="Q6" s="190"/>
      <c r="R6" s="7">
        <v>73</v>
      </c>
      <c r="S6" s="84">
        <v>57450</v>
      </c>
      <c r="T6" s="85"/>
      <c r="U6" s="7">
        <v>16</v>
      </c>
      <c r="V6" s="84">
        <v>14750</v>
      </c>
      <c r="W6" s="88"/>
    </row>
    <row r="7" spans="1:23" x14ac:dyDescent="0.2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"/>
      <c r="N7" s="191" t="s">
        <v>125</v>
      </c>
      <c r="O7" s="191"/>
      <c r="P7" s="191"/>
      <c r="Q7" s="191"/>
      <c r="R7" s="7"/>
      <c r="S7" s="84"/>
      <c r="T7" s="85"/>
      <c r="U7" s="7"/>
      <c r="V7" s="84"/>
      <c r="W7" s="88"/>
    </row>
    <row r="8" spans="1:23" ht="22.5" x14ac:dyDescent="0.2">
      <c r="A8" s="116" t="s">
        <v>0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9"/>
      <c r="N8" s="190" t="s">
        <v>126</v>
      </c>
      <c r="O8" s="190"/>
      <c r="P8" s="190"/>
      <c r="Q8" s="190"/>
      <c r="R8" s="7">
        <v>5</v>
      </c>
      <c r="S8" s="84">
        <v>1940</v>
      </c>
      <c r="T8" s="85"/>
      <c r="U8" s="7">
        <v>3</v>
      </c>
      <c r="V8" s="84">
        <v>1220</v>
      </c>
      <c r="W8" s="88"/>
    </row>
    <row r="9" spans="1:23" ht="18.75" customHeight="1" x14ac:dyDescent="0.2">
      <c r="A9" s="193" t="s">
        <v>152</v>
      </c>
      <c r="B9" s="193"/>
      <c r="C9" s="193"/>
      <c r="D9" s="193"/>
      <c r="E9" s="193"/>
      <c r="F9" s="135" t="s">
        <v>375</v>
      </c>
      <c r="G9" s="136"/>
      <c r="H9" s="136"/>
      <c r="I9" s="111" t="s">
        <v>376</v>
      </c>
      <c r="J9" s="111"/>
      <c r="K9" s="111"/>
      <c r="L9" s="111"/>
      <c r="M9" s="111"/>
      <c r="N9" s="190" t="s">
        <v>127</v>
      </c>
      <c r="O9" s="190"/>
      <c r="P9" s="190"/>
      <c r="Q9" s="190"/>
      <c r="R9" s="7">
        <v>3</v>
      </c>
      <c r="S9" s="84">
        <v>1890</v>
      </c>
      <c r="T9" s="85"/>
      <c r="U9" s="7">
        <v>5</v>
      </c>
      <c r="V9" s="84">
        <v>3150</v>
      </c>
      <c r="W9" s="88"/>
    </row>
    <row r="10" spans="1:23" ht="19.5" customHeight="1" x14ac:dyDescent="0.2">
      <c r="A10" s="193" t="s">
        <v>151</v>
      </c>
      <c r="B10" s="193"/>
      <c r="C10" s="136" t="s">
        <v>164</v>
      </c>
      <c r="D10" s="136"/>
      <c r="E10" s="136"/>
      <c r="F10" s="136"/>
      <c r="G10" s="136"/>
      <c r="H10" s="136"/>
      <c r="I10" s="3"/>
      <c r="J10" s="3"/>
      <c r="K10" s="3"/>
      <c r="L10" s="3"/>
      <c r="M10" s="9"/>
      <c r="N10" s="191" t="s">
        <v>128</v>
      </c>
      <c r="O10" s="191"/>
      <c r="P10" s="191"/>
      <c r="Q10" s="191"/>
      <c r="R10" s="7"/>
      <c r="S10" s="84"/>
      <c r="T10" s="85"/>
      <c r="U10" s="7"/>
      <c r="V10" s="84"/>
      <c r="W10" s="88"/>
    </row>
    <row r="11" spans="1:23" x14ac:dyDescent="0.2">
      <c r="A11" s="188" t="s">
        <v>1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9"/>
      <c r="N11" s="196" t="s">
        <v>129</v>
      </c>
      <c r="O11" s="196"/>
      <c r="P11" s="196"/>
      <c r="Q11" s="196"/>
      <c r="R11" s="7">
        <v>6</v>
      </c>
      <c r="S11" s="84">
        <v>1125</v>
      </c>
      <c r="T11" s="85"/>
      <c r="U11" s="7">
        <v>1</v>
      </c>
      <c r="V11" s="84">
        <v>200</v>
      </c>
      <c r="W11" s="88"/>
    </row>
    <row r="12" spans="1:23" ht="20.100000000000001" customHeight="1" x14ac:dyDescent="0.2">
      <c r="A12" s="192" t="s">
        <v>2</v>
      </c>
      <c r="B12" s="192" t="s">
        <v>36</v>
      </c>
      <c r="C12" s="192"/>
      <c r="D12" s="192"/>
      <c r="E12" s="192"/>
      <c r="F12" s="192" t="s">
        <v>5</v>
      </c>
      <c r="G12" s="192"/>
      <c r="H12" s="192" t="s">
        <v>34</v>
      </c>
      <c r="I12" s="192"/>
      <c r="J12" s="192"/>
      <c r="K12" s="192"/>
      <c r="L12" s="192"/>
      <c r="N12" s="1"/>
      <c r="O12" s="1"/>
      <c r="P12" s="1"/>
      <c r="Q12" s="1"/>
    </row>
    <row r="13" spans="1:23" ht="20.100000000000001" customHeight="1" x14ac:dyDescent="0.2">
      <c r="A13" s="192"/>
      <c r="B13" s="192" t="s">
        <v>3</v>
      </c>
      <c r="C13" s="192"/>
      <c r="D13" s="192" t="s">
        <v>4</v>
      </c>
      <c r="E13" s="192"/>
      <c r="F13" s="192"/>
      <c r="G13" s="192"/>
      <c r="H13" s="192" t="s">
        <v>35</v>
      </c>
      <c r="I13" s="192"/>
      <c r="J13" s="192"/>
      <c r="K13" s="192"/>
      <c r="L13" s="192"/>
    </row>
    <row r="14" spans="1:23" ht="20.100000000000001" customHeight="1" x14ac:dyDescent="0.2">
      <c r="A14" s="5" t="s">
        <v>6</v>
      </c>
      <c r="B14" s="7"/>
      <c r="C14" s="5"/>
      <c r="D14" s="97"/>
      <c r="E14" s="97"/>
      <c r="F14" s="194" t="str">
        <f t="shared" ref="F14:F40" si="0">IF(OR(B14="",D14=""),"",IF(ISERROR(D14/B14),IF(D14=0,0,""),D14/B14))</f>
        <v/>
      </c>
      <c r="G14" s="194"/>
      <c r="H14" s="97"/>
      <c r="I14" s="97"/>
      <c r="J14" s="97"/>
      <c r="K14" s="97"/>
      <c r="L14" s="97"/>
      <c r="M14" s="87" t="s">
        <v>115</v>
      </c>
      <c r="N14" s="192" t="s">
        <v>116</v>
      </c>
      <c r="O14" s="192"/>
      <c r="P14" s="192"/>
      <c r="Q14" s="192"/>
      <c r="R14" s="192" t="s">
        <v>117</v>
      </c>
      <c r="S14" s="192"/>
      <c r="T14" s="192"/>
      <c r="U14" s="192" t="s">
        <v>130</v>
      </c>
      <c r="V14" s="192" t="s">
        <v>69</v>
      </c>
      <c r="W14" s="86" t="s">
        <v>131</v>
      </c>
    </row>
    <row r="15" spans="1:23" ht="20.100000000000001" customHeight="1" x14ac:dyDescent="0.2">
      <c r="A15" s="5" t="s">
        <v>7</v>
      </c>
      <c r="B15" s="5"/>
      <c r="C15" s="5"/>
      <c r="D15" s="192"/>
      <c r="E15" s="192"/>
      <c r="F15" s="194" t="str">
        <f t="shared" si="0"/>
        <v/>
      </c>
      <c r="G15" s="194"/>
      <c r="H15" s="97"/>
      <c r="I15" s="97"/>
      <c r="J15" s="97"/>
      <c r="K15" s="97"/>
      <c r="L15" s="97"/>
      <c r="M15" s="87"/>
      <c r="N15" s="192"/>
      <c r="O15" s="192"/>
      <c r="P15" s="192"/>
      <c r="Q15" s="192"/>
      <c r="R15" s="197" t="s">
        <v>130</v>
      </c>
      <c r="S15" s="192" t="s">
        <v>69</v>
      </c>
      <c r="T15" s="192" t="s">
        <v>131</v>
      </c>
      <c r="U15" s="192"/>
      <c r="V15" s="192"/>
      <c r="W15" s="86"/>
    </row>
    <row r="16" spans="1:23" ht="20.100000000000001" customHeight="1" x14ac:dyDescent="0.2">
      <c r="A16" s="5" t="s">
        <v>8</v>
      </c>
      <c r="B16" s="21">
        <f>'Всего с субабонентами'!B16-Субабоненты!B16</f>
        <v>5889.8400000009133</v>
      </c>
      <c r="C16" s="21"/>
      <c r="D16" s="198">
        <f>'Всего с субабонентами'!D16:E16-Субабоненты!D16</f>
        <v>3968.4000000136621</v>
      </c>
      <c r="E16" s="198"/>
      <c r="F16" s="194">
        <f t="shared" si="0"/>
        <v>0.67377042500527129</v>
      </c>
      <c r="G16" s="194"/>
      <c r="H16" s="97"/>
      <c r="I16" s="97"/>
      <c r="J16" s="97"/>
      <c r="K16" s="97"/>
      <c r="L16" s="97"/>
      <c r="M16" s="87"/>
      <c r="N16" s="192"/>
      <c r="O16" s="192"/>
      <c r="P16" s="192"/>
      <c r="Q16" s="192"/>
      <c r="R16" s="197"/>
      <c r="S16" s="192"/>
      <c r="T16" s="192"/>
      <c r="U16" s="192"/>
      <c r="V16" s="192"/>
      <c r="W16" s="86"/>
    </row>
    <row r="17" spans="1:23" ht="20.100000000000001" customHeight="1" x14ac:dyDescent="0.2">
      <c r="A17" s="5" t="s">
        <v>9</v>
      </c>
      <c r="B17" s="21">
        <f>'Всего с субабонентами'!B17-Субабоненты!B17</f>
        <v>5906.8799999906332</v>
      </c>
      <c r="C17" s="21"/>
      <c r="D17" s="198">
        <f>'Всего с субабонентами'!D17:E17-Субабоненты!D17</f>
        <v>4089.8399999853609</v>
      </c>
      <c r="E17" s="198"/>
      <c r="F17" s="194">
        <f t="shared" si="0"/>
        <v>0.69238582804997673</v>
      </c>
      <c r="G17" s="194"/>
      <c r="H17" s="97"/>
      <c r="I17" s="97"/>
      <c r="J17" s="97"/>
      <c r="K17" s="97"/>
      <c r="L17" s="97"/>
      <c r="M17" s="87"/>
      <c r="N17" s="192"/>
      <c r="O17" s="192"/>
      <c r="P17" s="192"/>
      <c r="Q17" s="192"/>
      <c r="R17" s="197"/>
      <c r="S17" s="192"/>
      <c r="T17" s="192"/>
      <c r="U17" s="192"/>
      <c r="V17" s="192"/>
      <c r="W17" s="86"/>
    </row>
    <row r="18" spans="1:23" ht="20.100000000000001" customHeight="1" x14ac:dyDescent="0.2">
      <c r="A18" s="5" t="s">
        <v>10</v>
      </c>
      <c r="B18" s="21">
        <f>'Всего с субабонентами'!B18-Субабоненты!B18</f>
        <v>5890.4400000010355</v>
      </c>
      <c r="C18" s="21"/>
      <c r="D18" s="198">
        <f>'Всего с субабонентами'!D18:E18-Субабоненты!D18</f>
        <v>4076.1600000138969</v>
      </c>
      <c r="E18" s="198"/>
      <c r="F18" s="194">
        <f t="shared" si="0"/>
        <v>0.69199584411575032</v>
      </c>
      <c r="G18" s="194"/>
      <c r="H18" s="97"/>
      <c r="I18" s="97"/>
      <c r="J18" s="97"/>
      <c r="K18" s="97"/>
      <c r="L18" s="97"/>
      <c r="M18" s="87"/>
      <c r="N18" s="192"/>
      <c r="O18" s="192"/>
      <c r="P18" s="192"/>
      <c r="Q18" s="192"/>
      <c r="R18" s="197"/>
      <c r="S18" s="192"/>
      <c r="T18" s="192"/>
      <c r="U18" s="192"/>
      <c r="V18" s="192"/>
      <c r="W18" s="86"/>
    </row>
    <row r="19" spans="1:23" ht="20.100000000000001" customHeight="1" x14ac:dyDescent="0.2">
      <c r="A19" s="5" t="s">
        <v>11</v>
      </c>
      <c r="B19" s="21">
        <f>'Всего с субабонентами'!B19-Субабоненты!B19</f>
        <v>5822.6399999937712</v>
      </c>
      <c r="C19" s="21"/>
      <c r="D19" s="198">
        <f>'Всего с субабонентами'!D19:E19-Субабоненты!D19</f>
        <v>4085.7599999891136</v>
      </c>
      <c r="E19" s="198"/>
      <c r="F19" s="194">
        <f t="shared" si="0"/>
        <v>0.70170232059572368</v>
      </c>
      <c r="G19" s="194"/>
      <c r="H19" s="97"/>
      <c r="I19" s="97"/>
      <c r="J19" s="97"/>
      <c r="K19" s="97"/>
      <c r="L19" s="97"/>
      <c r="M19" s="9"/>
      <c r="N19" s="189" t="s">
        <v>132</v>
      </c>
      <c r="O19" s="189"/>
      <c r="P19" s="189"/>
      <c r="Q19" s="189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'Всего с субабонентами'!B20-Субабоненты!B20</f>
        <v>5817.8400000060947</v>
      </c>
      <c r="C20" s="21"/>
      <c r="D20" s="198">
        <f>'Всего с субабонентами'!D20:E20-Субабоненты!D20</f>
        <v>4114.4400000138376</v>
      </c>
      <c r="E20" s="198"/>
      <c r="F20" s="194">
        <f t="shared" si="0"/>
        <v>0.70721092364340155</v>
      </c>
      <c r="G20" s="194"/>
      <c r="H20" s="97"/>
      <c r="I20" s="97"/>
      <c r="J20" s="97"/>
      <c r="K20" s="97"/>
      <c r="L20" s="97"/>
      <c r="M20" s="9"/>
      <c r="N20" s="190" t="s">
        <v>133</v>
      </c>
      <c r="O20" s="190"/>
      <c r="P20" s="190"/>
      <c r="Q20" s="190"/>
      <c r="R20" s="7"/>
      <c r="S20" s="7">
        <v>1740</v>
      </c>
      <c r="T20" s="7"/>
      <c r="U20" s="7"/>
      <c r="V20" s="7">
        <v>500</v>
      </c>
      <c r="W20" s="8"/>
    </row>
    <row r="21" spans="1:23" ht="20.100000000000001" customHeight="1" x14ac:dyDescent="0.2">
      <c r="A21" s="5" t="s">
        <v>13</v>
      </c>
      <c r="B21" s="21">
        <f>'Всего с субабонентами'!B21-Субабоненты!B21</f>
        <v>5727.3599999822181</v>
      </c>
      <c r="C21" s="21"/>
      <c r="D21" s="198">
        <f>'Всего с субабонентами'!D21:E21-Субабоненты!D21</f>
        <v>4025.2799999947456</v>
      </c>
      <c r="E21" s="198"/>
      <c r="F21" s="194">
        <f t="shared" si="0"/>
        <v>0.70281595709144229</v>
      </c>
      <c r="G21" s="194"/>
      <c r="H21" s="97"/>
      <c r="I21" s="97"/>
      <c r="J21" s="97"/>
      <c r="K21" s="97"/>
      <c r="L21" s="97"/>
      <c r="M21" s="9"/>
      <c r="N21" s="195" t="s">
        <v>134</v>
      </c>
      <c r="O21" s="195"/>
      <c r="P21" s="195"/>
      <c r="Q21" s="195"/>
      <c r="R21" s="7"/>
      <c r="S21" s="7">
        <v>2732</v>
      </c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'Всего с субабонентами'!B22-Субабоненты!B22</f>
        <v>5829.0000000306463</v>
      </c>
      <c r="C22" s="21"/>
      <c r="D22" s="198">
        <f>'Всего с субабонентами'!D22:E22-Субабоненты!D22</f>
        <v>3918.0000000014843</v>
      </c>
      <c r="E22" s="198"/>
      <c r="F22" s="194">
        <f t="shared" si="0"/>
        <v>0.67215645908061161</v>
      </c>
      <c r="G22" s="194"/>
      <c r="H22" s="97"/>
      <c r="I22" s="97"/>
      <c r="J22" s="97"/>
      <c r="K22" s="97"/>
      <c r="L22" s="97"/>
    </row>
    <row r="23" spans="1:23" ht="20.100000000000001" customHeight="1" x14ac:dyDescent="0.2">
      <c r="A23" s="5" t="s">
        <v>15</v>
      </c>
      <c r="B23" s="21">
        <f>'Всего с субабонентами'!B23-Субабоненты!B23</f>
        <v>5942.0399999962683</v>
      </c>
      <c r="C23" s="21"/>
      <c r="D23" s="198">
        <f>'Всего с субабонентами'!D23:E23-Субабоненты!D23</f>
        <v>3731.2800000117932</v>
      </c>
      <c r="E23" s="198"/>
      <c r="F23" s="194">
        <f t="shared" si="0"/>
        <v>0.62794595795621311</v>
      </c>
      <c r="G23" s="194"/>
      <c r="H23" s="97"/>
      <c r="I23" s="97"/>
      <c r="J23" s="97"/>
      <c r="K23" s="97"/>
      <c r="L23" s="97"/>
    </row>
    <row r="24" spans="1:23" ht="20.100000000000001" customHeight="1" x14ac:dyDescent="0.2">
      <c r="A24" s="5" t="s">
        <v>16</v>
      </c>
      <c r="B24" s="21">
        <f>'Всего с субабонентами'!B24-Субабоненты!B24</f>
        <v>5813.5199999971519</v>
      </c>
      <c r="C24" s="21"/>
      <c r="D24" s="198">
        <f>'Всего с субабонентами'!D24:E24-Субабоненты!D24</f>
        <v>3607.7999999942222</v>
      </c>
      <c r="E24" s="198"/>
      <c r="F24" s="194">
        <f t="shared" si="0"/>
        <v>0.62058787103097424</v>
      </c>
      <c r="G24" s="194"/>
      <c r="H24" s="97"/>
      <c r="I24" s="97"/>
      <c r="J24" s="97"/>
      <c r="K24" s="97"/>
      <c r="L24" s="97"/>
      <c r="N24" s="118" t="s">
        <v>135</v>
      </c>
      <c r="O24" s="118"/>
      <c r="P24" s="118"/>
      <c r="Q24" s="118"/>
      <c r="R24" s="118"/>
      <c r="S24" s="118"/>
      <c r="T24" s="118"/>
      <c r="U24" s="118"/>
      <c r="V24" s="118"/>
    </row>
    <row r="25" spans="1:23" ht="20.100000000000001" customHeight="1" x14ac:dyDescent="0.2">
      <c r="A25" s="5" t="s">
        <v>17</v>
      </c>
      <c r="B25" s="21">
        <f>'Всего с субабонентами'!B25-Субабоненты!B25</f>
        <v>6093.599999997241</v>
      </c>
      <c r="C25" s="21"/>
      <c r="D25" s="198">
        <f>'Всего с субабонентами'!D25:E25-Субабоненты!D25</f>
        <v>3634.0799999873525</v>
      </c>
      <c r="E25" s="198"/>
      <c r="F25" s="194">
        <f t="shared" si="0"/>
        <v>0.59637652618960846</v>
      </c>
      <c r="G25" s="194"/>
      <c r="H25" s="97"/>
      <c r="I25" s="97"/>
      <c r="J25" s="97"/>
      <c r="K25" s="97"/>
      <c r="L25" s="97"/>
      <c r="N25" s="17" t="s">
        <v>136</v>
      </c>
      <c r="O25" s="118" t="s">
        <v>137</v>
      </c>
      <c r="P25" s="118"/>
      <c r="Q25" s="118"/>
      <c r="R25" s="118"/>
      <c r="S25" s="118"/>
      <c r="T25" s="118"/>
      <c r="U25" s="118"/>
      <c r="V25" s="118"/>
    </row>
    <row r="26" spans="1:23" ht="20.100000000000001" customHeight="1" x14ac:dyDescent="0.2">
      <c r="A26" s="5" t="s">
        <v>18</v>
      </c>
      <c r="B26" s="21">
        <f>'Всего с субабонентами'!B26-Субабоненты!B26</f>
        <v>6130.8000000168249</v>
      </c>
      <c r="C26" s="21"/>
      <c r="D26" s="198">
        <f>'Всего с субабонентами'!D26:E26-Субабоненты!D26</f>
        <v>3728.1600000237631</v>
      </c>
      <c r="E26" s="198"/>
      <c r="F26" s="194">
        <f t="shared" si="0"/>
        <v>0.60810334703685198</v>
      </c>
      <c r="G26" s="194"/>
      <c r="H26" s="97"/>
      <c r="I26" s="97"/>
      <c r="J26" s="97"/>
      <c r="K26" s="97"/>
      <c r="L26" s="97"/>
      <c r="N26" s="17" t="s">
        <v>138</v>
      </c>
      <c r="O26" s="118" t="s">
        <v>180</v>
      </c>
      <c r="P26" s="118"/>
      <c r="Q26" s="118"/>
      <c r="R26" s="118"/>
      <c r="S26" s="118"/>
      <c r="T26" s="118"/>
      <c r="U26" s="118"/>
      <c r="V26" s="118"/>
    </row>
    <row r="27" spans="1:23" ht="20.100000000000001" customHeight="1" x14ac:dyDescent="0.2">
      <c r="A27" s="5" t="s">
        <v>19</v>
      </c>
      <c r="B27" s="21">
        <f>'Всего с субабонентами'!B27-Субабоненты!B27</f>
        <v>6021.479999996518</v>
      </c>
      <c r="C27" s="21"/>
      <c r="D27" s="198">
        <f>'Всего с субабонентами'!D27:E27-Субабоненты!D27</f>
        <v>3698.1599999854552</v>
      </c>
      <c r="E27" s="198"/>
      <c r="F27" s="194">
        <f t="shared" si="0"/>
        <v>0.61416130253485746</v>
      </c>
      <c r="G27" s="194"/>
      <c r="H27" s="97"/>
      <c r="I27" s="97"/>
      <c r="J27" s="97"/>
      <c r="K27" s="97"/>
      <c r="L27" s="97"/>
      <c r="N27" s="17" t="s">
        <v>139</v>
      </c>
      <c r="O27" s="118" t="s">
        <v>140</v>
      </c>
      <c r="P27" s="118"/>
      <c r="Q27" s="118"/>
      <c r="R27" s="118"/>
      <c r="S27" s="118"/>
      <c r="T27" s="118"/>
      <c r="U27" s="118"/>
      <c r="V27" s="118"/>
    </row>
    <row r="28" spans="1:23" ht="20.100000000000001" customHeight="1" x14ac:dyDescent="0.2">
      <c r="A28" s="5" t="s">
        <v>20</v>
      </c>
      <c r="B28" s="21">
        <f>'Всего с субабонентами'!B28-Субабоненты!B28</f>
        <v>5910.4799999891839</v>
      </c>
      <c r="C28" s="21"/>
      <c r="D28" s="198">
        <f>'Всего с субабонентами'!D28:E28-Субабоненты!D28</f>
        <v>3682.4399999782145</v>
      </c>
      <c r="E28" s="198"/>
      <c r="F28" s="194">
        <f t="shared" si="0"/>
        <v>0.62303569253004043</v>
      </c>
      <c r="G28" s="194"/>
      <c r="H28" s="97"/>
      <c r="I28" s="97"/>
      <c r="J28" s="97"/>
      <c r="K28" s="97"/>
      <c r="L28" s="97"/>
      <c r="N28" s="17"/>
      <c r="O28" s="118" t="s">
        <v>141</v>
      </c>
      <c r="P28" s="118"/>
      <c r="Q28" s="118"/>
      <c r="R28" s="118"/>
      <c r="S28" s="118"/>
      <c r="T28" s="118"/>
      <c r="U28" s="118"/>
      <c r="V28" s="118"/>
    </row>
    <row r="29" spans="1:23" ht="20.100000000000001" customHeight="1" x14ac:dyDescent="0.2">
      <c r="A29" s="5" t="s">
        <v>21</v>
      </c>
      <c r="B29" s="21">
        <f>'Всего с субабонентами'!B29-Субабоненты!B29</f>
        <v>6079.3200000010984</v>
      </c>
      <c r="C29" s="21"/>
      <c r="D29" s="198">
        <f>'Всего с субабонентами'!D29:E29-Субабоненты!D29</f>
        <v>3713.160000017433</v>
      </c>
      <c r="E29" s="198"/>
      <c r="F29" s="194">
        <f t="shared" si="0"/>
        <v>0.61078541679279297</v>
      </c>
      <c r="G29" s="194"/>
      <c r="H29" s="97"/>
      <c r="I29" s="97"/>
      <c r="J29" s="97"/>
      <c r="K29" s="97"/>
      <c r="L29" s="97"/>
      <c r="N29" s="17"/>
      <c r="O29" s="118" t="s">
        <v>142</v>
      </c>
      <c r="P29" s="118"/>
      <c r="Q29" s="118"/>
      <c r="R29" s="118"/>
      <c r="S29" s="118"/>
      <c r="T29" s="118"/>
      <c r="U29" s="118"/>
      <c r="V29" s="118"/>
    </row>
    <row r="30" spans="1:23" ht="20.100000000000001" customHeight="1" x14ac:dyDescent="0.2">
      <c r="A30" s="5" t="s">
        <v>22</v>
      </c>
      <c r="B30" s="21">
        <f>'Всего с субабонентами'!B30-Субабоненты!B30</f>
        <v>6065.3999999936786</v>
      </c>
      <c r="C30" s="21"/>
      <c r="D30" s="198">
        <f>'Всего с субабонентами'!D30:E30-Субабоненты!D30</f>
        <v>3667.9200000080527</v>
      </c>
      <c r="E30" s="198"/>
      <c r="F30" s="194">
        <f t="shared" si="0"/>
        <v>0.60472845979026535</v>
      </c>
      <c r="G30" s="194"/>
      <c r="H30" s="97"/>
      <c r="I30" s="97"/>
      <c r="J30" s="97"/>
      <c r="K30" s="97"/>
      <c r="L30" s="97"/>
      <c r="N30" s="17" t="s">
        <v>143</v>
      </c>
      <c r="O30" s="118" t="s">
        <v>144</v>
      </c>
      <c r="P30" s="118"/>
      <c r="Q30" s="118"/>
      <c r="R30" s="118"/>
      <c r="S30" s="118"/>
      <c r="T30" s="118"/>
      <c r="U30" s="118"/>
      <c r="V30" s="118"/>
    </row>
    <row r="31" spans="1:23" ht="20.100000000000001" customHeight="1" x14ac:dyDescent="0.2">
      <c r="A31" s="5" t="s">
        <v>23</v>
      </c>
      <c r="B31" s="21">
        <f>'Всего с субабонентами'!B31-Субабоненты!B31</f>
        <v>6120.5999999972846</v>
      </c>
      <c r="C31" s="21"/>
      <c r="D31" s="198">
        <f>'Всего с субабонентами'!D31:E31-Субабоненты!D31</f>
        <v>3687.8399999945941</v>
      </c>
      <c r="E31" s="198"/>
      <c r="F31" s="194">
        <f t="shared" si="0"/>
        <v>0.60252916380685395</v>
      </c>
      <c r="G31" s="194"/>
      <c r="H31" s="97"/>
      <c r="I31" s="97"/>
      <c r="J31" s="97"/>
      <c r="K31" s="97"/>
      <c r="L31" s="97"/>
      <c r="N31" s="17"/>
      <c r="O31" s="118" t="s">
        <v>145</v>
      </c>
      <c r="P31" s="118"/>
      <c r="Q31" s="118"/>
      <c r="R31" s="118"/>
      <c r="S31" s="118"/>
      <c r="T31" s="118"/>
      <c r="U31" s="118"/>
      <c r="V31" s="118"/>
    </row>
    <row r="32" spans="1:23" ht="20.100000000000001" customHeight="1" x14ac:dyDescent="0.2">
      <c r="A32" s="5" t="s">
        <v>24</v>
      </c>
      <c r="B32" s="21">
        <f>'Всего с субабонентами'!B32-Субабоненты!B32</f>
        <v>6389.400000020396</v>
      </c>
      <c r="C32" s="21"/>
      <c r="D32" s="198">
        <f>'Всего с субабонентами'!D32:E32-Субабоненты!D32</f>
        <v>3792.8400000078</v>
      </c>
      <c r="E32" s="198"/>
      <c r="F32" s="194">
        <f t="shared" si="0"/>
        <v>0.59361442388889296</v>
      </c>
      <c r="G32" s="194"/>
      <c r="H32" s="97"/>
      <c r="I32" s="97"/>
      <c r="J32" s="97"/>
      <c r="K32" s="97"/>
      <c r="L32" s="97"/>
      <c r="N32" s="17" t="s">
        <v>146</v>
      </c>
      <c r="O32" s="118" t="s">
        <v>147</v>
      </c>
      <c r="P32" s="118"/>
      <c r="Q32" s="118"/>
      <c r="R32" s="118"/>
      <c r="S32" s="118"/>
      <c r="T32" s="118"/>
      <c r="U32" s="118"/>
      <c r="V32" s="118"/>
    </row>
    <row r="33" spans="1:24" ht="20.100000000000001" customHeight="1" x14ac:dyDescent="0.2">
      <c r="A33" s="5" t="s">
        <v>25</v>
      </c>
      <c r="B33" s="21">
        <f>'Всего с субабонентами'!B33-Субабоненты!B33</f>
        <v>6113.7600000249222</v>
      </c>
      <c r="C33" s="21"/>
      <c r="D33" s="198">
        <f>'Всего с субабонентами'!D33:E33-Субабоненты!D33</f>
        <v>3769.5599999920887</v>
      </c>
      <c r="E33" s="198"/>
      <c r="F33" s="194">
        <f t="shared" si="0"/>
        <v>0.61656983590731762</v>
      </c>
      <c r="G33" s="194"/>
      <c r="H33" s="97"/>
      <c r="I33" s="97"/>
      <c r="J33" s="97"/>
      <c r="K33" s="97"/>
      <c r="L33" s="97"/>
      <c r="N33" s="17" t="s">
        <v>148</v>
      </c>
      <c r="O33" s="118" t="s">
        <v>149</v>
      </c>
      <c r="P33" s="118"/>
      <c r="Q33" s="118"/>
      <c r="R33" s="118"/>
      <c r="S33" s="118"/>
      <c r="T33" s="118"/>
      <c r="U33" s="118"/>
      <c r="V33" s="118"/>
    </row>
    <row r="34" spans="1:24" ht="20.100000000000001" customHeight="1" x14ac:dyDescent="0.2">
      <c r="A34" s="5" t="s">
        <v>26</v>
      </c>
      <c r="B34" s="21">
        <f>'Всего с субабонентами'!B34-Субабоненты!B34</f>
        <v>6103.3199999219505</v>
      </c>
      <c r="C34" s="21"/>
      <c r="D34" s="198">
        <f>'Всего с субабонентами'!D34:E34-Субабоненты!D34</f>
        <v>3786.0000000122454</v>
      </c>
      <c r="E34" s="198"/>
      <c r="F34" s="194">
        <f t="shared" si="0"/>
        <v>0.62031812195012892</v>
      </c>
      <c r="G34" s="194"/>
      <c r="H34" s="97"/>
      <c r="I34" s="97"/>
      <c r="J34" s="97"/>
      <c r="K34" s="97"/>
      <c r="L34" s="97"/>
    </row>
    <row r="35" spans="1:24" ht="20.100000000000001" customHeight="1" x14ac:dyDescent="0.2">
      <c r="A35" s="5" t="s">
        <v>27</v>
      </c>
      <c r="B35" s="21">
        <f>'Всего с субабонентами'!B35-Субабоненты!B35</f>
        <v>6096.8400000572728</v>
      </c>
      <c r="C35" s="21"/>
      <c r="D35" s="198">
        <f>'Всего с субабонентами'!D35:E35-Субабоненты!D35</f>
        <v>3747.0000000018445</v>
      </c>
      <c r="E35" s="198"/>
      <c r="F35" s="194">
        <f t="shared" si="0"/>
        <v>0.61458066801271571</v>
      </c>
      <c r="G35" s="194"/>
      <c r="H35" s="97"/>
      <c r="I35" s="97"/>
      <c r="J35" s="97"/>
      <c r="K35" s="97"/>
      <c r="L35" s="97"/>
    </row>
    <row r="36" spans="1:24" ht="20.100000000000001" customHeight="1" x14ac:dyDescent="0.2">
      <c r="A36" s="5" t="s">
        <v>28</v>
      </c>
      <c r="B36" s="21">
        <f>'Всего с субабонентами'!B36-Субабоненты!B36</f>
        <v>5937.4800000001414</v>
      </c>
      <c r="C36" s="21"/>
      <c r="D36" s="198">
        <f>'Всего с субабонентами'!D36:E36-Субабоненты!D36</f>
        <v>3836.7599999861341</v>
      </c>
      <c r="E36" s="198"/>
      <c r="F36" s="194">
        <f t="shared" si="0"/>
        <v>0.64619333454361827</v>
      </c>
      <c r="G36" s="194"/>
      <c r="H36" s="97"/>
      <c r="I36" s="97"/>
      <c r="J36" s="97"/>
      <c r="K36" s="97"/>
      <c r="L36" s="97"/>
    </row>
    <row r="37" spans="1:24" ht="20.100000000000001" customHeight="1" x14ac:dyDescent="0.2">
      <c r="A37" s="5" t="s">
        <v>29</v>
      </c>
      <c r="B37" s="21">
        <f>'Всего с субабонентами'!B37-Субабоненты!B37</f>
        <v>5961.9599999910124</v>
      </c>
      <c r="C37" s="21"/>
      <c r="D37" s="198">
        <f>'Всего с субабонентами'!D37:E37-Субабоненты!D37</f>
        <v>3823.6800000071526</v>
      </c>
      <c r="E37" s="198"/>
      <c r="F37" s="194">
        <f t="shared" si="0"/>
        <v>0.64134613449485012</v>
      </c>
      <c r="G37" s="194"/>
      <c r="H37" s="97"/>
      <c r="I37" s="97"/>
      <c r="J37" s="97"/>
      <c r="K37" s="97"/>
      <c r="L37" s="97"/>
    </row>
    <row r="38" spans="1:24" ht="20.100000000000001" customHeight="1" x14ac:dyDescent="0.2">
      <c r="A38" s="5" t="s">
        <v>30</v>
      </c>
      <c r="B38" s="21">
        <f>'Всего с субабонентами'!B38-Субабоненты!B38</f>
        <v>5897.0399999892834</v>
      </c>
      <c r="C38" s="21"/>
      <c r="D38" s="198">
        <f>'Всего с субабонентами'!D38:E38-Субабоненты!D38</f>
        <v>3788.6400000014874</v>
      </c>
      <c r="E38" s="198"/>
      <c r="F38" s="194">
        <f t="shared" si="0"/>
        <v>0.64246469415306195</v>
      </c>
      <c r="G38" s="194"/>
      <c r="H38" s="97"/>
      <c r="I38" s="97"/>
      <c r="J38" s="97"/>
      <c r="K38" s="97"/>
      <c r="L38" s="97"/>
    </row>
    <row r="39" spans="1:24" ht="20.100000000000001" customHeight="1" x14ac:dyDescent="0.2">
      <c r="A39" s="5" t="s">
        <v>31</v>
      </c>
      <c r="B39" s="21">
        <f>'Всего с субабонентами'!B39-Субабоненты!B39</f>
        <v>5912.0399999759684</v>
      </c>
      <c r="C39" s="21"/>
      <c r="D39" s="198">
        <f>'Всего с субабонентами'!D39:E39-Субабоненты!D39</f>
        <v>3863.8799999992443</v>
      </c>
      <c r="E39" s="198"/>
      <c r="F39" s="194">
        <f t="shared" si="0"/>
        <v>0.65356120730153222</v>
      </c>
      <c r="G39" s="194"/>
      <c r="H39" s="97"/>
      <c r="I39" s="97"/>
      <c r="J39" s="97"/>
      <c r="K39" s="97"/>
      <c r="L39" s="97"/>
      <c r="P39" s="150" t="s">
        <v>150</v>
      </c>
      <c r="Q39" s="150"/>
      <c r="R39" s="150"/>
      <c r="S39" s="149" t="s">
        <v>370</v>
      </c>
      <c r="T39" s="149"/>
      <c r="U39" s="149"/>
      <c r="V39" s="149"/>
      <c r="W39" s="149"/>
      <c r="X39" s="149"/>
    </row>
    <row r="40" spans="1:24" ht="20.100000000000001" customHeight="1" x14ac:dyDescent="0.2">
      <c r="A40" s="5" t="s">
        <v>32</v>
      </c>
      <c r="B40" s="21">
        <f>SUM(B15:B39)</f>
        <v>143473.07999997152</v>
      </c>
      <c r="C40" s="21"/>
      <c r="D40" s="198">
        <f>SUM(D15:E39)</f>
        <v>91837.080000020986</v>
      </c>
      <c r="E40" s="198"/>
      <c r="F40" s="194">
        <f t="shared" si="0"/>
        <v>0.64009973160149081</v>
      </c>
      <c r="G40" s="194"/>
      <c r="H40" s="97"/>
      <c r="I40" s="97"/>
      <c r="J40" s="97"/>
      <c r="K40" s="97"/>
      <c r="L40" s="97"/>
    </row>
    <row r="41" spans="1:24" ht="20.100000000000001" customHeight="1" x14ac:dyDescent="0.2">
      <c r="A41" s="6" t="s">
        <v>33</v>
      </c>
      <c r="B41" s="27"/>
      <c r="C41" s="27"/>
      <c r="D41" s="92"/>
      <c r="E41" s="96"/>
      <c r="F41" s="208"/>
      <c r="G41" s="209"/>
      <c r="H41" s="181"/>
      <c r="I41" s="207"/>
      <c r="J41" s="207"/>
      <c r="K41" s="207"/>
      <c r="L41" s="207"/>
    </row>
    <row r="42" spans="1:24" ht="20.100000000000001" customHeight="1" x14ac:dyDescent="0.2">
      <c r="A42" s="87" t="s">
        <v>2</v>
      </c>
      <c r="B42" s="86" t="s">
        <v>37</v>
      </c>
      <c r="C42" s="105"/>
      <c r="D42" s="87"/>
      <c r="E42" s="86" t="s">
        <v>40</v>
      </c>
      <c r="F42" s="105"/>
      <c r="G42" s="105"/>
      <c r="H42" s="105"/>
      <c r="I42" s="87"/>
      <c r="J42" s="101" t="s">
        <v>5</v>
      </c>
      <c r="K42" s="104"/>
      <c r="L42" s="104"/>
    </row>
    <row r="43" spans="1:24" ht="44.25" customHeight="1" x14ac:dyDescent="0.2">
      <c r="A43" s="87"/>
      <c r="B43" s="192" t="s">
        <v>38</v>
      </c>
      <c r="C43" s="192"/>
      <c r="D43" s="5" t="s">
        <v>39</v>
      </c>
      <c r="E43" s="86" t="s">
        <v>41</v>
      </c>
      <c r="F43" s="105"/>
      <c r="G43" s="87"/>
      <c r="H43" s="86" t="s">
        <v>42</v>
      </c>
      <c r="I43" s="87"/>
      <c r="J43" s="92"/>
      <c r="K43" s="103"/>
      <c r="L43" s="103"/>
    </row>
    <row r="44" spans="1:24" ht="20.100000000000001" customHeight="1" x14ac:dyDescent="0.2">
      <c r="A44" s="4" t="s">
        <v>153</v>
      </c>
      <c r="B44" s="199">
        <f>SUM(B24:B26)</f>
        <v>18037.920000011218</v>
      </c>
      <c r="C44" s="200"/>
      <c r="D44" s="21">
        <f>SUM(D24:E26)</f>
        <v>10970.040000005338</v>
      </c>
      <c r="E44" s="199">
        <f>B44/3</f>
        <v>6012.6400000037393</v>
      </c>
      <c r="F44" s="204"/>
      <c r="G44" s="200"/>
      <c r="H44" s="199">
        <f>D44/3</f>
        <v>3656.6800000017793</v>
      </c>
      <c r="I44" s="200"/>
      <c r="J44" s="201">
        <f>H44/E44</f>
        <v>0.60816546475416877</v>
      </c>
      <c r="K44" s="202"/>
      <c r="L44" s="202"/>
    </row>
    <row r="45" spans="1:24" ht="20.100000000000001" customHeight="1" x14ac:dyDescent="0.2">
      <c r="A45" s="4" t="s">
        <v>43</v>
      </c>
      <c r="B45" s="199">
        <f>SUM(B33:B36)</f>
        <v>24251.400000004287</v>
      </c>
      <c r="C45" s="200"/>
      <c r="D45" s="21">
        <f>SUM(D33:E36)</f>
        <v>15139.319999992313</v>
      </c>
      <c r="E45" s="199">
        <f>B45/4</f>
        <v>6062.8500000010717</v>
      </c>
      <c r="F45" s="204"/>
      <c r="G45" s="200"/>
      <c r="H45" s="199">
        <f>D45/4</f>
        <v>3784.8299999980782</v>
      </c>
      <c r="I45" s="200"/>
      <c r="J45" s="201">
        <f>H45/E45</f>
        <v>0.62426581558135352</v>
      </c>
      <c r="K45" s="202"/>
      <c r="L45" s="202"/>
    </row>
    <row r="46" spans="1:24" ht="20.100000000000001" customHeight="1" x14ac:dyDescent="0.2">
      <c r="A46" s="4" t="s">
        <v>44</v>
      </c>
      <c r="B46" s="199">
        <f>SUM(B16:B39)</f>
        <v>143473.07999997152</v>
      </c>
      <c r="C46" s="200"/>
      <c r="D46" s="21">
        <f>SUM(D16:E39)</f>
        <v>91837.080000020986</v>
      </c>
      <c r="E46" s="199">
        <f>B46/24</f>
        <v>5978.0449999988132</v>
      </c>
      <c r="F46" s="204"/>
      <c r="G46" s="200"/>
      <c r="H46" s="199">
        <f>D46/24</f>
        <v>3826.5450000008746</v>
      </c>
      <c r="I46" s="200"/>
      <c r="J46" s="201">
        <f>H46/E46</f>
        <v>0.64009973160149081</v>
      </c>
      <c r="K46" s="202"/>
      <c r="L46" s="202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99" t="s">
        <v>186</v>
      </c>
      <c r="D50" s="99"/>
      <c r="E50" s="99"/>
      <c r="F50" s="99"/>
      <c r="G50" s="99"/>
      <c r="H50" s="99"/>
      <c r="I50" s="99"/>
    </row>
    <row r="51" spans="3:9" ht="20.100000000000001" customHeight="1" x14ac:dyDescent="0.2"/>
  </sheetData>
  <sheetProtection sheet="1" objects="1" scenarios="1"/>
  <mergeCells count="189">
    <mergeCell ref="B45:C45"/>
    <mergeCell ref="J44:L44"/>
    <mergeCell ref="J45:L45"/>
    <mergeCell ref="D41:E41"/>
    <mergeCell ref="E45:G45"/>
    <mergeCell ref="F40:G40"/>
    <mergeCell ref="F29:G29"/>
    <mergeCell ref="F30:G30"/>
    <mergeCell ref="F31:G31"/>
    <mergeCell ref="F32:G3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H18:L18"/>
    <mergeCell ref="H19:L19"/>
    <mergeCell ref="H20:L20"/>
    <mergeCell ref="H21:L21"/>
    <mergeCell ref="H22:L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N20:Q20"/>
    <mergeCell ref="N21:Q21"/>
    <mergeCell ref="D22:E22"/>
    <mergeCell ref="F27:G27"/>
    <mergeCell ref="F28:G28"/>
    <mergeCell ref="F22:G22"/>
    <mergeCell ref="F35:G35"/>
    <mergeCell ref="F36:G36"/>
    <mergeCell ref="F37:G37"/>
    <mergeCell ref="F38:G38"/>
    <mergeCell ref="F39:G39"/>
    <mergeCell ref="H23:L23"/>
    <mergeCell ref="H24:L24"/>
    <mergeCell ref="H25:L25"/>
    <mergeCell ref="H26:L26"/>
    <mergeCell ref="H27:L27"/>
    <mergeCell ref="H28:L28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I9:M9"/>
    <mergeCell ref="A7:L7"/>
    <mergeCell ref="F12:G13"/>
    <mergeCell ref="H12:L12"/>
    <mergeCell ref="F9:H9"/>
    <mergeCell ref="A9:E9"/>
    <mergeCell ref="A8:L8"/>
    <mergeCell ref="F14:G14"/>
    <mergeCell ref="F15:G15"/>
    <mergeCell ref="F16:G16"/>
    <mergeCell ref="F17:G17"/>
    <mergeCell ref="H14:L14"/>
    <mergeCell ref="H15:L15"/>
    <mergeCell ref="H16:L16"/>
    <mergeCell ref="H17:L17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N7:Q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"/>
  <sheetViews>
    <sheetView workbookViewId="0">
      <selection activeCell="T37" sqref="T37"/>
    </sheetView>
  </sheetViews>
  <sheetFormatPr defaultRowHeight="12.75" x14ac:dyDescent="0.2"/>
  <sheetData/>
  <sheetProtection sheet="1" objects="1" scenarios="1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29</vt:i4>
      </vt:variant>
      <vt:variant>
        <vt:lpstr>Именованные диапазоны</vt:lpstr>
      </vt:variant>
      <vt:variant>
        <vt:i4>79</vt:i4>
      </vt:variant>
    </vt:vector>
  </HeadingPairs>
  <TitlesOfParts>
    <vt:vector size="108" baseType="lpstr">
      <vt:lpstr>ObserverReportInfo_&amp;!()$bbQ</vt:lpstr>
      <vt:lpstr>Ячейка 24</vt:lpstr>
      <vt:lpstr>Ячейка 2</vt:lpstr>
      <vt:lpstr>Ячейка 30</vt:lpstr>
      <vt:lpstr>Ячейка 27</vt:lpstr>
      <vt:lpstr>Ячейка 3Гео</vt:lpstr>
      <vt:lpstr>Ячейка 26Гео </vt:lpstr>
      <vt:lpstr>Ячейка 3</vt:lpstr>
      <vt:lpstr>Ячейка 4</vt:lpstr>
      <vt:lpstr>Ячейка 36</vt:lpstr>
      <vt:lpstr>Ячейка 37</vt:lpstr>
      <vt:lpstr>Ячейка 10</vt:lpstr>
      <vt:lpstr>Ячейка 16</vt:lpstr>
      <vt:lpstr>Ячейка 14 </vt:lpstr>
      <vt:lpstr>Ячейка 13БОС</vt:lpstr>
      <vt:lpstr>Ячейка 32БОС</vt:lpstr>
      <vt:lpstr>ячейка 25БОС</vt:lpstr>
      <vt:lpstr>ПС 167</vt:lpstr>
      <vt:lpstr>ПС 214 Т1</vt:lpstr>
      <vt:lpstr>ПС 214 Т2</vt:lpstr>
      <vt:lpstr>ПС 214</vt:lpstr>
      <vt:lpstr>Всего с субабонентами</vt:lpstr>
      <vt:lpstr>Субабоненты</vt:lpstr>
      <vt:lpstr>Энергосеть</vt:lpstr>
      <vt:lpstr>РЖД</vt:lpstr>
      <vt:lpstr>БОС_Эксплуатация</vt:lpstr>
      <vt:lpstr>Пластик Геосинтетика</vt:lpstr>
      <vt:lpstr>Всего без субабонентов</vt:lpstr>
      <vt:lpstr>график</vt:lpstr>
      <vt:lpstr>ReportObject1_0</vt:lpstr>
      <vt:lpstr>ReportObject1_1</vt:lpstr>
      <vt:lpstr>ReportObject1_2</vt:lpstr>
      <vt:lpstr>ReportObject1_3</vt:lpstr>
      <vt:lpstr>ReportObject10_0</vt:lpstr>
      <vt:lpstr>ReportObject10_1</vt:lpstr>
      <vt:lpstr>ReportObject10_2</vt:lpstr>
      <vt:lpstr>ReportObject10_3</vt:lpstr>
      <vt:lpstr>ReportObject11_0</vt:lpstr>
      <vt:lpstr>ReportObject11_1</vt:lpstr>
      <vt:lpstr>ReportObject11_2</vt:lpstr>
      <vt:lpstr>ReportObject11_3</vt:lpstr>
      <vt:lpstr>ReportObject12_0</vt:lpstr>
      <vt:lpstr>ReportObject12_1</vt:lpstr>
      <vt:lpstr>ReportObject12_2</vt:lpstr>
      <vt:lpstr>ReportObject12_3</vt:lpstr>
      <vt:lpstr>ReportObject13_0</vt:lpstr>
      <vt:lpstr>ReportObject13_1</vt:lpstr>
      <vt:lpstr>ReportObject13_2</vt:lpstr>
      <vt:lpstr>ReportObject13_3</vt:lpstr>
      <vt:lpstr>ReportObject14_0</vt:lpstr>
      <vt:lpstr>ReportObject14_1</vt:lpstr>
      <vt:lpstr>ReportObject14_2</vt:lpstr>
      <vt:lpstr>ReportObject14_3</vt:lpstr>
      <vt:lpstr>ReportObject15_0</vt:lpstr>
      <vt:lpstr>ReportObject15_1</vt:lpstr>
      <vt:lpstr>ReportObject15_2</vt:lpstr>
      <vt:lpstr>ReportObject15_3</vt:lpstr>
      <vt:lpstr>ReportObject16_0</vt:lpstr>
      <vt:lpstr>ReportObject16_1</vt:lpstr>
      <vt:lpstr>ReportObject16_2</vt:lpstr>
      <vt:lpstr>ReportObject16_3</vt:lpstr>
      <vt:lpstr>ReportObject17_0</vt:lpstr>
      <vt:lpstr>ReportObject17_1</vt:lpstr>
      <vt:lpstr>ReportObject17_2</vt:lpstr>
      <vt:lpstr>ReportObject17_3</vt:lpstr>
      <vt:lpstr>ReportObject18_0</vt:lpstr>
      <vt:lpstr>ReportObject18_1</vt:lpstr>
      <vt:lpstr>ReportObject18_2</vt:lpstr>
      <vt:lpstr>ReportObject18_3</vt:lpstr>
      <vt:lpstr>ReportObject2_0</vt:lpstr>
      <vt:lpstr>ReportObject2_1</vt:lpstr>
      <vt:lpstr>ReportObject2_2</vt:lpstr>
      <vt:lpstr>ReportObject2_3</vt:lpstr>
      <vt:lpstr>ReportObject3_0</vt:lpstr>
      <vt:lpstr>ReportObject3_1</vt:lpstr>
      <vt:lpstr>ReportObject3_2</vt:lpstr>
      <vt:lpstr>ReportObject3_3</vt:lpstr>
      <vt:lpstr>ReportObject4_0</vt:lpstr>
      <vt:lpstr>ReportObject4_1</vt:lpstr>
      <vt:lpstr>ReportObject4_2</vt:lpstr>
      <vt:lpstr>ReportObject4_3</vt:lpstr>
      <vt:lpstr>ReportObject5_0</vt:lpstr>
      <vt:lpstr>ReportObject5_1</vt:lpstr>
      <vt:lpstr>ReportObject5_2</vt:lpstr>
      <vt:lpstr>ReportObject5_3</vt:lpstr>
      <vt:lpstr>ReportObject6_0</vt:lpstr>
      <vt:lpstr>ReportObject6_1</vt:lpstr>
      <vt:lpstr>ReportObject6_2</vt:lpstr>
      <vt:lpstr>ReportObject6_3</vt:lpstr>
      <vt:lpstr>ReportObject9_0</vt:lpstr>
      <vt:lpstr>ReportObject9_1</vt:lpstr>
      <vt:lpstr>ReportObject9_2</vt:lpstr>
      <vt:lpstr>ReportObject9_3</vt:lpstr>
      <vt:lpstr>БОС_Эксплуатация!Область_печати</vt:lpstr>
      <vt:lpstr>'Всего без субабонентов'!Область_печати</vt:lpstr>
      <vt:lpstr>'Всего с субабонентами'!Область_печати</vt:lpstr>
      <vt:lpstr>'Пластик Геосинтетика'!Область_печати</vt:lpstr>
      <vt:lpstr>'ПС 167'!Область_печати</vt:lpstr>
      <vt:lpstr>'ПС 214'!Область_печати</vt:lpstr>
      <vt:lpstr>'ПС 214 Т1'!Область_печати</vt:lpstr>
      <vt:lpstr>'ПС 214 Т2'!Область_печати</vt:lpstr>
      <vt:lpstr>РЖД!Область_печати</vt:lpstr>
      <vt:lpstr>Субабоненты!Область_печати</vt:lpstr>
      <vt:lpstr>Энергосеть!Область_печати</vt:lpstr>
      <vt:lpstr>'Ячейка 13БОС'!Область_печати</vt:lpstr>
      <vt:lpstr>'Ячейка 14 '!Область_печати</vt:lpstr>
      <vt:lpstr>'ячейка 25БОС'!Область_печати</vt:lpstr>
      <vt:lpstr>'Ячейка 32БОС'!Область_печати</vt:lpstr>
    </vt:vector>
  </TitlesOfParts>
  <Company>База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Насветников</dc:creator>
  <cp:lastModifiedBy>Каргина Т.В.ОГЭ</cp:lastModifiedBy>
  <cp:lastPrinted>2017-06-28T08:11:42Z</cp:lastPrinted>
  <dcterms:created xsi:type="dcterms:W3CDTF">2000-12-15T11:47:44Z</dcterms:created>
  <dcterms:modified xsi:type="dcterms:W3CDTF">2017-06-28T08:15:09Z</dcterms:modified>
</cp:coreProperties>
</file>